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Detail" sheetId="2" state="visible" r:id="rId2"/>
    <sheet xmlns:r="http://schemas.openxmlformats.org/officeDocument/2006/relationships" name="Data_Profile" sheetId="3" state="visible" r:id="rId3"/>
    <sheet xmlns:r="http://schemas.openxmlformats.org/officeDocument/2006/relationships" name="Data_Leavers" sheetId="4" state="visible" r:id="rId4"/>
    <sheet xmlns:r="http://schemas.openxmlformats.org/officeDocument/2006/relationships" name="Guide" sheetId="5" state="visible" r:id="rId5"/>
    <sheet xmlns:r="http://schemas.openxmlformats.org/officeDocument/2006/relationships" name="Calc" sheetId="6" state="hidden" r:id="rId6"/>
  </sheets>
  <definedNames>
    <definedName name="cfgStartHdr">'Guide'!$C$20</definedName>
    <definedName name="cfgLWDHdr">'Guide'!$C$21</definedName>
    <definedName name="cfgTypeHdr">'Guide'!$C$22</definedName>
    <definedName name="cfgStatusHdr">'Guide'!$C$23</definedName>
    <definedName name="cfgIDHdr">'Guide'!$C$24</definedName>
    <definedName name="FiltCat">'Dashboard'!$C$5</definedName>
    <definedName name="FiltPeriod">'Dashboard'!$E$5</definedName>
    <definedName name="P_ID">INDEX('Data_Profile'!$A$5:$AZ$5004,0,MATCH(cfgIDHdr,'Data_Profile'!$4:$4,0))</definedName>
    <definedName name="P_Start">INDEX('Data_Profile'!$A$5:$AZ$5004,0,MATCH(cfgStartHdr,'Data_Profile'!$4:$4,0))</definedName>
    <definedName name="P_LWD">INDEX('Data_Profile'!$A$5:$AZ$5004,0,MATCH(cfgLWDHdr,'Data_Profile'!$4:$4,0))</definedName>
    <definedName name="P_Type">INDEX('Data_Profile'!$A$5:$AZ$5004,0,MATCH(cfgTypeHdr,'Data_Profile'!$4:$4,0))</definedName>
    <definedName name="P_Status">INDEX('Data_Profile'!$A$5:$AZ$5004,0,MATCH(cfgStatusHdr,'Data_Profile'!$4:$4,0))</definedName>
    <definedName name="L_ID">INDEX('Data_Leavers'!$A$5:$AZ$5004,0,MATCH(cfgIDHdr,'Data_Leavers'!$4:$4,0))</definedName>
    <definedName name="L_Start">INDEX('Data_Leavers'!$A$5:$AZ$5004,0,MATCH(cfgStartHdr,'Data_Leavers'!$4:$4,0))</definedName>
    <definedName name="L_LWD">INDEX('Data_Leavers'!$A$5:$AZ$5004,0,MATCH(cfgLWDHdr,'Data_Leavers'!$4:$4,0))</definedName>
    <definedName name="L_Type">INDEX('Data_Leavers'!$A$5:$AZ$5004,0,MATCH(cfgTypeHdr,'Data_Leavers'!$4:$4,0))</definedName>
    <definedName name="L_Status">INDEX('Data_Leavers'!$A$5:$AZ$5004,0,MATCH(cfgStatusHdr,'Data_Leavers'!$4:$4,0))</definedName>
    <definedName name="L_InP">'Calc'!$A$5:$A$5004</definedName>
    <definedName name="P_TypeN">'Calc'!$B$5:$B$5004</definedName>
    <definedName name="L_TypeN">'Calc'!$D$5:$D$5004</definedName>
    <definedName name="P_StatusN">'Calc'!$E$5:$E$5004</definedName>
    <definedName name="L_StatusN">'Calc'!$G$5:$G$5004</definedName>
    <definedName name="L_TwinIna">'Calc'!$J$5:$J$5004</definedName>
    <definedName name="PeriodList">'Calc'!$F$5:$F$58</definedName>
    <definedName name="SelStart">'Calc'!$K$2</definedName>
    <definedName name="SelEnd">'Calc'!$K$3</definedName>
    <definedName name="SelStartTxt">IF('Calc'!$K$2="","",TEXT('Calc'!$K$2,"yyyy-mm"))</definedName>
    <definedName name="SelEndTxt">IF('Calc'!$K$3="","",TEXT('Calc'!$K$3,"yyyy-mm"))</definedName>
    <definedName name="_xlnm.Print_Area" localSheetId="0">'Dashboard'!$A$1:$S$53</definedName>
    <definedName name="_xlnm.Print_Titles" localSheetId="1">'Monthly Detail'!$4:$4</definedName>
    <definedName name="_xlnm.Print_Area" localSheetId="1">'Monthly Detail'!$A$1:$L$54</definedName>
    <definedName name="_xlnm.Print_Area" localSheetId="2">'Data_Profile'!$A$1:$Y$54</definedName>
    <definedName name="_xlnm.Print_Area" localSheetId="3">'Data_Leavers'!$A$1:$Y$54</definedName>
    <definedName name="_xlnm.Print_Area" localSheetId="4">'Guide'!$A$1:$H$40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10">
    <font>
      <name val="Calibri"/>
      <family val="2"/>
      <color theme="1"/>
      <sz val="11"/>
      <scheme val="minor"/>
    </font>
    <font>
      <name val="Microsoft YaHei"/>
      <b val="1"/>
      <color rgb="001B2A4A"/>
      <sz val="16"/>
    </font>
    <font>
      <name val="Microsoft YaHei"/>
      <color rgb="006E7B8B"/>
      <sz val="9"/>
    </font>
    <font>
      <name val="Microsoft YaHei"/>
      <b val="1"/>
      <color rgb="00FFFFFF"/>
      <sz val="11"/>
    </font>
    <font>
      <name val="Microsoft YaHei"/>
      <color rgb="001F2A36"/>
      <sz val="11"/>
    </font>
    <font>
      <name val="Microsoft YaHei"/>
      <b val="1"/>
      <color rgb="001B2A4A"/>
      <sz val="11"/>
    </font>
    <font>
      <name val="Microsoft YaHei"/>
      <b val="1"/>
      <color rgb="001B2A4A"/>
      <sz val="12"/>
    </font>
    <font>
      <name val="Microsoft YaHei"/>
      <b val="1"/>
      <color rgb="001B2A4A"/>
      <sz val="22"/>
    </font>
    <font>
      <name val="Microsoft YaHei"/>
      <b val="1"/>
      <color rgb="002E6DA4"/>
      <sz val="22"/>
    </font>
    <font>
      <name val="Microsoft YaHei"/>
      <b val="1"/>
      <color rgb="005B9BD5"/>
      <sz val="22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2F6FA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D9E2EC"/>
      </bottom>
    </border>
    <border>
      <top style="medium">
        <color rgb="00D9E2EC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bottom" indent="1"/>
    </xf>
    <xf numFmtId="3" fontId="7" fillId="4" borderId="0" applyAlignment="1" pivotButton="0" quotePrefix="0" xfId="0">
      <alignment horizontal="left" vertical="center" indent="1"/>
    </xf>
    <xf numFmtId="3" fontId="8" fillId="4" borderId="0" applyAlignment="1" pivotButton="0" quotePrefix="0" xfId="0">
      <alignment horizontal="left" vertical="center" indent="1"/>
    </xf>
    <xf numFmtId="3" fontId="9" fillId="4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wrapText="1"/>
    </xf>
    <xf numFmtId="164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164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4" fillId="0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Microsoft YaHei"/>
                <a:ea typeface="Microsoft YaHei"/>
              </a:defRPr>
            </a:pPr>
            <a:r>
              <a:rPr sz="1200" b="1">
                <a:latin typeface="Microsoft YaHei"/>
                <a:ea typeface="Microsoft YaHei"/>
              </a:rPr>
              <a:t>Month-End Headcount Trend (filtered)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Detail'!C4</f>
            </strRef>
          </tx>
          <spPr>
            <a:ln xmlns:a="http://schemas.openxmlformats.org/drawingml/2006/main" w="28575">
              <a:solidFill>
                <a:srgbClr val="1B2A4A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marker>
          <cat>
            <strRef>
              <f>'Monthly Detail'!$B$5:$B$52</f>
            </strRef>
          </cat>
          <val>
            <numRef>
              <f>'Monthly Detail'!$C$5:$C$52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1F2A36"/>
                </a:solidFill>
                <a:latin typeface="Microsoft YaHei"/>
                <a:ea typeface="Microsoft YaHei"/>
              </a:defRPr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1F2A36"/>
                </a:solidFill>
                <a:latin typeface="Microsoft YaHei"/>
                <a:ea typeface="Microsoft YaHei"/>
              </a:defRPr>
            </a:pPr>
            <a:r>
              <a:t>None</a:t>
            </a:r>
          </a:p>
        </txPr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Microsoft YaHei"/>
                <a:ea typeface="Microsoft YaHei"/>
              </a:defRPr>
            </a:pPr>
            <a:r>
              <a:rPr sz="1200" b="1">
                <a:latin typeface="Microsoft YaHei"/>
                <a:ea typeface="Microsoft YaHei"/>
              </a:rPr>
              <a:t>Monthly Leavers by Type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 Detail'!E4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prstDash val="solid"/>
            </a:ln>
          </spPr>
          <cat>
            <strRef>
              <f>'Monthly Detail'!$B$5:$B$52</f>
            </strRef>
          </cat>
          <val>
            <numRef>
              <f>'Monthly Detail'!$E$5:$E$52</f>
            </numRef>
          </val>
        </ser>
        <ser>
          <idx val="1"/>
          <order val="1"/>
          <tx>
            <strRef>
              <f>'Monthly Detail'!F4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prstDash val="solid"/>
            </a:ln>
          </spPr>
          <cat>
            <strRef>
              <f>'Monthly Detail'!$B$5:$B$52</f>
            </strRef>
          </cat>
          <val>
            <numRef>
              <f>'Monthly Detail'!$F$5:$F$52</f>
            </numRef>
          </val>
        </ser>
        <ser>
          <idx val="2"/>
          <order val="2"/>
          <tx>
            <strRef>
              <f>'Monthly Detail'!G4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prstDash val="solid"/>
            </a:ln>
          </spPr>
          <cat>
            <strRef>
              <f>'Monthly Detail'!$B$5:$B$52</f>
            </strRef>
          </cat>
          <val>
            <numRef>
              <f>'Monthly Detail'!$G$5:$G$52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1F2A36"/>
                </a:solidFill>
                <a:latin typeface="Microsoft YaHei"/>
                <a:ea typeface="Microsoft YaHei"/>
              </a:defRPr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1F2A36"/>
                </a:solidFill>
                <a:latin typeface="Microsoft YaHei"/>
                <a:ea typeface="Microsoft YaHei"/>
              </a:defRPr>
            </a:pPr>
            <a:r>
              <a:t>None</a:t>
            </a:r>
          </a:p>
        </txPr>
        <crossAx val="10"/>
        <majorUnit val="1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Microsoft YaHei"/>
                <a:ea typeface="Microsoft YaHei"/>
              </a:defRPr>
            </a:pPr>
            <a:r>
              <a:rPr sz="1200" b="1">
                <a:latin typeface="Microsoft YaHei"/>
                <a:ea typeface="Microsoft YaHei"/>
              </a:rPr>
              <a:t>Current Headcount by Type</a:t>
            </a:r>
          </a:p>
        </rich>
      </tx>
    </title>
    <plotArea>
      <pieChart>
        <varyColors val="1"/>
        <ser>
          <idx val="0"/>
          <order val="0"/>
          <tx>
            <strRef>
              <f>'Monthly Detail'!K4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cat>
            <strRef>
              <f>'Monthly Detail'!$J$5:$J$7</f>
            </strRef>
          </cat>
          <val>
            <numRef>
              <f>'Monthly Detail'!$K$5:$K$7</f>
            </numRef>
          </val>
        </ser>
        <dLbls>
          <dLblPos val="bestFit"/>
          <showLegendKey val="0"/>
          <showVal val="0"/>
          <showCatName val="0"/>
          <showSerName val="0"/>
          <showPercent val="1"/>
          <showBubbleSize val="0"/>
        </dLbls>
        <firstSliceAng val="0"/>
      </pieChart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6048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12</row>
      <rowOff>0</rowOff>
    </from>
    <ext cx="6048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414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B2:Q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15" customHeight="1"/>
    <row r="2" ht="32" customHeight="1">
      <c r="B2" s="1" t="inlineStr">
        <is>
          <t>IBGT Department Turnover Dashboard</t>
        </is>
      </c>
    </row>
    <row r="3" ht="16" customHeight="1">
      <c r="B3" s="2">
        <f>IF('Calc'!$H$2+'Calc'!$I$2&gt;0,"⚠ Header mapping broken - open the Guide sheet and check C20:C24","Data source: Data_Profile "&amp;TEXT(SUMPRODUCT(--(P_ID&lt;&gt;"")),"0")&amp;" rows  |  Data_Leavers "&amp;TEXT(SUMPRODUCT(--(L_ID&lt;&gt;"")),"0")&amp;" rows  |  "&amp;IF('Calc'!$C$5="","No data yet - paste data and it updates automatically",TEXT('Calc'!$C$5,"yyyy-mm")&amp;" onward, 48 months"))</f>
        <v/>
      </c>
    </row>
    <row r="4" ht="6" customHeight="1"/>
    <row r="5" ht="22" customHeight="1">
      <c r="B5" s="3" t="inlineStr">
        <is>
          <t>Type Filter</t>
        </is>
      </c>
      <c r="C5" s="4" t="inlineStr">
        <is>
          <t>All</t>
        </is>
      </c>
      <c r="D5" s="3" t="inlineStr">
        <is>
          <t>Period</t>
        </is>
      </c>
      <c r="E5" s="4" t="inlineStr">
        <is>
          <t>All</t>
        </is>
      </c>
      <c r="G5" s="2" t="inlineStr">
        <is>
          <t>Switch type and period - cards update instantly; headcount is measured at the end of the selected period, joiners &amp; leavers within it</t>
        </is>
      </c>
    </row>
    <row r="6" ht="8" customHeight="1"/>
    <row r="7" ht="16" customHeight="1">
      <c r="B7" s="5" t="inlineStr">
        <is>
          <t>Period-End Headcount</t>
        </is>
      </c>
      <c r="E7" s="5" t="inlineStr">
        <is>
          <t>Joiners in Period</t>
        </is>
      </c>
      <c r="H7" s="5" t="inlineStr">
        <is>
          <t>Leavers in Period</t>
        </is>
      </c>
      <c r="K7" s="5" t="inlineStr">
        <is>
          <t>Data Coverage</t>
        </is>
      </c>
    </row>
    <row r="8" ht="34" customHeight="1">
      <c r="B8" s="6">
        <f>IF('Calc'!$H$2+'Calc'!$I$2&gt;0,"Fix header mapping",IF('Calc'!$C$5="","-",IF('Calc'!$K$3="",SUMPRODUCT((P_StatusN="ACTIVE")*(ISNUMBER(P_Start))*(P_Start&lt;=TODAY())*((P_TypeN=UPPER(FiltCat))+(FiltCat="All")))+SUMPRODUCT((L_StatusN="ACTIVE")*(ISNUMBER(L_Start))*(L_Start&lt;=TODAY())*((L_TypeN=UPPER(FiltCat))+(FiltCat="All")))-SUMPRODUCT((L_StatusN="ACTIVE")*(ISNUMBER(L_Start))*(L_Start&lt;=TODAY())*((L_TypeN=UPPER(FiltCat))+(FiltCat="All"))*(L_InP=1)),SUMPRODUCT((ISNUMBER(P_Start))*(P_Start&lt;=EOMONTH('Calc'!$K$3,0))*(((P_StatusN="ACTIVE")+((ISNUMBER(P_LWD))*(P_LWD&gt;=EOMONTH('Calc'!$K$3,0))))&gt;0)*((P_TypeN=UPPER(FiltCat))+(FiltCat="All")))+SUMPRODUCT((ISNUMBER(L_Start))*(L_Start&lt;=EOMONTH('Calc'!$K$3,0))*(((L_StatusN="ACTIVE")+((ISNUMBER(L_LWD))*(L_LWD&gt;=EOMONTH('Calc'!$K$3,0))))&gt;0)*((L_TypeN=UPPER(FiltCat))+(FiltCat="All")))-SUMPRODUCT((ISNUMBER(L_Start))*(L_Start&lt;=EOMONTH('Calc'!$K$3,0))*(((L_StatusN="ACTIVE")+((ISNUMBER(L_LWD))*(L_LWD&gt;=EOMONTH('Calc'!$K$3,0))))&gt;0)*((L_TypeN=UPPER(FiltCat))+(FiltCat="All"))*(L_InP=1)))))</f>
        <v/>
      </c>
      <c r="E8" s="6">
        <f>IF('Calc'!$H$2+'Calc'!$I$2&gt;0,"Fix header mapping",IF('Calc'!$C$5="","-",IF('Calc'!$K$3="",SUM('Monthly Detail'!$H$5:$H$52),SUMPRODUCT((ISNUMBER(P_Start))*(P_Start&gt;=SelStart)*(P_Start&lt;=SelEnd)*((P_TypeN=UPPER(FiltCat))+(FiltCat="All")))+SUMPRODUCT((ISNUMBER(L_Start))*(L_Start&gt;=SelStart)*(L_Start&lt;=SelEnd)*((L_TypeN=UPPER(FiltCat))+(FiltCat="All")))-SUMPRODUCT((ISNUMBER(L_Start))*(L_Start&gt;=SelStart)*(L_Start&lt;=SelEnd)*((L_TypeN=UPPER(FiltCat))+(FiltCat="All"))*(L_InP=1)))))</f>
        <v/>
      </c>
      <c r="H8" s="6">
        <f>IF('Calc'!$H$2+'Calc'!$I$2&gt;0,"Fix header mapping",IF('Calc'!$C$5="","-",IF('Calc'!$K$3="",SUMPRODUCT((P_StatusN="INACTIVE")*((P_TypeN=UPPER(FiltCat))+(FiltCat="All")))+SUMPRODUCT((L_StatusN="INACTIVE")*((L_TypeN=UPPER(FiltCat))+(FiltCat="All")))-SUMPRODUCT((L_StatusN="INACTIVE")*((L_TypeN=UPPER(FiltCat))+(FiltCat="All"))*(L_InP=1)*(L_TwinIna=1)),SUMPRODUCT((P_StatusN="INACTIVE")*(ISNUMBER(P_LWD))*(P_LWD&gt;=SelStart)*(P_LWD&lt;=SelEnd)*((P_TypeN=UPPER(FiltCat))+(FiltCat="All")))+SUMPRODUCT((L_StatusN="INACTIVE")*(ISNUMBER(L_LWD))*(L_LWD&gt;=SelStart)*(L_LWD&lt;=SelEnd)*((L_TypeN=UPPER(FiltCat))+(FiltCat="All")))-SUMPRODUCT((L_StatusN="INACTIVE")*(ISNUMBER(L_LWD))*(L_LWD&gt;=SelStart)*(L_LWD&lt;=SelEnd)*((L_TypeN=UPPER(FiltCat))+(FiltCat="All"))*(L_InP=1)*(L_TwinIna=1)))))</f>
        <v/>
      </c>
      <c r="K8" s="6">
        <f>IF('Calc'!$H$2+'Calc'!$I$2&gt;0,"Fix header mapping",IF('Calc'!$C$5="","-",TEXT(MAX(P_Start,P_LWD,L_Start,L_LWD),"yyyy-mm")))</f>
        <v/>
      </c>
    </row>
    <row r="9" ht="10" customHeight="1"/>
    <row r="10" ht="16" customHeight="1">
      <c r="B10" s="5" t="inlineStr">
        <is>
          <t>Headcount - Perm</t>
        </is>
      </c>
      <c r="E10" s="5" t="inlineStr">
        <is>
          <t>Headcount - PC</t>
        </is>
      </c>
      <c r="H10" s="5" t="inlineStr">
        <is>
          <t>Headcount - MS</t>
        </is>
      </c>
      <c r="K10" s="5" t="inlineStr">
        <is>
          <t>Latest Month Leavers</t>
        </is>
      </c>
    </row>
    <row r="11" ht="34" customHeight="1">
      <c r="B11" s="6">
        <f>IF('Calc'!$H$2+'Calc'!$I$2&gt;0,"Fix header mapping",IF('Calc'!$C$5="","-",IF('Calc'!$K$3="",SUMPRODUCT((P_StatusN="ACTIVE")*(ISNUMBER(P_Start))*(P_Start&lt;=TODAY())*((P_TypeN="PERM")))+SUMPRODUCT((L_StatusN="ACTIVE")*(ISNUMBER(L_Start))*(L_Start&lt;=TODAY())*((L_TypeN="PERM")))-SUMPRODUCT((L_StatusN="ACTIVE")*(ISNUMBER(L_Start))*(L_Start&lt;=TODAY())*((L_TypeN="PERM"))*(L_InP=1)),SUMPRODUCT((ISNUMBER(P_Start))*(P_Start&lt;=EOMONTH('Calc'!$K$3,0))*(((P_StatusN="ACTIVE")+((ISNUMBER(P_LWD))*(P_LWD&gt;=EOMONTH('Calc'!$K$3,0))))&gt;0)*((P_TypeN="PERM")))+SUMPRODUCT((ISNUMBER(L_Start))*(L_Start&lt;=EOMONTH('Calc'!$K$3,0))*(((L_StatusN="ACTIVE")+((ISNUMBER(L_LWD))*(L_LWD&gt;=EOMONTH('Calc'!$K$3,0))))&gt;0)*((L_TypeN="PERM")))-SUMPRODUCT((ISNUMBER(L_Start))*(L_Start&lt;=EOMONTH('Calc'!$K$3,0))*(((L_StatusN="ACTIVE")+((ISNUMBER(L_LWD))*(L_LWD&gt;=EOMONTH('Calc'!$K$3,0))))&gt;0)*((L_TypeN="PERM"))*(L_InP=1)))))</f>
        <v/>
      </c>
      <c r="E11" s="7">
        <f>IF('Calc'!$H$2+'Calc'!$I$2&gt;0,"Fix header mapping",IF('Calc'!$C$5="","-",IF('Calc'!$K$3="",SUMPRODUCT((P_StatusN="ACTIVE")*(ISNUMBER(P_Start))*(P_Start&lt;=TODAY())*((P_TypeN="PC")))+SUMPRODUCT((L_StatusN="ACTIVE")*(ISNUMBER(L_Start))*(L_Start&lt;=TODAY())*((L_TypeN="PC")))-SUMPRODUCT((L_StatusN="ACTIVE")*(ISNUMBER(L_Start))*(L_Start&lt;=TODAY())*((L_TypeN="PC"))*(L_InP=1)),SUMPRODUCT((ISNUMBER(P_Start))*(P_Start&lt;=EOMONTH('Calc'!$K$3,0))*(((P_StatusN="ACTIVE")+((ISNUMBER(P_LWD))*(P_LWD&gt;=EOMONTH('Calc'!$K$3,0))))&gt;0)*((P_TypeN="PC")))+SUMPRODUCT((ISNUMBER(L_Start))*(L_Start&lt;=EOMONTH('Calc'!$K$3,0))*(((L_StatusN="ACTIVE")+((ISNUMBER(L_LWD))*(L_LWD&gt;=EOMONTH('Calc'!$K$3,0))))&gt;0)*((L_TypeN="PC")))-SUMPRODUCT((ISNUMBER(L_Start))*(L_Start&lt;=EOMONTH('Calc'!$K$3,0))*(((L_StatusN="ACTIVE")+((ISNUMBER(L_LWD))*(L_LWD&gt;=EOMONTH('Calc'!$K$3,0))))&gt;0)*((L_TypeN="PC"))*(L_InP=1)))))</f>
        <v/>
      </c>
      <c r="H11" s="8">
        <f>IF('Calc'!$H$2+'Calc'!$I$2&gt;0,"Fix header mapping",IF('Calc'!$C$5="","-",IF('Calc'!$K$3="",SUMPRODUCT((P_StatusN="ACTIVE")*(ISNUMBER(P_Start))*(P_Start&lt;=TODAY())*((P_TypeN="MS")))+SUMPRODUCT((L_StatusN="ACTIVE")*(ISNUMBER(L_Start))*(L_Start&lt;=TODAY())*((L_TypeN="MS")))-SUMPRODUCT((L_StatusN="ACTIVE")*(ISNUMBER(L_Start))*(L_Start&lt;=TODAY())*((L_TypeN="MS"))*(L_InP=1)),SUMPRODUCT((ISNUMBER(P_Start))*(P_Start&lt;=EOMONTH('Calc'!$K$3,0))*(((P_StatusN="ACTIVE")+((ISNUMBER(P_LWD))*(P_LWD&gt;=EOMONTH('Calc'!$K$3,0))))&gt;0)*((P_TypeN="MS")))+SUMPRODUCT((ISNUMBER(L_Start))*(L_Start&lt;=EOMONTH('Calc'!$K$3,0))*(((L_StatusN="ACTIVE")+((ISNUMBER(L_LWD))*(L_LWD&gt;=EOMONTH('Calc'!$K$3,0))))&gt;0)*((L_TypeN="MS")))-SUMPRODUCT((ISNUMBER(L_Start))*(L_Start&lt;=EOMONTH('Calc'!$K$3,0))*(((L_StatusN="ACTIVE")+((ISNUMBER(L_LWD))*(L_LWD&gt;=EOMONTH('Calc'!$K$3,0))))&gt;0)*((L_TypeN="MS"))*(L_InP=1)))))</f>
        <v/>
      </c>
      <c r="K11" s="6">
        <f>IF('Calc'!$H$2+'Calc'!$I$2&gt;0,"Fix header mapping",IF('Calc'!$C$5="","-",IFERROR(INDEX('Monthly Detail'!$D$5:$D$52,MATCH(DATE(YEAR(MAX(P_LWD,L_LWD)),MONTH(MAX(P_LWD,L_LWD)),1),'Calc'!$C$5:$C$52,0)),"-")))</f>
        <v/>
      </c>
    </row>
    <row r="12" ht="8" customHeight="1"/>
    <row r="33">
      <c r="K33" s="9" t="inlineStr">
        <is>
          <t>Data Overview</t>
        </is>
      </c>
    </row>
    <row r="34" ht="16" customHeight="1">
      <c r="K34" s="2">
        <f>"Data_Profile rows: "&amp;TEXT(SUMPRODUCT(--(P_ID&lt;&gt;"")),"0")&amp;"    |    Data_Leavers rows: "&amp;TEXT(SUMPRODUCT(--(L_ID&lt;&gt;"")),"0")</f>
        <v/>
      </c>
    </row>
    <row r="35" ht="16" customHeight="1">
      <c r="K35" s="2">
        <f>"Profile rows with Last Work Day (leavers): "&amp;TEXT(SUMPRODUCT((P_ID&lt;&gt;"")*ISNUMBER(P_LWD)),"0")</f>
        <v/>
      </c>
    </row>
    <row r="36" ht="16" customHeight="1">
      <c r="K36" s="2">
        <f>"Leavers also present in Profile (auto-deduplicated): "&amp;TEXT(SUMPRODUCT(--(L_InP=1)),"0")</f>
        <v/>
      </c>
    </row>
    <row r="37" ht="16" customHeight="1">
      <c r="K37" s="2">
        <f>IFERROR("Date anomalies: Profile "&amp;TEXT(SUMPRODUCT((P_ID&lt;&gt;"")*(P_Start&lt;&gt;"")*(ISNUMBER(P_Start)=FALSE)),"0")&amp;" start / "&amp;TEXT(SUMPRODUCT((P_ID&lt;&gt;"")*(P_LWD&lt;&gt;"")*(ISNUMBER(P_LWD)=FALSE)),"0")&amp;" LWD    |    "&amp;"Leavers "&amp;TEXT(SUMPRODUCT((L_ID&lt;&gt;"")*(L_Start&lt;&gt;"")*(ISNUMBER(L_Start)=FALSE)),"0")&amp;" / "&amp;TEXT(SUMPRODUCT((L_ID&lt;&gt;"")*(L_LWD&lt;&gt;"")*(ISNUMBER(L_LWD)=FALSE)),"0")&amp;" LWD","Pending header mapping fix")</f>
        <v/>
      </c>
    </row>
    <row r="38" ht="16" customHeight="1">
      <c r="K38" s="2">
        <f>"Inactive rows without Last Work Day (cannot be placed in a month): "&amp;TEXT(SUMPRODUCT((P_StatusN="INACTIVE")*(P_LWD=""))+SUMPRODUCT((L_StatusN="INACTIVE")*(L_LWD="")),"0")</f>
        <v/>
      </c>
    </row>
    <row r="39" ht="16" customHeight="1">
      <c r="K39" s="2">
        <f>"Latest data month: "&amp;IF('Calc'!$C$5="","-",TEXT(EOMONTH(MAX(P_Start,P_LWD,L_Start,L_LWD),0),"yyyy-mm"))</f>
        <v/>
      </c>
    </row>
    <row r="40" ht="16" customHeight="1">
      <c r="K40" s="10" t="inlineStr">
        <is>
          <t>Rules: an employee counts as active through their Last Work Day; Data_Leavers rows without Last Work Day are excluded from headcount; Contract End Date is reserved. See the Guide sheet.</t>
        </is>
      </c>
    </row>
    <row r="41" ht="16" customHeight="1"/>
    <row r="52">
      <c r="B52" s="2" t="inlineStr">
        <is>
          <t>Paste data into Data_Profile / Data_Leavers and the dashboard recalculates automatically (Ctrl+Alt+F9 forces a full recalc). Calculation rules and header mapping: see the Guide sheet.</t>
        </is>
      </c>
    </row>
  </sheetData>
  <mergeCells count="27">
    <mergeCell ref="B7:C7"/>
    <mergeCell ref="K39:Q39"/>
    <mergeCell ref="H10:I10"/>
    <mergeCell ref="K38:Q38"/>
    <mergeCell ref="E8:F8"/>
    <mergeCell ref="K37:Q37"/>
    <mergeCell ref="K11:L11"/>
    <mergeCell ref="B11:C11"/>
    <mergeCell ref="E10:F10"/>
    <mergeCell ref="K34:Q34"/>
    <mergeCell ref="B8:C8"/>
    <mergeCell ref="K40:Q41"/>
    <mergeCell ref="B3:Q3"/>
    <mergeCell ref="H11:I11"/>
    <mergeCell ref="K36:Q36"/>
    <mergeCell ref="K8:L8"/>
    <mergeCell ref="H7:I7"/>
    <mergeCell ref="B10:C10"/>
    <mergeCell ref="E11:F11"/>
    <mergeCell ref="K35:Q35"/>
    <mergeCell ref="G5:Q5"/>
    <mergeCell ref="B52:Q52"/>
    <mergeCell ref="B2:Q2"/>
    <mergeCell ref="K7:L7"/>
    <mergeCell ref="E7:F7"/>
    <mergeCell ref="K10:L10"/>
    <mergeCell ref="H8:I8"/>
  </mergeCells>
  <dataValidations count="2">
    <dataValidation sqref="C5" showDropDown="0" showInputMessage="0" showErrorMessage="0" allowBlank="0" errorTitle="Invalid selection" error="Please choose: All / Perm / PC / MS" type="list">
      <formula1>"All,Perm,PC,MS"</formula1>
    </dataValidation>
    <dataValidation sqref="E5" showDropDown="0" showInputMessage="0" showErrorMessage="0" allowBlank="0" errorTitle="Invalid selection" error="Please choose a period: All, a year, or a month (yyyy-mm)" type="list">
      <formula1>PeriodList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496B0"/>
    <outlinePr summaryBelow="1" summaryRight="1"/>
    <pageSetUpPr fitToPage="1"/>
  </sheetPr>
  <dimension ref="B2:K5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0" customWidth="1" min="10" max="10"/>
    <col width="13" customWidth="1" min="11" max="11"/>
  </cols>
  <sheetData>
    <row r="1" ht="15" customHeight="1"/>
    <row r="2" ht="32" customHeight="1">
      <c r="B2" s="1" t="inlineStr">
        <is>
          <t>Monthly Turnover Detail  (linked to the Dashboard filter)</t>
        </is>
      </c>
    </row>
    <row r="3" ht="58" customHeight="1">
      <c r="B3" s="11" t="inlineStr">
        <is>
          <t>Rules: Headcount EOM = employed at month end (the Last Work Day itself counts as an active day); Leavers = Status Inactive with Last Work Day in that month; Joiners = start date in that month. C/D/H follow the Dashboard filter; Perm/PC/MS columns always show the full breakdown; 48 months from the earliest start date.</t>
        </is>
      </c>
    </row>
    <row r="4" ht="40" customHeight="1">
      <c r="B4" s="12" t="inlineStr">
        <is>
          <t>Month</t>
        </is>
      </c>
      <c r="C4" s="12" t="inlineStr">
        <is>
          <t>Headcount EOM
(filtered)</t>
        </is>
      </c>
      <c r="D4" s="12" t="inlineStr">
        <is>
          <t>Leavers
(filtered)</t>
        </is>
      </c>
      <c r="E4" s="12" t="inlineStr">
        <is>
          <t>Perm Leavers</t>
        </is>
      </c>
      <c r="F4" s="12" t="inlineStr">
        <is>
          <t>PC Leavers</t>
        </is>
      </c>
      <c r="G4" s="12" t="inlineStr">
        <is>
          <t>MS Leavers</t>
        </is>
      </c>
      <c r="H4" s="12" t="inlineStr">
        <is>
          <t>Joiners
(filtered)</t>
        </is>
      </c>
      <c r="J4" s="12" t="inlineStr">
        <is>
          <t>Type</t>
        </is>
      </c>
      <c r="K4" s="12" t="inlineStr">
        <is>
          <t>Current Headcount</t>
        </is>
      </c>
    </row>
    <row r="5" ht="22" customHeight="1">
      <c r="B5" s="13">
        <f>IF('Calc'!$H$2+'Calc'!$I$2&gt;0,"",IF('Calc'!$C5="","",TEXT('Calc'!$C5,"yyyy-mm")))</f>
        <v/>
      </c>
      <c r="C5" s="14">
        <f>IF('Calc'!$H$2+'Calc'!$I$2&gt;0,"",IF('Calc'!$C5="","",SUMPRODUCT((ISNUMBER(P_Start))*(P_Start&lt;=EOMONTH('Calc'!$C5,0))*(((P_StatusN="ACTIVE")+((ISNUMBER(P_LWD))*(P_LWD&gt;=EOMONTH('Calc'!$C5,0))))&gt;0)*((P_TypeN=UPPER(FiltCat))+(FiltCat="All")))+SUMPRODUCT((ISNUMBER(L_Start))*(L_Start&lt;=EOMONTH('Calc'!$C5,0))*(((L_StatusN="ACTIVE")+((ISNUMBER(L_LWD))*(L_LWD&gt;=EOMONTH('Calc'!$C5,0))))&gt;0)*((L_TypeN=UPPER(FiltCat))+(FiltCat="All")))-SUMPRODUCT((ISNUMBER(L_Start))*(L_Start&lt;=EOMONTH('Calc'!$C5,0))*(((L_StatusN="ACTIVE")+((ISNUMBER(L_LWD))*(L_LWD&gt;=EOMONTH('Calc'!$C5,0))))&gt;0)*((L_TypeN=UPPER(FiltCat))+(FiltCat="All"))*(L_InP=1))))</f>
        <v/>
      </c>
      <c r="D5" s="14">
        <f>IF('Calc'!$H$2+'Calc'!$I$2&gt;0,"",IF('Calc'!$C5="","",SUMPRODUCT((P_StatusN="INACTIVE")*(ISNUMBER(P_LWD))*(P_LWD&gt;='Calc'!$C5)*(P_LWD&lt;EDATE('Calc'!$C5,1))*((P_TypeN=UPPER(FiltCat))+(FiltCat="All")))+SUMPRODUCT((L_StatusN="INACTIVE")*(ISNUMBER(L_LWD))*(L_LWD&gt;='Calc'!$C5)*(L_LWD&lt;EDATE('Calc'!$C5,1))*((L_TypeN=UPPER(FiltCat))+(FiltCat="All")))-SUMPRODUCT((L_StatusN="INACTIVE")*(ISNUMBER(L_LWD))*(L_LWD&gt;='Calc'!$C5)*(L_LWD&lt;EDATE('Calc'!$C5,1))*((L_TypeN=UPPER(FiltCat))+(FiltCat="All"))*(L_InP=1)*(L_TwinIna=1))))</f>
        <v/>
      </c>
      <c r="E5" s="14">
        <f>IF('Calc'!$H$2+'Calc'!$I$2&gt;0,"",IF('Calc'!$C5="","",SUMPRODUCT((P_StatusN="INACTIVE")*(ISNUMBER(P_LWD))*(P_LWD&gt;='Calc'!$C5)*(P_LWD&lt;EDATE('Calc'!$C5,1))*((P_TypeN="PERM")))+SUMPRODUCT((L_StatusN="INACTIVE")*(ISNUMBER(L_LWD))*(L_LWD&gt;='Calc'!$C5)*(L_LWD&lt;EDATE('Calc'!$C5,1))*((L_TypeN="PERM")))-SUMPRODUCT((L_StatusN="INACTIVE")*(ISNUMBER(L_LWD))*(L_LWD&gt;='Calc'!$C5)*(L_LWD&lt;EDATE('Calc'!$C5,1))*((L_TypeN="PERM"))*(L_InP=1)*(L_TwinIna=1))))</f>
        <v/>
      </c>
      <c r="F5" s="14">
        <f>IF('Calc'!$H$2+'Calc'!$I$2&gt;0,"",IF('Calc'!$C5="","",SUMPRODUCT((P_StatusN="INACTIVE")*(ISNUMBER(P_LWD))*(P_LWD&gt;='Calc'!$C5)*(P_LWD&lt;EDATE('Calc'!$C5,1))*((P_TypeN="PC")))+SUMPRODUCT((L_StatusN="INACTIVE")*(ISNUMBER(L_LWD))*(L_LWD&gt;='Calc'!$C5)*(L_LWD&lt;EDATE('Calc'!$C5,1))*((L_TypeN="PC")))-SUMPRODUCT((L_StatusN="INACTIVE")*(ISNUMBER(L_LWD))*(L_LWD&gt;='Calc'!$C5)*(L_LWD&lt;EDATE('Calc'!$C5,1))*((L_TypeN="PC"))*(L_InP=1)*(L_TwinIna=1))))</f>
        <v/>
      </c>
      <c r="G5" s="14">
        <f>IF('Calc'!$H$2+'Calc'!$I$2&gt;0,"",IF('Calc'!$C5="","",SUMPRODUCT((P_StatusN="INACTIVE")*(ISNUMBER(P_LWD))*(P_LWD&gt;='Calc'!$C5)*(P_LWD&lt;EDATE('Calc'!$C5,1))*((P_TypeN="MS")))+SUMPRODUCT((L_StatusN="INACTIVE")*(ISNUMBER(L_LWD))*(L_LWD&gt;='Calc'!$C5)*(L_LWD&lt;EDATE('Calc'!$C5,1))*((L_TypeN="MS")))-SUMPRODUCT((L_StatusN="INACTIVE")*(ISNUMBER(L_LWD))*(L_LWD&gt;='Calc'!$C5)*(L_LWD&lt;EDATE('Calc'!$C5,1))*((L_TypeN="MS"))*(L_InP=1)*(L_TwinIna=1))))</f>
        <v/>
      </c>
      <c r="H5" s="14">
        <f>IF('Calc'!$H$2+'Calc'!$I$2&gt;0,"",IF('Calc'!$C5="","",SUMPRODUCT((ISNUMBER(P_Start))*(P_Start&gt;='Calc'!$C5)*(P_Start&lt;EDATE('Calc'!$C5,1))*((P_TypeN=UPPER(FiltCat))+(FiltCat="All")))+SUMPRODUCT((ISNUMBER(L_Start))*(L_Start&gt;='Calc'!$C5)*(L_Start&lt;EDATE('Calc'!$C5,1))*((L_TypeN=UPPER(FiltCat))+(FiltCat="All")))-SUMPRODUCT((ISNUMBER(L_Start))*(L_Start&gt;='Calc'!$C5)*(L_Start&lt;EDATE('Calc'!$C5,1))*((L_TypeN=UPPER(FiltCat))+(FiltCat="All"))*(L_InP=1))))</f>
        <v/>
      </c>
      <c r="J5" s="13" t="inlineStr">
        <is>
          <t>Perm</t>
        </is>
      </c>
      <c r="K5" s="14">
        <f>'Dashboard'!B$11</f>
        <v/>
      </c>
    </row>
    <row r="6" ht="22" customHeight="1">
      <c r="B6" s="15">
        <f>IF('Calc'!$H$2+'Calc'!$I$2&gt;0,"",IF('Calc'!$C6="","",TEXT('Calc'!$C6,"yyyy-mm")))</f>
        <v/>
      </c>
      <c r="C6" s="16">
        <f>IF('Calc'!$H$2+'Calc'!$I$2&gt;0,"",IF('Calc'!$C6="","",SUMPRODUCT((ISNUMBER(P_Start))*(P_Start&lt;=EOMONTH('Calc'!$C6,0))*(((P_StatusN="ACTIVE")+((ISNUMBER(P_LWD))*(P_LWD&gt;=EOMONTH('Calc'!$C6,0))))&gt;0)*((P_TypeN=UPPER(FiltCat))+(FiltCat="All")))+SUMPRODUCT((ISNUMBER(L_Start))*(L_Start&lt;=EOMONTH('Calc'!$C6,0))*(((L_StatusN="ACTIVE")+((ISNUMBER(L_LWD))*(L_LWD&gt;=EOMONTH('Calc'!$C6,0))))&gt;0)*((L_TypeN=UPPER(FiltCat))+(FiltCat="All")))-SUMPRODUCT((ISNUMBER(L_Start))*(L_Start&lt;=EOMONTH('Calc'!$C6,0))*(((L_StatusN="ACTIVE")+((ISNUMBER(L_LWD))*(L_LWD&gt;=EOMONTH('Calc'!$C6,0))))&gt;0)*((L_TypeN=UPPER(FiltCat))+(FiltCat="All"))*(L_InP=1))))</f>
        <v/>
      </c>
      <c r="D6" s="16">
        <f>IF('Calc'!$H$2+'Calc'!$I$2&gt;0,"",IF('Calc'!$C6="","",SUMPRODUCT((P_StatusN="INACTIVE")*(ISNUMBER(P_LWD))*(P_LWD&gt;='Calc'!$C6)*(P_LWD&lt;EDATE('Calc'!$C6,1))*((P_TypeN=UPPER(FiltCat))+(FiltCat="All")))+SUMPRODUCT((L_StatusN="INACTIVE")*(ISNUMBER(L_LWD))*(L_LWD&gt;='Calc'!$C6)*(L_LWD&lt;EDATE('Calc'!$C6,1))*((L_TypeN=UPPER(FiltCat))+(FiltCat="All")))-SUMPRODUCT((L_StatusN="INACTIVE")*(ISNUMBER(L_LWD))*(L_LWD&gt;='Calc'!$C6)*(L_LWD&lt;EDATE('Calc'!$C6,1))*((L_TypeN=UPPER(FiltCat))+(FiltCat="All"))*(L_InP=1)*(L_TwinIna=1))))</f>
        <v/>
      </c>
      <c r="E6" s="16">
        <f>IF('Calc'!$H$2+'Calc'!$I$2&gt;0,"",IF('Calc'!$C6="","",SUMPRODUCT((P_StatusN="INACTIVE")*(ISNUMBER(P_LWD))*(P_LWD&gt;='Calc'!$C6)*(P_LWD&lt;EDATE('Calc'!$C6,1))*((P_TypeN="PERM")))+SUMPRODUCT((L_StatusN="INACTIVE")*(ISNUMBER(L_LWD))*(L_LWD&gt;='Calc'!$C6)*(L_LWD&lt;EDATE('Calc'!$C6,1))*((L_TypeN="PERM")))-SUMPRODUCT((L_StatusN="INACTIVE")*(ISNUMBER(L_LWD))*(L_LWD&gt;='Calc'!$C6)*(L_LWD&lt;EDATE('Calc'!$C6,1))*((L_TypeN="PERM"))*(L_InP=1)*(L_TwinIna=1))))</f>
        <v/>
      </c>
      <c r="F6" s="16">
        <f>IF('Calc'!$H$2+'Calc'!$I$2&gt;0,"",IF('Calc'!$C6="","",SUMPRODUCT((P_StatusN="INACTIVE")*(ISNUMBER(P_LWD))*(P_LWD&gt;='Calc'!$C6)*(P_LWD&lt;EDATE('Calc'!$C6,1))*((P_TypeN="PC")))+SUMPRODUCT((L_StatusN="INACTIVE")*(ISNUMBER(L_LWD))*(L_LWD&gt;='Calc'!$C6)*(L_LWD&lt;EDATE('Calc'!$C6,1))*((L_TypeN="PC")))-SUMPRODUCT((L_StatusN="INACTIVE")*(ISNUMBER(L_LWD))*(L_LWD&gt;='Calc'!$C6)*(L_LWD&lt;EDATE('Calc'!$C6,1))*((L_TypeN="PC"))*(L_InP=1)*(L_TwinIna=1))))</f>
        <v/>
      </c>
      <c r="G6" s="16">
        <f>IF('Calc'!$H$2+'Calc'!$I$2&gt;0,"",IF('Calc'!$C6="","",SUMPRODUCT((P_StatusN="INACTIVE")*(ISNUMBER(P_LWD))*(P_LWD&gt;='Calc'!$C6)*(P_LWD&lt;EDATE('Calc'!$C6,1))*((P_TypeN="MS")))+SUMPRODUCT((L_StatusN="INACTIVE")*(ISNUMBER(L_LWD))*(L_LWD&gt;='Calc'!$C6)*(L_LWD&lt;EDATE('Calc'!$C6,1))*((L_TypeN="MS")))-SUMPRODUCT((L_StatusN="INACTIVE")*(ISNUMBER(L_LWD))*(L_LWD&gt;='Calc'!$C6)*(L_LWD&lt;EDATE('Calc'!$C6,1))*((L_TypeN="MS"))*(L_InP=1)*(L_TwinIna=1))))</f>
        <v/>
      </c>
      <c r="H6" s="16">
        <f>IF('Calc'!$H$2+'Calc'!$I$2&gt;0,"",IF('Calc'!$C6="","",SUMPRODUCT((ISNUMBER(P_Start))*(P_Start&gt;='Calc'!$C6)*(P_Start&lt;EDATE('Calc'!$C6,1))*((P_TypeN=UPPER(FiltCat))+(FiltCat="All")))+SUMPRODUCT((ISNUMBER(L_Start))*(L_Start&gt;='Calc'!$C6)*(L_Start&lt;EDATE('Calc'!$C6,1))*((L_TypeN=UPPER(FiltCat))+(FiltCat="All")))-SUMPRODUCT((ISNUMBER(L_Start))*(L_Start&gt;='Calc'!$C6)*(L_Start&lt;EDATE('Calc'!$C6,1))*((L_TypeN=UPPER(FiltCat))+(FiltCat="All"))*(L_InP=1))))</f>
        <v/>
      </c>
      <c r="J6" s="15" t="inlineStr">
        <is>
          <t>PC</t>
        </is>
      </c>
      <c r="K6" s="16">
        <f>'Dashboard'!E$11</f>
        <v/>
      </c>
    </row>
    <row r="7" ht="22" customHeight="1">
      <c r="B7" s="13">
        <f>IF('Calc'!$H$2+'Calc'!$I$2&gt;0,"",IF('Calc'!$C7="","",TEXT('Calc'!$C7,"yyyy-mm")))</f>
        <v/>
      </c>
      <c r="C7" s="14">
        <f>IF('Calc'!$H$2+'Calc'!$I$2&gt;0,"",IF('Calc'!$C7="","",SUMPRODUCT((ISNUMBER(P_Start))*(P_Start&lt;=EOMONTH('Calc'!$C7,0))*(((P_StatusN="ACTIVE")+((ISNUMBER(P_LWD))*(P_LWD&gt;=EOMONTH('Calc'!$C7,0))))&gt;0)*((P_TypeN=UPPER(FiltCat))+(FiltCat="All")))+SUMPRODUCT((ISNUMBER(L_Start))*(L_Start&lt;=EOMONTH('Calc'!$C7,0))*(((L_StatusN="ACTIVE")+((ISNUMBER(L_LWD))*(L_LWD&gt;=EOMONTH('Calc'!$C7,0))))&gt;0)*((L_TypeN=UPPER(FiltCat))+(FiltCat="All")))-SUMPRODUCT((ISNUMBER(L_Start))*(L_Start&lt;=EOMONTH('Calc'!$C7,0))*(((L_StatusN="ACTIVE")+((ISNUMBER(L_LWD))*(L_LWD&gt;=EOMONTH('Calc'!$C7,0))))&gt;0)*((L_TypeN=UPPER(FiltCat))+(FiltCat="All"))*(L_InP=1))))</f>
        <v/>
      </c>
      <c r="D7" s="14">
        <f>IF('Calc'!$H$2+'Calc'!$I$2&gt;0,"",IF('Calc'!$C7="","",SUMPRODUCT((P_StatusN="INACTIVE")*(ISNUMBER(P_LWD))*(P_LWD&gt;='Calc'!$C7)*(P_LWD&lt;EDATE('Calc'!$C7,1))*((P_TypeN=UPPER(FiltCat))+(FiltCat="All")))+SUMPRODUCT((L_StatusN="INACTIVE")*(ISNUMBER(L_LWD))*(L_LWD&gt;='Calc'!$C7)*(L_LWD&lt;EDATE('Calc'!$C7,1))*((L_TypeN=UPPER(FiltCat))+(FiltCat="All")))-SUMPRODUCT((L_StatusN="INACTIVE")*(ISNUMBER(L_LWD))*(L_LWD&gt;='Calc'!$C7)*(L_LWD&lt;EDATE('Calc'!$C7,1))*((L_TypeN=UPPER(FiltCat))+(FiltCat="All"))*(L_InP=1)*(L_TwinIna=1))))</f>
        <v/>
      </c>
      <c r="E7" s="14">
        <f>IF('Calc'!$H$2+'Calc'!$I$2&gt;0,"",IF('Calc'!$C7="","",SUMPRODUCT((P_StatusN="INACTIVE")*(ISNUMBER(P_LWD))*(P_LWD&gt;='Calc'!$C7)*(P_LWD&lt;EDATE('Calc'!$C7,1))*((P_TypeN="PERM")))+SUMPRODUCT((L_StatusN="INACTIVE")*(ISNUMBER(L_LWD))*(L_LWD&gt;='Calc'!$C7)*(L_LWD&lt;EDATE('Calc'!$C7,1))*((L_TypeN="PERM")))-SUMPRODUCT((L_StatusN="INACTIVE")*(ISNUMBER(L_LWD))*(L_LWD&gt;='Calc'!$C7)*(L_LWD&lt;EDATE('Calc'!$C7,1))*((L_TypeN="PERM"))*(L_InP=1)*(L_TwinIna=1))))</f>
        <v/>
      </c>
      <c r="F7" s="14">
        <f>IF('Calc'!$H$2+'Calc'!$I$2&gt;0,"",IF('Calc'!$C7="","",SUMPRODUCT((P_StatusN="INACTIVE")*(ISNUMBER(P_LWD))*(P_LWD&gt;='Calc'!$C7)*(P_LWD&lt;EDATE('Calc'!$C7,1))*((P_TypeN="PC")))+SUMPRODUCT((L_StatusN="INACTIVE")*(ISNUMBER(L_LWD))*(L_LWD&gt;='Calc'!$C7)*(L_LWD&lt;EDATE('Calc'!$C7,1))*((L_TypeN="PC")))-SUMPRODUCT((L_StatusN="INACTIVE")*(ISNUMBER(L_LWD))*(L_LWD&gt;='Calc'!$C7)*(L_LWD&lt;EDATE('Calc'!$C7,1))*((L_TypeN="PC"))*(L_InP=1)*(L_TwinIna=1))))</f>
        <v/>
      </c>
      <c r="G7" s="14">
        <f>IF('Calc'!$H$2+'Calc'!$I$2&gt;0,"",IF('Calc'!$C7="","",SUMPRODUCT((P_StatusN="INACTIVE")*(ISNUMBER(P_LWD))*(P_LWD&gt;='Calc'!$C7)*(P_LWD&lt;EDATE('Calc'!$C7,1))*((P_TypeN="MS")))+SUMPRODUCT((L_StatusN="INACTIVE")*(ISNUMBER(L_LWD))*(L_LWD&gt;='Calc'!$C7)*(L_LWD&lt;EDATE('Calc'!$C7,1))*((L_TypeN="MS")))-SUMPRODUCT((L_StatusN="INACTIVE")*(ISNUMBER(L_LWD))*(L_LWD&gt;='Calc'!$C7)*(L_LWD&lt;EDATE('Calc'!$C7,1))*((L_TypeN="MS"))*(L_InP=1)*(L_TwinIna=1))))</f>
        <v/>
      </c>
      <c r="H7" s="14">
        <f>IF('Calc'!$H$2+'Calc'!$I$2&gt;0,"",IF('Calc'!$C7="","",SUMPRODUCT((ISNUMBER(P_Start))*(P_Start&gt;='Calc'!$C7)*(P_Start&lt;EDATE('Calc'!$C7,1))*((P_TypeN=UPPER(FiltCat))+(FiltCat="All")))+SUMPRODUCT((ISNUMBER(L_Start))*(L_Start&gt;='Calc'!$C7)*(L_Start&lt;EDATE('Calc'!$C7,1))*((L_TypeN=UPPER(FiltCat))+(FiltCat="All")))-SUMPRODUCT((ISNUMBER(L_Start))*(L_Start&gt;='Calc'!$C7)*(L_Start&lt;EDATE('Calc'!$C7,1))*((L_TypeN=UPPER(FiltCat))+(FiltCat="All"))*(L_InP=1))))</f>
        <v/>
      </c>
      <c r="J7" s="13" t="inlineStr">
        <is>
          <t>MS</t>
        </is>
      </c>
      <c r="K7" s="14">
        <f>'Dashboard'!H$11</f>
        <v/>
      </c>
    </row>
    <row r="8" ht="26" customHeight="1">
      <c r="B8" s="15">
        <f>IF('Calc'!$H$2+'Calc'!$I$2&gt;0,"",IF('Calc'!$C8="","",TEXT('Calc'!$C8,"yyyy-mm")))</f>
        <v/>
      </c>
      <c r="C8" s="16">
        <f>IF('Calc'!$H$2+'Calc'!$I$2&gt;0,"",IF('Calc'!$C8="","",SUMPRODUCT((ISNUMBER(P_Start))*(P_Start&lt;=EOMONTH('Calc'!$C8,0))*(((P_StatusN="ACTIVE")+((ISNUMBER(P_LWD))*(P_LWD&gt;=EOMONTH('Calc'!$C8,0))))&gt;0)*((P_TypeN=UPPER(FiltCat))+(FiltCat="All")))+SUMPRODUCT((ISNUMBER(L_Start))*(L_Start&lt;=EOMONTH('Calc'!$C8,0))*(((L_StatusN="ACTIVE")+((ISNUMBER(L_LWD))*(L_LWD&gt;=EOMONTH('Calc'!$C8,0))))&gt;0)*((L_TypeN=UPPER(FiltCat))+(FiltCat="All")))-SUMPRODUCT((ISNUMBER(L_Start))*(L_Start&lt;=EOMONTH('Calc'!$C8,0))*(((L_StatusN="ACTIVE")+((ISNUMBER(L_LWD))*(L_LWD&gt;=EOMONTH('Calc'!$C8,0))))&gt;0)*((L_TypeN=UPPER(FiltCat))+(FiltCat="All"))*(L_InP=1))))</f>
        <v/>
      </c>
      <c r="D8" s="16">
        <f>IF('Calc'!$H$2+'Calc'!$I$2&gt;0,"",IF('Calc'!$C8="","",SUMPRODUCT((P_StatusN="INACTIVE")*(ISNUMBER(P_LWD))*(P_LWD&gt;='Calc'!$C8)*(P_LWD&lt;EDATE('Calc'!$C8,1))*((P_TypeN=UPPER(FiltCat))+(FiltCat="All")))+SUMPRODUCT((L_StatusN="INACTIVE")*(ISNUMBER(L_LWD))*(L_LWD&gt;='Calc'!$C8)*(L_LWD&lt;EDATE('Calc'!$C8,1))*((L_TypeN=UPPER(FiltCat))+(FiltCat="All")))-SUMPRODUCT((L_StatusN="INACTIVE")*(ISNUMBER(L_LWD))*(L_LWD&gt;='Calc'!$C8)*(L_LWD&lt;EDATE('Calc'!$C8,1))*((L_TypeN=UPPER(FiltCat))+(FiltCat="All"))*(L_InP=1)*(L_TwinIna=1))))</f>
        <v/>
      </c>
      <c r="E8" s="16">
        <f>IF('Calc'!$H$2+'Calc'!$I$2&gt;0,"",IF('Calc'!$C8="","",SUMPRODUCT((P_StatusN="INACTIVE")*(ISNUMBER(P_LWD))*(P_LWD&gt;='Calc'!$C8)*(P_LWD&lt;EDATE('Calc'!$C8,1))*((P_TypeN="PERM")))+SUMPRODUCT((L_StatusN="INACTIVE")*(ISNUMBER(L_LWD))*(L_LWD&gt;='Calc'!$C8)*(L_LWD&lt;EDATE('Calc'!$C8,1))*((L_TypeN="PERM")))-SUMPRODUCT((L_StatusN="INACTIVE")*(ISNUMBER(L_LWD))*(L_LWD&gt;='Calc'!$C8)*(L_LWD&lt;EDATE('Calc'!$C8,1))*((L_TypeN="PERM"))*(L_InP=1)*(L_TwinIna=1))))</f>
        <v/>
      </c>
      <c r="F8" s="16">
        <f>IF('Calc'!$H$2+'Calc'!$I$2&gt;0,"",IF('Calc'!$C8="","",SUMPRODUCT((P_StatusN="INACTIVE")*(ISNUMBER(P_LWD))*(P_LWD&gt;='Calc'!$C8)*(P_LWD&lt;EDATE('Calc'!$C8,1))*((P_TypeN="PC")))+SUMPRODUCT((L_StatusN="INACTIVE")*(ISNUMBER(L_LWD))*(L_LWD&gt;='Calc'!$C8)*(L_LWD&lt;EDATE('Calc'!$C8,1))*((L_TypeN="PC")))-SUMPRODUCT((L_StatusN="INACTIVE")*(ISNUMBER(L_LWD))*(L_LWD&gt;='Calc'!$C8)*(L_LWD&lt;EDATE('Calc'!$C8,1))*((L_TypeN="PC"))*(L_InP=1)*(L_TwinIna=1))))</f>
        <v/>
      </c>
      <c r="G8" s="16">
        <f>IF('Calc'!$H$2+'Calc'!$I$2&gt;0,"",IF('Calc'!$C8="","",SUMPRODUCT((P_StatusN="INACTIVE")*(ISNUMBER(P_LWD))*(P_LWD&gt;='Calc'!$C8)*(P_LWD&lt;EDATE('Calc'!$C8,1))*((P_TypeN="MS")))+SUMPRODUCT((L_StatusN="INACTIVE")*(ISNUMBER(L_LWD))*(L_LWD&gt;='Calc'!$C8)*(L_LWD&lt;EDATE('Calc'!$C8,1))*((L_TypeN="MS")))-SUMPRODUCT((L_StatusN="INACTIVE")*(ISNUMBER(L_LWD))*(L_LWD&gt;='Calc'!$C8)*(L_LWD&lt;EDATE('Calc'!$C8,1))*((L_TypeN="MS"))*(L_InP=1)*(L_TwinIna=1))))</f>
        <v/>
      </c>
      <c r="H8" s="16">
        <f>IF('Calc'!$H$2+'Calc'!$I$2&gt;0,"",IF('Calc'!$C8="","",SUMPRODUCT((ISNUMBER(P_Start))*(P_Start&gt;='Calc'!$C8)*(P_Start&lt;EDATE('Calc'!$C8,1))*((P_TypeN=UPPER(FiltCat))+(FiltCat="All")))+SUMPRODUCT((ISNUMBER(L_Start))*(L_Start&gt;='Calc'!$C8)*(L_Start&lt;EDATE('Calc'!$C8,1))*((L_TypeN=UPPER(FiltCat))+(FiltCat="All")))-SUMPRODUCT((ISNUMBER(L_Start))*(L_Start&gt;='Calc'!$C8)*(L_Start&lt;EDATE('Calc'!$C8,1))*((L_TypeN=UPPER(FiltCat))+(FiltCat="All"))*(L_InP=1))))</f>
        <v/>
      </c>
      <c r="J8" s="17" t="inlineStr">
        <is>
          <t>Total</t>
        </is>
      </c>
      <c r="K8" s="18">
        <f>SUM(K5:K7)</f>
        <v/>
      </c>
    </row>
    <row r="9" ht="22" customHeight="1">
      <c r="B9" s="13">
        <f>IF('Calc'!$H$2+'Calc'!$I$2&gt;0,"",IF('Calc'!$C9="","",TEXT('Calc'!$C9,"yyyy-mm")))</f>
        <v/>
      </c>
      <c r="C9" s="14">
        <f>IF('Calc'!$H$2+'Calc'!$I$2&gt;0,"",IF('Calc'!$C9="","",SUMPRODUCT((ISNUMBER(P_Start))*(P_Start&lt;=EOMONTH('Calc'!$C9,0))*(((P_StatusN="ACTIVE")+((ISNUMBER(P_LWD))*(P_LWD&gt;=EOMONTH('Calc'!$C9,0))))&gt;0)*((P_TypeN=UPPER(FiltCat))+(FiltCat="All")))+SUMPRODUCT((ISNUMBER(L_Start))*(L_Start&lt;=EOMONTH('Calc'!$C9,0))*(((L_StatusN="ACTIVE")+((ISNUMBER(L_LWD))*(L_LWD&gt;=EOMONTH('Calc'!$C9,0))))&gt;0)*((L_TypeN=UPPER(FiltCat))+(FiltCat="All")))-SUMPRODUCT((ISNUMBER(L_Start))*(L_Start&lt;=EOMONTH('Calc'!$C9,0))*(((L_StatusN="ACTIVE")+((ISNUMBER(L_LWD))*(L_LWD&gt;=EOMONTH('Calc'!$C9,0))))&gt;0)*((L_TypeN=UPPER(FiltCat))+(FiltCat="All"))*(L_InP=1))))</f>
        <v/>
      </c>
      <c r="D9" s="14">
        <f>IF('Calc'!$H$2+'Calc'!$I$2&gt;0,"",IF('Calc'!$C9="","",SUMPRODUCT((P_StatusN="INACTIVE")*(ISNUMBER(P_LWD))*(P_LWD&gt;='Calc'!$C9)*(P_LWD&lt;EDATE('Calc'!$C9,1))*((P_TypeN=UPPER(FiltCat))+(FiltCat="All")))+SUMPRODUCT((L_StatusN="INACTIVE")*(ISNUMBER(L_LWD))*(L_LWD&gt;='Calc'!$C9)*(L_LWD&lt;EDATE('Calc'!$C9,1))*((L_TypeN=UPPER(FiltCat))+(FiltCat="All")))-SUMPRODUCT((L_StatusN="INACTIVE")*(ISNUMBER(L_LWD))*(L_LWD&gt;='Calc'!$C9)*(L_LWD&lt;EDATE('Calc'!$C9,1))*((L_TypeN=UPPER(FiltCat))+(FiltCat="All"))*(L_InP=1)*(L_TwinIna=1))))</f>
        <v/>
      </c>
      <c r="E9" s="14">
        <f>IF('Calc'!$H$2+'Calc'!$I$2&gt;0,"",IF('Calc'!$C9="","",SUMPRODUCT((P_StatusN="INACTIVE")*(ISNUMBER(P_LWD))*(P_LWD&gt;='Calc'!$C9)*(P_LWD&lt;EDATE('Calc'!$C9,1))*((P_TypeN="PERM")))+SUMPRODUCT((L_StatusN="INACTIVE")*(ISNUMBER(L_LWD))*(L_LWD&gt;='Calc'!$C9)*(L_LWD&lt;EDATE('Calc'!$C9,1))*((L_TypeN="PERM")))-SUMPRODUCT((L_StatusN="INACTIVE")*(ISNUMBER(L_LWD))*(L_LWD&gt;='Calc'!$C9)*(L_LWD&lt;EDATE('Calc'!$C9,1))*((L_TypeN="PERM"))*(L_InP=1)*(L_TwinIna=1))))</f>
        <v/>
      </c>
      <c r="F9" s="14">
        <f>IF('Calc'!$H$2+'Calc'!$I$2&gt;0,"",IF('Calc'!$C9="","",SUMPRODUCT((P_StatusN="INACTIVE")*(ISNUMBER(P_LWD))*(P_LWD&gt;='Calc'!$C9)*(P_LWD&lt;EDATE('Calc'!$C9,1))*((P_TypeN="PC")))+SUMPRODUCT((L_StatusN="INACTIVE")*(ISNUMBER(L_LWD))*(L_LWD&gt;='Calc'!$C9)*(L_LWD&lt;EDATE('Calc'!$C9,1))*((L_TypeN="PC")))-SUMPRODUCT((L_StatusN="INACTIVE")*(ISNUMBER(L_LWD))*(L_LWD&gt;='Calc'!$C9)*(L_LWD&lt;EDATE('Calc'!$C9,1))*((L_TypeN="PC"))*(L_InP=1)*(L_TwinIna=1))))</f>
        <v/>
      </c>
      <c r="G9" s="14">
        <f>IF('Calc'!$H$2+'Calc'!$I$2&gt;0,"",IF('Calc'!$C9="","",SUMPRODUCT((P_StatusN="INACTIVE")*(ISNUMBER(P_LWD))*(P_LWD&gt;='Calc'!$C9)*(P_LWD&lt;EDATE('Calc'!$C9,1))*((P_TypeN="MS")))+SUMPRODUCT((L_StatusN="INACTIVE")*(ISNUMBER(L_LWD))*(L_LWD&gt;='Calc'!$C9)*(L_LWD&lt;EDATE('Calc'!$C9,1))*((L_TypeN="MS")))-SUMPRODUCT((L_StatusN="INACTIVE")*(ISNUMBER(L_LWD))*(L_LWD&gt;='Calc'!$C9)*(L_LWD&lt;EDATE('Calc'!$C9,1))*((L_TypeN="MS"))*(L_InP=1)*(L_TwinIna=1))))</f>
        <v/>
      </c>
      <c r="H9" s="14">
        <f>IF('Calc'!$H$2+'Calc'!$I$2&gt;0,"",IF('Calc'!$C9="","",SUMPRODUCT((ISNUMBER(P_Start))*(P_Start&gt;='Calc'!$C9)*(P_Start&lt;EDATE('Calc'!$C9,1))*((P_TypeN=UPPER(FiltCat))+(FiltCat="All")))+SUMPRODUCT((ISNUMBER(L_Start))*(L_Start&gt;='Calc'!$C9)*(L_Start&lt;EDATE('Calc'!$C9,1))*((L_TypeN=UPPER(FiltCat))+(FiltCat="All")))-SUMPRODUCT((ISNUMBER(L_Start))*(L_Start&gt;='Calc'!$C9)*(L_Start&lt;EDATE('Calc'!$C9,1))*((L_TypeN=UPPER(FiltCat))+(FiltCat="All"))*(L_InP=1))))</f>
        <v/>
      </c>
    </row>
    <row r="10" ht="22" customHeight="1">
      <c r="B10" s="15">
        <f>IF('Calc'!$H$2+'Calc'!$I$2&gt;0,"",IF('Calc'!$C10="","",TEXT('Calc'!$C10,"yyyy-mm")))</f>
        <v/>
      </c>
      <c r="C10" s="16">
        <f>IF('Calc'!$H$2+'Calc'!$I$2&gt;0,"",IF('Calc'!$C10="","",SUMPRODUCT((ISNUMBER(P_Start))*(P_Start&lt;=EOMONTH('Calc'!$C10,0))*(((P_StatusN="ACTIVE")+((ISNUMBER(P_LWD))*(P_LWD&gt;=EOMONTH('Calc'!$C10,0))))&gt;0)*((P_TypeN=UPPER(FiltCat))+(FiltCat="All")))+SUMPRODUCT((ISNUMBER(L_Start))*(L_Start&lt;=EOMONTH('Calc'!$C10,0))*(((L_StatusN="ACTIVE")+((ISNUMBER(L_LWD))*(L_LWD&gt;=EOMONTH('Calc'!$C10,0))))&gt;0)*((L_TypeN=UPPER(FiltCat))+(FiltCat="All")))-SUMPRODUCT((ISNUMBER(L_Start))*(L_Start&lt;=EOMONTH('Calc'!$C10,0))*(((L_StatusN="ACTIVE")+((ISNUMBER(L_LWD))*(L_LWD&gt;=EOMONTH('Calc'!$C10,0))))&gt;0)*((L_TypeN=UPPER(FiltCat))+(FiltCat="All"))*(L_InP=1))))</f>
        <v/>
      </c>
      <c r="D10" s="16">
        <f>IF('Calc'!$H$2+'Calc'!$I$2&gt;0,"",IF('Calc'!$C10="","",SUMPRODUCT((P_StatusN="INACTIVE")*(ISNUMBER(P_LWD))*(P_LWD&gt;='Calc'!$C10)*(P_LWD&lt;EDATE('Calc'!$C10,1))*((P_TypeN=UPPER(FiltCat))+(FiltCat="All")))+SUMPRODUCT((L_StatusN="INACTIVE")*(ISNUMBER(L_LWD))*(L_LWD&gt;='Calc'!$C10)*(L_LWD&lt;EDATE('Calc'!$C10,1))*((L_TypeN=UPPER(FiltCat))+(FiltCat="All")))-SUMPRODUCT((L_StatusN="INACTIVE")*(ISNUMBER(L_LWD))*(L_LWD&gt;='Calc'!$C10)*(L_LWD&lt;EDATE('Calc'!$C10,1))*((L_TypeN=UPPER(FiltCat))+(FiltCat="All"))*(L_InP=1)*(L_TwinIna=1))))</f>
        <v/>
      </c>
      <c r="E10" s="16">
        <f>IF('Calc'!$H$2+'Calc'!$I$2&gt;0,"",IF('Calc'!$C10="","",SUMPRODUCT((P_StatusN="INACTIVE")*(ISNUMBER(P_LWD))*(P_LWD&gt;='Calc'!$C10)*(P_LWD&lt;EDATE('Calc'!$C10,1))*((P_TypeN="PERM")))+SUMPRODUCT((L_StatusN="INACTIVE")*(ISNUMBER(L_LWD))*(L_LWD&gt;='Calc'!$C10)*(L_LWD&lt;EDATE('Calc'!$C10,1))*((L_TypeN="PERM")))-SUMPRODUCT((L_StatusN="INACTIVE")*(ISNUMBER(L_LWD))*(L_LWD&gt;='Calc'!$C10)*(L_LWD&lt;EDATE('Calc'!$C10,1))*((L_TypeN="PERM"))*(L_InP=1)*(L_TwinIna=1))))</f>
        <v/>
      </c>
      <c r="F10" s="16">
        <f>IF('Calc'!$H$2+'Calc'!$I$2&gt;0,"",IF('Calc'!$C10="","",SUMPRODUCT((P_StatusN="INACTIVE")*(ISNUMBER(P_LWD))*(P_LWD&gt;='Calc'!$C10)*(P_LWD&lt;EDATE('Calc'!$C10,1))*((P_TypeN="PC")))+SUMPRODUCT((L_StatusN="INACTIVE")*(ISNUMBER(L_LWD))*(L_LWD&gt;='Calc'!$C10)*(L_LWD&lt;EDATE('Calc'!$C10,1))*((L_TypeN="PC")))-SUMPRODUCT((L_StatusN="INACTIVE")*(ISNUMBER(L_LWD))*(L_LWD&gt;='Calc'!$C10)*(L_LWD&lt;EDATE('Calc'!$C10,1))*((L_TypeN="PC"))*(L_InP=1)*(L_TwinIna=1))))</f>
        <v/>
      </c>
      <c r="G10" s="16">
        <f>IF('Calc'!$H$2+'Calc'!$I$2&gt;0,"",IF('Calc'!$C10="","",SUMPRODUCT((P_StatusN="INACTIVE")*(ISNUMBER(P_LWD))*(P_LWD&gt;='Calc'!$C10)*(P_LWD&lt;EDATE('Calc'!$C10,1))*((P_TypeN="MS")))+SUMPRODUCT((L_StatusN="INACTIVE")*(ISNUMBER(L_LWD))*(L_LWD&gt;='Calc'!$C10)*(L_LWD&lt;EDATE('Calc'!$C10,1))*((L_TypeN="MS")))-SUMPRODUCT((L_StatusN="INACTIVE")*(ISNUMBER(L_LWD))*(L_LWD&gt;='Calc'!$C10)*(L_LWD&lt;EDATE('Calc'!$C10,1))*((L_TypeN="MS"))*(L_InP=1)*(L_TwinIna=1))))</f>
        <v/>
      </c>
      <c r="H10" s="16">
        <f>IF('Calc'!$H$2+'Calc'!$I$2&gt;0,"",IF('Calc'!$C10="","",SUMPRODUCT((ISNUMBER(P_Start))*(P_Start&gt;='Calc'!$C10)*(P_Start&lt;EDATE('Calc'!$C10,1))*((P_TypeN=UPPER(FiltCat))+(FiltCat="All")))+SUMPRODUCT((ISNUMBER(L_Start))*(L_Start&gt;='Calc'!$C10)*(L_Start&lt;EDATE('Calc'!$C10,1))*((L_TypeN=UPPER(FiltCat))+(FiltCat="All")))-SUMPRODUCT((ISNUMBER(L_Start))*(L_Start&gt;='Calc'!$C10)*(L_Start&lt;EDATE('Calc'!$C10,1))*((L_TypeN=UPPER(FiltCat))+(FiltCat="All"))*(L_InP=1))))</f>
        <v/>
      </c>
      <c r="J10" s="11" t="inlineStr">
        <is>
          <t>Referenced by the pie chart - do not delete</t>
        </is>
      </c>
    </row>
    <row r="11" ht="22" customHeight="1">
      <c r="B11" s="13">
        <f>IF('Calc'!$H$2+'Calc'!$I$2&gt;0,"",IF('Calc'!$C11="","",TEXT('Calc'!$C11,"yyyy-mm")))</f>
        <v/>
      </c>
      <c r="C11" s="14">
        <f>IF('Calc'!$H$2+'Calc'!$I$2&gt;0,"",IF('Calc'!$C11="","",SUMPRODUCT((ISNUMBER(P_Start))*(P_Start&lt;=EOMONTH('Calc'!$C11,0))*(((P_StatusN="ACTIVE")+((ISNUMBER(P_LWD))*(P_LWD&gt;=EOMONTH('Calc'!$C11,0))))&gt;0)*((P_TypeN=UPPER(FiltCat))+(FiltCat="All")))+SUMPRODUCT((ISNUMBER(L_Start))*(L_Start&lt;=EOMONTH('Calc'!$C11,0))*(((L_StatusN="ACTIVE")+((ISNUMBER(L_LWD))*(L_LWD&gt;=EOMONTH('Calc'!$C11,0))))&gt;0)*((L_TypeN=UPPER(FiltCat))+(FiltCat="All")))-SUMPRODUCT((ISNUMBER(L_Start))*(L_Start&lt;=EOMONTH('Calc'!$C11,0))*(((L_StatusN="ACTIVE")+((ISNUMBER(L_LWD))*(L_LWD&gt;=EOMONTH('Calc'!$C11,0))))&gt;0)*((L_TypeN=UPPER(FiltCat))+(FiltCat="All"))*(L_InP=1))))</f>
        <v/>
      </c>
      <c r="D11" s="14">
        <f>IF('Calc'!$H$2+'Calc'!$I$2&gt;0,"",IF('Calc'!$C11="","",SUMPRODUCT((P_StatusN="INACTIVE")*(ISNUMBER(P_LWD))*(P_LWD&gt;='Calc'!$C11)*(P_LWD&lt;EDATE('Calc'!$C11,1))*((P_TypeN=UPPER(FiltCat))+(FiltCat="All")))+SUMPRODUCT((L_StatusN="INACTIVE")*(ISNUMBER(L_LWD))*(L_LWD&gt;='Calc'!$C11)*(L_LWD&lt;EDATE('Calc'!$C11,1))*((L_TypeN=UPPER(FiltCat))+(FiltCat="All")))-SUMPRODUCT((L_StatusN="INACTIVE")*(ISNUMBER(L_LWD))*(L_LWD&gt;='Calc'!$C11)*(L_LWD&lt;EDATE('Calc'!$C11,1))*((L_TypeN=UPPER(FiltCat))+(FiltCat="All"))*(L_InP=1)*(L_TwinIna=1))))</f>
        <v/>
      </c>
      <c r="E11" s="14">
        <f>IF('Calc'!$H$2+'Calc'!$I$2&gt;0,"",IF('Calc'!$C11="","",SUMPRODUCT((P_StatusN="INACTIVE")*(ISNUMBER(P_LWD))*(P_LWD&gt;='Calc'!$C11)*(P_LWD&lt;EDATE('Calc'!$C11,1))*((P_TypeN="PERM")))+SUMPRODUCT((L_StatusN="INACTIVE")*(ISNUMBER(L_LWD))*(L_LWD&gt;='Calc'!$C11)*(L_LWD&lt;EDATE('Calc'!$C11,1))*((L_TypeN="PERM")))-SUMPRODUCT((L_StatusN="INACTIVE")*(ISNUMBER(L_LWD))*(L_LWD&gt;='Calc'!$C11)*(L_LWD&lt;EDATE('Calc'!$C11,1))*((L_TypeN="PERM"))*(L_InP=1)*(L_TwinIna=1))))</f>
        <v/>
      </c>
      <c r="F11" s="14">
        <f>IF('Calc'!$H$2+'Calc'!$I$2&gt;0,"",IF('Calc'!$C11="","",SUMPRODUCT((P_StatusN="INACTIVE")*(ISNUMBER(P_LWD))*(P_LWD&gt;='Calc'!$C11)*(P_LWD&lt;EDATE('Calc'!$C11,1))*((P_TypeN="PC")))+SUMPRODUCT((L_StatusN="INACTIVE")*(ISNUMBER(L_LWD))*(L_LWD&gt;='Calc'!$C11)*(L_LWD&lt;EDATE('Calc'!$C11,1))*((L_TypeN="PC")))-SUMPRODUCT((L_StatusN="INACTIVE")*(ISNUMBER(L_LWD))*(L_LWD&gt;='Calc'!$C11)*(L_LWD&lt;EDATE('Calc'!$C11,1))*((L_TypeN="PC"))*(L_InP=1)*(L_TwinIna=1))))</f>
        <v/>
      </c>
      <c r="G11" s="14">
        <f>IF('Calc'!$H$2+'Calc'!$I$2&gt;0,"",IF('Calc'!$C11="","",SUMPRODUCT((P_StatusN="INACTIVE")*(ISNUMBER(P_LWD))*(P_LWD&gt;='Calc'!$C11)*(P_LWD&lt;EDATE('Calc'!$C11,1))*((P_TypeN="MS")))+SUMPRODUCT((L_StatusN="INACTIVE")*(ISNUMBER(L_LWD))*(L_LWD&gt;='Calc'!$C11)*(L_LWD&lt;EDATE('Calc'!$C11,1))*((L_TypeN="MS")))-SUMPRODUCT((L_StatusN="INACTIVE")*(ISNUMBER(L_LWD))*(L_LWD&gt;='Calc'!$C11)*(L_LWD&lt;EDATE('Calc'!$C11,1))*((L_TypeN="MS"))*(L_InP=1)*(L_TwinIna=1))))</f>
        <v/>
      </c>
      <c r="H11" s="14">
        <f>IF('Calc'!$H$2+'Calc'!$I$2&gt;0,"",IF('Calc'!$C11="","",SUMPRODUCT((ISNUMBER(P_Start))*(P_Start&gt;='Calc'!$C11)*(P_Start&lt;EDATE('Calc'!$C11,1))*((P_TypeN=UPPER(FiltCat))+(FiltCat="All")))+SUMPRODUCT((ISNUMBER(L_Start))*(L_Start&gt;='Calc'!$C11)*(L_Start&lt;EDATE('Calc'!$C11,1))*((L_TypeN=UPPER(FiltCat))+(FiltCat="All")))-SUMPRODUCT((ISNUMBER(L_Start))*(L_Start&gt;='Calc'!$C11)*(L_Start&lt;EDATE('Calc'!$C11,1))*((L_TypeN=UPPER(FiltCat))+(FiltCat="All"))*(L_InP=1))))</f>
        <v/>
      </c>
    </row>
    <row r="12" ht="22" customHeight="1">
      <c r="B12" s="15">
        <f>IF('Calc'!$H$2+'Calc'!$I$2&gt;0,"",IF('Calc'!$C12="","",TEXT('Calc'!$C12,"yyyy-mm")))</f>
        <v/>
      </c>
      <c r="C12" s="16">
        <f>IF('Calc'!$H$2+'Calc'!$I$2&gt;0,"",IF('Calc'!$C12="","",SUMPRODUCT((ISNUMBER(P_Start))*(P_Start&lt;=EOMONTH('Calc'!$C12,0))*(((P_StatusN="ACTIVE")+((ISNUMBER(P_LWD))*(P_LWD&gt;=EOMONTH('Calc'!$C12,0))))&gt;0)*((P_TypeN=UPPER(FiltCat))+(FiltCat="All")))+SUMPRODUCT((ISNUMBER(L_Start))*(L_Start&lt;=EOMONTH('Calc'!$C12,0))*(((L_StatusN="ACTIVE")+((ISNUMBER(L_LWD))*(L_LWD&gt;=EOMONTH('Calc'!$C12,0))))&gt;0)*((L_TypeN=UPPER(FiltCat))+(FiltCat="All")))-SUMPRODUCT((ISNUMBER(L_Start))*(L_Start&lt;=EOMONTH('Calc'!$C12,0))*(((L_StatusN="ACTIVE")+((ISNUMBER(L_LWD))*(L_LWD&gt;=EOMONTH('Calc'!$C12,0))))&gt;0)*((L_TypeN=UPPER(FiltCat))+(FiltCat="All"))*(L_InP=1))))</f>
        <v/>
      </c>
      <c r="D12" s="16">
        <f>IF('Calc'!$H$2+'Calc'!$I$2&gt;0,"",IF('Calc'!$C12="","",SUMPRODUCT((P_StatusN="INACTIVE")*(ISNUMBER(P_LWD))*(P_LWD&gt;='Calc'!$C12)*(P_LWD&lt;EDATE('Calc'!$C12,1))*((P_TypeN=UPPER(FiltCat))+(FiltCat="All")))+SUMPRODUCT((L_StatusN="INACTIVE")*(ISNUMBER(L_LWD))*(L_LWD&gt;='Calc'!$C12)*(L_LWD&lt;EDATE('Calc'!$C12,1))*((L_TypeN=UPPER(FiltCat))+(FiltCat="All")))-SUMPRODUCT((L_StatusN="INACTIVE")*(ISNUMBER(L_LWD))*(L_LWD&gt;='Calc'!$C12)*(L_LWD&lt;EDATE('Calc'!$C12,1))*((L_TypeN=UPPER(FiltCat))+(FiltCat="All"))*(L_InP=1)*(L_TwinIna=1))))</f>
        <v/>
      </c>
      <c r="E12" s="16">
        <f>IF('Calc'!$H$2+'Calc'!$I$2&gt;0,"",IF('Calc'!$C12="","",SUMPRODUCT((P_StatusN="INACTIVE")*(ISNUMBER(P_LWD))*(P_LWD&gt;='Calc'!$C12)*(P_LWD&lt;EDATE('Calc'!$C12,1))*((P_TypeN="PERM")))+SUMPRODUCT((L_StatusN="INACTIVE")*(ISNUMBER(L_LWD))*(L_LWD&gt;='Calc'!$C12)*(L_LWD&lt;EDATE('Calc'!$C12,1))*((L_TypeN="PERM")))-SUMPRODUCT((L_StatusN="INACTIVE")*(ISNUMBER(L_LWD))*(L_LWD&gt;='Calc'!$C12)*(L_LWD&lt;EDATE('Calc'!$C12,1))*((L_TypeN="PERM"))*(L_InP=1)*(L_TwinIna=1))))</f>
        <v/>
      </c>
      <c r="F12" s="16">
        <f>IF('Calc'!$H$2+'Calc'!$I$2&gt;0,"",IF('Calc'!$C12="","",SUMPRODUCT((P_StatusN="INACTIVE")*(ISNUMBER(P_LWD))*(P_LWD&gt;='Calc'!$C12)*(P_LWD&lt;EDATE('Calc'!$C12,1))*((P_TypeN="PC")))+SUMPRODUCT((L_StatusN="INACTIVE")*(ISNUMBER(L_LWD))*(L_LWD&gt;='Calc'!$C12)*(L_LWD&lt;EDATE('Calc'!$C12,1))*((L_TypeN="PC")))-SUMPRODUCT((L_StatusN="INACTIVE")*(ISNUMBER(L_LWD))*(L_LWD&gt;='Calc'!$C12)*(L_LWD&lt;EDATE('Calc'!$C12,1))*((L_TypeN="PC"))*(L_InP=1)*(L_TwinIna=1))))</f>
        <v/>
      </c>
      <c r="G12" s="16">
        <f>IF('Calc'!$H$2+'Calc'!$I$2&gt;0,"",IF('Calc'!$C12="","",SUMPRODUCT((P_StatusN="INACTIVE")*(ISNUMBER(P_LWD))*(P_LWD&gt;='Calc'!$C12)*(P_LWD&lt;EDATE('Calc'!$C12,1))*((P_TypeN="MS")))+SUMPRODUCT((L_StatusN="INACTIVE")*(ISNUMBER(L_LWD))*(L_LWD&gt;='Calc'!$C12)*(L_LWD&lt;EDATE('Calc'!$C12,1))*((L_TypeN="MS")))-SUMPRODUCT((L_StatusN="INACTIVE")*(ISNUMBER(L_LWD))*(L_LWD&gt;='Calc'!$C12)*(L_LWD&lt;EDATE('Calc'!$C12,1))*((L_TypeN="MS"))*(L_InP=1)*(L_TwinIna=1))))</f>
        <v/>
      </c>
      <c r="H12" s="16">
        <f>IF('Calc'!$H$2+'Calc'!$I$2&gt;0,"",IF('Calc'!$C12="","",SUMPRODUCT((ISNUMBER(P_Start))*(P_Start&gt;='Calc'!$C12)*(P_Start&lt;EDATE('Calc'!$C12,1))*((P_TypeN=UPPER(FiltCat))+(FiltCat="All")))+SUMPRODUCT((ISNUMBER(L_Start))*(L_Start&gt;='Calc'!$C12)*(L_Start&lt;EDATE('Calc'!$C12,1))*((L_TypeN=UPPER(FiltCat))+(FiltCat="All")))-SUMPRODUCT((ISNUMBER(L_Start))*(L_Start&gt;='Calc'!$C12)*(L_Start&lt;EDATE('Calc'!$C12,1))*((L_TypeN=UPPER(FiltCat))+(FiltCat="All"))*(L_InP=1))))</f>
        <v/>
      </c>
    </row>
    <row r="13" ht="22" customHeight="1">
      <c r="B13" s="13">
        <f>IF('Calc'!$H$2+'Calc'!$I$2&gt;0,"",IF('Calc'!$C13="","",TEXT('Calc'!$C13,"yyyy-mm")))</f>
        <v/>
      </c>
      <c r="C13" s="14">
        <f>IF('Calc'!$H$2+'Calc'!$I$2&gt;0,"",IF('Calc'!$C13="","",SUMPRODUCT((ISNUMBER(P_Start))*(P_Start&lt;=EOMONTH('Calc'!$C13,0))*(((P_StatusN="ACTIVE")+((ISNUMBER(P_LWD))*(P_LWD&gt;=EOMONTH('Calc'!$C13,0))))&gt;0)*((P_TypeN=UPPER(FiltCat))+(FiltCat="All")))+SUMPRODUCT((ISNUMBER(L_Start))*(L_Start&lt;=EOMONTH('Calc'!$C13,0))*(((L_StatusN="ACTIVE")+((ISNUMBER(L_LWD))*(L_LWD&gt;=EOMONTH('Calc'!$C13,0))))&gt;0)*((L_TypeN=UPPER(FiltCat))+(FiltCat="All")))-SUMPRODUCT((ISNUMBER(L_Start))*(L_Start&lt;=EOMONTH('Calc'!$C13,0))*(((L_StatusN="ACTIVE")+((ISNUMBER(L_LWD))*(L_LWD&gt;=EOMONTH('Calc'!$C13,0))))&gt;0)*((L_TypeN=UPPER(FiltCat))+(FiltCat="All"))*(L_InP=1))))</f>
        <v/>
      </c>
      <c r="D13" s="14">
        <f>IF('Calc'!$H$2+'Calc'!$I$2&gt;0,"",IF('Calc'!$C13="","",SUMPRODUCT((P_StatusN="INACTIVE")*(ISNUMBER(P_LWD))*(P_LWD&gt;='Calc'!$C13)*(P_LWD&lt;EDATE('Calc'!$C13,1))*((P_TypeN=UPPER(FiltCat))+(FiltCat="All")))+SUMPRODUCT((L_StatusN="INACTIVE")*(ISNUMBER(L_LWD))*(L_LWD&gt;='Calc'!$C13)*(L_LWD&lt;EDATE('Calc'!$C13,1))*((L_TypeN=UPPER(FiltCat))+(FiltCat="All")))-SUMPRODUCT((L_StatusN="INACTIVE")*(ISNUMBER(L_LWD))*(L_LWD&gt;='Calc'!$C13)*(L_LWD&lt;EDATE('Calc'!$C13,1))*((L_TypeN=UPPER(FiltCat))+(FiltCat="All"))*(L_InP=1)*(L_TwinIna=1))))</f>
        <v/>
      </c>
      <c r="E13" s="14">
        <f>IF('Calc'!$H$2+'Calc'!$I$2&gt;0,"",IF('Calc'!$C13="","",SUMPRODUCT((P_StatusN="INACTIVE")*(ISNUMBER(P_LWD))*(P_LWD&gt;='Calc'!$C13)*(P_LWD&lt;EDATE('Calc'!$C13,1))*((P_TypeN="PERM")))+SUMPRODUCT((L_StatusN="INACTIVE")*(ISNUMBER(L_LWD))*(L_LWD&gt;='Calc'!$C13)*(L_LWD&lt;EDATE('Calc'!$C13,1))*((L_TypeN="PERM")))-SUMPRODUCT((L_StatusN="INACTIVE")*(ISNUMBER(L_LWD))*(L_LWD&gt;='Calc'!$C13)*(L_LWD&lt;EDATE('Calc'!$C13,1))*((L_TypeN="PERM"))*(L_InP=1)*(L_TwinIna=1))))</f>
        <v/>
      </c>
      <c r="F13" s="14">
        <f>IF('Calc'!$H$2+'Calc'!$I$2&gt;0,"",IF('Calc'!$C13="","",SUMPRODUCT((P_StatusN="INACTIVE")*(ISNUMBER(P_LWD))*(P_LWD&gt;='Calc'!$C13)*(P_LWD&lt;EDATE('Calc'!$C13,1))*((P_TypeN="PC")))+SUMPRODUCT((L_StatusN="INACTIVE")*(ISNUMBER(L_LWD))*(L_LWD&gt;='Calc'!$C13)*(L_LWD&lt;EDATE('Calc'!$C13,1))*((L_TypeN="PC")))-SUMPRODUCT((L_StatusN="INACTIVE")*(ISNUMBER(L_LWD))*(L_LWD&gt;='Calc'!$C13)*(L_LWD&lt;EDATE('Calc'!$C13,1))*((L_TypeN="PC"))*(L_InP=1)*(L_TwinIna=1))))</f>
        <v/>
      </c>
      <c r="G13" s="14">
        <f>IF('Calc'!$H$2+'Calc'!$I$2&gt;0,"",IF('Calc'!$C13="","",SUMPRODUCT((P_StatusN="INACTIVE")*(ISNUMBER(P_LWD))*(P_LWD&gt;='Calc'!$C13)*(P_LWD&lt;EDATE('Calc'!$C13,1))*((P_TypeN="MS")))+SUMPRODUCT((L_StatusN="INACTIVE")*(ISNUMBER(L_LWD))*(L_LWD&gt;='Calc'!$C13)*(L_LWD&lt;EDATE('Calc'!$C13,1))*((L_TypeN="MS")))-SUMPRODUCT((L_StatusN="INACTIVE")*(ISNUMBER(L_LWD))*(L_LWD&gt;='Calc'!$C13)*(L_LWD&lt;EDATE('Calc'!$C13,1))*((L_TypeN="MS"))*(L_InP=1)*(L_TwinIna=1))))</f>
        <v/>
      </c>
      <c r="H13" s="14">
        <f>IF('Calc'!$H$2+'Calc'!$I$2&gt;0,"",IF('Calc'!$C13="","",SUMPRODUCT((ISNUMBER(P_Start))*(P_Start&gt;='Calc'!$C13)*(P_Start&lt;EDATE('Calc'!$C13,1))*((P_TypeN=UPPER(FiltCat))+(FiltCat="All")))+SUMPRODUCT((ISNUMBER(L_Start))*(L_Start&gt;='Calc'!$C13)*(L_Start&lt;EDATE('Calc'!$C13,1))*((L_TypeN=UPPER(FiltCat))+(FiltCat="All")))-SUMPRODUCT((ISNUMBER(L_Start))*(L_Start&gt;='Calc'!$C13)*(L_Start&lt;EDATE('Calc'!$C13,1))*((L_TypeN=UPPER(FiltCat))+(FiltCat="All"))*(L_InP=1))))</f>
        <v/>
      </c>
    </row>
    <row r="14" ht="22" customHeight="1">
      <c r="B14" s="15">
        <f>IF('Calc'!$H$2+'Calc'!$I$2&gt;0,"",IF('Calc'!$C14="","",TEXT('Calc'!$C14,"yyyy-mm")))</f>
        <v/>
      </c>
      <c r="C14" s="16">
        <f>IF('Calc'!$H$2+'Calc'!$I$2&gt;0,"",IF('Calc'!$C14="","",SUMPRODUCT((ISNUMBER(P_Start))*(P_Start&lt;=EOMONTH('Calc'!$C14,0))*(((P_StatusN="ACTIVE")+((ISNUMBER(P_LWD))*(P_LWD&gt;=EOMONTH('Calc'!$C14,0))))&gt;0)*((P_TypeN=UPPER(FiltCat))+(FiltCat="All")))+SUMPRODUCT((ISNUMBER(L_Start))*(L_Start&lt;=EOMONTH('Calc'!$C14,0))*(((L_StatusN="ACTIVE")+((ISNUMBER(L_LWD))*(L_LWD&gt;=EOMONTH('Calc'!$C14,0))))&gt;0)*((L_TypeN=UPPER(FiltCat))+(FiltCat="All")))-SUMPRODUCT((ISNUMBER(L_Start))*(L_Start&lt;=EOMONTH('Calc'!$C14,0))*(((L_StatusN="ACTIVE")+((ISNUMBER(L_LWD))*(L_LWD&gt;=EOMONTH('Calc'!$C14,0))))&gt;0)*((L_TypeN=UPPER(FiltCat))+(FiltCat="All"))*(L_InP=1))))</f>
        <v/>
      </c>
      <c r="D14" s="16">
        <f>IF('Calc'!$H$2+'Calc'!$I$2&gt;0,"",IF('Calc'!$C14="","",SUMPRODUCT((P_StatusN="INACTIVE")*(ISNUMBER(P_LWD))*(P_LWD&gt;='Calc'!$C14)*(P_LWD&lt;EDATE('Calc'!$C14,1))*((P_TypeN=UPPER(FiltCat))+(FiltCat="All")))+SUMPRODUCT((L_StatusN="INACTIVE")*(ISNUMBER(L_LWD))*(L_LWD&gt;='Calc'!$C14)*(L_LWD&lt;EDATE('Calc'!$C14,1))*((L_TypeN=UPPER(FiltCat))+(FiltCat="All")))-SUMPRODUCT((L_StatusN="INACTIVE")*(ISNUMBER(L_LWD))*(L_LWD&gt;='Calc'!$C14)*(L_LWD&lt;EDATE('Calc'!$C14,1))*((L_TypeN=UPPER(FiltCat))+(FiltCat="All"))*(L_InP=1)*(L_TwinIna=1))))</f>
        <v/>
      </c>
      <c r="E14" s="16">
        <f>IF('Calc'!$H$2+'Calc'!$I$2&gt;0,"",IF('Calc'!$C14="","",SUMPRODUCT((P_StatusN="INACTIVE")*(ISNUMBER(P_LWD))*(P_LWD&gt;='Calc'!$C14)*(P_LWD&lt;EDATE('Calc'!$C14,1))*((P_TypeN="PERM")))+SUMPRODUCT((L_StatusN="INACTIVE")*(ISNUMBER(L_LWD))*(L_LWD&gt;='Calc'!$C14)*(L_LWD&lt;EDATE('Calc'!$C14,1))*((L_TypeN="PERM")))-SUMPRODUCT((L_StatusN="INACTIVE")*(ISNUMBER(L_LWD))*(L_LWD&gt;='Calc'!$C14)*(L_LWD&lt;EDATE('Calc'!$C14,1))*((L_TypeN="PERM"))*(L_InP=1)*(L_TwinIna=1))))</f>
        <v/>
      </c>
      <c r="F14" s="16">
        <f>IF('Calc'!$H$2+'Calc'!$I$2&gt;0,"",IF('Calc'!$C14="","",SUMPRODUCT((P_StatusN="INACTIVE")*(ISNUMBER(P_LWD))*(P_LWD&gt;='Calc'!$C14)*(P_LWD&lt;EDATE('Calc'!$C14,1))*((P_TypeN="PC")))+SUMPRODUCT((L_StatusN="INACTIVE")*(ISNUMBER(L_LWD))*(L_LWD&gt;='Calc'!$C14)*(L_LWD&lt;EDATE('Calc'!$C14,1))*((L_TypeN="PC")))-SUMPRODUCT((L_StatusN="INACTIVE")*(ISNUMBER(L_LWD))*(L_LWD&gt;='Calc'!$C14)*(L_LWD&lt;EDATE('Calc'!$C14,1))*((L_TypeN="PC"))*(L_InP=1)*(L_TwinIna=1))))</f>
        <v/>
      </c>
      <c r="G14" s="16">
        <f>IF('Calc'!$H$2+'Calc'!$I$2&gt;0,"",IF('Calc'!$C14="","",SUMPRODUCT((P_StatusN="INACTIVE")*(ISNUMBER(P_LWD))*(P_LWD&gt;='Calc'!$C14)*(P_LWD&lt;EDATE('Calc'!$C14,1))*((P_TypeN="MS")))+SUMPRODUCT((L_StatusN="INACTIVE")*(ISNUMBER(L_LWD))*(L_LWD&gt;='Calc'!$C14)*(L_LWD&lt;EDATE('Calc'!$C14,1))*((L_TypeN="MS")))-SUMPRODUCT((L_StatusN="INACTIVE")*(ISNUMBER(L_LWD))*(L_LWD&gt;='Calc'!$C14)*(L_LWD&lt;EDATE('Calc'!$C14,1))*((L_TypeN="MS"))*(L_InP=1)*(L_TwinIna=1))))</f>
        <v/>
      </c>
      <c r="H14" s="16">
        <f>IF('Calc'!$H$2+'Calc'!$I$2&gt;0,"",IF('Calc'!$C14="","",SUMPRODUCT((ISNUMBER(P_Start))*(P_Start&gt;='Calc'!$C14)*(P_Start&lt;EDATE('Calc'!$C14,1))*((P_TypeN=UPPER(FiltCat))+(FiltCat="All")))+SUMPRODUCT((ISNUMBER(L_Start))*(L_Start&gt;='Calc'!$C14)*(L_Start&lt;EDATE('Calc'!$C14,1))*((L_TypeN=UPPER(FiltCat))+(FiltCat="All")))-SUMPRODUCT((ISNUMBER(L_Start))*(L_Start&gt;='Calc'!$C14)*(L_Start&lt;EDATE('Calc'!$C14,1))*((L_TypeN=UPPER(FiltCat))+(FiltCat="All"))*(L_InP=1))))</f>
        <v/>
      </c>
    </row>
    <row r="15" ht="22" customHeight="1">
      <c r="B15" s="13">
        <f>IF('Calc'!$H$2+'Calc'!$I$2&gt;0,"",IF('Calc'!$C15="","",TEXT('Calc'!$C15,"yyyy-mm")))</f>
        <v/>
      </c>
      <c r="C15" s="14">
        <f>IF('Calc'!$H$2+'Calc'!$I$2&gt;0,"",IF('Calc'!$C15="","",SUMPRODUCT((ISNUMBER(P_Start))*(P_Start&lt;=EOMONTH('Calc'!$C15,0))*(((P_StatusN="ACTIVE")+((ISNUMBER(P_LWD))*(P_LWD&gt;=EOMONTH('Calc'!$C15,0))))&gt;0)*((P_TypeN=UPPER(FiltCat))+(FiltCat="All")))+SUMPRODUCT((ISNUMBER(L_Start))*(L_Start&lt;=EOMONTH('Calc'!$C15,0))*(((L_StatusN="ACTIVE")+((ISNUMBER(L_LWD))*(L_LWD&gt;=EOMONTH('Calc'!$C15,0))))&gt;0)*((L_TypeN=UPPER(FiltCat))+(FiltCat="All")))-SUMPRODUCT((ISNUMBER(L_Start))*(L_Start&lt;=EOMONTH('Calc'!$C15,0))*(((L_StatusN="ACTIVE")+((ISNUMBER(L_LWD))*(L_LWD&gt;=EOMONTH('Calc'!$C15,0))))&gt;0)*((L_TypeN=UPPER(FiltCat))+(FiltCat="All"))*(L_InP=1))))</f>
        <v/>
      </c>
      <c r="D15" s="14">
        <f>IF('Calc'!$H$2+'Calc'!$I$2&gt;0,"",IF('Calc'!$C15="","",SUMPRODUCT((P_StatusN="INACTIVE")*(ISNUMBER(P_LWD))*(P_LWD&gt;='Calc'!$C15)*(P_LWD&lt;EDATE('Calc'!$C15,1))*((P_TypeN=UPPER(FiltCat))+(FiltCat="All")))+SUMPRODUCT((L_StatusN="INACTIVE")*(ISNUMBER(L_LWD))*(L_LWD&gt;='Calc'!$C15)*(L_LWD&lt;EDATE('Calc'!$C15,1))*((L_TypeN=UPPER(FiltCat))+(FiltCat="All")))-SUMPRODUCT((L_StatusN="INACTIVE")*(ISNUMBER(L_LWD))*(L_LWD&gt;='Calc'!$C15)*(L_LWD&lt;EDATE('Calc'!$C15,1))*((L_TypeN=UPPER(FiltCat))+(FiltCat="All"))*(L_InP=1)*(L_TwinIna=1))))</f>
        <v/>
      </c>
      <c r="E15" s="14">
        <f>IF('Calc'!$H$2+'Calc'!$I$2&gt;0,"",IF('Calc'!$C15="","",SUMPRODUCT((P_StatusN="INACTIVE")*(ISNUMBER(P_LWD))*(P_LWD&gt;='Calc'!$C15)*(P_LWD&lt;EDATE('Calc'!$C15,1))*((P_TypeN="PERM")))+SUMPRODUCT((L_StatusN="INACTIVE")*(ISNUMBER(L_LWD))*(L_LWD&gt;='Calc'!$C15)*(L_LWD&lt;EDATE('Calc'!$C15,1))*((L_TypeN="PERM")))-SUMPRODUCT((L_StatusN="INACTIVE")*(ISNUMBER(L_LWD))*(L_LWD&gt;='Calc'!$C15)*(L_LWD&lt;EDATE('Calc'!$C15,1))*((L_TypeN="PERM"))*(L_InP=1)*(L_TwinIna=1))))</f>
        <v/>
      </c>
      <c r="F15" s="14">
        <f>IF('Calc'!$H$2+'Calc'!$I$2&gt;0,"",IF('Calc'!$C15="","",SUMPRODUCT((P_StatusN="INACTIVE")*(ISNUMBER(P_LWD))*(P_LWD&gt;='Calc'!$C15)*(P_LWD&lt;EDATE('Calc'!$C15,1))*((P_TypeN="PC")))+SUMPRODUCT((L_StatusN="INACTIVE")*(ISNUMBER(L_LWD))*(L_LWD&gt;='Calc'!$C15)*(L_LWD&lt;EDATE('Calc'!$C15,1))*((L_TypeN="PC")))-SUMPRODUCT((L_StatusN="INACTIVE")*(ISNUMBER(L_LWD))*(L_LWD&gt;='Calc'!$C15)*(L_LWD&lt;EDATE('Calc'!$C15,1))*((L_TypeN="PC"))*(L_InP=1)*(L_TwinIna=1))))</f>
        <v/>
      </c>
      <c r="G15" s="14">
        <f>IF('Calc'!$H$2+'Calc'!$I$2&gt;0,"",IF('Calc'!$C15="","",SUMPRODUCT((P_StatusN="INACTIVE")*(ISNUMBER(P_LWD))*(P_LWD&gt;='Calc'!$C15)*(P_LWD&lt;EDATE('Calc'!$C15,1))*((P_TypeN="MS")))+SUMPRODUCT((L_StatusN="INACTIVE")*(ISNUMBER(L_LWD))*(L_LWD&gt;='Calc'!$C15)*(L_LWD&lt;EDATE('Calc'!$C15,1))*((L_TypeN="MS")))-SUMPRODUCT((L_StatusN="INACTIVE")*(ISNUMBER(L_LWD))*(L_LWD&gt;='Calc'!$C15)*(L_LWD&lt;EDATE('Calc'!$C15,1))*((L_TypeN="MS"))*(L_InP=1)*(L_TwinIna=1))))</f>
        <v/>
      </c>
      <c r="H15" s="14">
        <f>IF('Calc'!$H$2+'Calc'!$I$2&gt;0,"",IF('Calc'!$C15="","",SUMPRODUCT((ISNUMBER(P_Start))*(P_Start&gt;='Calc'!$C15)*(P_Start&lt;EDATE('Calc'!$C15,1))*((P_TypeN=UPPER(FiltCat))+(FiltCat="All")))+SUMPRODUCT((ISNUMBER(L_Start))*(L_Start&gt;='Calc'!$C15)*(L_Start&lt;EDATE('Calc'!$C15,1))*((L_TypeN=UPPER(FiltCat))+(FiltCat="All")))-SUMPRODUCT((ISNUMBER(L_Start))*(L_Start&gt;='Calc'!$C15)*(L_Start&lt;EDATE('Calc'!$C15,1))*((L_TypeN=UPPER(FiltCat))+(FiltCat="All"))*(L_InP=1))))</f>
        <v/>
      </c>
    </row>
    <row r="16" ht="22" customHeight="1">
      <c r="B16" s="15">
        <f>IF('Calc'!$H$2+'Calc'!$I$2&gt;0,"",IF('Calc'!$C16="","",TEXT('Calc'!$C16,"yyyy-mm")))</f>
        <v/>
      </c>
      <c r="C16" s="16">
        <f>IF('Calc'!$H$2+'Calc'!$I$2&gt;0,"",IF('Calc'!$C16="","",SUMPRODUCT((ISNUMBER(P_Start))*(P_Start&lt;=EOMONTH('Calc'!$C16,0))*(((P_StatusN="ACTIVE")+((ISNUMBER(P_LWD))*(P_LWD&gt;=EOMONTH('Calc'!$C16,0))))&gt;0)*((P_TypeN=UPPER(FiltCat))+(FiltCat="All")))+SUMPRODUCT((ISNUMBER(L_Start))*(L_Start&lt;=EOMONTH('Calc'!$C16,0))*(((L_StatusN="ACTIVE")+((ISNUMBER(L_LWD))*(L_LWD&gt;=EOMONTH('Calc'!$C16,0))))&gt;0)*((L_TypeN=UPPER(FiltCat))+(FiltCat="All")))-SUMPRODUCT((ISNUMBER(L_Start))*(L_Start&lt;=EOMONTH('Calc'!$C16,0))*(((L_StatusN="ACTIVE")+((ISNUMBER(L_LWD))*(L_LWD&gt;=EOMONTH('Calc'!$C16,0))))&gt;0)*((L_TypeN=UPPER(FiltCat))+(FiltCat="All"))*(L_InP=1))))</f>
        <v/>
      </c>
      <c r="D16" s="16">
        <f>IF('Calc'!$H$2+'Calc'!$I$2&gt;0,"",IF('Calc'!$C16="","",SUMPRODUCT((P_StatusN="INACTIVE")*(ISNUMBER(P_LWD))*(P_LWD&gt;='Calc'!$C16)*(P_LWD&lt;EDATE('Calc'!$C16,1))*((P_TypeN=UPPER(FiltCat))+(FiltCat="All")))+SUMPRODUCT((L_StatusN="INACTIVE")*(ISNUMBER(L_LWD))*(L_LWD&gt;='Calc'!$C16)*(L_LWD&lt;EDATE('Calc'!$C16,1))*((L_TypeN=UPPER(FiltCat))+(FiltCat="All")))-SUMPRODUCT((L_StatusN="INACTIVE")*(ISNUMBER(L_LWD))*(L_LWD&gt;='Calc'!$C16)*(L_LWD&lt;EDATE('Calc'!$C16,1))*((L_TypeN=UPPER(FiltCat))+(FiltCat="All"))*(L_InP=1)*(L_TwinIna=1))))</f>
        <v/>
      </c>
      <c r="E16" s="16">
        <f>IF('Calc'!$H$2+'Calc'!$I$2&gt;0,"",IF('Calc'!$C16="","",SUMPRODUCT((P_StatusN="INACTIVE")*(ISNUMBER(P_LWD))*(P_LWD&gt;='Calc'!$C16)*(P_LWD&lt;EDATE('Calc'!$C16,1))*((P_TypeN="PERM")))+SUMPRODUCT((L_StatusN="INACTIVE")*(ISNUMBER(L_LWD))*(L_LWD&gt;='Calc'!$C16)*(L_LWD&lt;EDATE('Calc'!$C16,1))*((L_TypeN="PERM")))-SUMPRODUCT((L_StatusN="INACTIVE")*(ISNUMBER(L_LWD))*(L_LWD&gt;='Calc'!$C16)*(L_LWD&lt;EDATE('Calc'!$C16,1))*((L_TypeN="PERM"))*(L_InP=1)*(L_TwinIna=1))))</f>
        <v/>
      </c>
      <c r="F16" s="16">
        <f>IF('Calc'!$H$2+'Calc'!$I$2&gt;0,"",IF('Calc'!$C16="","",SUMPRODUCT((P_StatusN="INACTIVE")*(ISNUMBER(P_LWD))*(P_LWD&gt;='Calc'!$C16)*(P_LWD&lt;EDATE('Calc'!$C16,1))*((P_TypeN="PC")))+SUMPRODUCT((L_StatusN="INACTIVE")*(ISNUMBER(L_LWD))*(L_LWD&gt;='Calc'!$C16)*(L_LWD&lt;EDATE('Calc'!$C16,1))*((L_TypeN="PC")))-SUMPRODUCT((L_StatusN="INACTIVE")*(ISNUMBER(L_LWD))*(L_LWD&gt;='Calc'!$C16)*(L_LWD&lt;EDATE('Calc'!$C16,1))*((L_TypeN="PC"))*(L_InP=1)*(L_TwinIna=1))))</f>
        <v/>
      </c>
      <c r="G16" s="16">
        <f>IF('Calc'!$H$2+'Calc'!$I$2&gt;0,"",IF('Calc'!$C16="","",SUMPRODUCT((P_StatusN="INACTIVE")*(ISNUMBER(P_LWD))*(P_LWD&gt;='Calc'!$C16)*(P_LWD&lt;EDATE('Calc'!$C16,1))*((P_TypeN="MS")))+SUMPRODUCT((L_StatusN="INACTIVE")*(ISNUMBER(L_LWD))*(L_LWD&gt;='Calc'!$C16)*(L_LWD&lt;EDATE('Calc'!$C16,1))*((L_TypeN="MS")))-SUMPRODUCT((L_StatusN="INACTIVE")*(ISNUMBER(L_LWD))*(L_LWD&gt;='Calc'!$C16)*(L_LWD&lt;EDATE('Calc'!$C16,1))*((L_TypeN="MS"))*(L_InP=1)*(L_TwinIna=1))))</f>
        <v/>
      </c>
      <c r="H16" s="16">
        <f>IF('Calc'!$H$2+'Calc'!$I$2&gt;0,"",IF('Calc'!$C16="","",SUMPRODUCT((ISNUMBER(P_Start))*(P_Start&gt;='Calc'!$C16)*(P_Start&lt;EDATE('Calc'!$C16,1))*((P_TypeN=UPPER(FiltCat))+(FiltCat="All")))+SUMPRODUCT((ISNUMBER(L_Start))*(L_Start&gt;='Calc'!$C16)*(L_Start&lt;EDATE('Calc'!$C16,1))*((L_TypeN=UPPER(FiltCat))+(FiltCat="All")))-SUMPRODUCT((ISNUMBER(L_Start))*(L_Start&gt;='Calc'!$C16)*(L_Start&lt;EDATE('Calc'!$C16,1))*((L_TypeN=UPPER(FiltCat))+(FiltCat="All"))*(L_InP=1))))</f>
        <v/>
      </c>
    </row>
    <row r="17" ht="22" customHeight="1">
      <c r="B17" s="13">
        <f>IF('Calc'!$H$2+'Calc'!$I$2&gt;0,"",IF('Calc'!$C17="","",TEXT('Calc'!$C17,"yyyy-mm")))</f>
        <v/>
      </c>
      <c r="C17" s="14">
        <f>IF('Calc'!$H$2+'Calc'!$I$2&gt;0,"",IF('Calc'!$C17="","",SUMPRODUCT((ISNUMBER(P_Start))*(P_Start&lt;=EOMONTH('Calc'!$C17,0))*(((P_StatusN="ACTIVE")+((ISNUMBER(P_LWD))*(P_LWD&gt;=EOMONTH('Calc'!$C17,0))))&gt;0)*((P_TypeN=UPPER(FiltCat))+(FiltCat="All")))+SUMPRODUCT((ISNUMBER(L_Start))*(L_Start&lt;=EOMONTH('Calc'!$C17,0))*(((L_StatusN="ACTIVE")+((ISNUMBER(L_LWD))*(L_LWD&gt;=EOMONTH('Calc'!$C17,0))))&gt;0)*((L_TypeN=UPPER(FiltCat))+(FiltCat="All")))-SUMPRODUCT((ISNUMBER(L_Start))*(L_Start&lt;=EOMONTH('Calc'!$C17,0))*(((L_StatusN="ACTIVE")+((ISNUMBER(L_LWD))*(L_LWD&gt;=EOMONTH('Calc'!$C17,0))))&gt;0)*((L_TypeN=UPPER(FiltCat))+(FiltCat="All"))*(L_InP=1))))</f>
        <v/>
      </c>
      <c r="D17" s="14">
        <f>IF('Calc'!$H$2+'Calc'!$I$2&gt;0,"",IF('Calc'!$C17="","",SUMPRODUCT((P_StatusN="INACTIVE")*(ISNUMBER(P_LWD))*(P_LWD&gt;='Calc'!$C17)*(P_LWD&lt;EDATE('Calc'!$C17,1))*((P_TypeN=UPPER(FiltCat))+(FiltCat="All")))+SUMPRODUCT((L_StatusN="INACTIVE")*(ISNUMBER(L_LWD))*(L_LWD&gt;='Calc'!$C17)*(L_LWD&lt;EDATE('Calc'!$C17,1))*((L_TypeN=UPPER(FiltCat))+(FiltCat="All")))-SUMPRODUCT((L_StatusN="INACTIVE")*(ISNUMBER(L_LWD))*(L_LWD&gt;='Calc'!$C17)*(L_LWD&lt;EDATE('Calc'!$C17,1))*((L_TypeN=UPPER(FiltCat))+(FiltCat="All"))*(L_InP=1)*(L_TwinIna=1))))</f>
        <v/>
      </c>
      <c r="E17" s="14">
        <f>IF('Calc'!$H$2+'Calc'!$I$2&gt;0,"",IF('Calc'!$C17="","",SUMPRODUCT((P_StatusN="INACTIVE")*(ISNUMBER(P_LWD))*(P_LWD&gt;='Calc'!$C17)*(P_LWD&lt;EDATE('Calc'!$C17,1))*((P_TypeN="PERM")))+SUMPRODUCT((L_StatusN="INACTIVE")*(ISNUMBER(L_LWD))*(L_LWD&gt;='Calc'!$C17)*(L_LWD&lt;EDATE('Calc'!$C17,1))*((L_TypeN="PERM")))-SUMPRODUCT((L_StatusN="INACTIVE")*(ISNUMBER(L_LWD))*(L_LWD&gt;='Calc'!$C17)*(L_LWD&lt;EDATE('Calc'!$C17,1))*((L_TypeN="PERM"))*(L_InP=1)*(L_TwinIna=1))))</f>
        <v/>
      </c>
      <c r="F17" s="14">
        <f>IF('Calc'!$H$2+'Calc'!$I$2&gt;0,"",IF('Calc'!$C17="","",SUMPRODUCT((P_StatusN="INACTIVE")*(ISNUMBER(P_LWD))*(P_LWD&gt;='Calc'!$C17)*(P_LWD&lt;EDATE('Calc'!$C17,1))*((P_TypeN="PC")))+SUMPRODUCT((L_StatusN="INACTIVE")*(ISNUMBER(L_LWD))*(L_LWD&gt;='Calc'!$C17)*(L_LWD&lt;EDATE('Calc'!$C17,1))*((L_TypeN="PC")))-SUMPRODUCT((L_StatusN="INACTIVE")*(ISNUMBER(L_LWD))*(L_LWD&gt;='Calc'!$C17)*(L_LWD&lt;EDATE('Calc'!$C17,1))*((L_TypeN="PC"))*(L_InP=1)*(L_TwinIna=1))))</f>
        <v/>
      </c>
      <c r="G17" s="14">
        <f>IF('Calc'!$H$2+'Calc'!$I$2&gt;0,"",IF('Calc'!$C17="","",SUMPRODUCT((P_StatusN="INACTIVE")*(ISNUMBER(P_LWD))*(P_LWD&gt;='Calc'!$C17)*(P_LWD&lt;EDATE('Calc'!$C17,1))*((P_TypeN="MS")))+SUMPRODUCT((L_StatusN="INACTIVE")*(ISNUMBER(L_LWD))*(L_LWD&gt;='Calc'!$C17)*(L_LWD&lt;EDATE('Calc'!$C17,1))*((L_TypeN="MS")))-SUMPRODUCT((L_StatusN="INACTIVE")*(ISNUMBER(L_LWD))*(L_LWD&gt;='Calc'!$C17)*(L_LWD&lt;EDATE('Calc'!$C17,1))*((L_TypeN="MS"))*(L_InP=1)*(L_TwinIna=1))))</f>
        <v/>
      </c>
      <c r="H17" s="14">
        <f>IF('Calc'!$H$2+'Calc'!$I$2&gt;0,"",IF('Calc'!$C17="","",SUMPRODUCT((ISNUMBER(P_Start))*(P_Start&gt;='Calc'!$C17)*(P_Start&lt;EDATE('Calc'!$C17,1))*((P_TypeN=UPPER(FiltCat))+(FiltCat="All")))+SUMPRODUCT((ISNUMBER(L_Start))*(L_Start&gt;='Calc'!$C17)*(L_Start&lt;EDATE('Calc'!$C17,1))*((L_TypeN=UPPER(FiltCat))+(FiltCat="All")))-SUMPRODUCT((ISNUMBER(L_Start))*(L_Start&gt;='Calc'!$C17)*(L_Start&lt;EDATE('Calc'!$C17,1))*((L_TypeN=UPPER(FiltCat))+(FiltCat="All"))*(L_InP=1))))</f>
        <v/>
      </c>
    </row>
    <row r="18" ht="22" customHeight="1">
      <c r="B18" s="15">
        <f>IF('Calc'!$H$2+'Calc'!$I$2&gt;0,"",IF('Calc'!$C18="","",TEXT('Calc'!$C18,"yyyy-mm")))</f>
        <v/>
      </c>
      <c r="C18" s="16">
        <f>IF('Calc'!$H$2+'Calc'!$I$2&gt;0,"",IF('Calc'!$C18="","",SUMPRODUCT((ISNUMBER(P_Start))*(P_Start&lt;=EOMONTH('Calc'!$C18,0))*(((P_StatusN="ACTIVE")+((ISNUMBER(P_LWD))*(P_LWD&gt;=EOMONTH('Calc'!$C18,0))))&gt;0)*((P_TypeN=UPPER(FiltCat))+(FiltCat="All")))+SUMPRODUCT((ISNUMBER(L_Start))*(L_Start&lt;=EOMONTH('Calc'!$C18,0))*(((L_StatusN="ACTIVE")+((ISNUMBER(L_LWD))*(L_LWD&gt;=EOMONTH('Calc'!$C18,0))))&gt;0)*((L_TypeN=UPPER(FiltCat))+(FiltCat="All")))-SUMPRODUCT((ISNUMBER(L_Start))*(L_Start&lt;=EOMONTH('Calc'!$C18,0))*(((L_StatusN="ACTIVE")+((ISNUMBER(L_LWD))*(L_LWD&gt;=EOMONTH('Calc'!$C18,0))))&gt;0)*((L_TypeN=UPPER(FiltCat))+(FiltCat="All"))*(L_InP=1))))</f>
        <v/>
      </c>
      <c r="D18" s="16">
        <f>IF('Calc'!$H$2+'Calc'!$I$2&gt;0,"",IF('Calc'!$C18="","",SUMPRODUCT((P_StatusN="INACTIVE")*(ISNUMBER(P_LWD))*(P_LWD&gt;='Calc'!$C18)*(P_LWD&lt;EDATE('Calc'!$C18,1))*((P_TypeN=UPPER(FiltCat))+(FiltCat="All")))+SUMPRODUCT((L_StatusN="INACTIVE")*(ISNUMBER(L_LWD))*(L_LWD&gt;='Calc'!$C18)*(L_LWD&lt;EDATE('Calc'!$C18,1))*((L_TypeN=UPPER(FiltCat))+(FiltCat="All")))-SUMPRODUCT((L_StatusN="INACTIVE")*(ISNUMBER(L_LWD))*(L_LWD&gt;='Calc'!$C18)*(L_LWD&lt;EDATE('Calc'!$C18,1))*((L_TypeN=UPPER(FiltCat))+(FiltCat="All"))*(L_InP=1)*(L_TwinIna=1))))</f>
        <v/>
      </c>
      <c r="E18" s="16">
        <f>IF('Calc'!$H$2+'Calc'!$I$2&gt;0,"",IF('Calc'!$C18="","",SUMPRODUCT((P_StatusN="INACTIVE")*(ISNUMBER(P_LWD))*(P_LWD&gt;='Calc'!$C18)*(P_LWD&lt;EDATE('Calc'!$C18,1))*((P_TypeN="PERM")))+SUMPRODUCT((L_StatusN="INACTIVE")*(ISNUMBER(L_LWD))*(L_LWD&gt;='Calc'!$C18)*(L_LWD&lt;EDATE('Calc'!$C18,1))*((L_TypeN="PERM")))-SUMPRODUCT((L_StatusN="INACTIVE")*(ISNUMBER(L_LWD))*(L_LWD&gt;='Calc'!$C18)*(L_LWD&lt;EDATE('Calc'!$C18,1))*((L_TypeN="PERM"))*(L_InP=1)*(L_TwinIna=1))))</f>
        <v/>
      </c>
      <c r="F18" s="16">
        <f>IF('Calc'!$H$2+'Calc'!$I$2&gt;0,"",IF('Calc'!$C18="","",SUMPRODUCT((P_StatusN="INACTIVE")*(ISNUMBER(P_LWD))*(P_LWD&gt;='Calc'!$C18)*(P_LWD&lt;EDATE('Calc'!$C18,1))*((P_TypeN="PC")))+SUMPRODUCT((L_StatusN="INACTIVE")*(ISNUMBER(L_LWD))*(L_LWD&gt;='Calc'!$C18)*(L_LWD&lt;EDATE('Calc'!$C18,1))*((L_TypeN="PC")))-SUMPRODUCT((L_StatusN="INACTIVE")*(ISNUMBER(L_LWD))*(L_LWD&gt;='Calc'!$C18)*(L_LWD&lt;EDATE('Calc'!$C18,1))*((L_TypeN="PC"))*(L_InP=1)*(L_TwinIna=1))))</f>
        <v/>
      </c>
      <c r="G18" s="16">
        <f>IF('Calc'!$H$2+'Calc'!$I$2&gt;0,"",IF('Calc'!$C18="","",SUMPRODUCT((P_StatusN="INACTIVE")*(ISNUMBER(P_LWD))*(P_LWD&gt;='Calc'!$C18)*(P_LWD&lt;EDATE('Calc'!$C18,1))*((P_TypeN="MS")))+SUMPRODUCT((L_StatusN="INACTIVE")*(ISNUMBER(L_LWD))*(L_LWD&gt;='Calc'!$C18)*(L_LWD&lt;EDATE('Calc'!$C18,1))*((L_TypeN="MS")))-SUMPRODUCT((L_StatusN="INACTIVE")*(ISNUMBER(L_LWD))*(L_LWD&gt;='Calc'!$C18)*(L_LWD&lt;EDATE('Calc'!$C18,1))*((L_TypeN="MS"))*(L_InP=1)*(L_TwinIna=1))))</f>
        <v/>
      </c>
      <c r="H18" s="16">
        <f>IF('Calc'!$H$2+'Calc'!$I$2&gt;0,"",IF('Calc'!$C18="","",SUMPRODUCT((ISNUMBER(P_Start))*(P_Start&gt;='Calc'!$C18)*(P_Start&lt;EDATE('Calc'!$C18,1))*((P_TypeN=UPPER(FiltCat))+(FiltCat="All")))+SUMPRODUCT((ISNUMBER(L_Start))*(L_Start&gt;='Calc'!$C18)*(L_Start&lt;EDATE('Calc'!$C18,1))*((L_TypeN=UPPER(FiltCat))+(FiltCat="All")))-SUMPRODUCT((ISNUMBER(L_Start))*(L_Start&gt;='Calc'!$C18)*(L_Start&lt;EDATE('Calc'!$C18,1))*((L_TypeN=UPPER(FiltCat))+(FiltCat="All"))*(L_InP=1))))</f>
        <v/>
      </c>
    </row>
    <row r="19" ht="22" customHeight="1">
      <c r="B19" s="13">
        <f>IF('Calc'!$H$2+'Calc'!$I$2&gt;0,"",IF('Calc'!$C19="","",TEXT('Calc'!$C19,"yyyy-mm")))</f>
        <v/>
      </c>
      <c r="C19" s="14">
        <f>IF('Calc'!$H$2+'Calc'!$I$2&gt;0,"",IF('Calc'!$C19="","",SUMPRODUCT((ISNUMBER(P_Start))*(P_Start&lt;=EOMONTH('Calc'!$C19,0))*(((P_StatusN="ACTIVE")+((ISNUMBER(P_LWD))*(P_LWD&gt;=EOMONTH('Calc'!$C19,0))))&gt;0)*((P_TypeN=UPPER(FiltCat))+(FiltCat="All")))+SUMPRODUCT((ISNUMBER(L_Start))*(L_Start&lt;=EOMONTH('Calc'!$C19,0))*(((L_StatusN="ACTIVE")+((ISNUMBER(L_LWD))*(L_LWD&gt;=EOMONTH('Calc'!$C19,0))))&gt;0)*((L_TypeN=UPPER(FiltCat))+(FiltCat="All")))-SUMPRODUCT((ISNUMBER(L_Start))*(L_Start&lt;=EOMONTH('Calc'!$C19,0))*(((L_StatusN="ACTIVE")+((ISNUMBER(L_LWD))*(L_LWD&gt;=EOMONTH('Calc'!$C19,0))))&gt;0)*((L_TypeN=UPPER(FiltCat))+(FiltCat="All"))*(L_InP=1))))</f>
        <v/>
      </c>
      <c r="D19" s="14">
        <f>IF('Calc'!$H$2+'Calc'!$I$2&gt;0,"",IF('Calc'!$C19="","",SUMPRODUCT((P_StatusN="INACTIVE")*(ISNUMBER(P_LWD))*(P_LWD&gt;='Calc'!$C19)*(P_LWD&lt;EDATE('Calc'!$C19,1))*((P_TypeN=UPPER(FiltCat))+(FiltCat="All")))+SUMPRODUCT((L_StatusN="INACTIVE")*(ISNUMBER(L_LWD))*(L_LWD&gt;='Calc'!$C19)*(L_LWD&lt;EDATE('Calc'!$C19,1))*((L_TypeN=UPPER(FiltCat))+(FiltCat="All")))-SUMPRODUCT((L_StatusN="INACTIVE")*(ISNUMBER(L_LWD))*(L_LWD&gt;='Calc'!$C19)*(L_LWD&lt;EDATE('Calc'!$C19,1))*((L_TypeN=UPPER(FiltCat))+(FiltCat="All"))*(L_InP=1)*(L_TwinIna=1))))</f>
        <v/>
      </c>
      <c r="E19" s="14">
        <f>IF('Calc'!$H$2+'Calc'!$I$2&gt;0,"",IF('Calc'!$C19="","",SUMPRODUCT((P_StatusN="INACTIVE")*(ISNUMBER(P_LWD))*(P_LWD&gt;='Calc'!$C19)*(P_LWD&lt;EDATE('Calc'!$C19,1))*((P_TypeN="PERM")))+SUMPRODUCT((L_StatusN="INACTIVE")*(ISNUMBER(L_LWD))*(L_LWD&gt;='Calc'!$C19)*(L_LWD&lt;EDATE('Calc'!$C19,1))*((L_TypeN="PERM")))-SUMPRODUCT((L_StatusN="INACTIVE")*(ISNUMBER(L_LWD))*(L_LWD&gt;='Calc'!$C19)*(L_LWD&lt;EDATE('Calc'!$C19,1))*((L_TypeN="PERM"))*(L_InP=1)*(L_TwinIna=1))))</f>
        <v/>
      </c>
      <c r="F19" s="14">
        <f>IF('Calc'!$H$2+'Calc'!$I$2&gt;0,"",IF('Calc'!$C19="","",SUMPRODUCT((P_StatusN="INACTIVE")*(ISNUMBER(P_LWD))*(P_LWD&gt;='Calc'!$C19)*(P_LWD&lt;EDATE('Calc'!$C19,1))*((P_TypeN="PC")))+SUMPRODUCT((L_StatusN="INACTIVE")*(ISNUMBER(L_LWD))*(L_LWD&gt;='Calc'!$C19)*(L_LWD&lt;EDATE('Calc'!$C19,1))*((L_TypeN="PC")))-SUMPRODUCT((L_StatusN="INACTIVE")*(ISNUMBER(L_LWD))*(L_LWD&gt;='Calc'!$C19)*(L_LWD&lt;EDATE('Calc'!$C19,1))*((L_TypeN="PC"))*(L_InP=1)*(L_TwinIna=1))))</f>
        <v/>
      </c>
      <c r="G19" s="14">
        <f>IF('Calc'!$H$2+'Calc'!$I$2&gt;0,"",IF('Calc'!$C19="","",SUMPRODUCT((P_StatusN="INACTIVE")*(ISNUMBER(P_LWD))*(P_LWD&gt;='Calc'!$C19)*(P_LWD&lt;EDATE('Calc'!$C19,1))*((P_TypeN="MS")))+SUMPRODUCT((L_StatusN="INACTIVE")*(ISNUMBER(L_LWD))*(L_LWD&gt;='Calc'!$C19)*(L_LWD&lt;EDATE('Calc'!$C19,1))*((L_TypeN="MS")))-SUMPRODUCT((L_StatusN="INACTIVE")*(ISNUMBER(L_LWD))*(L_LWD&gt;='Calc'!$C19)*(L_LWD&lt;EDATE('Calc'!$C19,1))*((L_TypeN="MS"))*(L_InP=1)*(L_TwinIna=1))))</f>
        <v/>
      </c>
      <c r="H19" s="14">
        <f>IF('Calc'!$H$2+'Calc'!$I$2&gt;0,"",IF('Calc'!$C19="","",SUMPRODUCT((ISNUMBER(P_Start))*(P_Start&gt;='Calc'!$C19)*(P_Start&lt;EDATE('Calc'!$C19,1))*((P_TypeN=UPPER(FiltCat))+(FiltCat="All")))+SUMPRODUCT((ISNUMBER(L_Start))*(L_Start&gt;='Calc'!$C19)*(L_Start&lt;EDATE('Calc'!$C19,1))*((L_TypeN=UPPER(FiltCat))+(FiltCat="All")))-SUMPRODUCT((ISNUMBER(L_Start))*(L_Start&gt;='Calc'!$C19)*(L_Start&lt;EDATE('Calc'!$C19,1))*((L_TypeN=UPPER(FiltCat))+(FiltCat="All"))*(L_InP=1))))</f>
        <v/>
      </c>
    </row>
    <row r="20" ht="22" customHeight="1">
      <c r="B20" s="15">
        <f>IF('Calc'!$H$2+'Calc'!$I$2&gt;0,"",IF('Calc'!$C20="","",TEXT('Calc'!$C20,"yyyy-mm")))</f>
        <v/>
      </c>
      <c r="C20" s="16">
        <f>IF('Calc'!$H$2+'Calc'!$I$2&gt;0,"",IF('Calc'!$C20="","",SUMPRODUCT((ISNUMBER(P_Start))*(P_Start&lt;=EOMONTH('Calc'!$C20,0))*(((P_StatusN="ACTIVE")+((ISNUMBER(P_LWD))*(P_LWD&gt;=EOMONTH('Calc'!$C20,0))))&gt;0)*((P_TypeN=UPPER(FiltCat))+(FiltCat="All")))+SUMPRODUCT((ISNUMBER(L_Start))*(L_Start&lt;=EOMONTH('Calc'!$C20,0))*(((L_StatusN="ACTIVE")+((ISNUMBER(L_LWD))*(L_LWD&gt;=EOMONTH('Calc'!$C20,0))))&gt;0)*((L_TypeN=UPPER(FiltCat))+(FiltCat="All")))-SUMPRODUCT((ISNUMBER(L_Start))*(L_Start&lt;=EOMONTH('Calc'!$C20,0))*(((L_StatusN="ACTIVE")+((ISNUMBER(L_LWD))*(L_LWD&gt;=EOMONTH('Calc'!$C20,0))))&gt;0)*((L_TypeN=UPPER(FiltCat))+(FiltCat="All"))*(L_InP=1))))</f>
        <v/>
      </c>
      <c r="D20" s="16">
        <f>IF('Calc'!$H$2+'Calc'!$I$2&gt;0,"",IF('Calc'!$C20="","",SUMPRODUCT((P_StatusN="INACTIVE")*(ISNUMBER(P_LWD))*(P_LWD&gt;='Calc'!$C20)*(P_LWD&lt;EDATE('Calc'!$C20,1))*((P_TypeN=UPPER(FiltCat))+(FiltCat="All")))+SUMPRODUCT((L_StatusN="INACTIVE")*(ISNUMBER(L_LWD))*(L_LWD&gt;='Calc'!$C20)*(L_LWD&lt;EDATE('Calc'!$C20,1))*((L_TypeN=UPPER(FiltCat))+(FiltCat="All")))-SUMPRODUCT((L_StatusN="INACTIVE")*(ISNUMBER(L_LWD))*(L_LWD&gt;='Calc'!$C20)*(L_LWD&lt;EDATE('Calc'!$C20,1))*((L_TypeN=UPPER(FiltCat))+(FiltCat="All"))*(L_InP=1)*(L_TwinIna=1))))</f>
        <v/>
      </c>
      <c r="E20" s="16">
        <f>IF('Calc'!$H$2+'Calc'!$I$2&gt;0,"",IF('Calc'!$C20="","",SUMPRODUCT((P_StatusN="INACTIVE")*(ISNUMBER(P_LWD))*(P_LWD&gt;='Calc'!$C20)*(P_LWD&lt;EDATE('Calc'!$C20,1))*((P_TypeN="PERM")))+SUMPRODUCT((L_StatusN="INACTIVE")*(ISNUMBER(L_LWD))*(L_LWD&gt;='Calc'!$C20)*(L_LWD&lt;EDATE('Calc'!$C20,1))*((L_TypeN="PERM")))-SUMPRODUCT((L_StatusN="INACTIVE")*(ISNUMBER(L_LWD))*(L_LWD&gt;='Calc'!$C20)*(L_LWD&lt;EDATE('Calc'!$C20,1))*((L_TypeN="PERM"))*(L_InP=1)*(L_TwinIna=1))))</f>
        <v/>
      </c>
      <c r="F20" s="16">
        <f>IF('Calc'!$H$2+'Calc'!$I$2&gt;0,"",IF('Calc'!$C20="","",SUMPRODUCT((P_StatusN="INACTIVE")*(ISNUMBER(P_LWD))*(P_LWD&gt;='Calc'!$C20)*(P_LWD&lt;EDATE('Calc'!$C20,1))*((P_TypeN="PC")))+SUMPRODUCT((L_StatusN="INACTIVE")*(ISNUMBER(L_LWD))*(L_LWD&gt;='Calc'!$C20)*(L_LWD&lt;EDATE('Calc'!$C20,1))*((L_TypeN="PC")))-SUMPRODUCT((L_StatusN="INACTIVE")*(ISNUMBER(L_LWD))*(L_LWD&gt;='Calc'!$C20)*(L_LWD&lt;EDATE('Calc'!$C20,1))*((L_TypeN="PC"))*(L_InP=1)*(L_TwinIna=1))))</f>
        <v/>
      </c>
      <c r="G20" s="16">
        <f>IF('Calc'!$H$2+'Calc'!$I$2&gt;0,"",IF('Calc'!$C20="","",SUMPRODUCT((P_StatusN="INACTIVE")*(ISNUMBER(P_LWD))*(P_LWD&gt;='Calc'!$C20)*(P_LWD&lt;EDATE('Calc'!$C20,1))*((P_TypeN="MS")))+SUMPRODUCT((L_StatusN="INACTIVE")*(ISNUMBER(L_LWD))*(L_LWD&gt;='Calc'!$C20)*(L_LWD&lt;EDATE('Calc'!$C20,1))*((L_TypeN="MS")))-SUMPRODUCT((L_StatusN="INACTIVE")*(ISNUMBER(L_LWD))*(L_LWD&gt;='Calc'!$C20)*(L_LWD&lt;EDATE('Calc'!$C20,1))*((L_TypeN="MS"))*(L_InP=1)*(L_TwinIna=1))))</f>
        <v/>
      </c>
      <c r="H20" s="16">
        <f>IF('Calc'!$H$2+'Calc'!$I$2&gt;0,"",IF('Calc'!$C20="","",SUMPRODUCT((ISNUMBER(P_Start))*(P_Start&gt;='Calc'!$C20)*(P_Start&lt;EDATE('Calc'!$C20,1))*((P_TypeN=UPPER(FiltCat))+(FiltCat="All")))+SUMPRODUCT((ISNUMBER(L_Start))*(L_Start&gt;='Calc'!$C20)*(L_Start&lt;EDATE('Calc'!$C20,1))*((L_TypeN=UPPER(FiltCat))+(FiltCat="All")))-SUMPRODUCT((ISNUMBER(L_Start))*(L_Start&gt;='Calc'!$C20)*(L_Start&lt;EDATE('Calc'!$C20,1))*((L_TypeN=UPPER(FiltCat))+(FiltCat="All"))*(L_InP=1))))</f>
        <v/>
      </c>
    </row>
    <row r="21" ht="22" customHeight="1">
      <c r="B21" s="13">
        <f>IF('Calc'!$H$2+'Calc'!$I$2&gt;0,"",IF('Calc'!$C21="","",TEXT('Calc'!$C21,"yyyy-mm")))</f>
        <v/>
      </c>
      <c r="C21" s="14">
        <f>IF('Calc'!$H$2+'Calc'!$I$2&gt;0,"",IF('Calc'!$C21="","",SUMPRODUCT((ISNUMBER(P_Start))*(P_Start&lt;=EOMONTH('Calc'!$C21,0))*(((P_StatusN="ACTIVE")+((ISNUMBER(P_LWD))*(P_LWD&gt;=EOMONTH('Calc'!$C21,0))))&gt;0)*((P_TypeN=UPPER(FiltCat))+(FiltCat="All")))+SUMPRODUCT((ISNUMBER(L_Start))*(L_Start&lt;=EOMONTH('Calc'!$C21,0))*(((L_StatusN="ACTIVE")+((ISNUMBER(L_LWD))*(L_LWD&gt;=EOMONTH('Calc'!$C21,0))))&gt;0)*((L_TypeN=UPPER(FiltCat))+(FiltCat="All")))-SUMPRODUCT((ISNUMBER(L_Start))*(L_Start&lt;=EOMONTH('Calc'!$C21,0))*(((L_StatusN="ACTIVE")+((ISNUMBER(L_LWD))*(L_LWD&gt;=EOMONTH('Calc'!$C21,0))))&gt;0)*((L_TypeN=UPPER(FiltCat))+(FiltCat="All"))*(L_InP=1))))</f>
        <v/>
      </c>
      <c r="D21" s="14">
        <f>IF('Calc'!$H$2+'Calc'!$I$2&gt;0,"",IF('Calc'!$C21="","",SUMPRODUCT((P_StatusN="INACTIVE")*(ISNUMBER(P_LWD))*(P_LWD&gt;='Calc'!$C21)*(P_LWD&lt;EDATE('Calc'!$C21,1))*((P_TypeN=UPPER(FiltCat))+(FiltCat="All")))+SUMPRODUCT((L_StatusN="INACTIVE")*(ISNUMBER(L_LWD))*(L_LWD&gt;='Calc'!$C21)*(L_LWD&lt;EDATE('Calc'!$C21,1))*((L_TypeN=UPPER(FiltCat))+(FiltCat="All")))-SUMPRODUCT((L_StatusN="INACTIVE")*(ISNUMBER(L_LWD))*(L_LWD&gt;='Calc'!$C21)*(L_LWD&lt;EDATE('Calc'!$C21,1))*((L_TypeN=UPPER(FiltCat))+(FiltCat="All"))*(L_InP=1)*(L_TwinIna=1))))</f>
        <v/>
      </c>
      <c r="E21" s="14">
        <f>IF('Calc'!$H$2+'Calc'!$I$2&gt;0,"",IF('Calc'!$C21="","",SUMPRODUCT((P_StatusN="INACTIVE")*(ISNUMBER(P_LWD))*(P_LWD&gt;='Calc'!$C21)*(P_LWD&lt;EDATE('Calc'!$C21,1))*((P_TypeN="PERM")))+SUMPRODUCT((L_StatusN="INACTIVE")*(ISNUMBER(L_LWD))*(L_LWD&gt;='Calc'!$C21)*(L_LWD&lt;EDATE('Calc'!$C21,1))*((L_TypeN="PERM")))-SUMPRODUCT((L_StatusN="INACTIVE")*(ISNUMBER(L_LWD))*(L_LWD&gt;='Calc'!$C21)*(L_LWD&lt;EDATE('Calc'!$C21,1))*((L_TypeN="PERM"))*(L_InP=1)*(L_TwinIna=1))))</f>
        <v/>
      </c>
      <c r="F21" s="14">
        <f>IF('Calc'!$H$2+'Calc'!$I$2&gt;0,"",IF('Calc'!$C21="","",SUMPRODUCT((P_StatusN="INACTIVE")*(ISNUMBER(P_LWD))*(P_LWD&gt;='Calc'!$C21)*(P_LWD&lt;EDATE('Calc'!$C21,1))*((P_TypeN="PC")))+SUMPRODUCT((L_StatusN="INACTIVE")*(ISNUMBER(L_LWD))*(L_LWD&gt;='Calc'!$C21)*(L_LWD&lt;EDATE('Calc'!$C21,1))*((L_TypeN="PC")))-SUMPRODUCT((L_StatusN="INACTIVE")*(ISNUMBER(L_LWD))*(L_LWD&gt;='Calc'!$C21)*(L_LWD&lt;EDATE('Calc'!$C21,1))*((L_TypeN="PC"))*(L_InP=1)*(L_TwinIna=1))))</f>
        <v/>
      </c>
      <c r="G21" s="14">
        <f>IF('Calc'!$H$2+'Calc'!$I$2&gt;0,"",IF('Calc'!$C21="","",SUMPRODUCT((P_StatusN="INACTIVE")*(ISNUMBER(P_LWD))*(P_LWD&gt;='Calc'!$C21)*(P_LWD&lt;EDATE('Calc'!$C21,1))*((P_TypeN="MS")))+SUMPRODUCT((L_StatusN="INACTIVE")*(ISNUMBER(L_LWD))*(L_LWD&gt;='Calc'!$C21)*(L_LWD&lt;EDATE('Calc'!$C21,1))*((L_TypeN="MS")))-SUMPRODUCT((L_StatusN="INACTIVE")*(ISNUMBER(L_LWD))*(L_LWD&gt;='Calc'!$C21)*(L_LWD&lt;EDATE('Calc'!$C21,1))*((L_TypeN="MS"))*(L_InP=1)*(L_TwinIna=1))))</f>
        <v/>
      </c>
      <c r="H21" s="14">
        <f>IF('Calc'!$H$2+'Calc'!$I$2&gt;0,"",IF('Calc'!$C21="","",SUMPRODUCT((ISNUMBER(P_Start))*(P_Start&gt;='Calc'!$C21)*(P_Start&lt;EDATE('Calc'!$C21,1))*((P_TypeN=UPPER(FiltCat))+(FiltCat="All")))+SUMPRODUCT((ISNUMBER(L_Start))*(L_Start&gt;='Calc'!$C21)*(L_Start&lt;EDATE('Calc'!$C21,1))*((L_TypeN=UPPER(FiltCat))+(FiltCat="All")))-SUMPRODUCT((ISNUMBER(L_Start))*(L_Start&gt;='Calc'!$C21)*(L_Start&lt;EDATE('Calc'!$C21,1))*((L_TypeN=UPPER(FiltCat))+(FiltCat="All"))*(L_InP=1))))</f>
        <v/>
      </c>
    </row>
    <row r="22" ht="22" customHeight="1">
      <c r="B22" s="15">
        <f>IF('Calc'!$H$2+'Calc'!$I$2&gt;0,"",IF('Calc'!$C22="","",TEXT('Calc'!$C22,"yyyy-mm")))</f>
        <v/>
      </c>
      <c r="C22" s="16">
        <f>IF('Calc'!$H$2+'Calc'!$I$2&gt;0,"",IF('Calc'!$C22="","",SUMPRODUCT((ISNUMBER(P_Start))*(P_Start&lt;=EOMONTH('Calc'!$C22,0))*(((P_StatusN="ACTIVE")+((ISNUMBER(P_LWD))*(P_LWD&gt;=EOMONTH('Calc'!$C22,0))))&gt;0)*((P_TypeN=UPPER(FiltCat))+(FiltCat="All")))+SUMPRODUCT((ISNUMBER(L_Start))*(L_Start&lt;=EOMONTH('Calc'!$C22,0))*(((L_StatusN="ACTIVE")+((ISNUMBER(L_LWD))*(L_LWD&gt;=EOMONTH('Calc'!$C22,0))))&gt;0)*((L_TypeN=UPPER(FiltCat))+(FiltCat="All")))-SUMPRODUCT((ISNUMBER(L_Start))*(L_Start&lt;=EOMONTH('Calc'!$C22,0))*(((L_StatusN="ACTIVE")+((ISNUMBER(L_LWD))*(L_LWD&gt;=EOMONTH('Calc'!$C22,0))))&gt;0)*((L_TypeN=UPPER(FiltCat))+(FiltCat="All"))*(L_InP=1))))</f>
        <v/>
      </c>
      <c r="D22" s="16">
        <f>IF('Calc'!$H$2+'Calc'!$I$2&gt;0,"",IF('Calc'!$C22="","",SUMPRODUCT((P_StatusN="INACTIVE")*(ISNUMBER(P_LWD))*(P_LWD&gt;='Calc'!$C22)*(P_LWD&lt;EDATE('Calc'!$C22,1))*((P_TypeN=UPPER(FiltCat))+(FiltCat="All")))+SUMPRODUCT((L_StatusN="INACTIVE")*(ISNUMBER(L_LWD))*(L_LWD&gt;='Calc'!$C22)*(L_LWD&lt;EDATE('Calc'!$C22,1))*((L_TypeN=UPPER(FiltCat))+(FiltCat="All")))-SUMPRODUCT((L_StatusN="INACTIVE")*(ISNUMBER(L_LWD))*(L_LWD&gt;='Calc'!$C22)*(L_LWD&lt;EDATE('Calc'!$C22,1))*((L_TypeN=UPPER(FiltCat))+(FiltCat="All"))*(L_InP=1)*(L_TwinIna=1))))</f>
        <v/>
      </c>
      <c r="E22" s="16">
        <f>IF('Calc'!$H$2+'Calc'!$I$2&gt;0,"",IF('Calc'!$C22="","",SUMPRODUCT((P_StatusN="INACTIVE")*(ISNUMBER(P_LWD))*(P_LWD&gt;='Calc'!$C22)*(P_LWD&lt;EDATE('Calc'!$C22,1))*((P_TypeN="PERM")))+SUMPRODUCT((L_StatusN="INACTIVE")*(ISNUMBER(L_LWD))*(L_LWD&gt;='Calc'!$C22)*(L_LWD&lt;EDATE('Calc'!$C22,1))*((L_TypeN="PERM")))-SUMPRODUCT((L_StatusN="INACTIVE")*(ISNUMBER(L_LWD))*(L_LWD&gt;='Calc'!$C22)*(L_LWD&lt;EDATE('Calc'!$C22,1))*((L_TypeN="PERM"))*(L_InP=1)*(L_TwinIna=1))))</f>
        <v/>
      </c>
      <c r="F22" s="16">
        <f>IF('Calc'!$H$2+'Calc'!$I$2&gt;0,"",IF('Calc'!$C22="","",SUMPRODUCT((P_StatusN="INACTIVE")*(ISNUMBER(P_LWD))*(P_LWD&gt;='Calc'!$C22)*(P_LWD&lt;EDATE('Calc'!$C22,1))*((P_TypeN="PC")))+SUMPRODUCT((L_StatusN="INACTIVE")*(ISNUMBER(L_LWD))*(L_LWD&gt;='Calc'!$C22)*(L_LWD&lt;EDATE('Calc'!$C22,1))*((L_TypeN="PC")))-SUMPRODUCT((L_StatusN="INACTIVE")*(ISNUMBER(L_LWD))*(L_LWD&gt;='Calc'!$C22)*(L_LWD&lt;EDATE('Calc'!$C22,1))*((L_TypeN="PC"))*(L_InP=1)*(L_TwinIna=1))))</f>
        <v/>
      </c>
      <c r="G22" s="16">
        <f>IF('Calc'!$H$2+'Calc'!$I$2&gt;0,"",IF('Calc'!$C22="","",SUMPRODUCT((P_StatusN="INACTIVE")*(ISNUMBER(P_LWD))*(P_LWD&gt;='Calc'!$C22)*(P_LWD&lt;EDATE('Calc'!$C22,1))*((P_TypeN="MS")))+SUMPRODUCT((L_StatusN="INACTIVE")*(ISNUMBER(L_LWD))*(L_LWD&gt;='Calc'!$C22)*(L_LWD&lt;EDATE('Calc'!$C22,1))*((L_TypeN="MS")))-SUMPRODUCT((L_StatusN="INACTIVE")*(ISNUMBER(L_LWD))*(L_LWD&gt;='Calc'!$C22)*(L_LWD&lt;EDATE('Calc'!$C22,1))*((L_TypeN="MS"))*(L_InP=1)*(L_TwinIna=1))))</f>
        <v/>
      </c>
      <c r="H22" s="16">
        <f>IF('Calc'!$H$2+'Calc'!$I$2&gt;0,"",IF('Calc'!$C22="","",SUMPRODUCT((ISNUMBER(P_Start))*(P_Start&gt;='Calc'!$C22)*(P_Start&lt;EDATE('Calc'!$C22,1))*((P_TypeN=UPPER(FiltCat))+(FiltCat="All")))+SUMPRODUCT((ISNUMBER(L_Start))*(L_Start&gt;='Calc'!$C22)*(L_Start&lt;EDATE('Calc'!$C22,1))*((L_TypeN=UPPER(FiltCat))+(FiltCat="All")))-SUMPRODUCT((ISNUMBER(L_Start))*(L_Start&gt;='Calc'!$C22)*(L_Start&lt;EDATE('Calc'!$C22,1))*((L_TypeN=UPPER(FiltCat))+(FiltCat="All"))*(L_InP=1))))</f>
        <v/>
      </c>
    </row>
    <row r="23" ht="22" customHeight="1">
      <c r="B23" s="13">
        <f>IF('Calc'!$H$2+'Calc'!$I$2&gt;0,"",IF('Calc'!$C23="","",TEXT('Calc'!$C23,"yyyy-mm")))</f>
        <v/>
      </c>
      <c r="C23" s="14">
        <f>IF('Calc'!$H$2+'Calc'!$I$2&gt;0,"",IF('Calc'!$C23="","",SUMPRODUCT((ISNUMBER(P_Start))*(P_Start&lt;=EOMONTH('Calc'!$C23,0))*(((P_StatusN="ACTIVE")+((ISNUMBER(P_LWD))*(P_LWD&gt;=EOMONTH('Calc'!$C23,0))))&gt;0)*((P_TypeN=UPPER(FiltCat))+(FiltCat="All")))+SUMPRODUCT((ISNUMBER(L_Start))*(L_Start&lt;=EOMONTH('Calc'!$C23,0))*(((L_StatusN="ACTIVE")+((ISNUMBER(L_LWD))*(L_LWD&gt;=EOMONTH('Calc'!$C23,0))))&gt;0)*((L_TypeN=UPPER(FiltCat))+(FiltCat="All")))-SUMPRODUCT((ISNUMBER(L_Start))*(L_Start&lt;=EOMONTH('Calc'!$C23,0))*(((L_StatusN="ACTIVE")+((ISNUMBER(L_LWD))*(L_LWD&gt;=EOMONTH('Calc'!$C23,0))))&gt;0)*((L_TypeN=UPPER(FiltCat))+(FiltCat="All"))*(L_InP=1))))</f>
        <v/>
      </c>
      <c r="D23" s="14">
        <f>IF('Calc'!$H$2+'Calc'!$I$2&gt;0,"",IF('Calc'!$C23="","",SUMPRODUCT((P_StatusN="INACTIVE")*(ISNUMBER(P_LWD))*(P_LWD&gt;='Calc'!$C23)*(P_LWD&lt;EDATE('Calc'!$C23,1))*((P_TypeN=UPPER(FiltCat))+(FiltCat="All")))+SUMPRODUCT((L_StatusN="INACTIVE")*(ISNUMBER(L_LWD))*(L_LWD&gt;='Calc'!$C23)*(L_LWD&lt;EDATE('Calc'!$C23,1))*((L_TypeN=UPPER(FiltCat))+(FiltCat="All")))-SUMPRODUCT((L_StatusN="INACTIVE")*(ISNUMBER(L_LWD))*(L_LWD&gt;='Calc'!$C23)*(L_LWD&lt;EDATE('Calc'!$C23,1))*((L_TypeN=UPPER(FiltCat))+(FiltCat="All"))*(L_InP=1)*(L_TwinIna=1))))</f>
        <v/>
      </c>
      <c r="E23" s="14">
        <f>IF('Calc'!$H$2+'Calc'!$I$2&gt;0,"",IF('Calc'!$C23="","",SUMPRODUCT((P_StatusN="INACTIVE")*(ISNUMBER(P_LWD))*(P_LWD&gt;='Calc'!$C23)*(P_LWD&lt;EDATE('Calc'!$C23,1))*((P_TypeN="PERM")))+SUMPRODUCT((L_StatusN="INACTIVE")*(ISNUMBER(L_LWD))*(L_LWD&gt;='Calc'!$C23)*(L_LWD&lt;EDATE('Calc'!$C23,1))*((L_TypeN="PERM")))-SUMPRODUCT((L_StatusN="INACTIVE")*(ISNUMBER(L_LWD))*(L_LWD&gt;='Calc'!$C23)*(L_LWD&lt;EDATE('Calc'!$C23,1))*((L_TypeN="PERM"))*(L_InP=1)*(L_TwinIna=1))))</f>
        <v/>
      </c>
      <c r="F23" s="14">
        <f>IF('Calc'!$H$2+'Calc'!$I$2&gt;0,"",IF('Calc'!$C23="","",SUMPRODUCT((P_StatusN="INACTIVE")*(ISNUMBER(P_LWD))*(P_LWD&gt;='Calc'!$C23)*(P_LWD&lt;EDATE('Calc'!$C23,1))*((P_TypeN="PC")))+SUMPRODUCT((L_StatusN="INACTIVE")*(ISNUMBER(L_LWD))*(L_LWD&gt;='Calc'!$C23)*(L_LWD&lt;EDATE('Calc'!$C23,1))*((L_TypeN="PC")))-SUMPRODUCT((L_StatusN="INACTIVE")*(ISNUMBER(L_LWD))*(L_LWD&gt;='Calc'!$C23)*(L_LWD&lt;EDATE('Calc'!$C23,1))*((L_TypeN="PC"))*(L_InP=1)*(L_TwinIna=1))))</f>
        <v/>
      </c>
      <c r="G23" s="14">
        <f>IF('Calc'!$H$2+'Calc'!$I$2&gt;0,"",IF('Calc'!$C23="","",SUMPRODUCT((P_StatusN="INACTIVE")*(ISNUMBER(P_LWD))*(P_LWD&gt;='Calc'!$C23)*(P_LWD&lt;EDATE('Calc'!$C23,1))*((P_TypeN="MS")))+SUMPRODUCT((L_StatusN="INACTIVE")*(ISNUMBER(L_LWD))*(L_LWD&gt;='Calc'!$C23)*(L_LWD&lt;EDATE('Calc'!$C23,1))*((L_TypeN="MS")))-SUMPRODUCT((L_StatusN="INACTIVE")*(ISNUMBER(L_LWD))*(L_LWD&gt;='Calc'!$C23)*(L_LWD&lt;EDATE('Calc'!$C23,1))*((L_TypeN="MS"))*(L_InP=1)*(L_TwinIna=1))))</f>
        <v/>
      </c>
      <c r="H23" s="14">
        <f>IF('Calc'!$H$2+'Calc'!$I$2&gt;0,"",IF('Calc'!$C23="","",SUMPRODUCT((ISNUMBER(P_Start))*(P_Start&gt;='Calc'!$C23)*(P_Start&lt;EDATE('Calc'!$C23,1))*((P_TypeN=UPPER(FiltCat))+(FiltCat="All")))+SUMPRODUCT((ISNUMBER(L_Start))*(L_Start&gt;='Calc'!$C23)*(L_Start&lt;EDATE('Calc'!$C23,1))*((L_TypeN=UPPER(FiltCat))+(FiltCat="All")))-SUMPRODUCT((ISNUMBER(L_Start))*(L_Start&gt;='Calc'!$C23)*(L_Start&lt;EDATE('Calc'!$C23,1))*((L_TypeN=UPPER(FiltCat))+(FiltCat="All"))*(L_InP=1))))</f>
        <v/>
      </c>
    </row>
    <row r="24" ht="22" customHeight="1">
      <c r="B24" s="15">
        <f>IF('Calc'!$H$2+'Calc'!$I$2&gt;0,"",IF('Calc'!$C24="","",TEXT('Calc'!$C24,"yyyy-mm")))</f>
        <v/>
      </c>
      <c r="C24" s="16">
        <f>IF('Calc'!$H$2+'Calc'!$I$2&gt;0,"",IF('Calc'!$C24="","",SUMPRODUCT((ISNUMBER(P_Start))*(P_Start&lt;=EOMONTH('Calc'!$C24,0))*(((P_StatusN="ACTIVE")+((ISNUMBER(P_LWD))*(P_LWD&gt;=EOMONTH('Calc'!$C24,0))))&gt;0)*((P_TypeN=UPPER(FiltCat))+(FiltCat="All")))+SUMPRODUCT((ISNUMBER(L_Start))*(L_Start&lt;=EOMONTH('Calc'!$C24,0))*(((L_StatusN="ACTIVE")+((ISNUMBER(L_LWD))*(L_LWD&gt;=EOMONTH('Calc'!$C24,0))))&gt;0)*((L_TypeN=UPPER(FiltCat))+(FiltCat="All")))-SUMPRODUCT((ISNUMBER(L_Start))*(L_Start&lt;=EOMONTH('Calc'!$C24,0))*(((L_StatusN="ACTIVE")+((ISNUMBER(L_LWD))*(L_LWD&gt;=EOMONTH('Calc'!$C24,0))))&gt;0)*((L_TypeN=UPPER(FiltCat))+(FiltCat="All"))*(L_InP=1))))</f>
        <v/>
      </c>
      <c r="D24" s="16">
        <f>IF('Calc'!$H$2+'Calc'!$I$2&gt;0,"",IF('Calc'!$C24="","",SUMPRODUCT((P_StatusN="INACTIVE")*(ISNUMBER(P_LWD))*(P_LWD&gt;='Calc'!$C24)*(P_LWD&lt;EDATE('Calc'!$C24,1))*((P_TypeN=UPPER(FiltCat))+(FiltCat="All")))+SUMPRODUCT((L_StatusN="INACTIVE")*(ISNUMBER(L_LWD))*(L_LWD&gt;='Calc'!$C24)*(L_LWD&lt;EDATE('Calc'!$C24,1))*((L_TypeN=UPPER(FiltCat))+(FiltCat="All")))-SUMPRODUCT((L_StatusN="INACTIVE")*(ISNUMBER(L_LWD))*(L_LWD&gt;='Calc'!$C24)*(L_LWD&lt;EDATE('Calc'!$C24,1))*((L_TypeN=UPPER(FiltCat))+(FiltCat="All"))*(L_InP=1)*(L_TwinIna=1))))</f>
        <v/>
      </c>
      <c r="E24" s="16">
        <f>IF('Calc'!$H$2+'Calc'!$I$2&gt;0,"",IF('Calc'!$C24="","",SUMPRODUCT((P_StatusN="INACTIVE")*(ISNUMBER(P_LWD))*(P_LWD&gt;='Calc'!$C24)*(P_LWD&lt;EDATE('Calc'!$C24,1))*((P_TypeN="PERM")))+SUMPRODUCT((L_StatusN="INACTIVE")*(ISNUMBER(L_LWD))*(L_LWD&gt;='Calc'!$C24)*(L_LWD&lt;EDATE('Calc'!$C24,1))*((L_TypeN="PERM")))-SUMPRODUCT((L_StatusN="INACTIVE")*(ISNUMBER(L_LWD))*(L_LWD&gt;='Calc'!$C24)*(L_LWD&lt;EDATE('Calc'!$C24,1))*((L_TypeN="PERM"))*(L_InP=1)*(L_TwinIna=1))))</f>
        <v/>
      </c>
      <c r="F24" s="16">
        <f>IF('Calc'!$H$2+'Calc'!$I$2&gt;0,"",IF('Calc'!$C24="","",SUMPRODUCT((P_StatusN="INACTIVE")*(ISNUMBER(P_LWD))*(P_LWD&gt;='Calc'!$C24)*(P_LWD&lt;EDATE('Calc'!$C24,1))*((P_TypeN="PC")))+SUMPRODUCT((L_StatusN="INACTIVE")*(ISNUMBER(L_LWD))*(L_LWD&gt;='Calc'!$C24)*(L_LWD&lt;EDATE('Calc'!$C24,1))*((L_TypeN="PC")))-SUMPRODUCT((L_StatusN="INACTIVE")*(ISNUMBER(L_LWD))*(L_LWD&gt;='Calc'!$C24)*(L_LWD&lt;EDATE('Calc'!$C24,1))*((L_TypeN="PC"))*(L_InP=1)*(L_TwinIna=1))))</f>
        <v/>
      </c>
      <c r="G24" s="16">
        <f>IF('Calc'!$H$2+'Calc'!$I$2&gt;0,"",IF('Calc'!$C24="","",SUMPRODUCT((P_StatusN="INACTIVE")*(ISNUMBER(P_LWD))*(P_LWD&gt;='Calc'!$C24)*(P_LWD&lt;EDATE('Calc'!$C24,1))*((P_TypeN="MS")))+SUMPRODUCT((L_StatusN="INACTIVE")*(ISNUMBER(L_LWD))*(L_LWD&gt;='Calc'!$C24)*(L_LWD&lt;EDATE('Calc'!$C24,1))*((L_TypeN="MS")))-SUMPRODUCT((L_StatusN="INACTIVE")*(ISNUMBER(L_LWD))*(L_LWD&gt;='Calc'!$C24)*(L_LWD&lt;EDATE('Calc'!$C24,1))*((L_TypeN="MS"))*(L_InP=1)*(L_TwinIna=1))))</f>
        <v/>
      </c>
      <c r="H24" s="16">
        <f>IF('Calc'!$H$2+'Calc'!$I$2&gt;0,"",IF('Calc'!$C24="","",SUMPRODUCT((ISNUMBER(P_Start))*(P_Start&gt;='Calc'!$C24)*(P_Start&lt;EDATE('Calc'!$C24,1))*((P_TypeN=UPPER(FiltCat))+(FiltCat="All")))+SUMPRODUCT((ISNUMBER(L_Start))*(L_Start&gt;='Calc'!$C24)*(L_Start&lt;EDATE('Calc'!$C24,1))*((L_TypeN=UPPER(FiltCat))+(FiltCat="All")))-SUMPRODUCT((ISNUMBER(L_Start))*(L_Start&gt;='Calc'!$C24)*(L_Start&lt;EDATE('Calc'!$C24,1))*((L_TypeN=UPPER(FiltCat))+(FiltCat="All"))*(L_InP=1))))</f>
        <v/>
      </c>
    </row>
    <row r="25" ht="22" customHeight="1">
      <c r="B25" s="13">
        <f>IF('Calc'!$H$2+'Calc'!$I$2&gt;0,"",IF('Calc'!$C25="","",TEXT('Calc'!$C25,"yyyy-mm")))</f>
        <v/>
      </c>
      <c r="C25" s="14">
        <f>IF('Calc'!$H$2+'Calc'!$I$2&gt;0,"",IF('Calc'!$C25="","",SUMPRODUCT((ISNUMBER(P_Start))*(P_Start&lt;=EOMONTH('Calc'!$C25,0))*(((P_StatusN="ACTIVE")+((ISNUMBER(P_LWD))*(P_LWD&gt;=EOMONTH('Calc'!$C25,0))))&gt;0)*((P_TypeN=UPPER(FiltCat))+(FiltCat="All")))+SUMPRODUCT((ISNUMBER(L_Start))*(L_Start&lt;=EOMONTH('Calc'!$C25,0))*(((L_StatusN="ACTIVE")+((ISNUMBER(L_LWD))*(L_LWD&gt;=EOMONTH('Calc'!$C25,0))))&gt;0)*((L_TypeN=UPPER(FiltCat))+(FiltCat="All")))-SUMPRODUCT((ISNUMBER(L_Start))*(L_Start&lt;=EOMONTH('Calc'!$C25,0))*(((L_StatusN="ACTIVE")+((ISNUMBER(L_LWD))*(L_LWD&gt;=EOMONTH('Calc'!$C25,0))))&gt;0)*((L_TypeN=UPPER(FiltCat))+(FiltCat="All"))*(L_InP=1))))</f>
        <v/>
      </c>
      <c r="D25" s="14">
        <f>IF('Calc'!$H$2+'Calc'!$I$2&gt;0,"",IF('Calc'!$C25="","",SUMPRODUCT((P_StatusN="INACTIVE")*(ISNUMBER(P_LWD))*(P_LWD&gt;='Calc'!$C25)*(P_LWD&lt;EDATE('Calc'!$C25,1))*((P_TypeN=UPPER(FiltCat))+(FiltCat="All")))+SUMPRODUCT((L_StatusN="INACTIVE")*(ISNUMBER(L_LWD))*(L_LWD&gt;='Calc'!$C25)*(L_LWD&lt;EDATE('Calc'!$C25,1))*((L_TypeN=UPPER(FiltCat))+(FiltCat="All")))-SUMPRODUCT((L_StatusN="INACTIVE")*(ISNUMBER(L_LWD))*(L_LWD&gt;='Calc'!$C25)*(L_LWD&lt;EDATE('Calc'!$C25,1))*((L_TypeN=UPPER(FiltCat))+(FiltCat="All"))*(L_InP=1)*(L_TwinIna=1))))</f>
        <v/>
      </c>
      <c r="E25" s="14">
        <f>IF('Calc'!$H$2+'Calc'!$I$2&gt;0,"",IF('Calc'!$C25="","",SUMPRODUCT((P_StatusN="INACTIVE")*(ISNUMBER(P_LWD))*(P_LWD&gt;='Calc'!$C25)*(P_LWD&lt;EDATE('Calc'!$C25,1))*((P_TypeN="PERM")))+SUMPRODUCT((L_StatusN="INACTIVE")*(ISNUMBER(L_LWD))*(L_LWD&gt;='Calc'!$C25)*(L_LWD&lt;EDATE('Calc'!$C25,1))*((L_TypeN="PERM")))-SUMPRODUCT((L_StatusN="INACTIVE")*(ISNUMBER(L_LWD))*(L_LWD&gt;='Calc'!$C25)*(L_LWD&lt;EDATE('Calc'!$C25,1))*((L_TypeN="PERM"))*(L_InP=1)*(L_TwinIna=1))))</f>
        <v/>
      </c>
      <c r="F25" s="14">
        <f>IF('Calc'!$H$2+'Calc'!$I$2&gt;0,"",IF('Calc'!$C25="","",SUMPRODUCT((P_StatusN="INACTIVE")*(ISNUMBER(P_LWD))*(P_LWD&gt;='Calc'!$C25)*(P_LWD&lt;EDATE('Calc'!$C25,1))*((P_TypeN="PC")))+SUMPRODUCT((L_StatusN="INACTIVE")*(ISNUMBER(L_LWD))*(L_LWD&gt;='Calc'!$C25)*(L_LWD&lt;EDATE('Calc'!$C25,1))*((L_TypeN="PC")))-SUMPRODUCT((L_StatusN="INACTIVE")*(ISNUMBER(L_LWD))*(L_LWD&gt;='Calc'!$C25)*(L_LWD&lt;EDATE('Calc'!$C25,1))*((L_TypeN="PC"))*(L_InP=1)*(L_TwinIna=1))))</f>
        <v/>
      </c>
      <c r="G25" s="14">
        <f>IF('Calc'!$H$2+'Calc'!$I$2&gt;0,"",IF('Calc'!$C25="","",SUMPRODUCT((P_StatusN="INACTIVE")*(ISNUMBER(P_LWD))*(P_LWD&gt;='Calc'!$C25)*(P_LWD&lt;EDATE('Calc'!$C25,1))*((P_TypeN="MS")))+SUMPRODUCT((L_StatusN="INACTIVE")*(ISNUMBER(L_LWD))*(L_LWD&gt;='Calc'!$C25)*(L_LWD&lt;EDATE('Calc'!$C25,1))*((L_TypeN="MS")))-SUMPRODUCT((L_StatusN="INACTIVE")*(ISNUMBER(L_LWD))*(L_LWD&gt;='Calc'!$C25)*(L_LWD&lt;EDATE('Calc'!$C25,1))*((L_TypeN="MS"))*(L_InP=1)*(L_TwinIna=1))))</f>
        <v/>
      </c>
      <c r="H25" s="14">
        <f>IF('Calc'!$H$2+'Calc'!$I$2&gt;0,"",IF('Calc'!$C25="","",SUMPRODUCT((ISNUMBER(P_Start))*(P_Start&gt;='Calc'!$C25)*(P_Start&lt;EDATE('Calc'!$C25,1))*((P_TypeN=UPPER(FiltCat))+(FiltCat="All")))+SUMPRODUCT((ISNUMBER(L_Start))*(L_Start&gt;='Calc'!$C25)*(L_Start&lt;EDATE('Calc'!$C25,1))*((L_TypeN=UPPER(FiltCat))+(FiltCat="All")))-SUMPRODUCT((ISNUMBER(L_Start))*(L_Start&gt;='Calc'!$C25)*(L_Start&lt;EDATE('Calc'!$C25,1))*((L_TypeN=UPPER(FiltCat))+(FiltCat="All"))*(L_InP=1))))</f>
        <v/>
      </c>
    </row>
    <row r="26" ht="22" customHeight="1">
      <c r="B26" s="15">
        <f>IF('Calc'!$H$2+'Calc'!$I$2&gt;0,"",IF('Calc'!$C26="","",TEXT('Calc'!$C26,"yyyy-mm")))</f>
        <v/>
      </c>
      <c r="C26" s="16">
        <f>IF('Calc'!$H$2+'Calc'!$I$2&gt;0,"",IF('Calc'!$C26="","",SUMPRODUCT((ISNUMBER(P_Start))*(P_Start&lt;=EOMONTH('Calc'!$C26,0))*(((P_StatusN="ACTIVE")+((ISNUMBER(P_LWD))*(P_LWD&gt;=EOMONTH('Calc'!$C26,0))))&gt;0)*((P_TypeN=UPPER(FiltCat))+(FiltCat="All")))+SUMPRODUCT((ISNUMBER(L_Start))*(L_Start&lt;=EOMONTH('Calc'!$C26,0))*(((L_StatusN="ACTIVE")+((ISNUMBER(L_LWD))*(L_LWD&gt;=EOMONTH('Calc'!$C26,0))))&gt;0)*((L_TypeN=UPPER(FiltCat))+(FiltCat="All")))-SUMPRODUCT((ISNUMBER(L_Start))*(L_Start&lt;=EOMONTH('Calc'!$C26,0))*(((L_StatusN="ACTIVE")+((ISNUMBER(L_LWD))*(L_LWD&gt;=EOMONTH('Calc'!$C26,0))))&gt;0)*((L_TypeN=UPPER(FiltCat))+(FiltCat="All"))*(L_InP=1))))</f>
        <v/>
      </c>
      <c r="D26" s="16">
        <f>IF('Calc'!$H$2+'Calc'!$I$2&gt;0,"",IF('Calc'!$C26="","",SUMPRODUCT((P_StatusN="INACTIVE")*(ISNUMBER(P_LWD))*(P_LWD&gt;='Calc'!$C26)*(P_LWD&lt;EDATE('Calc'!$C26,1))*((P_TypeN=UPPER(FiltCat))+(FiltCat="All")))+SUMPRODUCT((L_StatusN="INACTIVE")*(ISNUMBER(L_LWD))*(L_LWD&gt;='Calc'!$C26)*(L_LWD&lt;EDATE('Calc'!$C26,1))*((L_TypeN=UPPER(FiltCat))+(FiltCat="All")))-SUMPRODUCT((L_StatusN="INACTIVE")*(ISNUMBER(L_LWD))*(L_LWD&gt;='Calc'!$C26)*(L_LWD&lt;EDATE('Calc'!$C26,1))*((L_TypeN=UPPER(FiltCat))+(FiltCat="All"))*(L_InP=1)*(L_TwinIna=1))))</f>
        <v/>
      </c>
      <c r="E26" s="16">
        <f>IF('Calc'!$H$2+'Calc'!$I$2&gt;0,"",IF('Calc'!$C26="","",SUMPRODUCT((P_StatusN="INACTIVE")*(ISNUMBER(P_LWD))*(P_LWD&gt;='Calc'!$C26)*(P_LWD&lt;EDATE('Calc'!$C26,1))*((P_TypeN="PERM")))+SUMPRODUCT((L_StatusN="INACTIVE")*(ISNUMBER(L_LWD))*(L_LWD&gt;='Calc'!$C26)*(L_LWD&lt;EDATE('Calc'!$C26,1))*((L_TypeN="PERM")))-SUMPRODUCT((L_StatusN="INACTIVE")*(ISNUMBER(L_LWD))*(L_LWD&gt;='Calc'!$C26)*(L_LWD&lt;EDATE('Calc'!$C26,1))*((L_TypeN="PERM"))*(L_InP=1)*(L_TwinIna=1))))</f>
        <v/>
      </c>
      <c r="F26" s="16">
        <f>IF('Calc'!$H$2+'Calc'!$I$2&gt;0,"",IF('Calc'!$C26="","",SUMPRODUCT((P_StatusN="INACTIVE")*(ISNUMBER(P_LWD))*(P_LWD&gt;='Calc'!$C26)*(P_LWD&lt;EDATE('Calc'!$C26,1))*((P_TypeN="PC")))+SUMPRODUCT((L_StatusN="INACTIVE")*(ISNUMBER(L_LWD))*(L_LWD&gt;='Calc'!$C26)*(L_LWD&lt;EDATE('Calc'!$C26,1))*((L_TypeN="PC")))-SUMPRODUCT((L_StatusN="INACTIVE")*(ISNUMBER(L_LWD))*(L_LWD&gt;='Calc'!$C26)*(L_LWD&lt;EDATE('Calc'!$C26,1))*((L_TypeN="PC"))*(L_InP=1)*(L_TwinIna=1))))</f>
        <v/>
      </c>
      <c r="G26" s="16">
        <f>IF('Calc'!$H$2+'Calc'!$I$2&gt;0,"",IF('Calc'!$C26="","",SUMPRODUCT((P_StatusN="INACTIVE")*(ISNUMBER(P_LWD))*(P_LWD&gt;='Calc'!$C26)*(P_LWD&lt;EDATE('Calc'!$C26,1))*((P_TypeN="MS")))+SUMPRODUCT((L_StatusN="INACTIVE")*(ISNUMBER(L_LWD))*(L_LWD&gt;='Calc'!$C26)*(L_LWD&lt;EDATE('Calc'!$C26,1))*((L_TypeN="MS")))-SUMPRODUCT((L_StatusN="INACTIVE")*(ISNUMBER(L_LWD))*(L_LWD&gt;='Calc'!$C26)*(L_LWD&lt;EDATE('Calc'!$C26,1))*((L_TypeN="MS"))*(L_InP=1)*(L_TwinIna=1))))</f>
        <v/>
      </c>
      <c r="H26" s="16">
        <f>IF('Calc'!$H$2+'Calc'!$I$2&gt;0,"",IF('Calc'!$C26="","",SUMPRODUCT((ISNUMBER(P_Start))*(P_Start&gt;='Calc'!$C26)*(P_Start&lt;EDATE('Calc'!$C26,1))*((P_TypeN=UPPER(FiltCat))+(FiltCat="All")))+SUMPRODUCT((ISNUMBER(L_Start))*(L_Start&gt;='Calc'!$C26)*(L_Start&lt;EDATE('Calc'!$C26,1))*((L_TypeN=UPPER(FiltCat))+(FiltCat="All")))-SUMPRODUCT((ISNUMBER(L_Start))*(L_Start&gt;='Calc'!$C26)*(L_Start&lt;EDATE('Calc'!$C26,1))*((L_TypeN=UPPER(FiltCat))+(FiltCat="All"))*(L_InP=1))))</f>
        <v/>
      </c>
    </row>
    <row r="27" ht="22" customHeight="1">
      <c r="B27" s="13">
        <f>IF('Calc'!$H$2+'Calc'!$I$2&gt;0,"",IF('Calc'!$C27="","",TEXT('Calc'!$C27,"yyyy-mm")))</f>
        <v/>
      </c>
      <c r="C27" s="14">
        <f>IF('Calc'!$H$2+'Calc'!$I$2&gt;0,"",IF('Calc'!$C27="","",SUMPRODUCT((ISNUMBER(P_Start))*(P_Start&lt;=EOMONTH('Calc'!$C27,0))*(((P_StatusN="ACTIVE")+((ISNUMBER(P_LWD))*(P_LWD&gt;=EOMONTH('Calc'!$C27,0))))&gt;0)*((P_TypeN=UPPER(FiltCat))+(FiltCat="All")))+SUMPRODUCT((ISNUMBER(L_Start))*(L_Start&lt;=EOMONTH('Calc'!$C27,0))*(((L_StatusN="ACTIVE")+((ISNUMBER(L_LWD))*(L_LWD&gt;=EOMONTH('Calc'!$C27,0))))&gt;0)*((L_TypeN=UPPER(FiltCat))+(FiltCat="All")))-SUMPRODUCT((ISNUMBER(L_Start))*(L_Start&lt;=EOMONTH('Calc'!$C27,0))*(((L_StatusN="ACTIVE")+((ISNUMBER(L_LWD))*(L_LWD&gt;=EOMONTH('Calc'!$C27,0))))&gt;0)*((L_TypeN=UPPER(FiltCat))+(FiltCat="All"))*(L_InP=1))))</f>
        <v/>
      </c>
      <c r="D27" s="14">
        <f>IF('Calc'!$H$2+'Calc'!$I$2&gt;0,"",IF('Calc'!$C27="","",SUMPRODUCT((P_StatusN="INACTIVE")*(ISNUMBER(P_LWD))*(P_LWD&gt;='Calc'!$C27)*(P_LWD&lt;EDATE('Calc'!$C27,1))*((P_TypeN=UPPER(FiltCat))+(FiltCat="All")))+SUMPRODUCT((L_StatusN="INACTIVE")*(ISNUMBER(L_LWD))*(L_LWD&gt;='Calc'!$C27)*(L_LWD&lt;EDATE('Calc'!$C27,1))*((L_TypeN=UPPER(FiltCat))+(FiltCat="All")))-SUMPRODUCT((L_StatusN="INACTIVE")*(ISNUMBER(L_LWD))*(L_LWD&gt;='Calc'!$C27)*(L_LWD&lt;EDATE('Calc'!$C27,1))*((L_TypeN=UPPER(FiltCat))+(FiltCat="All"))*(L_InP=1)*(L_TwinIna=1))))</f>
        <v/>
      </c>
      <c r="E27" s="14">
        <f>IF('Calc'!$H$2+'Calc'!$I$2&gt;0,"",IF('Calc'!$C27="","",SUMPRODUCT((P_StatusN="INACTIVE")*(ISNUMBER(P_LWD))*(P_LWD&gt;='Calc'!$C27)*(P_LWD&lt;EDATE('Calc'!$C27,1))*((P_TypeN="PERM")))+SUMPRODUCT((L_StatusN="INACTIVE")*(ISNUMBER(L_LWD))*(L_LWD&gt;='Calc'!$C27)*(L_LWD&lt;EDATE('Calc'!$C27,1))*((L_TypeN="PERM")))-SUMPRODUCT((L_StatusN="INACTIVE")*(ISNUMBER(L_LWD))*(L_LWD&gt;='Calc'!$C27)*(L_LWD&lt;EDATE('Calc'!$C27,1))*((L_TypeN="PERM"))*(L_InP=1)*(L_TwinIna=1))))</f>
        <v/>
      </c>
      <c r="F27" s="14">
        <f>IF('Calc'!$H$2+'Calc'!$I$2&gt;0,"",IF('Calc'!$C27="","",SUMPRODUCT((P_StatusN="INACTIVE")*(ISNUMBER(P_LWD))*(P_LWD&gt;='Calc'!$C27)*(P_LWD&lt;EDATE('Calc'!$C27,1))*((P_TypeN="PC")))+SUMPRODUCT((L_StatusN="INACTIVE")*(ISNUMBER(L_LWD))*(L_LWD&gt;='Calc'!$C27)*(L_LWD&lt;EDATE('Calc'!$C27,1))*((L_TypeN="PC")))-SUMPRODUCT((L_StatusN="INACTIVE")*(ISNUMBER(L_LWD))*(L_LWD&gt;='Calc'!$C27)*(L_LWD&lt;EDATE('Calc'!$C27,1))*((L_TypeN="PC"))*(L_InP=1)*(L_TwinIna=1))))</f>
        <v/>
      </c>
      <c r="G27" s="14">
        <f>IF('Calc'!$H$2+'Calc'!$I$2&gt;0,"",IF('Calc'!$C27="","",SUMPRODUCT((P_StatusN="INACTIVE")*(ISNUMBER(P_LWD))*(P_LWD&gt;='Calc'!$C27)*(P_LWD&lt;EDATE('Calc'!$C27,1))*((P_TypeN="MS")))+SUMPRODUCT((L_StatusN="INACTIVE")*(ISNUMBER(L_LWD))*(L_LWD&gt;='Calc'!$C27)*(L_LWD&lt;EDATE('Calc'!$C27,1))*((L_TypeN="MS")))-SUMPRODUCT((L_StatusN="INACTIVE")*(ISNUMBER(L_LWD))*(L_LWD&gt;='Calc'!$C27)*(L_LWD&lt;EDATE('Calc'!$C27,1))*((L_TypeN="MS"))*(L_InP=1)*(L_TwinIna=1))))</f>
        <v/>
      </c>
      <c r="H27" s="14">
        <f>IF('Calc'!$H$2+'Calc'!$I$2&gt;0,"",IF('Calc'!$C27="","",SUMPRODUCT((ISNUMBER(P_Start))*(P_Start&gt;='Calc'!$C27)*(P_Start&lt;EDATE('Calc'!$C27,1))*((P_TypeN=UPPER(FiltCat))+(FiltCat="All")))+SUMPRODUCT((ISNUMBER(L_Start))*(L_Start&gt;='Calc'!$C27)*(L_Start&lt;EDATE('Calc'!$C27,1))*((L_TypeN=UPPER(FiltCat))+(FiltCat="All")))-SUMPRODUCT((ISNUMBER(L_Start))*(L_Start&gt;='Calc'!$C27)*(L_Start&lt;EDATE('Calc'!$C27,1))*((L_TypeN=UPPER(FiltCat))+(FiltCat="All"))*(L_InP=1))))</f>
        <v/>
      </c>
    </row>
    <row r="28" ht="22" customHeight="1">
      <c r="B28" s="15">
        <f>IF('Calc'!$H$2+'Calc'!$I$2&gt;0,"",IF('Calc'!$C28="","",TEXT('Calc'!$C28,"yyyy-mm")))</f>
        <v/>
      </c>
      <c r="C28" s="16">
        <f>IF('Calc'!$H$2+'Calc'!$I$2&gt;0,"",IF('Calc'!$C28="","",SUMPRODUCT((ISNUMBER(P_Start))*(P_Start&lt;=EOMONTH('Calc'!$C28,0))*(((P_StatusN="ACTIVE")+((ISNUMBER(P_LWD))*(P_LWD&gt;=EOMONTH('Calc'!$C28,0))))&gt;0)*((P_TypeN=UPPER(FiltCat))+(FiltCat="All")))+SUMPRODUCT((ISNUMBER(L_Start))*(L_Start&lt;=EOMONTH('Calc'!$C28,0))*(((L_StatusN="ACTIVE")+((ISNUMBER(L_LWD))*(L_LWD&gt;=EOMONTH('Calc'!$C28,0))))&gt;0)*((L_TypeN=UPPER(FiltCat))+(FiltCat="All")))-SUMPRODUCT((ISNUMBER(L_Start))*(L_Start&lt;=EOMONTH('Calc'!$C28,0))*(((L_StatusN="ACTIVE")+((ISNUMBER(L_LWD))*(L_LWD&gt;=EOMONTH('Calc'!$C28,0))))&gt;0)*((L_TypeN=UPPER(FiltCat))+(FiltCat="All"))*(L_InP=1))))</f>
        <v/>
      </c>
      <c r="D28" s="16">
        <f>IF('Calc'!$H$2+'Calc'!$I$2&gt;0,"",IF('Calc'!$C28="","",SUMPRODUCT((P_StatusN="INACTIVE")*(ISNUMBER(P_LWD))*(P_LWD&gt;='Calc'!$C28)*(P_LWD&lt;EDATE('Calc'!$C28,1))*((P_TypeN=UPPER(FiltCat))+(FiltCat="All")))+SUMPRODUCT((L_StatusN="INACTIVE")*(ISNUMBER(L_LWD))*(L_LWD&gt;='Calc'!$C28)*(L_LWD&lt;EDATE('Calc'!$C28,1))*((L_TypeN=UPPER(FiltCat))+(FiltCat="All")))-SUMPRODUCT((L_StatusN="INACTIVE")*(ISNUMBER(L_LWD))*(L_LWD&gt;='Calc'!$C28)*(L_LWD&lt;EDATE('Calc'!$C28,1))*((L_TypeN=UPPER(FiltCat))+(FiltCat="All"))*(L_InP=1)*(L_TwinIna=1))))</f>
        <v/>
      </c>
      <c r="E28" s="16">
        <f>IF('Calc'!$H$2+'Calc'!$I$2&gt;0,"",IF('Calc'!$C28="","",SUMPRODUCT((P_StatusN="INACTIVE")*(ISNUMBER(P_LWD))*(P_LWD&gt;='Calc'!$C28)*(P_LWD&lt;EDATE('Calc'!$C28,1))*((P_TypeN="PERM")))+SUMPRODUCT((L_StatusN="INACTIVE")*(ISNUMBER(L_LWD))*(L_LWD&gt;='Calc'!$C28)*(L_LWD&lt;EDATE('Calc'!$C28,1))*((L_TypeN="PERM")))-SUMPRODUCT((L_StatusN="INACTIVE")*(ISNUMBER(L_LWD))*(L_LWD&gt;='Calc'!$C28)*(L_LWD&lt;EDATE('Calc'!$C28,1))*((L_TypeN="PERM"))*(L_InP=1)*(L_TwinIna=1))))</f>
        <v/>
      </c>
      <c r="F28" s="16">
        <f>IF('Calc'!$H$2+'Calc'!$I$2&gt;0,"",IF('Calc'!$C28="","",SUMPRODUCT((P_StatusN="INACTIVE")*(ISNUMBER(P_LWD))*(P_LWD&gt;='Calc'!$C28)*(P_LWD&lt;EDATE('Calc'!$C28,1))*((P_TypeN="PC")))+SUMPRODUCT((L_StatusN="INACTIVE")*(ISNUMBER(L_LWD))*(L_LWD&gt;='Calc'!$C28)*(L_LWD&lt;EDATE('Calc'!$C28,1))*((L_TypeN="PC")))-SUMPRODUCT((L_StatusN="INACTIVE")*(ISNUMBER(L_LWD))*(L_LWD&gt;='Calc'!$C28)*(L_LWD&lt;EDATE('Calc'!$C28,1))*((L_TypeN="PC"))*(L_InP=1)*(L_TwinIna=1))))</f>
        <v/>
      </c>
      <c r="G28" s="16">
        <f>IF('Calc'!$H$2+'Calc'!$I$2&gt;0,"",IF('Calc'!$C28="","",SUMPRODUCT((P_StatusN="INACTIVE")*(ISNUMBER(P_LWD))*(P_LWD&gt;='Calc'!$C28)*(P_LWD&lt;EDATE('Calc'!$C28,1))*((P_TypeN="MS")))+SUMPRODUCT((L_StatusN="INACTIVE")*(ISNUMBER(L_LWD))*(L_LWD&gt;='Calc'!$C28)*(L_LWD&lt;EDATE('Calc'!$C28,1))*((L_TypeN="MS")))-SUMPRODUCT((L_StatusN="INACTIVE")*(ISNUMBER(L_LWD))*(L_LWD&gt;='Calc'!$C28)*(L_LWD&lt;EDATE('Calc'!$C28,1))*((L_TypeN="MS"))*(L_InP=1)*(L_TwinIna=1))))</f>
        <v/>
      </c>
      <c r="H28" s="16">
        <f>IF('Calc'!$H$2+'Calc'!$I$2&gt;0,"",IF('Calc'!$C28="","",SUMPRODUCT((ISNUMBER(P_Start))*(P_Start&gt;='Calc'!$C28)*(P_Start&lt;EDATE('Calc'!$C28,1))*((P_TypeN=UPPER(FiltCat))+(FiltCat="All")))+SUMPRODUCT((ISNUMBER(L_Start))*(L_Start&gt;='Calc'!$C28)*(L_Start&lt;EDATE('Calc'!$C28,1))*((L_TypeN=UPPER(FiltCat))+(FiltCat="All")))-SUMPRODUCT((ISNUMBER(L_Start))*(L_Start&gt;='Calc'!$C28)*(L_Start&lt;EDATE('Calc'!$C28,1))*((L_TypeN=UPPER(FiltCat))+(FiltCat="All"))*(L_InP=1))))</f>
        <v/>
      </c>
    </row>
    <row r="29" ht="22" customHeight="1">
      <c r="B29" s="13">
        <f>IF('Calc'!$H$2+'Calc'!$I$2&gt;0,"",IF('Calc'!$C29="","",TEXT('Calc'!$C29,"yyyy-mm")))</f>
        <v/>
      </c>
      <c r="C29" s="14">
        <f>IF('Calc'!$H$2+'Calc'!$I$2&gt;0,"",IF('Calc'!$C29="","",SUMPRODUCT((ISNUMBER(P_Start))*(P_Start&lt;=EOMONTH('Calc'!$C29,0))*(((P_StatusN="ACTIVE")+((ISNUMBER(P_LWD))*(P_LWD&gt;=EOMONTH('Calc'!$C29,0))))&gt;0)*((P_TypeN=UPPER(FiltCat))+(FiltCat="All")))+SUMPRODUCT((ISNUMBER(L_Start))*(L_Start&lt;=EOMONTH('Calc'!$C29,0))*(((L_StatusN="ACTIVE")+((ISNUMBER(L_LWD))*(L_LWD&gt;=EOMONTH('Calc'!$C29,0))))&gt;0)*((L_TypeN=UPPER(FiltCat))+(FiltCat="All")))-SUMPRODUCT((ISNUMBER(L_Start))*(L_Start&lt;=EOMONTH('Calc'!$C29,0))*(((L_StatusN="ACTIVE")+((ISNUMBER(L_LWD))*(L_LWD&gt;=EOMONTH('Calc'!$C29,0))))&gt;0)*((L_TypeN=UPPER(FiltCat))+(FiltCat="All"))*(L_InP=1))))</f>
        <v/>
      </c>
      <c r="D29" s="14">
        <f>IF('Calc'!$H$2+'Calc'!$I$2&gt;0,"",IF('Calc'!$C29="","",SUMPRODUCT((P_StatusN="INACTIVE")*(ISNUMBER(P_LWD))*(P_LWD&gt;='Calc'!$C29)*(P_LWD&lt;EDATE('Calc'!$C29,1))*((P_TypeN=UPPER(FiltCat))+(FiltCat="All")))+SUMPRODUCT((L_StatusN="INACTIVE")*(ISNUMBER(L_LWD))*(L_LWD&gt;='Calc'!$C29)*(L_LWD&lt;EDATE('Calc'!$C29,1))*((L_TypeN=UPPER(FiltCat))+(FiltCat="All")))-SUMPRODUCT((L_StatusN="INACTIVE")*(ISNUMBER(L_LWD))*(L_LWD&gt;='Calc'!$C29)*(L_LWD&lt;EDATE('Calc'!$C29,1))*((L_TypeN=UPPER(FiltCat))+(FiltCat="All"))*(L_InP=1)*(L_TwinIna=1))))</f>
        <v/>
      </c>
      <c r="E29" s="14">
        <f>IF('Calc'!$H$2+'Calc'!$I$2&gt;0,"",IF('Calc'!$C29="","",SUMPRODUCT((P_StatusN="INACTIVE")*(ISNUMBER(P_LWD))*(P_LWD&gt;='Calc'!$C29)*(P_LWD&lt;EDATE('Calc'!$C29,1))*((P_TypeN="PERM")))+SUMPRODUCT((L_StatusN="INACTIVE")*(ISNUMBER(L_LWD))*(L_LWD&gt;='Calc'!$C29)*(L_LWD&lt;EDATE('Calc'!$C29,1))*((L_TypeN="PERM")))-SUMPRODUCT((L_StatusN="INACTIVE")*(ISNUMBER(L_LWD))*(L_LWD&gt;='Calc'!$C29)*(L_LWD&lt;EDATE('Calc'!$C29,1))*((L_TypeN="PERM"))*(L_InP=1)*(L_TwinIna=1))))</f>
        <v/>
      </c>
      <c r="F29" s="14">
        <f>IF('Calc'!$H$2+'Calc'!$I$2&gt;0,"",IF('Calc'!$C29="","",SUMPRODUCT((P_StatusN="INACTIVE")*(ISNUMBER(P_LWD))*(P_LWD&gt;='Calc'!$C29)*(P_LWD&lt;EDATE('Calc'!$C29,1))*((P_TypeN="PC")))+SUMPRODUCT((L_StatusN="INACTIVE")*(ISNUMBER(L_LWD))*(L_LWD&gt;='Calc'!$C29)*(L_LWD&lt;EDATE('Calc'!$C29,1))*((L_TypeN="PC")))-SUMPRODUCT((L_StatusN="INACTIVE")*(ISNUMBER(L_LWD))*(L_LWD&gt;='Calc'!$C29)*(L_LWD&lt;EDATE('Calc'!$C29,1))*((L_TypeN="PC"))*(L_InP=1)*(L_TwinIna=1))))</f>
        <v/>
      </c>
      <c r="G29" s="14">
        <f>IF('Calc'!$H$2+'Calc'!$I$2&gt;0,"",IF('Calc'!$C29="","",SUMPRODUCT((P_StatusN="INACTIVE")*(ISNUMBER(P_LWD))*(P_LWD&gt;='Calc'!$C29)*(P_LWD&lt;EDATE('Calc'!$C29,1))*((P_TypeN="MS")))+SUMPRODUCT((L_StatusN="INACTIVE")*(ISNUMBER(L_LWD))*(L_LWD&gt;='Calc'!$C29)*(L_LWD&lt;EDATE('Calc'!$C29,1))*((L_TypeN="MS")))-SUMPRODUCT((L_StatusN="INACTIVE")*(ISNUMBER(L_LWD))*(L_LWD&gt;='Calc'!$C29)*(L_LWD&lt;EDATE('Calc'!$C29,1))*((L_TypeN="MS"))*(L_InP=1)*(L_TwinIna=1))))</f>
        <v/>
      </c>
      <c r="H29" s="14">
        <f>IF('Calc'!$H$2+'Calc'!$I$2&gt;0,"",IF('Calc'!$C29="","",SUMPRODUCT((ISNUMBER(P_Start))*(P_Start&gt;='Calc'!$C29)*(P_Start&lt;EDATE('Calc'!$C29,1))*((P_TypeN=UPPER(FiltCat))+(FiltCat="All")))+SUMPRODUCT((ISNUMBER(L_Start))*(L_Start&gt;='Calc'!$C29)*(L_Start&lt;EDATE('Calc'!$C29,1))*((L_TypeN=UPPER(FiltCat))+(FiltCat="All")))-SUMPRODUCT((ISNUMBER(L_Start))*(L_Start&gt;='Calc'!$C29)*(L_Start&lt;EDATE('Calc'!$C29,1))*((L_TypeN=UPPER(FiltCat))+(FiltCat="All"))*(L_InP=1))))</f>
        <v/>
      </c>
    </row>
    <row r="30" ht="22" customHeight="1">
      <c r="B30" s="15">
        <f>IF('Calc'!$H$2+'Calc'!$I$2&gt;0,"",IF('Calc'!$C30="","",TEXT('Calc'!$C30,"yyyy-mm")))</f>
        <v/>
      </c>
      <c r="C30" s="16">
        <f>IF('Calc'!$H$2+'Calc'!$I$2&gt;0,"",IF('Calc'!$C30="","",SUMPRODUCT((ISNUMBER(P_Start))*(P_Start&lt;=EOMONTH('Calc'!$C30,0))*(((P_StatusN="ACTIVE")+((ISNUMBER(P_LWD))*(P_LWD&gt;=EOMONTH('Calc'!$C30,0))))&gt;0)*((P_TypeN=UPPER(FiltCat))+(FiltCat="All")))+SUMPRODUCT((ISNUMBER(L_Start))*(L_Start&lt;=EOMONTH('Calc'!$C30,0))*(((L_StatusN="ACTIVE")+((ISNUMBER(L_LWD))*(L_LWD&gt;=EOMONTH('Calc'!$C30,0))))&gt;0)*((L_TypeN=UPPER(FiltCat))+(FiltCat="All")))-SUMPRODUCT((ISNUMBER(L_Start))*(L_Start&lt;=EOMONTH('Calc'!$C30,0))*(((L_StatusN="ACTIVE")+((ISNUMBER(L_LWD))*(L_LWD&gt;=EOMONTH('Calc'!$C30,0))))&gt;0)*((L_TypeN=UPPER(FiltCat))+(FiltCat="All"))*(L_InP=1))))</f>
        <v/>
      </c>
      <c r="D30" s="16">
        <f>IF('Calc'!$H$2+'Calc'!$I$2&gt;0,"",IF('Calc'!$C30="","",SUMPRODUCT((P_StatusN="INACTIVE")*(ISNUMBER(P_LWD))*(P_LWD&gt;='Calc'!$C30)*(P_LWD&lt;EDATE('Calc'!$C30,1))*((P_TypeN=UPPER(FiltCat))+(FiltCat="All")))+SUMPRODUCT((L_StatusN="INACTIVE")*(ISNUMBER(L_LWD))*(L_LWD&gt;='Calc'!$C30)*(L_LWD&lt;EDATE('Calc'!$C30,1))*((L_TypeN=UPPER(FiltCat))+(FiltCat="All")))-SUMPRODUCT((L_StatusN="INACTIVE")*(ISNUMBER(L_LWD))*(L_LWD&gt;='Calc'!$C30)*(L_LWD&lt;EDATE('Calc'!$C30,1))*((L_TypeN=UPPER(FiltCat))+(FiltCat="All"))*(L_InP=1)*(L_TwinIna=1))))</f>
        <v/>
      </c>
      <c r="E30" s="16">
        <f>IF('Calc'!$H$2+'Calc'!$I$2&gt;0,"",IF('Calc'!$C30="","",SUMPRODUCT((P_StatusN="INACTIVE")*(ISNUMBER(P_LWD))*(P_LWD&gt;='Calc'!$C30)*(P_LWD&lt;EDATE('Calc'!$C30,1))*((P_TypeN="PERM")))+SUMPRODUCT((L_StatusN="INACTIVE")*(ISNUMBER(L_LWD))*(L_LWD&gt;='Calc'!$C30)*(L_LWD&lt;EDATE('Calc'!$C30,1))*((L_TypeN="PERM")))-SUMPRODUCT((L_StatusN="INACTIVE")*(ISNUMBER(L_LWD))*(L_LWD&gt;='Calc'!$C30)*(L_LWD&lt;EDATE('Calc'!$C30,1))*((L_TypeN="PERM"))*(L_InP=1)*(L_TwinIna=1))))</f>
        <v/>
      </c>
      <c r="F30" s="16">
        <f>IF('Calc'!$H$2+'Calc'!$I$2&gt;0,"",IF('Calc'!$C30="","",SUMPRODUCT((P_StatusN="INACTIVE")*(ISNUMBER(P_LWD))*(P_LWD&gt;='Calc'!$C30)*(P_LWD&lt;EDATE('Calc'!$C30,1))*((P_TypeN="PC")))+SUMPRODUCT((L_StatusN="INACTIVE")*(ISNUMBER(L_LWD))*(L_LWD&gt;='Calc'!$C30)*(L_LWD&lt;EDATE('Calc'!$C30,1))*((L_TypeN="PC")))-SUMPRODUCT((L_StatusN="INACTIVE")*(ISNUMBER(L_LWD))*(L_LWD&gt;='Calc'!$C30)*(L_LWD&lt;EDATE('Calc'!$C30,1))*((L_TypeN="PC"))*(L_InP=1)*(L_TwinIna=1))))</f>
        <v/>
      </c>
      <c r="G30" s="16">
        <f>IF('Calc'!$H$2+'Calc'!$I$2&gt;0,"",IF('Calc'!$C30="","",SUMPRODUCT((P_StatusN="INACTIVE")*(ISNUMBER(P_LWD))*(P_LWD&gt;='Calc'!$C30)*(P_LWD&lt;EDATE('Calc'!$C30,1))*((P_TypeN="MS")))+SUMPRODUCT((L_StatusN="INACTIVE")*(ISNUMBER(L_LWD))*(L_LWD&gt;='Calc'!$C30)*(L_LWD&lt;EDATE('Calc'!$C30,1))*((L_TypeN="MS")))-SUMPRODUCT((L_StatusN="INACTIVE")*(ISNUMBER(L_LWD))*(L_LWD&gt;='Calc'!$C30)*(L_LWD&lt;EDATE('Calc'!$C30,1))*((L_TypeN="MS"))*(L_InP=1)*(L_TwinIna=1))))</f>
        <v/>
      </c>
      <c r="H30" s="16">
        <f>IF('Calc'!$H$2+'Calc'!$I$2&gt;0,"",IF('Calc'!$C30="","",SUMPRODUCT((ISNUMBER(P_Start))*(P_Start&gt;='Calc'!$C30)*(P_Start&lt;EDATE('Calc'!$C30,1))*((P_TypeN=UPPER(FiltCat))+(FiltCat="All")))+SUMPRODUCT((ISNUMBER(L_Start))*(L_Start&gt;='Calc'!$C30)*(L_Start&lt;EDATE('Calc'!$C30,1))*((L_TypeN=UPPER(FiltCat))+(FiltCat="All")))-SUMPRODUCT((ISNUMBER(L_Start))*(L_Start&gt;='Calc'!$C30)*(L_Start&lt;EDATE('Calc'!$C30,1))*((L_TypeN=UPPER(FiltCat))+(FiltCat="All"))*(L_InP=1))))</f>
        <v/>
      </c>
    </row>
    <row r="31" ht="22" customHeight="1">
      <c r="B31" s="13">
        <f>IF('Calc'!$H$2+'Calc'!$I$2&gt;0,"",IF('Calc'!$C31="","",TEXT('Calc'!$C31,"yyyy-mm")))</f>
        <v/>
      </c>
      <c r="C31" s="14">
        <f>IF('Calc'!$H$2+'Calc'!$I$2&gt;0,"",IF('Calc'!$C31="","",SUMPRODUCT((ISNUMBER(P_Start))*(P_Start&lt;=EOMONTH('Calc'!$C31,0))*(((P_StatusN="ACTIVE")+((ISNUMBER(P_LWD))*(P_LWD&gt;=EOMONTH('Calc'!$C31,0))))&gt;0)*((P_TypeN=UPPER(FiltCat))+(FiltCat="All")))+SUMPRODUCT((ISNUMBER(L_Start))*(L_Start&lt;=EOMONTH('Calc'!$C31,0))*(((L_StatusN="ACTIVE")+((ISNUMBER(L_LWD))*(L_LWD&gt;=EOMONTH('Calc'!$C31,0))))&gt;0)*((L_TypeN=UPPER(FiltCat))+(FiltCat="All")))-SUMPRODUCT((ISNUMBER(L_Start))*(L_Start&lt;=EOMONTH('Calc'!$C31,0))*(((L_StatusN="ACTIVE")+((ISNUMBER(L_LWD))*(L_LWD&gt;=EOMONTH('Calc'!$C31,0))))&gt;0)*((L_TypeN=UPPER(FiltCat))+(FiltCat="All"))*(L_InP=1))))</f>
        <v/>
      </c>
      <c r="D31" s="14">
        <f>IF('Calc'!$H$2+'Calc'!$I$2&gt;0,"",IF('Calc'!$C31="","",SUMPRODUCT((P_StatusN="INACTIVE")*(ISNUMBER(P_LWD))*(P_LWD&gt;='Calc'!$C31)*(P_LWD&lt;EDATE('Calc'!$C31,1))*((P_TypeN=UPPER(FiltCat))+(FiltCat="All")))+SUMPRODUCT((L_StatusN="INACTIVE")*(ISNUMBER(L_LWD))*(L_LWD&gt;='Calc'!$C31)*(L_LWD&lt;EDATE('Calc'!$C31,1))*((L_TypeN=UPPER(FiltCat))+(FiltCat="All")))-SUMPRODUCT((L_StatusN="INACTIVE")*(ISNUMBER(L_LWD))*(L_LWD&gt;='Calc'!$C31)*(L_LWD&lt;EDATE('Calc'!$C31,1))*((L_TypeN=UPPER(FiltCat))+(FiltCat="All"))*(L_InP=1)*(L_TwinIna=1))))</f>
        <v/>
      </c>
      <c r="E31" s="14">
        <f>IF('Calc'!$H$2+'Calc'!$I$2&gt;0,"",IF('Calc'!$C31="","",SUMPRODUCT((P_StatusN="INACTIVE")*(ISNUMBER(P_LWD))*(P_LWD&gt;='Calc'!$C31)*(P_LWD&lt;EDATE('Calc'!$C31,1))*((P_TypeN="PERM")))+SUMPRODUCT((L_StatusN="INACTIVE")*(ISNUMBER(L_LWD))*(L_LWD&gt;='Calc'!$C31)*(L_LWD&lt;EDATE('Calc'!$C31,1))*((L_TypeN="PERM")))-SUMPRODUCT((L_StatusN="INACTIVE")*(ISNUMBER(L_LWD))*(L_LWD&gt;='Calc'!$C31)*(L_LWD&lt;EDATE('Calc'!$C31,1))*((L_TypeN="PERM"))*(L_InP=1)*(L_TwinIna=1))))</f>
        <v/>
      </c>
      <c r="F31" s="14">
        <f>IF('Calc'!$H$2+'Calc'!$I$2&gt;0,"",IF('Calc'!$C31="","",SUMPRODUCT((P_StatusN="INACTIVE")*(ISNUMBER(P_LWD))*(P_LWD&gt;='Calc'!$C31)*(P_LWD&lt;EDATE('Calc'!$C31,1))*((P_TypeN="PC")))+SUMPRODUCT((L_StatusN="INACTIVE")*(ISNUMBER(L_LWD))*(L_LWD&gt;='Calc'!$C31)*(L_LWD&lt;EDATE('Calc'!$C31,1))*((L_TypeN="PC")))-SUMPRODUCT((L_StatusN="INACTIVE")*(ISNUMBER(L_LWD))*(L_LWD&gt;='Calc'!$C31)*(L_LWD&lt;EDATE('Calc'!$C31,1))*((L_TypeN="PC"))*(L_InP=1)*(L_TwinIna=1))))</f>
        <v/>
      </c>
      <c r="G31" s="14">
        <f>IF('Calc'!$H$2+'Calc'!$I$2&gt;0,"",IF('Calc'!$C31="","",SUMPRODUCT((P_StatusN="INACTIVE")*(ISNUMBER(P_LWD))*(P_LWD&gt;='Calc'!$C31)*(P_LWD&lt;EDATE('Calc'!$C31,1))*((P_TypeN="MS")))+SUMPRODUCT((L_StatusN="INACTIVE")*(ISNUMBER(L_LWD))*(L_LWD&gt;='Calc'!$C31)*(L_LWD&lt;EDATE('Calc'!$C31,1))*((L_TypeN="MS")))-SUMPRODUCT((L_StatusN="INACTIVE")*(ISNUMBER(L_LWD))*(L_LWD&gt;='Calc'!$C31)*(L_LWD&lt;EDATE('Calc'!$C31,1))*((L_TypeN="MS"))*(L_InP=1)*(L_TwinIna=1))))</f>
        <v/>
      </c>
      <c r="H31" s="14">
        <f>IF('Calc'!$H$2+'Calc'!$I$2&gt;0,"",IF('Calc'!$C31="","",SUMPRODUCT((ISNUMBER(P_Start))*(P_Start&gt;='Calc'!$C31)*(P_Start&lt;EDATE('Calc'!$C31,1))*((P_TypeN=UPPER(FiltCat))+(FiltCat="All")))+SUMPRODUCT((ISNUMBER(L_Start))*(L_Start&gt;='Calc'!$C31)*(L_Start&lt;EDATE('Calc'!$C31,1))*((L_TypeN=UPPER(FiltCat))+(FiltCat="All")))-SUMPRODUCT((ISNUMBER(L_Start))*(L_Start&gt;='Calc'!$C31)*(L_Start&lt;EDATE('Calc'!$C31,1))*((L_TypeN=UPPER(FiltCat))+(FiltCat="All"))*(L_InP=1))))</f>
        <v/>
      </c>
    </row>
    <row r="32" ht="22" customHeight="1">
      <c r="B32" s="15">
        <f>IF('Calc'!$H$2+'Calc'!$I$2&gt;0,"",IF('Calc'!$C32="","",TEXT('Calc'!$C32,"yyyy-mm")))</f>
        <v/>
      </c>
      <c r="C32" s="16">
        <f>IF('Calc'!$H$2+'Calc'!$I$2&gt;0,"",IF('Calc'!$C32="","",SUMPRODUCT((ISNUMBER(P_Start))*(P_Start&lt;=EOMONTH('Calc'!$C32,0))*(((P_StatusN="ACTIVE")+((ISNUMBER(P_LWD))*(P_LWD&gt;=EOMONTH('Calc'!$C32,0))))&gt;0)*((P_TypeN=UPPER(FiltCat))+(FiltCat="All")))+SUMPRODUCT((ISNUMBER(L_Start))*(L_Start&lt;=EOMONTH('Calc'!$C32,0))*(((L_StatusN="ACTIVE")+((ISNUMBER(L_LWD))*(L_LWD&gt;=EOMONTH('Calc'!$C32,0))))&gt;0)*((L_TypeN=UPPER(FiltCat))+(FiltCat="All")))-SUMPRODUCT((ISNUMBER(L_Start))*(L_Start&lt;=EOMONTH('Calc'!$C32,0))*(((L_StatusN="ACTIVE")+((ISNUMBER(L_LWD))*(L_LWD&gt;=EOMONTH('Calc'!$C32,0))))&gt;0)*((L_TypeN=UPPER(FiltCat))+(FiltCat="All"))*(L_InP=1))))</f>
        <v/>
      </c>
      <c r="D32" s="16">
        <f>IF('Calc'!$H$2+'Calc'!$I$2&gt;0,"",IF('Calc'!$C32="","",SUMPRODUCT((P_StatusN="INACTIVE")*(ISNUMBER(P_LWD))*(P_LWD&gt;='Calc'!$C32)*(P_LWD&lt;EDATE('Calc'!$C32,1))*((P_TypeN=UPPER(FiltCat))+(FiltCat="All")))+SUMPRODUCT((L_StatusN="INACTIVE")*(ISNUMBER(L_LWD))*(L_LWD&gt;='Calc'!$C32)*(L_LWD&lt;EDATE('Calc'!$C32,1))*((L_TypeN=UPPER(FiltCat))+(FiltCat="All")))-SUMPRODUCT((L_StatusN="INACTIVE")*(ISNUMBER(L_LWD))*(L_LWD&gt;='Calc'!$C32)*(L_LWD&lt;EDATE('Calc'!$C32,1))*((L_TypeN=UPPER(FiltCat))+(FiltCat="All"))*(L_InP=1)*(L_TwinIna=1))))</f>
        <v/>
      </c>
      <c r="E32" s="16">
        <f>IF('Calc'!$H$2+'Calc'!$I$2&gt;0,"",IF('Calc'!$C32="","",SUMPRODUCT((P_StatusN="INACTIVE")*(ISNUMBER(P_LWD))*(P_LWD&gt;='Calc'!$C32)*(P_LWD&lt;EDATE('Calc'!$C32,1))*((P_TypeN="PERM")))+SUMPRODUCT((L_StatusN="INACTIVE")*(ISNUMBER(L_LWD))*(L_LWD&gt;='Calc'!$C32)*(L_LWD&lt;EDATE('Calc'!$C32,1))*((L_TypeN="PERM")))-SUMPRODUCT((L_StatusN="INACTIVE")*(ISNUMBER(L_LWD))*(L_LWD&gt;='Calc'!$C32)*(L_LWD&lt;EDATE('Calc'!$C32,1))*((L_TypeN="PERM"))*(L_InP=1)*(L_TwinIna=1))))</f>
        <v/>
      </c>
      <c r="F32" s="16">
        <f>IF('Calc'!$H$2+'Calc'!$I$2&gt;0,"",IF('Calc'!$C32="","",SUMPRODUCT((P_StatusN="INACTIVE")*(ISNUMBER(P_LWD))*(P_LWD&gt;='Calc'!$C32)*(P_LWD&lt;EDATE('Calc'!$C32,1))*((P_TypeN="PC")))+SUMPRODUCT((L_StatusN="INACTIVE")*(ISNUMBER(L_LWD))*(L_LWD&gt;='Calc'!$C32)*(L_LWD&lt;EDATE('Calc'!$C32,1))*((L_TypeN="PC")))-SUMPRODUCT((L_StatusN="INACTIVE")*(ISNUMBER(L_LWD))*(L_LWD&gt;='Calc'!$C32)*(L_LWD&lt;EDATE('Calc'!$C32,1))*((L_TypeN="PC"))*(L_InP=1)*(L_TwinIna=1))))</f>
        <v/>
      </c>
      <c r="G32" s="16">
        <f>IF('Calc'!$H$2+'Calc'!$I$2&gt;0,"",IF('Calc'!$C32="","",SUMPRODUCT((P_StatusN="INACTIVE")*(ISNUMBER(P_LWD))*(P_LWD&gt;='Calc'!$C32)*(P_LWD&lt;EDATE('Calc'!$C32,1))*((P_TypeN="MS")))+SUMPRODUCT((L_StatusN="INACTIVE")*(ISNUMBER(L_LWD))*(L_LWD&gt;='Calc'!$C32)*(L_LWD&lt;EDATE('Calc'!$C32,1))*((L_TypeN="MS")))-SUMPRODUCT((L_StatusN="INACTIVE")*(ISNUMBER(L_LWD))*(L_LWD&gt;='Calc'!$C32)*(L_LWD&lt;EDATE('Calc'!$C32,1))*((L_TypeN="MS"))*(L_InP=1)*(L_TwinIna=1))))</f>
        <v/>
      </c>
      <c r="H32" s="16">
        <f>IF('Calc'!$H$2+'Calc'!$I$2&gt;0,"",IF('Calc'!$C32="","",SUMPRODUCT((ISNUMBER(P_Start))*(P_Start&gt;='Calc'!$C32)*(P_Start&lt;EDATE('Calc'!$C32,1))*((P_TypeN=UPPER(FiltCat))+(FiltCat="All")))+SUMPRODUCT((ISNUMBER(L_Start))*(L_Start&gt;='Calc'!$C32)*(L_Start&lt;EDATE('Calc'!$C32,1))*((L_TypeN=UPPER(FiltCat))+(FiltCat="All")))-SUMPRODUCT((ISNUMBER(L_Start))*(L_Start&gt;='Calc'!$C32)*(L_Start&lt;EDATE('Calc'!$C32,1))*((L_TypeN=UPPER(FiltCat))+(FiltCat="All"))*(L_InP=1))))</f>
        <v/>
      </c>
    </row>
    <row r="33" ht="22" customHeight="1">
      <c r="B33" s="13">
        <f>IF('Calc'!$H$2+'Calc'!$I$2&gt;0,"",IF('Calc'!$C33="","",TEXT('Calc'!$C33,"yyyy-mm")))</f>
        <v/>
      </c>
      <c r="C33" s="14">
        <f>IF('Calc'!$H$2+'Calc'!$I$2&gt;0,"",IF('Calc'!$C33="","",SUMPRODUCT((ISNUMBER(P_Start))*(P_Start&lt;=EOMONTH('Calc'!$C33,0))*(((P_StatusN="ACTIVE")+((ISNUMBER(P_LWD))*(P_LWD&gt;=EOMONTH('Calc'!$C33,0))))&gt;0)*((P_TypeN=UPPER(FiltCat))+(FiltCat="All")))+SUMPRODUCT((ISNUMBER(L_Start))*(L_Start&lt;=EOMONTH('Calc'!$C33,0))*(((L_StatusN="ACTIVE")+((ISNUMBER(L_LWD))*(L_LWD&gt;=EOMONTH('Calc'!$C33,0))))&gt;0)*((L_TypeN=UPPER(FiltCat))+(FiltCat="All")))-SUMPRODUCT((ISNUMBER(L_Start))*(L_Start&lt;=EOMONTH('Calc'!$C33,0))*(((L_StatusN="ACTIVE")+((ISNUMBER(L_LWD))*(L_LWD&gt;=EOMONTH('Calc'!$C33,0))))&gt;0)*((L_TypeN=UPPER(FiltCat))+(FiltCat="All"))*(L_InP=1))))</f>
        <v/>
      </c>
      <c r="D33" s="14">
        <f>IF('Calc'!$H$2+'Calc'!$I$2&gt;0,"",IF('Calc'!$C33="","",SUMPRODUCT((P_StatusN="INACTIVE")*(ISNUMBER(P_LWD))*(P_LWD&gt;='Calc'!$C33)*(P_LWD&lt;EDATE('Calc'!$C33,1))*((P_TypeN=UPPER(FiltCat))+(FiltCat="All")))+SUMPRODUCT((L_StatusN="INACTIVE")*(ISNUMBER(L_LWD))*(L_LWD&gt;='Calc'!$C33)*(L_LWD&lt;EDATE('Calc'!$C33,1))*((L_TypeN=UPPER(FiltCat))+(FiltCat="All")))-SUMPRODUCT((L_StatusN="INACTIVE")*(ISNUMBER(L_LWD))*(L_LWD&gt;='Calc'!$C33)*(L_LWD&lt;EDATE('Calc'!$C33,1))*((L_TypeN=UPPER(FiltCat))+(FiltCat="All"))*(L_InP=1)*(L_TwinIna=1))))</f>
        <v/>
      </c>
      <c r="E33" s="14">
        <f>IF('Calc'!$H$2+'Calc'!$I$2&gt;0,"",IF('Calc'!$C33="","",SUMPRODUCT((P_StatusN="INACTIVE")*(ISNUMBER(P_LWD))*(P_LWD&gt;='Calc'!$C33)*(P_LWD&lt;EDATE('Calc'!$C33,1))*((P_TypeN="PERM")))+SUMPRODUCT((L_StatusN="INACTIVE")*(ISNUMBER(L_LWD))*(L_LWD&gt;='Calc'!$C33)*(L_LWD&lt;EDATE('Calc'!$C33,1))*((L_TypeN="PERM")))-SUMPRODUCT((L_StatusN="INACTIVE")*(ISNUMBER(L_LWD))*(L_LWD&gt;='Calc'!$C33)*(L_LWD&lt;EDATE('Calc'!$C33,1))*((L_TypeN="PERM"))*(L_InP=1)*(L_TwinIna=1))))</f>
        <v/>
      </c>
      <c r="F33" s="14">
        <f>IF('Calc'!$H$2+'Calc'!$I$2&gt;0,"",IF('Calc'!$C33="","",SUMPRODUCT((P_StatusN="INACTIVE")*(ISNUMBER(P_LWD))*(P_LWD&gt;='Calc'!$C33)*(P_LWD&lt;EDATE('Calc'!$C33,1))*((P_TypeN="PC")))+SUMPRODUCT((L_StatusN="INACTIVE")*(ISNUMBER(L_LWD))*(L_LWD&gt;='Calc'!$C33)*(L_LWD&lt;EDATE('Calc'!$C33,1))*((L_TypeN="PC")))-SUMPRODUCT((L_StatusN="INACTIVE")*(ISNUMBER(L_LWD))*(L_LWD&gt;='Calc'!$C33)*(L_LWD&lt;EDATE('Calc'!$C33,1))*((L_TypeN="PC"))*(L_InP=1)*(L_TwinIna=1))))</f>
        <v/>
      </c>
      <c r="G33" s="14">
        <f>IF('Calc'!$H$2+'Calc'!$I$2&gt;0,"",IF('Calc'!$C33="","",SUMPRODUCT((P_StatusN="INACTIVE")*(ISNUMBER(P_LWD))*(P_LWD&gt;='Calc'!$C33)*(P_LWD&lt;EDATE('Calc'!$C33,1))*((P_TypeN="MS")))+SUMPRODUCT((L_StatusN="INACTIVE")*(ISNUMBER(L_LWD))*(L_LWD&gt;='Calc'!$C33)*(L_LWD&lt;EDATE('Calc'!$C33,1))*((L_TypeN="MS")))-SUMPRODUCT((L_StatusN="INACTIVE")*(ISNUMBER(L_LWD))*(L_LWD&gt;='Calc'!$C33)*(L_LWD&lt;EDATE('Calc'!$C33,1))*((L_TypeN="MS"))*(L_InP=1)*(L_TwinIna=1))))</f>
        <v/>
      </c>
      <c r="H33" s="14">
        <f>IF('Calc'!$H$2+'Calc'!$I$2&gt;0,"",IF('Calc'!$C33="","",SUMPRODUCT((ISNUMBER(P_Start))*(P_Start&gt;='Calc'!$C33)*(P_Start&lt;EDATE('Calc'!$C33,1))*((P_TypeN=UPPER(FiltCat))+(FiltCat="All")))+SUMPRODUCT((ISNUMBER(L_Start))*(L_Start&gt;='Calc'!$C33)*(L_Start&lt;EDATE('Calc'!$C33,1))*((L_TypeN=UPPER(FiltCat))+(FiltCat="All")))-SUMPRODUCT((ISNUMBER(L_Start))*(L_Start&gt;='Calc'!$C33)*(L_Start&lt;EDATE('Calc'!$C33,1))*((L_TypeN=UPPER(FiltCat))+(FiltCat="All"))*(L_InP=1))))</f>
        <v/>
      </c>
    </row>
    <row r="34" ht="22" customHeight="1">
      <c r="B34" s="15">
        <f>IF('Calc'!$H$2+'Calc'!$I$2&gt;0,"",IF('Calc'!$C34="","",TEXT('Calc'!$C34,"yyyy-mm")))</f>
        <v/>
      </c>
      <c r="C34" s="16">
        <f>IF('Calc'!$H$2+'Calc'!$I$2&gt;0,"",IF('Calc'!$C34="","",SUMPRODUCT((ISNUMBER(P_Start))*(P_Start&lt;=EOMONTH('Calc'!$C34,0))*(((P_StatusN="ACTIVE")+((ISNUMBER(P_LWD))*(P_LWD&gt;=EOMONTH('Calc'!$C34,0))))&gt;0)*((P_TypeN=UPPER(FiltCat))+(FiltCat="All")))+SUMPRODUCT((ISNUMBER(L_Start))*(L_Start&lt;=EOMONTH('Calc'!$C34,0))*(((L_StatusN="ACTIVE")+((ISNUMBER(L_LWD))*(L_LWD&gt;=EOMONTH('Calc'!$C34,0))))&gt;0)*((L_TypeN=UPPER(FiltCat))+(FiltCat="All")))-SUMPRODUCT((ISNUMBER(L_Start))*(L_Start&lt;=EOMONTH('Calc'!$C34,0))*(((L_StatusN="ACTIVE")+((ISNUMBER(L_LWD))*(L_LWD&gt;=EOMONTH('Calc'!$C34,0))))&gt;0)*((L_TypeN=UPPER(FiltCat))+(FiltCat="All"))*(L_InP=1))))</f>
        <v/>
      </c>
      <c r="D34" s="16">
        <f>IF('Calc'!$H$2+'Calc'!$I$2&gt;0,"",IF('Calc'!$C34="","",SUMPRODUCT((P_StatusN="INACTIVE")*(ISNUMBER(P_LWD))*(P_LWD&gt;='Calc'!$C34)*(P_LWD&lt;EDATE('Calc'!$C34,1))*((P_TypeN=UPPER(FiltCat))+(FiltCat="All")))+SUMPRODUCT((L_StatusN="INACTIVE")*(ISNUMBER(L_LWD))*(L_LWD&gt;='Calc'!$C34)*(L_LWD&lt;EDATE('Calc'!$C34,1))*((L_TypeN=UPPER(FiltCat))+(FiltCat="All")))-SUMPRODUCT((L_StatusN="INACTIVE")*(ISNUMBER(L_LWD))*(L_LWD&gt;='Calc'!$C34)*(L_LWD&lt;EDATE('Calc'!$C34,1))*((L_TypeN=UPPER(FiltCat))+(FiltCat="All"))*(L_InP=1)*(L_TwinIna=1))))</f>
        <v/>
      </c>
      <c r="E34" s="16">
        <f>IF('Calc'!$H$2+'Calc'!$I$2&gt;0,"",IF('Calc'!$C34="","",SUMPRODUCT((P_StatusN="INACTIVE")*(ISNUMBER(P_LWD))*(P_LWD&gt;='Calc'!$C34)*(P_LWD&lt;EDATE('Calc'!$C34,1))*((P_TypeN="PERM")))+SUMPRODUCT((L_StatusN="INACTIVE")*(ISNUMBER(L_LWD))*(L_LWD&gt;='Calc'!$C34)*(L_LWD&lt;EDATE('Calc'!$C34,1))*((L_TypeN="PERM")))-SUMPRODUCT((L_StatusN="INACTIVE")*(ISNUMBER(L_LWD))*(L_LWD&gt;='Calc'!$C34)*(L_LWD&lt;EDATE('Calc'!$C34,1))*((L_TypeN="PERM"))*(L_InP=1)*(L_TwinIna=1))))</f>
        <v/>
      </c>
      <c r="F34" s="16">
        <f>IF('Calc'!$H$2+'Calc'!$I$2&gt;0,"",IF('Calc'!$C34="","",SUMPRODUCT((P_StatusN="INACTIVE")*(ISNUMBER(P_LWD))*(P_LWD&gt;='Calc'!$C34)*(P_LWD&lt;EDATE('Calc'!$C34,1))*((P_TypeN="PC")))+SUMPRODUCT((L_StatusN="INACTIVE")*(ISNUMBER(L_LWD))*(L_LWD&gt;='Calc'!$C34)*(L_LWD&lt;EDATE('Calc'!$C34,1))*((L_TypeN="PC")))-SUMPRODUCT((L_StatusN="INACTIVE")*(ISNUMBER(L_LWD))*(L_LWD&gt;='Calc'!$C34)*(L_LWD&lt;EDATE('Calc'!$C34,1))*((L_TypeN="PC"))*(L_InP=1)*(L_TwinIna=1))))</f>
        <v/>
      </c>
      <c r="G34" s="16">
        <f>IF('Calc'!$H$2+'Calc'!$I$2&gt;0,"",IF('Calc'!$C34="","",SUMPRODUCT((P_StatusN="INACTIVE")*(ISNUMBER(P_LWD))*(P_LWD&gt;='Calc'!$C34)*(P_LWD&lt;EDATE('Calc'!$C34,1))*((P_TypeN="MS")))+SUMPRODUCT((L_StatusN="INACTIVE")*(ISNUMBER(L_LWD))*(L_LWD&gt;='Calc'!$C34)*(L_LWD&lt;EDATE('Calc'!$C34,1))*((L_TypeN="MS")))-SUMPRODUCT((L_StatusN="INACTIVE")*(ISNUMBER(L_LWD))*(L_LWD&gt;='Calc'!$C34)*(L_LWD&lt;EDATE('Calc'!$C34,1))*((L_TypeN="MS"))*(L_InP=1)*(L_TwinIna=1))))</f>
        <v/>
      </c>
      <c r="H34" s="16">
        <f>IF('Calc'!$H$2+'Calc'!$I$2&gt;0,"",IF('Calc'!$C34="","",SUMPRODUCT((ISNUMBER(P_Start))*(P_Start&gt;='Calc'!$C34)*(P_Start&lt;EDATE('Calc'!$C34,1))*((P_TypeN=UPPER(FiltCat))+(FiltCat="All")))+SUMPRODUCT((ISNUMBER(L_Start))*(L_Start&gt;='Calc'!$C34)*(L_Start&lt;EDATE('Calc'!$C34,1))*((L_TypeN=UPPER(FiltCat))+(FiltCat="All")))-SUMPRODUCT((ISNUMBER(L_Start))*(L_Start&gt;='Calc'!$C34)*(L_Start&lt;EDATE('Calc'!$C34,1))*((L_TypeN=UPPER(FiltCat))+(FiltCat="All"))*(L_InP=1))))</f>
        <v/>
      </c>
    </row>
    <row r="35" ht="22" customHeight="1">
      <c r="B35" s="13">
        <f>IF('Calc'!$H$2+'Calc'!$I$2&gt;0,"",IF('Calc'!$C35="","",TEXT('Calc'!$C35,"yyyy-mm")))</f>
        <v/>
      </c>
      <c r="C35" s="14">
        <f>IF('Calc'!$H$2+'Calc'!$I$2&gt;0,"",IF('Calc'!$C35="","",SUMPRODUCT((ISNUMBER(P_Start))*(P_Start&lt;=EOMONTH('Calc'!$C35,0))*(((P_StatusN="ACTIVE")+((ISNUMBER(P_LWD))*(P_LWD&gt;=EOMONTH('Calc'!$C35,0))))&gt;0)*((P_TypeN=UPPER(FiltCat))+(FiltCat="All")))+SUMPRODUCT((ISNUMBER(L_Start))*(L_Start&lt;=EOMONTH('Calc'!$C35,0))*(((L_StatusN="ACTIVE")+((ISNUMBER(L_LWD))*(L_LWD&gt;=EOMONTH('Calc'!$C35,0))))&gt;0)*((L_TypeN=UPPER(FiltCat))+(FiltCat="All")))-SUMPRODUCT((ISNUMBER(L_Start))*(L_Start&lt;=EOMONTH('Calc'!$C35,0))*(((L_StatusN="ACTIVE")+((ISNUMBER(L_LWD))*(L_LWD&gt;=EOMONTH('Calc'!$C35,0))))&gt;0)*((L_TypeN=UPPER(FiltCat))+(FiltCat="All"))*(L_InP=1))))</f>
        <v/>
      </c>
      <c r="D35" s="14">
        <f>IF('Calc'!$H$2+'Calc'!$I$2&gt;0,"",IF('Calc'!$C35="","",SUMPRODUCT((P_StatusN="INACTIVE")*(ISNUMBER(P_LWD))*(P_LWD&gt;='Calc'!$C35)*(P_LWD&lt;EDATE('Calc'!$C35,1))*((P_TypeN=UPPER(FiltCat))+(FiltCat="All")))+SUMPRODUCT((L_StatusN="INACTIVE")*(ISNUMBER(L_LWD))*(L_LWD&gt;='Calc'!$C35)*(L_LWD&lt;EDATE('Calc'!$C35,1))*((L_TypeN=UPPER(FiltCat))+(FiltCat="All")))-SUMPRODUCT((L_StatusN="INACTIVE")*(ISNUMBER(L_LWD))*(L_LWD&gt;='Calc'!$C35)*(L_LWD&lt;EDATE('Calc'!$C35,1))*((L_TypeN=UPPER(FiltCat))+(FiltCat="All"))*(L_InP=1)*(L_TwinIna=1))))</f>
        <v/>
      </c>
      <c r="E35" s="14">
        <f>IF('Calc'!$H$2+'Calc'!$I$2&gt;0,"",IF('Calc'!$C35="","",SUMPRODUCT((P_StatusN="INACTIVE")*(ISNUMBER(P_LWD))*(P_LWD&gt;='Calc'!$C35)*(P_LWD&lt;EDATE('Calc'!$C35,1))*((P_TypeN="PERM")))+SUMPRODUCT((L_StatusN="INACTIVE")*(ISNUMBER(L_LWD))*(L_LWD&gt;='Calc'!$C35)*(L_LWD&lt;EDATE('Calc'!$C35,1))*((L_TypeN="PERM")))-SUMPRODUCT((L_StatusN="INACTIVE")*(ISNUMBER(L_LWD))*(L_LWD&gt;='Calc'!$C35)*(L_LWD&lt;EDATE('Calc'!$C35,1))*((L_TypeN="PERM"))*(L_InP=1)*(L_TwinIna=1))))</f>
        <v/>
      </c>
      <c r="F35" s="14">
        <f>IF('Calc'!$H$2+'Calc'!$I$2&gt;0,"",IF('Calc'!$C35="","",SUMPRODUCT((P_StatusN="INACTIVE")*(ISNUMBER(P_LWD))*(P_LWD&gt;='Calc'!$C35)*(P_LWD&lt;EDATE('Calc'!$C35,1))*((P_TypeN="PC")))+SUMPRODUCT((L_StatusN="INACTIVE")*(ISNUMBER(L_LWD))*(L_LWD&gt;='Calc'!$C35)*(L_LWD&lt;EDATE('Calc'!$C35,1))*((L_TypeN="PC")))-SUMPRODUCT((L_StatusN="INACTIVE")*(ISNUMBER(L_LWD))*(L_LWD&gt;='Calc'!$C35)*(L_LWD&lt;EDATE('Calc'!$C35,1))*((L_TypeN="PC"))*(L_InP=1)*(L_TwinIna=1))))</f>
        <v/>
      </c>
      <c r="G35" s="14">
        <f>IF('Calc'!$H$2+'Calc'!$I$2&gt;0,"",IF('Calc'!$C35="","",SUMPRODUCT((P_StatusN="INACTIVE")*(ISNUMBER(P_LWD))*(P_LWD&gt;='Calc'!$C35)*(P_LWD&lt;EDATE('Calc'!$C35,1))*((P_TypeN="MS")))+SUMPRODUCT((L_StatusN="INACTIVE")*(ISNUMBER(L_LWD))*(L_LWD&gt;='Calc'!$C35)*(L_LWD&lt;EDATE('Calc'!$C35,1))*((L_TypeN="MS")))-SUMPRODUCT((L_StatusN="INACTIVE")*(ISNUMBER(L_LWD))*(L_LWD&gt;='Calc'!$C35)*(L_LWD&lt;EDATE('Calc'!$C35,1))*((L_TypeN="MS"))*(L_InP=1)*(L_TwinIna=1))))</f>
        <v/>
      </c>
      <c r="H35" s="14">
        <f>IF('Calc'!$H$2+'Calc'!$I$2&gt;0,"",IF('Calc'!$C35="","",SUMPRODUCT((ISNUMBER(P_Start))*(P_Start&gt;='Calc'!$C35)*(P_Start&lt;EDATE('Calc'!$C35,1))*((P_TypeN=UPPER(FiltCat))+(FiltCat="All")))+SUMPRODUCT((ISNUMBER(L_Start))*(L_Start&gt;='Calc'!$C35)*(L_Start&lt;EDATE('Calc'!$C35,1))*((L_TypeN=UPPER(FiltCat))+(FiltCat="All")))-SUMPRODUCT((ISNUMBER(L_Start))*(L_Start&gt;='Calc'!$C35)*(L_Start&lt;EDATE('Calc'!$C35,1))*((L_TypeN=UPPER(FiltCat))+(FiltCat="All"))*(L_InP=1))))</f>
        <v/>
      </c>
    </row>
    <row r="36" ht="22" customHeight="1">
      <c r="B36" s="15">
        <f>IF('Calc'!$H$2+'Calc'!$I$2&gt;0,"",IF('Calc'!$C36="","",TEXT('Calc'!$C36,"yyyy-mm")))</f>
        <v/>
      </c>
      <c r="C36" s="16">
        <f>IF('Calc'!$H$2+'Calc'!$I$2&gt;0,"",IF('Calc'!$C36="","",SUMPRODUCT((ISNUMBER(P_Start))*(P_Start&lt;=EOMONTH('Calc'!$C36,0))*(((P_StatusN="ACTIVE")+((ISNUMBER(P_LWD))*(P_LWD&gt;=EOMONTH('Calc'!$C36,0))))&gt;0)*((P_TypeN=UPPER(FiltCat))+(FiltCat="All")))+SUMPRODUCT((ISNUMBER(L_Start))*(L_Start&lt;=EOMONTH('Calc'!$C36,0))*(((L_StatusN="ACTIVE")+((ISNUMBER(L_LWD))*(L_LWD&gt;=EOMONTH('Calc'!$C36,0))))&gt;0)*((L_TypeN=UPPER(FiltCat))+(FiltCat="All")))-SUMPRODUCT((ISNUMBER(L_Start))*(L_Start&lt;=EOMONTH('Calc'!$C36,0))*(((L_StatusN="ACTIVE")+((ISNUMBER(L_LWD))*(L_LWD&gt;=EOMONTH('Calc'!$C36,0))))&gt;0)*((L_TypeN=UPPER(FiltCat))+(FiltCat="All"))*(L_InP=1))))</f>
        <v/>
      </c>
      <c r="D36" s="16">
        <f>IF('Calc'!$H$2+'Calc'!$I$2&gt;0,"",IF('Calc'!$C36="","",SUMPRODUCT((P_StatusN="INACTIVE")*(ISNUMBER(P_LWD))*(P_LWD&gt;='Calc'!$C36)*(P_LWD&lt;EDATE('Calc'!$C36,1))*((P_TypeN=UPPER(FiltCat))+(FiltCat="All")))+SUMPRODUCT((L_StatusN="INACTIVE")*(ISNUMBER(L_LWD))*(L_LWD&gt;='Calc'!$C36)*(L_LWD&lt;EDATE('Calc'!$C36,1))*((L_TypeN=UPPER(FiltCat))+(FiltCat="All")))-SUMPRODUCT((L_StatusN="INACTIVE")*(ISNUMBER(L_LWD))*(L_LWD&gt;='Calc'!$C36)*(L_LWD&lt;EDATE('Calc'!$C36,1))*((L_TypeN=UPPER(FiltCat))+(FiltCat="All"))*(L_InP=1)*(L_TwinIna=1))))</f>
        <v/>
      </c>
      <c r="E36" s="16">
        <f>IF('Calc'!$H$2+'Calc'!$I$2&gt;0,"",IF('Calc'!$C36="","",SUMPRODUCT((P_StatusN="INACTIVE")*(ISNUMBER(P_LWD))*(P_LWD&gt;='Calc'!$C36)*(P_LWD&lt;EDATE('Calc'!$C36,1))*((P_TypeN="PERM")))+SUMPRODUCT((L_StatusN="INACTIVE")*(ISNUMBER(L_LWD))*(L_LWD&gt;='Calc'!$C36)*(L_LWD&lt;EDATE('Calc'!$C36,1))*((L_TypeN="PERM")))-SUMPRODUCT((L_StatusN="INACTIVE")*(ISNUMBER(L_LWD))*(L_LWD&gt;='Calc'!$C36)*(L_LWD&lt;EDATE('Calc'!$C36,1))*((L_TypeN="PERM"))*(L_InP=1)*(L_TwinIna=1))))</f>
        <v/>
      </c>
      <c r="F36" s="16">
        <f>IF('Calc'!$H$2+'Calc'!$I$2&gt;0,"",IF('Calc'!$C36="","",SUMPRODUCT((P_StatusN="INACTIVE")*(ISNUMBER(P_LWD))*(P_LWD&gt;='Calc'!$C36)*(P_LWD&lt;EDATE('Calc'!$C36,1))*((P_TypeN="PC")))+SUMPRODUCT((L_StatusN="INACTIVE")*(ISNUMBER(L_LWD))*(L_LWD&gt;='Calc'!$C36)*(L_LWD&lt;EDATE('Calc'!$C36,1))*((L_TypeN="PC")))-SUMPRODUCT((L_StatusN="INACTIVE")*(ISNUMBER(L_LWD))*(L_LWD&gt;='Calc'!$C36)*(L_LWD&lt;EDATE('Calc'!$C36,1))*((L_TypeN="PC"))*(L_InP=1)*(L_TwinIna=1))))</f>
        <v/>
      </c>
      <c r="G36" s="16">
        <f>IF('Calc'!$H$2+'Calc'!$I$2&gt;0,"",IF('Calc'!$C36="","",SUMPRODUCT((P_StatusN="INACTIVE")*(ISNUMBER(P_LWD))*(P_LWD&gt;='Calc'!$C36)*(P_LWD&lt;EDATE('Calc'!$C36,1))*((P_TypeN="MS")))+SUMPRODUCT((L_StatusN="INACTIVE")*(ISNUMBER(L_LWD))*(L_LWD&gt;='Calc'!$C36)*(L_LWD&lt;EDATE('Calc'!$C36,1))*((L_TypeN="MS")))-SUMPRODUCT((L_StatusN="INACTIVE")*(ISNUMBER(L_LWD))*(L_LWD&gt;='Calc'!$C36)*(L_LWD&lt;EDATE('Calc'!$C36,1))*((L_TypeN="MS"))*(L_InP=1)*(L_TwinIna=1))))</f>
        <v/>
      </c>
      <c r="H36" s="16">
        <f>IF('Calc'!$H$2+'Calc'!$I$2&gt;0,"",IF('Calc'!$C36="","",SUMPRODUCT((ISNUMBER(P_Start))*(P_Start&gt;='Calc'!$C36)*(P_Start&lt;EDATE('Calc'!$C36,1))*((P_TypeN=UPPER(FiltCat))+(FiltCat="All")))+SUMPRODUCT((ISNUMBER(L_Start))*(L_Start&gt;='Calc'!$C36)*(L_Start&lt;EDATE('Calc'!$C36,1))*((L_TypeN=UPPER(FiltCat))+(FiltCat="All")))-SUMPRODUCT((ISNUMBER(L_Start))*(L_Start&gt;='Calc'!$C36)*(L_Start&lt;EDATE('Calc'!$C36,1))*((L_TypeN=UPPER(FiltCat))+(FiltCat="All"))*(L_InP=1))))</f>
        <v/>
      </c>
    </row>
    <row r="37" ht="22" customHeight="1">
      <c r="B37" s="13">
        <f>IF('Calc'!$H$2+'Calc'!$I$2&gt;0,"",IF('Calc'!$C37="","",TEXT('Calc'!$C37,"yyyy-mm")))</f>
        <v/>
      </c>
      <c r="C37" s="14">
        <f>IF('Calc'!$H$2+'Calc'!$I$2&gt;0,"",IF('Calc'!$C37="","",SUMPRODUCT((ISNUMBER(P_Start))*(P_Start&lt;=EOMONTH('Calc'!$C37,0))*(((P_StatusN="ACTIVE")+((ISNUMBER(P_LWD))*(P_LWD&gt;=EOMONTH('Calc'!$C37,0))))&gt;0)*((P_TypeN=UPPER(FiltCat))+(FiltCat="All")))+SUMPRODUCT((ISNUMBER(L_Start))*(L_Start&lt;=EOMONTH('Calc'!$C37,0))*(((L_StatusN="ACTIVE")+((ISNUMBER(L_LWD))*(L_LWD&gt;=EOMONTH('Calc'!$C37,0))))&gt;0)*((L_TypeN=UPPER(FiltCat))+(FiltCat="All")))-SUMPRODUCT((ISNUMBER(L_Start))*(L_Start&lt;=EOMONTH('Calc'!$C37,0))*(((L_StatusN="ACTIVE")+((ISNUMBER(L_LWD))*(L_LWD&gt;=EOMONTH('Calc'!$C37,0))))&gt;0)*((L_TypeN=UPPER(FiltCat))+(FiltCat="All"))*(L_InP=1))))</f>
        <v/>
      </c>
      <c r="D37" s="14">
        <f>IF('Calc'!$H$2+'Calc'!$I$2&gt;0,"",IF('Calc'!$C37="","",SUMPRODUCT((P_StatusN="INACTIVE")*(ISNUMBER(P_LWD))*(P_LWD&gt;='Calc'!$C37)*(P_LWD&lt;EDATE('Calc'!$C37,1))*((P_TypeN=UPPER(FiltCat))+(FiltCat="All")))+SUMPRODUCT((L_StatusN="INACTIVE")*(ISNUMBER(L_LWD))*(L_LWD&gt;='Calc'!$C37)*(L_LWD&lt;EDATE('Calc'!$C37,1))*((L_TypeN=UPPER(FiltCat))+(FiltCat="All")))-SUMPRODUCT((L_StatusN="INACTIVE")*(ISNUMBER(L_LWD))*(L_LWD&gt;='Calc'!$C37)*(L_LWD&lt;EDATE('Calc'!$C37,1))*((L_TypeN=UPPER(FiltCat))+(FiltCat="All"))*(L_InP=1)*(L_TwinIna=1))))</f>
        <v/>
      </c>
      <c r="E37" s="14">
        <f>IF('Calc'!$H$2+'Calc'!$I$2&gt;0,"",IF('Calc'!$C37="","",SUMPRODUCT((P_StatusN="INACTIVE")*(ISNUMBER(P_LWD))*(P_LWD&gt;='Calc'!$C37)*(P_LWD&lt;EDATE('Calc'!$C37,1))*((P_TypeN="PERM")))+SUMPRODUCT((L_StatusN="INACTIVE")*(ISNUMBER(L_LWD))*(L_LWD&gt;='Calc'!$C37)*(L_LWD&lt;EDATE('Calc'!$C37,1))*((L_TypeN="PERM")))-SUMPRODUCT((L_StatusN="INACTIVE")*(ISNUMBER(L_LWD))*(L_LWD&gt;='Calc'!$C37)*(L_LWD&lt;EDATE('Calc'!$C37,1))*((L_TypeN="PERM"))*(L_InP=1)*(L_TwinIna=1))))</f>
        <v/>
      </c>
      <c r="F37" s="14">
        <f>IF('Calc'!$H$2+'Calc'!$I$2&gt;0,"",IF('Calc'!$C37="","",SUMPRODUCT((P_StatusN="INACTIVE")*(ISNUMBER(P_LWD))*(P_LWD&gt;='Calc'!$C37)*(P_LWD&lt;EDATE('Calc'!$C37,1))*((P_TypeN="PC")))+SUMPRODUCT((L_StatusN="INACTIVE")*(ISNUMBER(L_LWD))*(L_LWD&gt;='Calc'!$C37)*(L_LWD&lt;EDATE('Calc'!$C37,1))*((L_TypeN="PC")))-SUMPRODUCT((L_StatusN="INACTIVE")*(ISNUMBER(L_LWD))*(L_LWD&gt;='Calc'!$C37)*(L_LWD&lt;EDATE('Calc'!$C37,1))*((L_TypeN="PC"))*(L_InP=1)*(L_TwinIna=1))))</f>
        <v/>
      </c>
      <c r="G37" s="14">
        <f>IF('Calc'!$H$2+'Calc'!$I$2&gt;0,"",IF('Calc'!$C37="","",SUMPRODUCT((P_StatusN="INACTIVE")*(ISNUMBER(P_LWD))*(P_LWD&gt;='Calc'!$C37)*(P_LWD&lt;EDATE('Calc'!$C37,1))*((P_TypeN="MS")))+SUMPRODUCT((L_StatusN="INACTIVE")*(ISNUMBER(L_LWD))*(L_LWD&gt;='Calc'!$C37)*(L_LWD&lt;EDATE('Calc'!$C37,1))*((L_TypeN="MS")))-SUMPRODUCT((L_StatusN="INACTIVE")*(ISNUMBER(L_LWD))*(L_LWD&gt;='Calc'!$C37)*(L_LWD&lt;EDATE('Calc'!$C37,1))*((L_TypeN="MS"))*(L_InP=1)*(L_TwinIna=1))))</f>
        <v/>
      </c>
      <c r="H37" s="14">
        <f>IF('Calc'!$H$2+'Calc'!$I$2&gt;0,"",IF('Calc'!$C37="","",SUMPRODUCT((ISNUMBER(P_Start))*(P_Start&gt;='Calc'!$C37)*(P_Start&lt;EDATE('Calc'!$C37,1))*((P_TypeN=UPPER(FiltCat))+(FiltCat="All")))+SUMPRODUCT((ISNUMBER(L_Start))*(L_Start&gt;='Calc'!$C37)*(L_Start&lt;EDATE('Calc'!$C37,1))*((L_TypeN=UPPER(FiltCat))+(FiltCat="All")))-SUMPRODUCT((ISNUMBER(L_Start))*(L_Start&gt;='Calc'!$C37)*(L_Start&lt;EDATE('Calc'!$C37,1))*((L_TypeN=UPPER(FiltCat))+(FiltCat="All"))*(L_InP=1))))</f>
        <v/>
      </c>
    </row>
    <row r="38" ht="22" customHeight="1">
      <c r="B38" s="15">
        <f>IF('Calc'!$H$2+'Calc'!$I$2&gt;0,"",IF('Calc'!$C38="","",TEXT('Calc'!$C38,"yyyy-mm")))</f>
        <v/>
      </c>
      <c r="C38" s="16">
        <f>IF('Calc'!$H$2+'Calc'!$I$2&gt;0,"",IF('Calc'!$C38="","",SUMPRODUCT((ISNUMBER(P_Start))*(P_Start&lt;=EOMONTH('Calc'!$C38,0))*(((P_StatusN="ACTIVE")+((ISNUMBER(P_LWD))*(P_LWD&gt;=EOMONTH('Calc'!$C38,0))))&gt;0)*((P_TypeN=UPPER(FiltCat))+(FiltCat="All")))+SUMPRODUCT((ISNUMBER(L_Start))*(L_Start&lt;=EOMONTH('Calc'!$C38,0))*(((L_StatusN="ACTIVE")+((ISNUMBER(L_LWD))*(L_LWD&gt;=EOMONTH('Calc'!$C38,0))))&gt;0)*((L_TypeN=UPPER(FiltCat))+(FiltCat="All")))-SUMPRODUCT((ISNUMBER(L_Start))*(L_Start&lt;=EOMONTH('Calc'!$C38,0))*(((L_StatusN="ACTIVE")+((ISNUMBER(L_LWD))*(L_LWD&gt;=EOMONTH('Calc'!$C38,0))))&gt;0)*((L_TypeN=UPPER(FiltCat))+(FiltCat="All"))*(L_InP=1))))</f>
        <v/>
      </c>
      <c r="D38" s="16">
        <f>IF('Calc'!$H$2+'Calc'!$I$2&gt;0,"",IF('Calc'!$C38="","",SUMPRODUCT((P_StatusN="INACTIVE")*(ISNUMBER(P_LWD))*(P_LWD&gt;='Calc'!$C38)*(P_LWD&lt;EDATE('Calc'!$C38,1))*((P_TypeN=UPPER(FiltCat))+(FiltCat="All")))+SUMPRODUCT((L_StatusN="INACTIVE")*(ISNUMBER(L_LWD))*(L_LWD&gt;='Calc'!$C38)*(L_LWD&lt;EDATE('Calc'!$C38,1))*((L_TypeN=UPPER(FiltCat))+(FiltCat="All")))-SUMPRODUCT((L_StatusN="INACTIVE")*(ISNUMBER(L_LWD))*(L_LWD&gt;='Calc'!$C38)*(L_LWD&lt;EDATE('Calc'!$C38,1))*((L_TypeN=UPPER(FiltCat))+(FiltCat="All"))*(L_InP=1)*(L_TwinIna=1))))</f>
        <v/>
      </c>
      <c r="E38" s="16">
        <f>IF('Calc'!$H$2+'Calc'!$I$2&gt;0,"",IF('Calc'!$C38="","",SUMPRODUCT((P_StatusN="INACTIVE")*(ISNUMBER(P_LWD))*(P_LWD&gt;='Calc'!$C38)*(P_LWD&lt;EDATE('Calc'!$C38,1))*((P_TypeN="PERM")))+SUMPRODUCT((L_StatusN="INACTIVE")*(ISNUMBER(L_LWD))*(L_LWD&gt;='Calc'!$C38)*(L_LWD&lt;EDATE('Calc'!$C38,1))*((L_TypeN="PERM")))-SUMPRODUCT((L_StatusN="INACTIVE")*(ISNUMBER(L_LWD))*(L_LWD&gt;='Calc'!$C38)*(L_LWD&lt;EDATE('Calc'!$C38,1))*((L_TypeN="PERM"))*(L_InP=1)*(L_TwinIna=1))))</f>
        <v/>
      </c>
      <c r="F38" s="16">
        <f>IF('Calc'!$H$2+'Calc'!$I$2&gt;0,"",IF('Calc'!$C38="","",SUMPRODUCT((P_StatusN="INACTIVE")*(ISNUMBER(P_LWD))*(P_LWD&gt;='Calc'!$C38)*(P_LWD&lt;EDATE('Calc'!$C38,1))*((P_TypeN="PC")))+SUMPRODUCT((L_StatusN="INACTIVE")*(ISNUMBER(L_LWD))*(L_LWD&gt;='Calc'!$C38)*(L_LWD&lt;EDATE('Calc'!$C38,1))*((L_TypeN="PC")))-SUMPRODUCT((L_StatusN="INACTIVE")*(ISNUMBER(L_LWD))*(L_LWD&gt;='Calc'!$C38)*(L_LWD&lt;EDATE('Calc'!$C38,1))*((L_TypeN="PC"))*(L_InP=1)*(L_TwinIna=1))))</f>
        <v/>
      </c>
      <c r="G38" s="16">
        <f>IF('Calc'!$H$2+'Calc'!$I$2&gt;0,"",IF('Calc'!$C38="","",SUMPRODUCT((P_StatusN="INACTIVE")*(ISNUMBER(P_LWD))*(P_LWD&gt;='Calc'!$C38)*(P_LWD&lt;EDATE('Calc'!$C38,1))*((P_TypeN="MS")))+SUMPRODUCT((L_StatusN="INACTIVE")*(ISNUMBER(L_LWD))*(L_LWD&gt;='Calc'!$C38)*(L_LWD&lt;EDATE('Calc'!$C38,1))*((L_TypeN="MS")))-SUMPRODUCT((L_StatusN="INACTIVE")*(ISNUMBER(L_LWD))*(L_LWD&gt;='Calc'!$C38)*(L_LWD&lt;EDATE('Calc'!$C38,1))*((L_TypeN="MS"))*(L_InP=1)*(L_TwinIna=1))))</f>
        <v/>
      </c>
      <c r="H38" s="16">
        <f>IF('Calc'!$H$2+'Calc'!$I$2&gt;0,"",IF('Calc'!$C38="","",SUMPRODUCT((ISNUMBER(P_Start))*(P_Start&gt;='Calc'!$C38)*(P_Start&lt;EDATE('Calc'!$C38,1))*((P_TypeN=UPPER(FiltCat))+(FiltCat="All")))+SUMPRODUCT((ISNUMBER(L_Start))*(L_Start&gt;='Calc'!$C38)*(L_Start&lt;EDATE('Calc'!$C38,1))*((L_TypeN=UPPER(FiltCat))+(FiltCat="All")))-SUMPRODUCT((ISNUMBER(L_Start))*(L_Start&gt;='Calc'!$C38)*(L_Start&lt;EDATE('Calc'!$C38,1))*((L_TypeN=UPPER(FiltCat))+(FiltCat="All"))*(L_InP=1))))</f>
        <v/>
      </c>
    </row>
    <row r="39" ht="22" customHeight="1">
      <c r="B39" s="13">
        <f>IF('Calc'!$H$2+'Calc'!$I$2&gt;0,"",IF('Calc'!$C39="","",TEXT('Calc'!$C39,"yyyy-mm")))</f>
        <v/>
      </c>
      <c r="C39" s="14">
        <f>IF('Calc'!$H$2+'Calc'!$I$2&gt;0,"",IF('Calc'!$C39="","",SUMPRODUCT((ISNUMBER(P_Start))*(P_Start&lt;=EOMONTH('Calc'!$C39,0))*(((P_StatusN="ACTIVE")+((ISNUMBER(P_LWD))*(P_LWD&gt;=EOMONTH('Calc'!$C39,0))))&gt;0)*((P_TypeN=UPPER(FiltCat))+(FiltCat="All")))+SUMPRODUCT((ISNUMBER(L_Start))*(L_Start&lt;=EOMONTH('Calc'!$C39,0))*(((L_StatusN="ACTIVE")+((ISNUMBER(L_LWD))*(L_LWD&gt;=EOMONTH('Calc'!$C39,0))))&gt;0)*((L_TypeN=UPPER(FiltCat))+(FiltCat="All")))-SUMPRODUCT((ISNUMBER(L_Start))*(L_Start&lt;=EOMONTH('Calc'!$C39,0))*(((L_StatusN="ACTIVE")+((ISNUMBER(L_LWD))*(L_LWD&gt;=EOMONTH('Calc'!$C39,0))))&gt;0)*((L_TypeN=UPPER(FiltCat))+(FiltCat="All"))*(L_InP=1))))</f>
        <v/>
      </c>
      <c r="D39" s="14">
        <f>IF('Calc'!$H$2+'Calc'!$I$2&gt;0,"",IF('Calc'!$C39="","",SUMPRODUCT((P_StatusN="INACTIVE")*(ISNUMBER(P_LWD))*(P_LWD&gt;='Calc'!$C39)*(P_LWD&lt;EDATE('Calc'!$C39,1))*((P_TypeN=UPPER(FiltCat))+(FiltCat="All")))+SUMPRODUCT((L_StatusN="INACTIVE")*(ISNUMBER(L_LWD))*(L_LWD&gt;='Calc'!$C39)*(L_LWD&lt;EDATE('Calc'!$C39,1))*((L_TypeN=UPPER(FiltCat))+(FiltCat="All")))-SUMPRODUCT((L_StatusN="INACTIVE")*(ISNUMBER(L_LWD))*(L_LWD&gt;='Calc'!$C39)*(L_LWD&lt;EDATE('Calc'!$C39,1))*((L_TypeN=UPPER(FiltCat))+(FiltCat="All"))*(L_InP=1)*(L_TwinIna=1))))</f>
        <v/>
      </c>
      <c r="E39" s="14">
        <f>IF('Calc'!$H$2+'Calc'!$I$2&gt;0,"",IF('Calc'!$C39="","",SUMPRODUCT((P_StatusN="INACTIVE")*(ISNUMBER(P_LWD))*(P_LWD&gt;='Calc'!$C39)*(P_LWD&lt;EDATE('Calc'!$C39,1))*((P_TypeN="PERM")))+SUMPRODUCT((L_StatusN="INACTIVE")*(ISNUMBER(L_LWD))*(L_LWD&gt;='Calc'!$C39)*(L_LWD&lt;EDATE('Calc'!$C39,1))*((L_TypeN="PERM")))-SUMPRODUCT((L_StatusN="INACTIVE")*(ISNUMBER(L_LWD))*(L_LWD&gt;='Calc'!$C39)*(L_LWD&lt;EDATE('Calc'!$C39,1))*((L_TypeN="PERM"))*(L_InP=1)*(L_TwinIna=1))))</f>
        <v/>
      </c>
      <c r="F39" s="14">
        <f>IF('Calc'!$H$2+'Calc'!$I$2&gt;0,"",IF('Calc'!$C39="","",SUMPRODUCT((P_StatusN="INACTIVE")*(ISNUMBER(P_LWD))*(P_LWD&gt;='Calc'!$C39)*(P_LWD&lt;EDATE('Calc'!$C39,1))*((P_TypeN="PC")))+SUMPRODUCT((L_StatusN="INACTIVE")*(ISNUMBER(L_LWD))*(L_LWD&gt;='Calc'!$C39)*(L_LWD&lt;EDATE('Calc'!$C39,1))*((L_TypeN="PC")))-SUMPRODUCT((L_StatusN="INACTIVE")*(ISNUMBER(L_LWD))*(L_LWD&gt;='Calc'!$C39)*(L_LWD&lt;EDATE('Calc'!$C39,1))*((L_TypeN="PC"))*(L_InP=1)*(L_TwinIna=1))))</f>
        <v/>
      </c>
      <c r="G39" s="14">
        <f>IF('Calc'!$H$2+'Calc'!$I$2&gt;0,"",IF('Calc'!$C39="","",SUMPRODUCT((P_StatusN="INACTIVE")*(ISNUMBER(P_LWD))*(P_LWD&gt;='Calc'!$C39)*(P_LWD&lt;EDATE('Calc'!$C39,1))*((P_TypeN="MS")))+SUMPRODUCT((L_StatusN="INACTIVE")*(ISNUMBER(L_LWD))*(L_LWD&gt;='Calc'!$C39)*(L_LWD&lt;EDATE('Calc'!$C39,1))*((L_TypeN="MS")))-SUMPRODUCT((L_StatusN="INACTIVE")*(ISNUMBER(L_LWD))*(L_LWD&gt;='Calc'!$C39)*(L_LWD&lt;EDATE('Calc'!$C39,1))*((L_TypeN="MS"))*(L_InP=1)*(L_TwinIna=1))))</f>
        <v/>
      </c>
      <c r="H39" s="14">
        <f>IF('Calc'!$H$2+'Calc'!$I$2&gt;0,"",IF('Calc'!$C39="","",SUMPRODUCT((ISNUMBER(P_Start))*(P_Start&gt;='Calc'!$C39)*(P_Start&lt;EDATE('Calc'!$C39,1))*((P_TypeN=UPPER(FiltCat))+(FiltCat="All")))+SUMPRODUCT((ISNUMBER(L_Start))*(L_Start&gt;='Calc'!$C39)*(L_Start&lt;EDATE('Calc'!$C39,1))*((L_TypeN=UPPER(FiltCat))+(FiltCat="All")))-SUMPRODUCT((ISNUMBER(L_Start))*(L_Start&gt;='Calc'!$C39)*(L_Start&lt;EDATE('Calc'!$C39,1))*((L_TypeN=UPPER(FiltCat))+(FiltCat="All"))*(L_InP=1))))</f>
        <v/>
      </c>
    </row>
    <row r="40" ht="22" customHeight="1">
      <c r="B40" s="15">
        <f>IF('Calc'!$H$2+'Calc'!$I$2&gt;0,"",IF('Calc'!$C40="","",TEXT('Calc'!$C40,"yyyy-mm")))</f>
        <v/>
      </c>
      <c r="C40" s="16">
        <f>IF('Calc'!$H$2+'Calc'!$I$2&gt;0,"",IF('Calc'!$C40="","",SUMPRODUCT((ISNUMBER(P_Start))*(P_Start&lt;=EOMONTH('Calc'!$C40,0))*(((P_StatusN="ACTIVE")+((ISNUMBER(P_LWD))*(P_LWD&gt;=EOMONTH('Calc'!$C40,0))))&gt;0)*((P_TypeN=UPPER(FiltCat))+(FiltCat="All")))+SUMPRODUCT((ISNUMBER(L_Start))*(L_Start&lt;=EOMONTH('Calc'!$C40,0))*(((L_StatusN="ACTIVE")+((ISNUMBER(L_LWD))*(L_LWD&gt;=EOMONTH('Calc'!$C40,0))))&gt;0)*((L_TypeN=UPPER(FiltCat))+(FiltCat="All")))-SUMPRODUCT((ISNUMBER(L_Start))*(L_Start&lt;=EOMONTH('Calc'!$C40,0))*(((L_StatusN="ACTIVE")+((ISNUMBER(L_LWD))*(L_LWD&gt;=EOMONTH('Calc'!$C40,0))))&gt;0)*((L_TypeN=UPPER(FiltCat))+(FiltCat="All"))*(L_InP=1))))</f>
        <v/>
      </c>
      <c r="D40" s="16">
        <f>IF('Calc'!$H$2+'Calc'!$I$2&gt;0,"",IF('Calc'!$C40="","",SUMPRODUCT((P_StatusN="INACTIVE")*(ISNUMBER(P_LWD))*(P_LWD&gt;='Calc'!$C40)*(P_LWD&lt;EDATE('Calc'!$C40,1))*((P_TypeN=UPPER(FiltCat))+(FiltCat="All")))+SUMPRODUCT((L_StatusN="INACTIVE")*(ISNUMBER(L_LWD))*(L_LWD&gt;='Calc'!$C40)*(L_LWD&lt;EDATE('Calc'!$C40,1))*((L_TypeN=UPPER(FiltCat))+(FiltCat="All")))-SUMPRODUCT((L_StatusN="INACTIVE")*(ISNUMBER(L_LWD))*(L_LWD&gt;='Calc'!$C40)*(L_LWD&lt;EDATE('Calc'!$C40,1))*((L_TypeN=UPPER(FiltCat))+(FiltCat="All"))*(L_InP=1)*(L_TwinIna=1))))</f>
        <v/>
      </c>
      <c r="E40" s="16">
        <f>IF('Calc'!$H$2+'Calc'!$I$2&gt;0,"",IF('Calc'!$C40="","",SUMPRODUCT((P_StatusN="INACTIVE")*(ISNUMBER(P_LWD))*(P_LWD&gt;='Calc'!$C40)*(P_LWD&lt;EDATE('Calc'!$C40,1))*((P_TypeN="PERM")))+SUMPRODUCT((L_StatusN="INACTIVE")*(ISNUMBER(L_LWD))*(L_LWD&gt;='Calc'!$C40)*(L_LWD&lt;EDATE('Calc'!$C40,1))*((L_TypeN="PERM")))-SUMPRODUCT((L_StatusN="INACTIVE")*(ISNUMBER(L_LWD))*(L_LWD&gt;='Calc'!$C40)*(L_LWD&lt;EDATE('Calc'!$C40,1))*((L_TypeN="PERM"))*(L_InP=1)*(L_TwinIna=1))))</f>
        <v/>
      </c>
      <c r="F40" s="16">
        <f>IF('Calc'!$H$2+'Calc'!$I$2&gt;0,"",IF('Calc'!$C40="","",SUMPRODUCT((P_StatusN="INACTIVE")*(ISNUMBER(P_LWD))*(P_LWD&gt;='Calc'!$C40)*(P_LWD&lt;EDATE('Calc'!$C40,1))*((P_TypeN="PC")))+SUMPRODUCT((L_StatusN="INACTIVE")*(ISNUMBER(L_LWD))*(L_LWD&gt;='Calc'!$C40)*(L_LWD&lt;EDATE('Calc'!$C40,1))*((L_TypeN="PC")))-SUMPRODUCT((L_StatusN="INACTIVE")*(ISNUMBER(L_LWD))*(L_LWD&gt;='Calc'!$C40)*(L_LWD&lt;EDATE('Calc'!$C40,1))*((L_TypeN="PC"))*(L_InP=1)*(L_TwinIna=1))))</f>
        <v/>
      </c>
      <c r="G40" s="16">
        <f>IF('Calc'!$H$2+'Calc'!$I$2&gt;0,"",IF('Calc'!$C40="","",SUMPRODUCT((P_StatusN="INACTIVE")*(ISNUMBER(P_LWD))*(P_LWD&gt;='Calc'!$C40)*(P_LWD&lt;EDATE('Calc'!$C40,1))*((P_TypeN="MS")))+SUMPRODUCT((L_StatusN="INACTIVE")*(ISNUMBER(L_LWD))*(L_LWD&gt;='Calc'!$C40)*(L_LWD&lt;EDATE('Calc'!$C40,1))*((L_TypeN="MS")))-SUMPRODUCT((L_StatusN="INACTIVE")*(ISNUMBER(L_LWD))*(L_LWD&gt;='Calc'!$C40)*(L_LWD&lt;EDATE('Calc'!$C40,1))*((L_TypeN="MS"))*(L_InP=1)*(L_TwinIna=1))))</f>
        <v/>
      </c>
      <c r="H40" s="16">
        <f>IF('Calc'!$H$2+'Calc'!$I$2&gt;0,"",IF('Calc'!$C40="","",SUMPRODUCT((ISNUMBER(P_Start))*(P_Start&gt;='Calc'!$C40)*(P_Start&lt;EDATE('Calc'!$C40,1))*((P_TypeN=UPPER(FiltCat))+(FiltCat="All")))+SUMPRODUCT((ISNUMBER(L_Start))*(L_Start&gt;='Calc'!$C40)*(L_Start&lt;EDATE('Calc'!$C40,1))*((L_TypeN=UPPER(FiltCat))+(FiltCat="All")))-SUMPRODUCT((ISNUMBER(L_Start))*(L_Start&gt;='Calc'!$C40)*(L_Start&lt;EDATE('Calc'!$C40,1))*((L_TypeN=UPPER(FiltCat))+(FiltCat="All"))*(L_InP=1))))</f>
        <v/>
      </c>
    </row>
    <row r="41" ht="22" customHeight="1">
      <c r="B41" s="13">
        <f>IF('Calc'!$H$2+'Calc'!$I$2&gt;0,"",IF('Calc'!$C41="","",TEXT('Calc'!$C41,"yyyy-mm")))</f>
        <v/>
      </c>
      <c r="C41" s="14">
        <f>IF('Calc'!$H$2+'Calc'!$I$2&gt;0,"",IF('Calc'!$C41="","",SUMPRODUCT((ISNUMBER(P_Start))*(P_Start&lt;=EOMONTH('Calc'!$C41,0))*(((P_StatusN="ACTIVE")+((ISNUMBER(P_LWD))*(P_LWD&gt;=EOMONTH('Calc'!$C41,0))))&gt;0)*((P_TypeN=UPPER(FiltCat))+(FiltCat="All")))+SUMPRODUCT((ISNUMBER(L_Start))*(L_Start&lt;=EOMONTH('Calc'!$C41,0))*(((L_StatusN="ACTIVE")+((ISNUMBER(L_LWD))*(L_LWD&gt;=EOMONTH('Calc'!$C41,0))))&gt;0)*((L_TypeN=UPPER(FiltCat))+(FiltCat="All")))-SUMPRODUCT((ISNUMBER(L_Start))*(L_Start&lt;=EOMONTH('Calc'!$C41,0))*(((L_StatusN="ACTIVE")+((ISNUMBER(L_LWD))*(L_LWD&gt;=EOMONTH('Calc'!$C41,0))))&gt;0)*((L_TypeN=UPPER(FiltCat))+(FiltCat="All"))*(L_InP=1))))</f>
        <v/>
      </c>
      <c r="D41" s="14">
        <f>IF('Calc'!$H$2+'Calc'!$I$2&gt;0,"",IF('Calc'!$C41="","",SUMPRODUCT((P_StatusN="INACTIVE")*(ISNUMBER(P_LWD))*(P_LWD&gt;='Calc'!$C41)*(P_LWD&lt;EDATE('Calc'!$C41,1))*((P_TypeN=UPPER(FiltCat))+(FiltCat="All")))+SUMPRODUCT((L_StatusN="INACTIVE")*(ISNUMBER(L_LWD))*(L_LWD&gt;='Calc'!$C41)*(L_LWD&lt;EDATE('Calc'!$C41,1))*((L_TypeN=UPPER(FiltCat))+(FiltCat="All")))-SUMPRODUCT((L_StatusN="INACTIVE")*(ISNUMBER(L_LWD))*(L_LWD&gt;='Calc'!$C41)*(L_LWD&lt;EDATE('Calc'!$C41,1))*((L_TypeN=UPPER(FiltCat))+(FiltCat="All"))*(L_InP=1)*(L_TwinIna=1))))</f>
        <v/>
      </c>
      <c r="E41" s="14">
        <f>IF('Calc'!$H$2+'Calc'!$I$2&gt;0,"",IF('Calc'!$C41="","",SUMPRODUCT((P_StatusN="INACTIVE")*(ISNUMBER(P_LWD))*(P_LWD&gt;='Calc'!$C41)*(P_LWD&lt;EDATE('Calc'!$C41,1))*((P_TypeN="PERM")))+SUMPRODUCT((L_StatusN="INACTIVE")*(ISNUMBER(L_LWD))*(L_LWD&gt;='Calc'!$C41)*(L_LWD&lt;EDATE('Calc'!$C41,1))*((L_TypeN="PERM")))-SUMPRODUCT((L_StatusN="INACTIVE")*(ISNUMBER(L_LWD))*(L_LWD&gt;='Calc'!$C41)*(L_LWD&lt;EDATE('Calc'!$C41,1))*((L_TypeN="PERM"))*(L_InP=1)*(L_TwinIna=1))))</f>
        <v/>
      </c>
      <c r="F41" s="14">
        <f>IF('Calc'!$H$2+'Calc'!$I$2&gt;0,"",IF('Calc'!$C41="","",SUMPRODUCT((P_StatusN="INACTIVE")*(ISNUMBER(P_LWD))*(P_LWD&gt;='Calc'!$C41)*(P_LWD&lt;EDATE('Calc'!$C41,1))*((P_TypeN="PC")))+SUMPRODUCT((L_StatusN="INACTIVE")*(ISNUMBER(L_LWD))*(L_LWD&gt;='Calc'!$C41)*(L_LWD&lt;EDATE('Calc'!$C41,1))*((L_TypeN="PC")))-SUMPRODUCT((L_StatusN="INACTIVE")*(ISNUMBER(L_LWD))*(L_LWD&gt;='Calc'!$C41)*(L_LWD&lt;EDATE('Calc'!$C41,1))*((L_TypeN="PC"))*(L_InP=1)*(L_TwinIna=1))))</f>
        <v/>
      </c>
      <c r="G41" s="14">
        <f>IF('Calc'!$H$2+'Calc'!$I$2&gt;0,"",IF('Calc'!$C41="","",SUMPRODUCT((P_StatusN="INACTIVE")*(ISNUMBER(P_LWD))*(P_LWD&gt;='Calc'!$C41)*(P_LWD&lt;EDATE('Calc'!$C41,1))*((P_TypeN="MS")))+SUMPRODUCT((L_StatusN="INACTIVE")*(ISNUMBER(L_LWD))*(L_LWD&gt;='Calc'!$C41)*(L_LWD&lt;EDATE('Calc'!$C41,1))*((L_TypeN="MS")))-SUMPRODUCT((L_StatusN="INACTIVE")*(ISNUMBER(L_LWD))*(L_LWD&gt;='Calc'!$C41)*(L_LWD&lt;EDATE('Calc'!$C41,1))*((L_TypeN="MS"))*(L_InP=1)*(L_TwinIna=1))))</f>
        <v/>
      </c>
      <c r="H41" s="14">
        <f>IF('Calc'!$H$2+'Calc'!$I$2&gt;0,"",IF('Calc'!$C41="","",SUMPRODUCT((ISNUMBER(P_Start))*(P_Start&gt;='Calc'!$C41)*(P_Start&lt;EDATE('Calc'!$C41,1))*((P_TypeN=UPPER(FiltCat))+(FiltCat="All")))+SUMPRODUCT((ISNUMBER(L_Start))*(L_Start&gt;='Calc'!$C41)*(L_Start&lt;EDATE('Calc'!$C41,1))*((L_TypeN=UPPER(FiltCat))+(FiltCat="All")))-SUMPRODUCT((ISNUMBER(L_Start))*(L_Start&gt;='Calc'!$C41)*(L_Start&lt;EDATE('Calc'!$C41,1))*((L_TypeN=UPPER(FiltCat))+(FiltCat="All"))*(L_InP=1))))</f>
        <v/>
      </c>
    </row>
    <row r="42" ht="22" customHeight="1">
      <c r="B42" s="15">
        <f>IF('Calc'!$H$2+'Calc'!$I$2&gt;0,"",IF('Calc'!$C42="","",TEXT('Calc'!$C42,"yyyy-mm")))</f>
        <v/>
      </c>
      <c r="C42" s="16">
        <f>IF('Calc'!$H$2+'Calc'!$I$2&gt;0,"",IF('Calc'!$C42="","",SUMPRODUCT((ISNUMBER(P_Start))*(P_Start&lt;=EOMONTH('Calc'!$C42,0))*(((P_StatusN="ACTIVE")+((ISNUMBER(P_LWD))*(P_LWD&gt;=EOMONTH('Calc'!$C42,0))))&gt;0)*((P_TypeN=UPPER(FiltCat))+(FiltCat="All")))+SUMPRODUCT((ISNUMBER(L_Start))*(L_Start&lt;=EOMONTH('Calc'!$C42,0))*(((L_StatusN="ACTIVE")+((ISNUMBER(L_LWD))*(L_LWD&gt;=EOMONTH('Calc'!$C42,0))))&gt;0)*((L_TypeN=UPPER(FiltCat))+(FiltCat="All")))-SUMPRODUCT((ISNUMBER(L_Start))*(L_Start&lt;=EOMONTH('Calc'!$C42,0))*(((L_StatusN="ACTIVE")+((ISNUMBER(L_LWD))*(L_LWD&gt;=EOMONTH('Calc'!$C42,0))))&gt;0)*((L_TypeN=UPPER(FiltCat))+(FiltCat="All"))*(L_InP=1))))</f>
        <v/>
      </c>
      <c r="D42" s="16">
        <f>IF('Calc'!$H$2+'Calc'!$I$2&gt;0,"",IF('Calc'!$C42="","",SUMPRODUCT((P_StatusN="INACTIVE")*(ISNUMBER(P_LWD))*(P_LWD&gt;='Calc'!$C42)*(P_LWD&lt;EDATE('Calc'!$C42,1))*((P_TypeN=UPPER(FiltCat))+(FiltCat="All")))+SUMPRODUCT((L_StatusN="INACTIVE")*(ISNUMBER(L_LWD))*(L_LWD&gt;='Calc'!$C42)*(L_LWD&lt;EDATE('Calc'!$C42,1))*((L_TypeN=UPPER(FiltCat))+(FiltCat="All")))-SUMPRODUCT((L_StatusN="INACTIVE")*(ISNUMBER(L_LWD))*(L_LWD&gt;='Calc'!$C42)*(L_LWD&lt;EDATE('Calc'!$C42,1))*((L_TypeN=UPPER(FiltCat))+(FiltCat="All"))*(L_InP=1)*(L_TwinIna=1))))</f>
        <v/>
      </c>
      <c r="E42" s="16">
        <f>IF('Calc'!$H$2+'Calc'!$I$2&gt;0,"",IF('Calc'!$C42="","",SUMPRODUCT((P_StatusN="INACTIVE")*(ISNUMBER(P_LWD))*(P_LWD&gt;='Calc'!$C42)*(P_LWD&lt;EDATE('Calc'!$C42,1))*((P_TypeN="PERM")))+SUMPRODUCT((L_StatusN="INACTIVE")*(ISNUMBER(L_LWD))*(L_LWD&gt;='Calc'!$C42)*(L_LWD&lt;EDATE('Calc'!$C42,1))*((L_TypeN="PERM")))-SUMPRODUCT((L_StatusN="INACTIVE")*(ISNUMBER(L_LWD))*(L_LWD&gt;='Calc'!$C42)*(L_LWD&lt;EDATE('Calc'!$C42,1))*((L_TypeN="PERM"))*(L_InP=1)*(L_TwinIna=1))))</f>
        <v/>
      </c>
      <c r="F42" s="16">
        <f>IF('Calc'!$H$2+'Calc'!$I$2&gt;0,"",IF('Calc'!$C42="","",SUMPRODUCT((P_StatusN="INACTIVE")*(ISNUMBER(P_LWD))*(P_LWD&gt;='Calc'!$C42)*(P_LWD&lt;EDATE('Calc'!$C42,1))*((P_TypeN="PC")))+SUMPRODUCT((L_StatusN="INACTIVE")*(ISNUMBER(L_LWD))*(L_LWD&gt;='Calc'!$C42)*(L_LWD&lt;EDATE('Calc'!$C42,1))*((L_TypeN="PC")))-SUMPRODUCT((L_StatusN="INACTIVE")*(ISNUMBER(L_LWD))*(L_LWD&gt;='Calc'!$C42)*(L_LWD&lt;EDATE('Calc'!$C42,1))*((L_TypeN="PC"))*(L_InP=1)*(L_TwinIna=1))))</f>
        <v/>
      </c>
      <c r="G42" s="16">
        <f>IF('Calc'!$H$2+'Calc'!$I$2&gt;0,"",IF('Calc'!$C42="","",SUMPRODUCT((P_StatusN="INACTIVE")*(ISNUMBER(P_LWD))*(P_LWD&gt;='Calc'!$C42)*(P_LWD&lt;EDATE('Calc'!$C42,1))*((P_TypeN="MS")))+SUMPRODUCT((L_StatusN="INACTIVE")*(ISNUMBER(L_LWD))*(L_LWD&gt;='Calc'!$C42)*(L_LWD&lt;EDATE('Calc'!$C42,1))*((L_TypeN="MS")))-SUMPRODUCT((L_StatusN="INACTIVE")*(ISNUMBER(L_LWD))*(L_LWD&gt;='Calc'!$C42)*(L_LWD&lt;EDATE('Calc'!$C42,1))*((L_TypeN="MS"))*(L_InP=1)*(L_TwinIna=1))))</f>
        <v/>
      </c>
      <c r="H42" s="16">
        <f>IF('Calc'!$H$2+'Calc'!$I$2&gt;0,"",IF('Calc'!$C42="","",SUMPRODUCT((ISNUMBER(P_Start))*(P_Start&gt;='Calc'!$C42)*(P_Start&lt;EDATE('Calc'!$C42,1))*((P_TypeN=UPPER(FiltCat))+(FiltCat="All")))+SUMPRODUCT((ISNUMBER(L_Start))*(L_Start&gt;='Calc'!$C42)*(L_Start&lt;EDATE('Calc'!$C42,1))*((L_TypeN=UPPER(FiltCat))+(FiltCat="All")))-SUMPRODUCT((ISNUMBER(L_Start))*(L_Start&gt;='Calc'!$C42)*(L_Start&lt;EDATE('Calc'!$C42,1))*((L_TypeN=UPPER(FiltCat))+(FiltCat="All"))*(L_InP=1))))</f>
        <v/>
      </c>
    </row>
    <row r="43" ht="22" customHeight="1">
      <c r="B43" s="13">
        <f>IF('Calc'!$H$2+'Calc'!$I$2&gt;0,"",IF('Calc'!$C43="","",TEXT('Calc'!$C43,"yyyy-mm")))</f>
        <v/>
      </c>
      <c r="C43" s="14">
        <f>IF('Calc'!$H$2+'Calc'!$I$2&gt;0,"",IF('Calc'!$C43="","",SUMPRODUCT((ISNUMBER(P_Start))*(P_Start&lt;=EOMONTH('Calc'!$C43,0))*(((P_StatusN="ACTIVE")+((ISNUMBER(P_LWD))*(P_LWD&gt;=EOMONTH('Calc'!$C43,0))))&gt;0)*((P_TypeN=UPPER(FiltCat))+(FiltCat="All")))+SUMPRODUCT((ISNUMBER(L_Start))*(L_Start&lt;=EOMONTH('Calc'!$C43,0))*(((L_StatusN="ACTIVE")+((ISNUMBER(L_LWD))*(L_LWD&gt;=EOMONTH('Calc'!$C43,0))))&gt;0)*((L_TypeN=UPPER(FiltCat))+(FiltCat="All")))-SUMPRODUCT((ISNUMBER(L_Start))*(L_Start&lt;=EOMONTH('Calc'!$C43,0))*(((L_StatusN="ACTIVE")+((ISNUMBER(L_LWD))*(L_LWD&gt;=EOMONTH('Calc'!$C43,0))))&gt;0)*((L_TypeN=UPPER(FiltCat))+(FiltCat="All"))*(L_InP=1))))</f>
        <v/>
      </c>
      <c r="D43" s="14">
        <f>IF('Calc'!$H$2+'Calc'!$I$2&gt;0,"",IF('Calc'!$C43="","",SUMPRODUCT((P_StatusN="INACTIVE")*(ISNUMBER(P_LWD))*(P_LWD&gt;='Calc'!$C43)*(P_LWD&lt;EDATE('Calc'!$C43,1))*((P_TypeN=UPPER(FiltCat))+(FiltCat="All")))+SUMPRODUCT((L_StatusN="INACTIVE")*(ISNUMBER(L_LWD))*(L_LWD&gt;='Calc'!$C43)*(L_LWD&lt;EDATE('Calc'!$C43,1))*((L_TypeN=UPPER(FiltCat))+(FiltCat="All")))-SUMPRODUCT((L_StatusN="INACTIVE")*(ISNUMBER(L_LWD))*(L_LWD&gt;='Calc'!$C43)*(L_LWD&lt;EDATE('Calc'!$C43,1))*((L_TypeN=UPPER(FiltCat))+(FiltCat="All"))*(L_InP=1)*(L_TwinIna=1))))</f>
        <v/>
      </c>
      <c r="E43" s="14">
        <f>IF('Calc'!$H$2+'Calc'!$I$2&gt;0,"",IF('Calc'!$C43="","",SUMPRODUCT((P_StatusN="INACTIVE")*(ISNUMBER(P_LWD))*(P_LWD&gt;='Calc'!$C43)*(P_LWD&lt;EDATE('Calc'!$C43,1))*((P_TypeN="PERM")))+SUMPRODUCT((L_StatusN="INACTIVE")*(ISNUMBER(L_LWD))*(L_LWD&gt;='Calc'!$C43)*(L_LWD&lt;EDATE('Calc'!$C43,1))*((L_TypeN="PERM")))-SUMPRODUCT((L_StatusN="INACTIVE")*(ISNUMBER(L_LWD))*(L_LWD&gt;='Calc'!$C43)*(L_LWD&lt;EDATE('Calc'!$C43,1))*((L_TypeN="PERM"))*(L_InP=1)*(L_TwinIna=1))))</f>
        <v/>
      </c>
      <c r="F43" s="14">
        <f>IF('Calc'!$H$2+'Calc'!$I$2&gt;0,"",IF('Calc'!$C43="","",SUMPRODUCT((P_StatusN="INACTIVE")*(ISNUMBER(P_LWD))*(P_LWD&gt;='Calc'!$C43)*(P_LWD&lt;EDATE('Calc'!$C43,1))*((P_TypeN="PC")))+SUMPRODUCT((L_StatusN="INACTIVE")*(ISNUMBER(L_LWD))*(L_LWD&gt;='Calc'!$C43)*(L_LWD&lt;EDATE('Calc'!$C43,1))*((L_TypeN="PC")))-SUMPRODUCT((L_StatusN="INACTIVE")*(ISNUMBER(L_LWD))*(L_LWD&gt;='Calc'!$C43)*(L_LWD&lt;EDATE('Calc'!$C43,1))*((L_TypeN="PC"))*(L_InP=1)*(L_TwinIna=1))))</f>
        <v/>
      </c>
      <c r="G43" s="14">
        <f>IF('Calc'!$H$2+'Calc'!$I$2&gt;0,"",IF('Calc'!$C43="","",SUMPRODUCT((P_StatusN="INACTIVE")*(ISNUMBER(P_LWD))*(P_LWD&gt;='Calc'!$C43)*(P_LWD&lt;EDATE('Calc'!$C43,1))*((P_TypeN="MS")))+SUMPRODUCT((L_StatusN="INACTIVE")*(ISNUMBER(L_LWD))*(L_LWD&gt;='Calc'!$C43)*(L_LWD&lt;EDATE('Calc'!$C43,1))*((L_TypeN="MS")))-SUMPRODUCT((L_StatusN="INACTIVE")*(ISNUMBER(L_LWD))*(L_LWD&gt;='Calc'!$C43)*(L_LWD&lt;EDATE('Calc'!$C43,1))*((L_TypeN="MS"))*(L_InP=1)*(L_TwinIna=1))))</f>
        <v/>
      </c>
      <c r="H43" s="14">
        <f>IF('Calc'!$H$2+'Calc'!$I$2&gt;0,"",IF('Calc'!$C43="","",SUMPRODUCT((ISNUMBER(P_Start))*(P_Start&gt;='Calc'!$C43)*(P_Start&lt;EDATE('Calc'!$C43,1))*((P_TypeN=UPPER(FiltCat))+(FiltCat="All")))+SUMPRODUCT((ISNUMBER(L_Start))*(L_Start&gt;='Calc'!$C43)*(L_Start&lt;EDATE('Calc'!$C43,1))*((L_TypeN=UPPER(FiltCat))+(FiltCat="All")))-SUMPRODUCT((ISNUMBER(L_Start))*(L_Start&gt;='Calc'!$C43)*(L_Start&lt;EDATE('Calc'!$C43,1))*((L_TypeN=UPPER(FiltCat))+(FiltCat="All"))*(L_InP=1))))</f>
        <v/>
      </c>
    </row>
    <row r="44" ht="22" customHeight="1">
      <c r="B44" s="15">
        <f>IF('Calc'!$H$2+'Calc'!$I$2&gt;0,"",IF('Calc'!$C44="","",TEXT('Calc'!$C44,"yyyy-mm")))</f>
        <v/>
      </c>
      <c r="C44" s="16">
        <f>IF('Calc'!$H$2+'Calc'!$I$2&gt;0,"",IF('Calc'!$C44="","",SUMPRODUCT((ISNUMBER(P_Start))*(P_Start&lt;=EOMONTH('Calc'!$C44,0))*(((P_StatusN="ACTIVE")+((ISNUMBER(P_LWD))*(P_LWD&gt;=EOMONTH('Calc'!$C44,0))))&gt;0)*((P_TypeN=UPPER(FiltCat))+(FiltCat="All")))+SUMPRODUCT((ISNUMBER(L_Start))*(L_Start&lt;=EOMONTH('Calc'!$C44,0))*(((L_StatusN="ACTIVE")+((ISNUMBER(L_LWD))*(L_LWD&gt;=EOMONTH('Calc'!$C44,0))))&gt;0)*((L_TypeN=UPPER(FiltCat))+(FiltCat="All")))-SUMPRODUCT((ISNUMBER(L_Start))*(L_Start&lt;=EOMONTH('Calc'!$C44,0))*(((L_StatusN="ACTIVE")+((ISNUMBER(L_LWD))*(L_LWD&gt;=EOMONTH('Calc'!$C44,0))))&gt;0)*((L_TypeN=UPPER(FiltCat))+(FiltCat="All"))*(L_InP=1))))</f>
        <v/>
      </c>
      <c r="D44" s="16">
        <f>IF('Calc'!$H$2+'Calc'!$I$2&gt;0,"",IF('Calc'!$C44="","",SUMPRODUCT((P_StatusN="INACTIVE")*(ISNUMBER(P_LWD))*(P_LWD&gt;='Calc'!$C44)*(P_LWD&lt;EDATE('Calc'!$C44,1))*((P_TypeN=UPPER(FiltCat))+(FiltCat="All")))+SUMPRODUCT((L_StatusN="INACTIVE")*(ISNUMBER(L_LWD))*(L_LWD&gt;='Calc'!$C44)*(L_LWD&lt;EDATE('Calc'!$C44,1))*((L_TypeN=UPPER(FiltCat))+(FiltCat="All")))-SUMPRODUCT((L_StatusN="INACTIVE")*(ISNUMBER(L_LWD))*(L_LWD&gt;='Calc'!$C44)*(L_LWD&lt;EDATE('Calc'!$C44,1))*((L_TypeN=UPPER(FiltCat))+(FiltCat="All"))*(L_InP=1)*(L_TwinIna=1))))</f>
        <v/>
      </c>
      <c r="E44" s="16">
        <f>IF('Calc'!$H$2+'Calc'!$I$2&gt;0,"",IF('Calc'!$C44="","",SUMPRODUCT((P_StatusN="INACTIVE")*(ISNUMBER(P_LWD))*(P_LWD&gt;='Calc'!$C44)*(P_LWD&lt;EDATE('Calc'!$C44,1))*((P_TypeN="PERM")))+SUMPRODUCT((L_StatusN="INACTIVE")*(ISNUMBER(L_LWD))*(L_LWD&gt;='Calc'!$C44)*(L_LWD&lt;EDATE('Calc'!$C44,1))*((L_TypeN="PERM")))-SUMPRODUCT((L_StatusN="INACTIVE")*(ISNUMBER(L_LWD))*(L_LWD&gt;='Calc'!$C44)*(L_LWD&lt;EDATE('Calc'!$C44,1))*((L_TypeN="PERM"))*(L_InP=1)*(L_TwinIna=1))))</f>
        <v/>
      </c>
      <c r="F44" s="16">
        <f>IF('Calc'!$H$2+'Calc'!$I$2&gt;0,"",IF('Calc'!$C44="","",SUMPRODUCT((P_StatusN="INACTIVE")*(ISNUMBER(P_LWD))*(P_LWD&gt;='Calc'!$C44)*(P_LWD&lt;EDATE('Calc'!$C44,1))*((P_TypeN="PC")))+SUMPRODUCT((L_StatusN="INACTIVE")*(ISNUMBER(L_LWD))*(L_LWD&gt;='Calc'!$C44)*(L_LWD&lt;EDATE('Calc'!$C44,1))*((L_TypeN="PC")))-SUMPRODUCT((L_StatusN="INACTIVE")*(ISNUMBER(L_LWD))*(L_LWD&gt;='Calc'!$C44)*(L_LWD&lt;EDATE('Calc'!$C44,1))*((L_TypeN="PC"))*(L_InP=1)*(L_TwinIna=1))))</f>
        <v/>
      </c>
      <c r="G44" s="16">
        <f>IF('Calc'!$H$2+'Calc'!$I$2&gt;0,"",IF('Calc'!$C44="","",SUMPRODUCT((P_StatusN="INACTIVE")*(ISNUMBER(P_LWD))*(P_LWD&gt;='Calc'!$C44)*(P_LWD&lt;EDATE('Calc'!$C44,1))*((P_TypeN="MS")))+SUMPRODUCT((L_StatusN="INACTIVE")*(ISNUMBER(L_LWD))*(L_LWD&gt;='Calc'!$C44)*(L_LWD&lt;EDATE('Calc'!$C44,1))*((L_TypeN="MS")))-SUMPRODUCT((L_StatusN="INACTIVE")*(ISNUMBER(L_LWD))*(L_LWD&gt;='Calc'!$C44)*(L_LWD&lt;EDATE('Calc'!$C44,1))*((L_TypeN="MS"))*(L_InP=1)*(L_TwinIna=1))))</f>
        <v/>
      </c>
      <c r="H44" s="16">
        <f>IF('Calc'!$H$2+'Calc'!$I$2&gt;0,"",IF('Calc'!$C44="","",SUMPRODUCT((ISNUMBER(P_Start))*(P_Start&gt;='Calc'!$C44)*(P_Start&lt;EDATE('Calc'!$C44,1))*((P_TypeN=UPPER(FiltCat))+(FiltCat="All")))+SUMPRODUCT((ISNUMBER(L_Start))*(L_Start&gt;='Calc'!$C44)*(L_Start&lt;EDATE('Calc'!$C44,1))*((L_TypeN=UPPER(FiltCat))+(FiltCat="All")))-SUMPRODUCT((ISNUMBER(L_Start))*(L_Start&gt;='Calc'!$C44)*(L_Start&lt;EDATE('Calc'!$C44,1))*((L_TypeN=UPPER(FiltCat))+(FiltCat="All"))*(L_InP=1))))</f>
        <v/>
      </c>
    </row>
    <row r="45" ht="22" customHeight="1">
      <c r="B45" s="13">
        <f>IF('Calc'!$H$2+'Calc'!$I$2&gt;0,"",IF('Calc'!$C45="","",TEXT('Calc'!$C45,"yyyy-mm")))</f>
        <v/>
      </c>
      <c r="C45" s="14">
        <f>IF('Calc'!$H$2+'Calc'!$I$2&gt;0,"",IF('Calc'!$C45="","",SUMPRODUCT((ISNUMBER(P_Start))*(P_Start&lt;=EOMONTH('Calc'!$C45,0))*(((P_StatusN="ACTIVE")+((ISNUMBER(P_LWD))*(P_LWD&gt;=EOMONTH('Calc'!$C45,0))))&gt;0)*((P_TypeN=UPPER(FiltCat))+(FiltCat="All")))+SUMPRODUCT((ISNUMBER(L_Start))*(L_Start&lt;=EOMONTH('Calc'!$C45,0))*(((L_StatusN="ACTIVE")+((ISNUMBER(L_LWD))*(L_LWD&gt;=EOMONTH('Calc'!$C45,0))))&gt;0)*((L_TypeN=UPPER(FiltCat))+(FiltCat="All")))-SUMPRODUCT((ISNUMBER(L_Start))*(L_Start&lt;=EOMONTH('Calc'!$C45,0))*(((L_StatusN="ACTIVE")+((ISNUMBER(L_LWD))*(L_LWD&gt;=EOMONTH('Calc'!$C45,0))))&gt;0)*((L_TypeN=UPPER(FiltCat))+(FiltCat="All"))*(L_InP=1))))</f>
        <v/>
      </c>
      <c r="D45" s="14">
        <f>IF('Calc'!$H$2+'Calc'!$I$2&gt;0,"",IF('Calc'!$C45="","",SUMPRODUCT((P_StatusN="INACTIVE")*(ISNUMBER(P_LWD))*(P_LWD&gt;='Calc'!$C45)*(P_LWD&lt;EDATE('Calc'!$C45,1))*((P_TypeN=UPPER(FiltCat))+(FiltCat="All")))+SUMPRODUCT((L_StatusN="INACTIVE")*(ISNUMBER(L_LWD))*(L_LWD&gt;='Calc'!$C45)*(L_LWD&lt;EDATE('Calc'!$C45,1))*((L_TypeN=UPPER(FiltCat))+(FiltCat="All")))-SUMPRODUCT((L_StatusN="INACTIVE")*(ISNUMBER(L_LWD))*(L_LWD&gt;='Calc'!$C45)*(L_LWD&lt;EDATE('Calc'!$C45,1))*((L_TypeN=UPPER(FiltCat))+(FiltCat="All"))*(L_InP=1)*(L_TwinIna=1))))</f>
        <v/>
      </c>
      <c r="E45" s="14">
        <f>IF('Calc'!$H$2+'Calc'!$I$2&gt;0,"",IF('Calc'!$C45="","",SUMPRODUCT((P_StatusN="INACTIVE")*(ISNUMBER(P_LWD))*(P_LWD&gt;='Calc'!$C45)*(P_LWD&lt;EDATE('Calc'!$C45,1))*((P_TypeN="PERM")))+SUMPRODUCT((L_StatusN="INACTIVE")*(ISNUMBER(L_LWD))*(L_LWD&gt;='Calc'!$C45)*(L_LWD&lt;EDATE('Calc'!$C45,1))*((L_TypeN="PERM")))-SUMPRODUCT((L_StatusN="INACTIVE")*(ISNUMBER(L_LWD))*(L_LWD&gt;='Calc'!$C45)*(L_LWD&lt;EDATE('Calc'!$C45,1))*((L_TypeN="PERM"))*(L_InP=1)*(L_TwinIna=1))))</f>
        <v/>
      </c>
      <c r="F45" s="14">
        <f>IF('Calc'!$H$2+'Calc'!$I$2&gt;0,"",IF('Calc'!$C45="","",SUMPRODUCT((P_StatusN="INACTIVE")*(ISNUMBER(P_LWD))*(P_LWD&gt;='Calc'!$C45)*(P_LWD&lt;EDATE('Calc'!$C45,1))*((P_TypeN="PC")))+SUMPRODUCT((L_StatusN="INACTIVE")*(ISNUMBER(L_LWD))*(L_LWD&gt;='Calc'!$C45)*(L_LWD&lt;EDATE('Calc'!$C45,1))*((L_TypeN="PC")))-SUMPRODUCT((L_StatusN="INACTIVE")*(ISNUMBER(L_LWD))*(L_LWD&gt;='Calc'!$C45)*(L_LWD&lt;EDATE('Calc'!$C45,1))*((L_TypeN="PC"))*(L_InP=1)*(L_TwinIna=1))))</f>
        <v/>
      </c>
      <c r="G45" s="14">
        <f>IF('Calc'!$H$2+'Calc'!$I$2&gt;0,"",IF('Calc'!$C45="","",SUMPRODUCT((P_StatusN="INACTIVE")*(ISNUMBER(P_LWD))*(P_LWD&gt;='Calc'!$C45)*(P_LWD&lt;EDATE('Calc'!$C45,1))*((P_TypeN="MS")))+SUMPRODUCT((L_StatusN="INACTIVE")*(ISNUMBER(L_LWD))*(L_LWD&gt;='Calc'!$C45)*(L_LWD&lt;EDATE('Calc'!$C45,1))*((L_TypeN="MS")))-SUMPRODUCT((L_StatusN="INACTIVE")*(ISNUMBER(L_LWD))*(L_LWD&gt;='Calc'!$C45)*(L_LWD&lt;EDATE('Calc'!$C45,1))*((L_TypeN="MS"))*(L_InP=1)*(L_TwinIna=1))))</f>
        <v/>
      </c>
      <c r="H45" s="14">
        <f>IF('Calc'!$H$2+'Calc'!$I$2&gt;0,"",IF('Calc'!$C45="","",SUMPRODUCT((ISNUMBER(P_Start))*(P_Start&gt;='Calc'!$C45)*(P_Start&lt;EDATE('Calc'!$C45,1))*((P_TypeN=UPPER(FiltCat))+(FiltCat="All")))+SUMPRODUCT((ISNUMBER(L_Start))*(L_Start&gt;='Calc'!$C45)*(L_Start&lt;EDATE('Calc'!$C45,1))*((L_TypeN=UPPER(FiltCat))+(FiltCat="All")))-SUMPRODUCT((ISNUMBER(L_Start))*(L_Start&gt;='Calc'!$C45)*(L_Start&lt;EDATE('Calc'!$C45,1))*((L_TypeN=UPPER(FiltCat))+(FiltCat="All"))*(L_InP=1))))</f>
        <v/>
      </c>
    </row>
    <row r="46" ht="22" customHeight="1">
      <c r="B46" s="15">
        <f>IF('Calc'!$H$2+'Calc'!$I$2&gt;0,"",IF('Calc'!$C46="","",TEXT('Calc'!$C46,"yyyy-mm")))</f>
        <v/>
      </c>
      <c r="C46" s="16">
        <f>IF('Calc'!$H$2+'Calc'!$I$2&gt;0,"",IF('Calc'!$C46="","",SUMPRODUCT((ISNUMBER(P_Start))*(P_Start&lt;=EOMONTH('Calc'!$C46,0))*(((P_StatusN="ACTIVE")+((ISNUMBER(P_LWD))*(P_LWD&gt;=EOMONTH('Calc'!$C46,0))))&gt;0)*((P_TypeN=UPPER(FiltCat))+(FiltCat="All")))+SUMPRODUCT((ISNUMBER(L_Start))*(L_Start&lt;=EOMONTH('Calc'!$C46,0))*(((L_StatusN="ACTIVE")+((ISNUMBER(L_LWD))*(L_LWD&gt;=EOMONTH('Calc'!$C46,0))))&gt;0)*((L_TypeN=UPPER(FiltCat))+(FiltCat="All")))-SUMPRODUCT((ISNUMBER(L_Start))*(L_Start&lt;=EOMONTH('Calc'!$C46,0))*(((L_StatusN="ACTIVE")+((ISNUMBER(L_LWD))*(L_LWD&gt;=EOMONTH('Calc'!$C46,0))))&gt;0)*((L_TypeN=UPPER(FiltCat))+(FiltCat="All"))*(L_InP=1))))</f>
        <v/>
      </c>
      <c r="D46" s="16">
        <f>IF('Calc'!$H$2+'Calc'!$I$2&gt;0,"",IF('Calc'!$C46="","",SUMPRODUCT((P_StatusN="INACTIVE")*(ISNUMBER(P_LWD))*(P_LWD&gt;='Calc'!$C46)*(P_LWD&lt;EDATE('Calc'!$C46,1))*((P_TypeN=UPPER(FiltCat))+(FiltCat="All")))+SUMPRODUCT((L_StatusN="INACTIVE")*(ISNUMBER(L_LWD))*(L_LWD&gt;='Calc'!$C46)*(L_LWD&lt;EDATE('Calc'!$C46,1))*((L_TypeN=UPPER(FiltCat))+(FiltCat="All")))-SUMPRODUCT((L_StatusN="INACTIVE")*(ISNUMBER(L_LWD))*(L_LWD&gt;='Calc'!$C46)*(L_LWD&lt;EDATE('Calc'!$C46,1))*((L_TypeN=UPPER(FiltCat))+(FiltCat="All"))*(L_InP=1)*(L_TwinIna=1))))</f>
        <v/>
      </c>
      <c r="E46" s="16">
        <f>IF('Calc'!$H$2+'Calc'!$I$2&gt;0,"",IF('Calc'!$C46="","",SUMPRODUCT((P_StatusN="INACTIVE")*(ISNUMBER(P_LWD))*(P_LWD&gt;='Calc'!$C46)*(P_LWD&lt;EDATE('Calc'!$C46,1))*((P_TypeN="PERM")))+SUMPRODUCT((L_StatusN="INACTIVE")*(ISNUMBER(L_LWD))*(L_LWD&gt;='Calc'!$C46)*(L_LWD&lt;EDATE('Calc'!$C46,1))*((L_TypeN="PERM")))-SUMPRODUCT((L_StatusN="INACTIVE")*(ISNUMBER(L_LWD))*(L_LWD&gt;='Calc'!$C46)*(L_LWD&lt;EDATE('Calc'!$C46,1))*((L_TypeN="PERM"))*(L_InP=1)*(L_TwinIna=1))))</f>
        <v/>
      </c>
      <c r="F46" s="16">
        <f>IF('Calc'!$H$2+'Calc'!$I$2&gt;0,"",IF('Calc'!$C46="","",SUMPRODUCT((P_StatusN="INACTIVE")*(ISNUMBER(P_LWD))*(P_LWD&gt;='Calc'!$C46)*(P_LWD&lt;EDATE('Calc'!$C46,1))*((P_TypeN="PC")))+SUMPRODUCT((L_StatusN="INACTIVE")*(ISNUMBER(L_LWD))*(L_LWD&gt;='Calc'!$C46)*(L_LWD&lt;EDATE('Calc'!$C46,1))*((L_TypeN="PC")))-SUMPRODUCT((L_StatusN="INACTIVE")*(ISNUMBER(L_LWD))*(L_LWD&gt;='Calc'!$C46)*(L_LWD&lt;EDATE('Calc'!$C46,1))*((L_TypeN="PC"))*(L_InP=1)*(L_TwinIna=1))))</f>
        <v/>
      </c>
      <c r="G46" s="16">
        <f>IF('Calc'!$H$2+'Calc'!$I$2&gt;0,"",IF('Calc'!$C46="","",SUMPRODUCT((P_StatusN="INACTIVE")*(ISNUMBER(P_LWD))*(P_LWD&gt;='Calc'!$C46)*(P_LWD&lt;EDATE('Calc'!$C46,1))*((P_TypeN="MS")))+SUMPRODUCT((L_StatusN="INACTIVE")*(ISNUMBER(L_LWD))*(L_LWD&gt;='Calc'!$C46)*(L_LWD&lt;EDATE('Calc'!$C46,1))*((L_TypeN="MS")))-SUMPRODUCT((L_StatusN="INACTIVE")*(ISNUMBER(L_LWD))*(L_LWD&gt;='Calc'!$C46)*(L_LWD&lt;EDATE('Calc'!$C46,1))*((L_TypeN="MS"))*(L_InP=1)*(L_TwinIna=1))))</f>
        <v/>
      </c>
      <c r="H46" s="16">
        <f>IF('Calc'!$H$2+'Calc'!$I$2&gt;0,"",IF('Calc'!$C46="","",SUMPRODUCT((ISNUMBER(P_Start))*(P_Start&gt;='Calc'!$C46)*(P_Start&lt;EDATE('Calc'!$C46,1))*((P_TypeN=UPPER(FiltCat))+(FiltCat="All")))+SUMPRODUCT((ISNUMBER(L_Start))*(L_Start&gt;='Calc'!$C46)*(L_Start&lt;EDATE('Calc'!$C46,1))*((L_TypeN=UPPER(FiltCat))+(FiltCat="All")))-SUMPRODUCT((ISNUMBER(L_Start))*(L_Start&gt;='Calc'!$C46)*(L_Start&lt;EDATE('Calc'!$C46,1))*((L_TypeN=UPPER(FiltCat))+(FiltCat="All"))*(L_InP=1))))</f>
        <v/>
      </c>
    </row>
    <row r="47" ht="22" customHeight="1">
      <c r="B47" s="13">
        <f>IF('Calc'!$H$2+'Calc'!$I$2&gt;0,"",IF('Calc'!$C47="","",TEXT('Calc'!$C47,"yyyy-mm")))</f>
        <v/>
      </c>
      <c r="C47" s="14">
        <f>IF('Calc'!$H$2+'Calc'!$I$2&gt;0,"",IF('Calc'!$C47="","",SUMPRODUCT((ISNUMBER(P_Start))*(P_Start&lt;=EOMONTH('Calc'!$C47,0))*(((P_StatusN="ACTIVE")+((ISNUMBER(P_LWD))*(P_LWD&gt;=EOMONTH('Calc'!$C47,0))))&gt;0)*((P_TypeN=UPPER(FiltCat))+(FiltCat="All")))+SUMPRODUCT((ISNUMBER(L_Start))*(L_Start&lt;=EOMONTH('Calc'!$C47,0))*(((L_StatusN="ACTIVE")+((ISNUMBER(L_LWD))*(L_LWD&gt;=EOMONTH('Calc'!$C47,0))))&gt;0)*((L_TypeN=UPPER(FiltCat))+(FiltCat="All")))-SUMPRODUCT((ISNUMBER(L_Start))*(L_Start&lt;=EOMONTH('Calc'!$C47,0))*(((L_StatusN="ACTIVE")+((ISNUMBER(L_LWD))*(L_LWD&gt;=EOMONTH('Calc'!$C47,0))))&gt;0)*((L_TypeN=UPPER(FiltCat))+(FiltCat="All"))*(L_InP=1))))</f>
        <v/>
      </c>
      <c r="D47" s="14">
        <f>IF('Calc'!$H$2+'Calc'!$I$2&gt;0,"",IF('Calc'!$C47="","",SUMPRODUCT((P_StatusN="INACTIVE")*(ISNUMBER(P_LWD))*(P_LWD&gt;='Calc'!$C47)*(P_LWD&lt;EDATE('Calc'!$C47,1))*((P_TypeN=UPPER(FiltCat))+(FiltCat="All")))+SUMPRODUCT((L_StatusN="INACTIVE")*(ISNUMBER(L_LWD))*(L_LWD&gt;='Calc'!$C47)*(L_LWD&lt;EDATE('Calc'!$C47,1))*((L_TypeN=UPPER(FiltCat))+(FiltCat="All")))-SUMPRODUCT((L_StatusN="INACTIVE")*(ISNUMBER(L_LWD))*(L_LWD&gt;='Calc'!$C47)*(L_LWD&lt;EDATE('Calc'!$C47,1))*((L_TypeN=UPPER(FiltCat))+(FiltCat="All"))*(L_InP=1)*(L_TwinIna=1))))</f>
        <v/>
      </c>
      <c r="E47" s="14">
        <f>IF('Calc'!$H$2+'Calc'!$I$2&gt;0,"",IF('Calc'!$C47="","",SUMPRODUCT((P_StatusN="INACTIVE")*(ISNUMBER(P_LWD))*(P_LWD&gt;='Calc'!$C47)*(P_LWD&lt;EDATE('Calc'!$C47,1))*((P_TypeN="PERM")))+SUMPRODUCT((L_StatusN="INACTIVE")*(ISNUMBER(L_LWD))*(L_LWD&gt;='Calc'!$C47)*(L_LWD&lt;EDATE('Calc'!$C47,1))*((L_TypeN="PERM")))-SUMPRODUCT((L_StatusN="INACTIVE")*(ISNUMBER(L_LWD))*(L_LWD&gt;='Calc'!$C47)*(L_LWD&lt;EDATE('Calc'!$C47,1))*((L_TypeN="PERM"))*(L_InP=1)*(L_TwinIna=1))))</f>
        <v/>
      </c>
      <c r="F47" s="14">
        <f>IF('Calc'!$H$2+'Calc'!$I$2&gt;0,"",IF('Calc'!$C47="","",SUMPRODUCT((P_StatusN="INACTIVE")*(ISNUMBER(P_LWD))*(P_LWD&gt;='Calc'!$C47)*(P_LWD&lt;EDATE('Calc'!$C47,1))*((P_TypeN="PC")))+SUMPRODUCT((L_StatusN="INACTIVE")*(ISNUMBER(L_LWD))*(L_LWD&gt;='Calc'!$C47)*(L_LWD&lt;EDATE('Calc'!$C47,1))*((L_TypeN="PC")))-SUMPRODUCT((L_StatusN="INACTIVE")*(ISNUMBER(L_LWD))*(L_LWD&gt;='Calc'!$C47)*(L_LWD&lt;EDATE('Calc'!$C47,1))*((L_TypeN="PC"))*(L_InP=1)*(L_TwinIna=1))))</f>
        <v/>
      </c>
      <c r="G47" s="14">
        <f>IF('Calc'!$H$2+'Calc'!$I$2&gt;0,"",IF('Calc'!$C47="","",SUMPRODUCT((P_StatusN="INACTIVE")*(ISNUMBER(P_LWD))*(P_LWD&gt;='Calc'!$C47)*(P_LWD&lt;EDATE('Calc'!$C47,1))*((P_TypeN="MS")))+SUMPRODUCT((L_StatusN="INACTIVE")*(ISNUMBER(L_LWD))*(L_LWD&gt;='Calc'!$C47)*(L_LWD&lt;EDATE('Calc'!$C47,1))*((L_TypeN="MS")))-SUMPRODUCT((L_StatusN="INACTIVE")*(ISNUMBER(L_LWD))*(L_LWD&gt;='Calc'!$C47)*(L_LWD&lt;EDATE('Calc'!$C47,1))*((L_TypeN="MS"))*(L_InP=1)*(L_TwinIna=1))))</f>
        <v/>
      </c>
      <c r="H47" s="14">
        <f>IF('Calc'!$H$2+'Calc'!$I$2&gt;0,"",IF('Calc'!$C47="","",SUMPRODUCT((ISNUMBER(P_Start))*(P_Start&gt;='Calc'!$C47)*(P_Start&lt;EDATE('Calc'!$C47,1))*((P_TypeN=UPPER(FiltCat))+(FiltCat="All")))+SUMPRODUCT((ISNUMBER(L_Start))*(L_Start&gt;='Calc'!$C47)*(L_Start&lt;EDATE('Calc'!$C47,1))*((L_TypeN=UPPER(FiltCat))+(FiltCat="All")))-SUMPRODUCT((ISNUMBER(L_Start))*(L_Start&gt;='Calc'!$C47)*(L_Start&lt;EDATE('Calc'!$C47,1))*((L_TypeN=UPPER(FiltCat))+(FiltCat="All"))*(L_InP=1))))</f>
        <v/>
      </c>
    </row>
    <row r="48" ht="22" customHeight="1">
      <c r="B48" s="15">
        <f>IF('Calc'!$H$2+'Calc'!$I$2&gt;0,"",IF('Calc'!$C48="","",TEXT('Calc'!$C48,"yyyy-mm")))</f>
        <v/>
      </c>
      <c r="C48" s="16">
        <f>IF('Calc'!$H$2+'Calc'!$I$2&gt;0,"",IF('Calc'!$C48="","",SUMPRODUCT((ISNUMBER(P_Start))*(P_Start&lt;=EOMONTH('Calc'!$C48,0))*(((P_StatusN="ACTIVE")+((ISNUMBER(P_LWD))*(P_LWD&gt;=EOMONTH('Calc'!$C48,0))))&gt;0)*((P_TypeN=UPPER(FiltCat))+(FiltCat="All")))+SUMPRODUCT((ISNUMBER(L_Start))*(L_Start&lt;=EOMONTH('Calc'!$C48,0))*(((L_StatusN="ACTIVE")+((ISNUMBER(L_LWD))*(L_LWD&gt;=EOMONTH('Calc'!$C48,0))))&gt;0)*((L_TypeN=UPPER(FiltCat))+(FiltCat="All")))-SUMPRODUCT((ISNUMBER(L_Start))*(L_Start&lt;=EOMONTH('Calc'!$C48,0))*(((L_StatusN="ACTIVE")+((ISNUMBER(L_LWD))*(L_LWD&gt;=EOMONTH('Calc'!$C48,0))))&gt;0)*((L_TypeN=UPPER(FiltCat))+(FiltCat="All"))*(L_InP=1))))</f>
        <v/>
      </c>
      <c r="D48" s="16">
        <f>IF('Calc'!$H$2+'Calc'!$I$2&gt;0,"",IF('Calc'!$C48="","",SUMPRODUCT((P_StatusN="INACTIVE")*(ISNUMBER(P_LWD))*(P_LWD&gt;='Calc'!$C48)*(P_LWD&lt;EDATE('Calc'!$C48,1))*((P_TypeN=UPPER(FiltCat))+(FiltCat="All")))+SUMPRODUCT((L_StatusN="INACTIVE")*(ISNUMBER(L_LWD))*(L_LWD&gt;='Calc'!$C48)*(L_LWD&lt;EDATE('Calc'!$C48,1))*((L_TypeN=UPPER(FiltCat))+(FiltCat="All")))-SUMPRODUCT((L_StatusN="INACTIVE")*(ISNUMBER(L_LWD))*(L_LWD&gt;='Calc'!$C48)*(L_LWD&lt;EDATE('Calc'!$C48,1))*((L_TypeN=UPPER(FiltCat))+(FiltCat="All"))*(L_InP=1)*(L_TwinIna=1))))</f>
        <v/>
      </c>
      <c r="E48" s="16">
        <f>IF('Calc'!$H$2+'Calc'!$I$2&gt;0,"",IF('Calc'!$C48="","",SUMPRODUCT((P_StatusN="INACTIVE")*(ISNUMBER(P_LWD))*(P_LWD&gt;='Calc'!$C48)*(P_LWD&lt;EDATE('Calc'!$C48,1))*((P_TypeN="PERM")))+SUMPRODUCT((L_StatusN="INACTIVE")*(ISNUMBER(L_LWD))*(L_LWD&gt;='Calc'!$C48)*(L_LWD&lt;EDATE('Calc'!$C48,1))*((L_TypeN="PERM")))-SUMPRODUCT((L_StatusN="INACTIVE")*(ISNUMBER(L_LWD))*(L_LWD&gt;='Calc'!$C48)*(L_LWD&lt;EDATE('Calc'!$C48,1))*((L_TypeN="PERM"))*(L_InP=1)*(L_TwinIna=1))))</f>
        <v/>
      </c>
      <c r="F48" s="16">
        <f>IF('Calc'!$H$2+'Calc'!$I$2&gt;0,"",IF('Calc'!$C48="","",SUMPRODUCT((P_StatusN="INACTIVE")*(ISNUMBER(P_LWD))*(P_LWD&gt;='Calc'!$C48)*(P_LWD&lt;EDATE('Calc'!$C48,1))*((P_TypeN="PC")))+SUMPRODUCT((L_StatusN="INACTIVE")*(ISNUMBER(L_LWD))*(L_LWD&gt;='Calc'!$C48)*(L_LWD&lt;EDATE('Calc'!$C48,1))*((L_TypeN="PC")))-SUMPRODUCT((L_StatusN="INACTIVE")*(ISNUMBER(L_LWD))*(L_LWD&gt;='Calc'!$C48)*(L_LWD&lt;EDATE('Calc'!$C48,1))*((L_TypeN="PC"))*(L_InP=1)*(L_TwinIna=1))))</f>
        <v/>
      </c>
      <c r="G48" s="16">
        <f>IF('Calc'!$H$2+'Calc'!$I$2&gt;0,"",IF('Calc'!$C48="","",SUMPRODUCT((P_StatusN="INACTIVE")*(ISNUMBER(P_LWD))*(P_LWD&gt;='Calc'!$C48)*(P_LWD&lt;EDATE('Calc'!$C48,1))*((P_TypeN="MS")))+SUMPRODUCT((L_StatusN="INACTIVE")*(ISNUMBER(L_LWD))*(L_LWD&gt;='Calc'!$C48)*(L_LWD&lt;EDATE('Calc'!$C48,1))*((L_TypeN="MS")))-SUMPRODUCT((L_StatusN="INACTIVE")*(ISNUMBER(L_LWD))*(L_LWD&gt;='Calc'!$C48)*(L_LWD&lt;EDATE('Calc'!$C48,1))*((L_TypeN="MS"))*(L_InP=1)*(L_TwinIna=1))))</f>
        <v/>
      </c>
      <c r="H48" s="16">
        <f>IF('Calc'!$H$2+'Calc'!$I$2&gt;0,"",IF('Calc'!$C48="","",SUMPRODUCT((ISNUMBER(P_Start))*(P_Start&gt;='Calc'!$C48)*(P_Start&lt;EDATE('Calc'!$C48,1))*((P_TypeN=UPPER(FiltCat))+(FiltCat="All")))+SUMPRODUCT((ISNUMBER(L_Start))*(L_Start&gt;='Calc'!$C48)*(L_Start&lt;EDATE('Calc'!$C48,1))*((L_TypeN=UPPER(FiltCat))+(FiltCat="All")))-SUMPRODUCT((ISNUMBER(L_Start))*(L_Start&gt;='Calc'!$C48)*(L_Start&lt;EDATE('Calc'!$C48,1))*((L_TypeN=UPPER(FiltCat))+(FiltCat="All"))*(L_InP=1))))</f>
        <v/>
      </c>
    </row>
    <row r="49" ht="22" customHeight="1">
      <c r="B49" s="13">
        <f>IF('Calc'!$H$2+'Calc'!$I$2&gt;0,"",IF('Calc'!$C49="","",TEXT('Calc'!$C49,"yyyy-mm")))</f>
        <v/>
      </c>
      <c r="C49" s="14">
        <f>IF('Calc'!$H$2+'Calc'!$I$2&gt;0,"",IF('Calc'!$C49="","",SUMPRODUCT((ISNUMBER(P_Start))*(P_Start&lt;=EOMONTH('Calc'!$C49,0))*(((P_StatusN="ACTIVE")+((ISNUMBER(P_LWD))*(P_LWD&gt;=EOMONTH('Calc'!$C49,0))))&gt;0)*((P_TypeN=UPPER(FiltCat))+(FiltCat="All")))+SUMPRODUCT((ISNUMBER(L_Start))*(L_Start&lt;=EOMONTH('Calc'!$C49,0))*(((L_StatusN="ACTIVE")+((ISNUMBER(L_LWD))*(L_LWD&gt;=EOMONTH('Calc'!$C49,0))))&gt;0)*((L_TypeN=UPPER(FiltCat))+(FiltCat="All")))-SUMPRODUCT((ISNUMBER(L_Start))*(L_Start&lt;=EOMONTH('Calc'!$C49,0))*(((L_StatusN="ACTIVE")+((ISNUMBER(L_LWD))*(L_LWD&gt;=EOMONTH('Calc'!$C49,0))))&gt;0)*((L_TypeN=UPPER(FiltCat))+(FiltCat="All"))*(L_InP=1))))</f>
        <v/>
      </c>
      <c r="D49" s="14">
        <f>IF('Calc'!$H$2+'Calc'!$I$2&gt;0,"",IF('Calc'!$C49="","",SUMPRODUCT((P_StatusN="INACTIVE")*(ISNUMBER(P_LWD))*(P_LWD&gt;='Calc'!$C49)*(P_LWD&lt;EDATE('Calc'!$C49,1))*((P_TypeN=UPPER(FiltCat))+(FiltCat="All")))+SUMPRODUCT((L_StatusN="INACTIVE")*(ISNUMBER(L_LWD))*(L_LWD&gt;='Calc'!$C49)*(L_LWD&lt;EDATE('Calc'!$C49,1))*((L_TypeN=UPPER(FiltCat))+(FiltCat="All")))-SUMPRODUCT((L_StatusN="INACTIVE")*(ISNUMBER(L_LWD))*(L_LWD&gt;='Calc'!$C49)*(L_LWD&lt;EDATE('Calc'!$C49,1))*((L_TypeN=UPPER(FiltCat))+(FiltCat="All"))*(L_InP=1)*(L_TwinIna=1))))</f>
        <v/>
      </c>
      <c r="E49" s="14">
        <f>IF('Calc'!$H$2+'Calc'!$I$2&gt;0,"",IF('Calc'!$C49="","",SUMPRODUCT((P_StatusN="INACTIVE")*(ISNUMBER(P_LWD))*(P_LWD&gt;='Calc'!$C49)*(P_LWD&lt;EDATE('Calc'!$C49,1))*((P_TypeN="PERM")))+SUMPRODUCT((L_StatusN="INACTIVE")*(ISNUMBER(L_LWD))*(L_LWD&gt;='Calc'!$C49)*(L_LWD&lt;EDATE('Calc'!$C49,1))*((L_TypeN="PERM")))-SUMPRODUCT((L_StatusN="INACTIVE")*(ISNUMBER(L_LWD))*(L_LWD&gt;='Calc'!$C49)*(L_LWD&lt;EDATE('Calc'!$C49,1))*((L_TypeN="PERM"))*(L_InP=1)*(L_TwinIna=1))))</f>
        <v/>
      </c>
      <c r="F49" s="14">
        <f>IF('Calc'!$H$2+'Calc'!$I$2&gt;0,"",IF('Calc'!$C49="","",SUMPRODUCT((P_StatusN="INACTIVE")*(ISNUMBER(P_LWD))*(P_LWD&gt;='Calc'!$C49)*(P_LWD&lt;EDATE('Calc'!$C49,1))*((P_TypeN="PC")))+SUMPRODUCT((L_StatusN="INACTIVE")*(ISNUMBER(L_LWD))*(L_LWD&gt;='Calc'!$C49)*(L_LWD&lt;EDATE('Calc'!$C49,1))*((L_TypeN="PC")))-SUMPRODUCT((L_StatusN="INACTIVE")*(ISNUMBER(L_LWD))*(L_LWD&gt;='Calc'!$C49)*(L_LWD&lt;EDATE('Calc'!$C49,1))*((L_TypeN="PC"))*(L_InP=1)*(L_TwinIna=1))))</f>
        <v/>
      </c>
      <c r="G49" s="14">
        <f>IF('Calc'!$H$2+'Calc'!$I$2&gt;0,"",IF('Calc'!$C49="","",SUMPRODUCT((P_StatusN="INACTIVE")*(ISNUMBER(P_LWD))*(P_LWD&gt;='Calc'!$C49)*(P_LWD&lt;EDATE('Calc'!$C49,1))*((P_TypeN="MS")))+SUMPRODUCT((L_StatusN="INACTIVE")*(ISNUMBER(L_LWD))*(L_LWD&gt;='Calc'!$C49)*(L_LWD&lt;EDATE('Calc'!$C49,1))*((L_TypeN="MS")))-SUMPRODUCT((L_StatusN="INACTIVE")*(ISNUMBER(L_LWD))*(L_LWD&gt;='Calc'!$C49)*(L_LWD&lt;EDATE('Calc'!$C49,1))*((L_TypeN="MS"))*(L_InP=1)*(L_TwinIna=1))))</f>
        <v/>
      </c>
      <c r="H49" s="14">
        <f>IF('Calc'!$H$2+'Calc'!$I$2&gt;0,"",IF('Calc'!$C49="","",SUMPRODUCT((ISNUMBER(P_Start))*(P_Start&gt;='Calc'!$C49)*(P_Start&lt;EDATE('Calc'!$C49,1))*((P_TypeN=UPPER(FiltCat))+(FiltCat="All")))+SUMPRODUCT((ISNUMBER(L_Start))*(L_Start&gt;='Calc'!$C49)*(L_Start&lt;EDATE('Calc'!$C49,1))*((L_TypeN=UPPER(FiltCat))+(FiltCat="All")))-SUMPRODUCT((ISNUMBER(L_Start))*(L_Start&gt;='Calc'!$C49)*(L_Start&lt;EDATE('Calc'!$C49,1))*((L_TypeN=UPPER(FiltCat))+(FiltCat="All"))*(L_InP=1))))</f>
        <v/>
      </c>
    </row>
    <row r="50" ht="22" customHeight="1">
      <c r="B50" s="15">
        <f>IF('Calc'!$H$2+'Calc'!$I$2&gt;0,"",IF('Calc'!$C50="","",TEXT('Calc'!$C50,"yyyy-mm")))</f>
        <v/>
      </c>
      <c r="C50" s="16">
        <f>IF('Calc'!$H$2+'Calc'!$I$2&gt;0,"",IF('Calc'!$C50="","",SUMPRODUCT((ISNUMBER(P_Start))*(P_Start&lt;=EOMONTH('Calc'!$C50,0))*(((P_StatusN="ACTIVE")+((ISNUMBER(P_LWD))*(P_LWD&gt;=EOMONTH('Calc'!$C50,0))))&gt;0)*((P_TypeN=UPPER(FiltCat))+(FiltCat="All")))+SUMPRODUCT((ISNUMBER(L_Start))*(L_Start&lt;=EOMONTH('Calc'!$C50,0))*(((L_StatusN="ACTIVE")+((ISNUMBER(L_LWD))*(L_LWD&gt;=EOMONTH('Calc'!$C50,0))))&gt;0)*((L_TypeN=UPPER(FiltCat))+(FiltCat="All")))-SUMPRODUCT((ISNUMBER(L_Start))*(L_Start&lt;=EOMONTH('Calc'!$C50,0))*(((L_StatusN="ACTIVE")+((ISNUMBER(L_LWD))*(L_LWD&gt;=EOMONTH('Calc'!$C50,0))))&gt;0)*((L_TypeN=UPPER(FiltCat))+(FiltCat="All"))*(L_InP=1))))</f>
        <v/>
      </c>
      <c r="D50" s="16">
        <f>IF('Calc'!$H$2+'Calc'!$I$2&gt;0,"",IF('Calc'!$C50="","",SUMPRODUCT((P_StatusN="INACTIVE")*(ISNUMBER(P_LWD))*(P_LWD&gt;='Calc'!$C50)*(P_LWD&lt;EDATE('Calc'!$C50,1))*((P_TypeN=UPPER(FiltCat))+(FiltCat="All")))+SUMPRODUCT((L_StatusN="INACTIVE")*(ISNUMBER(L_LWD))*(L_LWD&gt;='Calc'!$C50)*(L_LWD&lt;EDATE('Calc'!$C50,1))*((L_TypeN=UPPER(FiltCat))+(FiltCat="All")))-SUMPRODUCT((L_StatusN="INACTIVE")*(ISNUMBER(L_LWD))*(L_LWD&gt;='Calc'!$C50)*(L_LWD&lt;EDATE('Calc'!$C50,1))*((L_TypeN=UPPER(FiltCat))+(FiltCat="All"))*(L_InP=1)*(L_TwinIna=1))))</f>
        <v/>
      </c>
      <c r="E50" s="16">
        <f>IF('Calc'!$H$2+'Calc'!$I$2&gt;0,"",IF('Calc'!$C50="","",SUMPRODUCT((P_StatusN="INACTIVE")*(ISNUMBER(P_LWD))*(P_LWD&gt;='Calc'!$C50)*(P_LWD&lt;EDATE('Calc'!$C50,1))*((P_TypeN="PERM")))+SUMPRODUCT((L_StatusN="INACTIVE")*(ISNUMBER(L_LWD))*(L_LWD&gt;='Calc'!$C50)*(L_LWD&lt;EDATE('Calc'!$C50,1))*((L_TypeN="PERM")))-SUMPRODUCT((L_StatusN="INACTIVE")*(ISNUMBER(L_LWD))*(L_LWD&gt;='Calc'!$C50)*(L_LWD&lt;EDATE('Calc'!$C50,1))*((L_TypeN="PERM"))*(L_InP=1)*(L_TwinIna=1))))</f>
        <v/>
      </c>
      <c r="F50" s="16">
        <f>IF('Calc'!$H$2+'Calc'!$I$2&gt;0,"",IF('Calc'!$C50="","",SUMPRODUCT((P_StatusN="INACTIVE")*(ISNUMBER(P_LWD))*(P_LWD&gt;='Calc'!$C50)*(P_LWD&lt;EDATE('Calc'!$C50,1))*((P_TypeN="PC")))+SUMPRODUCT((L_StatusN="INACTIVE")*(ISNUMBER(L_LWD))*(L_LWD&gt;='Calc'!$C50)*(L_LWD&lt;EDATE('Calc'!$C50,1))*((L_TypeN="PC")))-SUMPRODUCT((L_StatusN="INACTIVE")*(ISNUMBER(L_LWD))*(L_LWD&gt;='Calc'!$C50)*(L_LWD&lt;EDATE('Calc'!$C50,1))*((L_TypeN="PC"))*(L_InP=1)*(L_TwinIna=1))))</f>
        <v/>
      </c>
      <c r="G50" s="16">
        <f>IF('Calc'!$H$2+'Calc'!$I$2&gt;0,"",IF('Calc'!$C50="","",SUMPRODUCT((P_StatusN="INACTIVE")*(ISNUMBER(P_LWD))*(P_LWD&gt;='Calc'!$C50)*(P_LWD&lt;EDATE('Calc'!$C50,1))*((P_TypeN="MS")))+SUMPRODUCT((L_StatusN="INACTIVE")*(ISNUMBER(L_LWD))*(L_LWD&gt;='Calc'!$C50)*(L_LWD&lt;EDATE('Calc'!$C50,1))*((L_TypeN="MS")))-SUMPRODUCT((L_StatusN="INACTIVE")*(ISNUMBER(L_LWD))*(L_LWD&gt;='Calc'!$C50)*(L_LWD&lt;EDATE('Calc'!$C50,1))*((L_TypeN="MS"))*(L_InP=1)*(L_TwinIna=1))))</f>
        <v/>
      </c>
      <c r="H50" s="16">
        <f>IF('Calc'!$H$2+'Calc'!$I$2&gt;0,"",IF('Calc'!$C50="","",SUMPRODUCT((ISNUMBER(P_Start))*(P_Start&gt;='Calc'!$C50)*(P_Start&lt;EDATE('Calc'!$C50,1))*((P_TypeN=UPPER(FiltCat))+(FiltCat="All")))+SUMPRODUCT((ISNUMBER(L_Start))*(L_Start&gt;='Calc'!$C50)*(L_Start&lt;EDATE('Calc'!$C50,1))*((L_TypeN=UPPER(FiltCat))+(FiltCat="All")))-SUMPRODUCT((ISNUMBER(L_Start))*(L_Start&gt;='Calc'!$C50)*(L_Start&lt;EDATE('Calc'!$C50,1))*((L_TypeN=UPPER(FiltCat))+(FiltCat="All"))*(L_InP=1))))</f>
        <v/>
      </c>
    </row>
    <row r="51" ht="22" customHeight="1">
      <c r="B51" s="13">
        <f>IF('Calc'!$H$2+'Calc'!$I$2&gt;0,"",IF('Calc'!$C51="","",TEXT('Calc'!$C51,"yyyy-mm")))</f>
        <v/>
      </c>
      <c r="C51" s="14">
        <f>IF('Calc'!$H$2+'Calc'!$I$2&gt;0,"",IF('Calc'!$C51="","",SUMPRODUCT((ISNUMBER(P_Start))*(P_Start&lt;=EOMONTH('Calc'!$C51,0))*(((P_StatusN="ACTIVE")+((ISNUMBER(P_LWD))*(P_LWD&gt;=EOMONTH('Calc'!$C51,0))))&gt;0)*((P_TypeN=UPPER(FiltCat))+(FiltCat="All")))+SUMPRODUCT((ISNUMBER(L_Start))*(L_Start&lt;=EOMONTH('Calc'!$C51,0))*(((L_StatusN="ACTIVE")+((ISNUMBER(L_LWD))*(L_LWD&gt;=EOMONTH('Calc'!$C51,0))))&gt;0)*((L_TypeN=UPPER(FiltCat))+(FiltCat="All")))-SUMPRODUCT((ISNUMBER(L_Start))*(L_Start&lt;=EOMONTH('Calc'!$C51,0))*(((L_StatusN="ACTIVE")+((ISNUMBER(L_LWD))*(L_LWD&gt;=EOMONTH('Calc'!$C51,0))))&gt;0)*((L_TypeN=UPPER(FiltCat))+(FiltCat="All"))*(L_InP=1))))</f>
        <v/>
      </c>
      <c r="D51" s="14">
        <f>IF('Calc'!$H$2+'Calc'!$I$2&gt;0,"",IF('Calc'!$C51="","",SUMPRODUCT((P_StatusN="INACTIVE")*(ISNUMBER(P_LWD))*(P_LWD&gt;='Calc'!$C51)*(P_LWD&lt;EDATE('Calc'!$C51,1))*((P_TypeN=UPPER(FiltCat))+(FiltCat="All")))+SUMPRODUCT((L_StatusN="INACTIVE")*(ISNUMBER(L_LWD))*(L_LWD&gt;='Calc'!$C51)*(L_LWD&lt;EDATE('Calc'!$C51,1))*((L_TypeN=UPPER(FiltCat))+(FiltCat="All")))-SUMPRODUCT((L_StatusN="INACTIVE")*(ISNUMBER(L_LWD))*(L_LWD&gt;='Calc'!$C51)*(L_LWD&lt;EDATE('Calc'!$C51,1))*((L_TypeN=UPPER(FiltCat))+(FiltCat="All"))*(L_InP=1)*(L_TwinIna=1))))</f>
        <v/>
      </c>
      <c r="E51" s="14">
        <f>IF('Calc'!$H$2+'Calc'!$I$2&gt;0,"",IF('Calc'!$C51="","",SUMPRODUCT((P_StatusN="INACTIVE")*(ISNUMBER(P_LWD))*(P_LWD&gt;='Calc'!$C51)*(P_LWD&lt;EDATE('Calc'!$C51,1))*((P_TypeN="PERM")))+SUMPRODUCT((L_StatusN="INACTIVE")*(ISNUMBER(L_LWD))*(L_LWD&gt;='Calc'!$C51)*(L_LWD&lt;EDATE('Calc'!$C51,1))*((L_TypeN="PERM")))-SUMPRODUCT((L_StatusN="INACTIVE")*(ISNUMBER(L_LWD))*(L_LWD&gt;='Calc'!$C51)*(L_LWD&lt;EDATE('Calc'!$C51,1))*((L_TypeN="PERM"))*(L_InP=1)*(L_TwinIna=1))))</f>
        <v/>
      </c>
      <c r="F51" s="14">
        <f>IF('Calc'!$H$2+'Calc'!$I$2&gt;0,"",IF('Calc'!$C51="","",SUMPRODUCT((P_StatusN="INACTIVE")*(ISNUMBER(P_LWD))*(P_LWD&gt;='Calc'!$C51)*(P_LWD&lt;EDATE('Calc'!$C51,1))*((P_TypeN="PC")))+SUMPRODUCT((L_StatusN="INACTIVE")*(ISNUMBER(L_LWD))*(L_LWD&gt;='Calc'!$C51)*(L_LWD&lt;EDATE('Calc'!$C51,1))*((L_TypeN="PC")))-SUMPRODUCT((L_StatusN="INACTIVE")*(ISNUMBER(L_LWD))*(L_LWD&gt;='Calc'!$C51)*(L_LWD&lt;EDATE('Calc'!$C51,1))*((L_TypeN="PC"))*(L_InP=1)*(L_TwinIna=1))))</f>
        <v/>
      </c>
      <c r="G51" s="14">
        <f>IF('Calc'!$H$2+'Calc'!$I$2&gt;0,"",IF('Calc'!$C51="","",SUMPRODUCT((P_StatusN="INACTIVE")*(ISNUMBER(P_LWD))*(P_LWD&gt;='Calc'!$C51)*(P_LWD&lt;EDATE('Calc'!$C51,1))*((P_TypeN="MS")))+SUMPRODUCT((L_StatusN="INACTIVE")*(ISNUMBER(L_LWD))*(L_LWD&gt;='Calc'!$C51)*(L_LWD&lt;EDATE('Calc'!$C51,1))*((L_TypeN="MS")))-SUMPRODUCT((L_StatusN="INACTIVE")*(ISNUMBER(L_LWD))*(L_LWD&gt;='Calc'!$C51)*(L_LWD&lt;EDATE('Calc'!$C51,1))*((L_TypeN="MS"))*(L_InP=1)*(L_TwinIna=1))))</f>
        <v/>
      </c>
      <c r="H51" s="14">
        <f>IF('Calc'!$H$2+'Calc'!$I$2&gt;0,"",IF('Calc'!$C51="","",SUMPRODUCT((ISNUMBER(P_Start))*(P_Start&gt;='Calc'!$C51)*(P_Start&lt;EDATE('Calc'!$C51,1))*((P_TypeN=UPPER(FiltCat))+(FiltCat="All")))+SUMPRODUCT((ISNUMBER(L_Start))*(L_Start&gt;='Calc'!$C51)*(L_Start&lt;EDATE('Calc'!$C51,1))*((L_TypeN=UPPER(FiltCat))+(FiltCat="All")))-SUMPRODUCT((ISNUMBER(L_Start))*(L_Start&gt;='Calc'!$C51)*(L_Start&lt;EDATE('Calc'!$C51,1))*((L_TypeN=UPPER(FiltCat))+(FiltCat="All"))*(L_InP=1))))</f>
        <v/>
      </c>
    </row>
    <row r="52" ht="22" customHeight="1">
      <c r="B52" s="15">
        <f>IF('Calc'!$H$2+'Calc'!$I$2&gt;0,"",IF('Calc'!$C52="","",TEXT('Calc'!$C52,"yyyy-mm")))</f>
        <v/>
      </c>
      <c r="C52" s="16">
        <f>IF('Calc'!$H$2+'Calc'!$I$2&gt;0,"",IF('Calc'!$C52="","",SUMPRODUCT((ISNUMBER(P_Start))*(P_Start&lt;=EOMONTH('Calc'!$C52,0))*(((P_StatusN="ACTIVE")+((ISNUMBER(P_LWD))*(P_LWD&gt;=EOMONTH('Calc'!$C52,0))))&gt;0)*((P_TypeN=UPPER(FiltCat))+(FiltCat="All")))+SUMPRODUCT((ISNUMBER(L_Start))*(L_Start&lt;=EOMONTH('Calc'!$C52,0))*(((L_StatusN="ACTIVE")+((ISNUMBER(L_LWD))*(L_LWD&gt;=EOMONTH('Calc'!$C52,0))))&gt;0)*((L_TypeN=UPPER(FiltCat))+(FiltCat="All")))-SUMPRODUCT((ISNUMBER(L_Start))*(L_Start&lt;=EOMONTH('Calc'!$C52,0))*(((L_StatusN="ACTIVE")+((ISNUMBER(L_LWD))*(L_LWD&gt;=EOMONTH('Calc'!$C52,0))))&gt;0)*((L_TypeN=UPPER(FiltCat))+(FiltCat="All"))*(L_InP=1))))</f>
        <v/>
      </c>
      <c r="D52" s="16">
        <f>IF('Calc'!$H$2+'Calc'!$I$2&gt;0,"",IF('Calc'!$C52="","",SUMPRODUCT((P_StatusN="INACTIVE")*(ISNUMBER(P_LWD))*(P_LWD&gt;='Calc'!$C52)*(P_LWD&lt;EDATE('Calc'!$C52,1))*((P_TypeN=UPPER(FiltCat))+(FiltCat="All")))+SUMPRODUCT((L_StatusN="INACTIVE")*(ISNUMBER(L_LWD))*(L_LWD&gt;='Calc'!$C52)*(L_LWD&lt;EDATE('Calc'!$C52,1))*((L_TypeN=UPPER(FiltCat))+(FiltCat="All")))-SUMPRODUCT((L_StatusN="INACTIVE")*(ISNUMBER(L_LWD))*(L_LWD&gt;='Calc'!$C52)*(L_LWD&lt;EDATE('Calc'!$C52,1))*((L_TypeN=UPPER(FiltCat))+(FiltCat="All"))*(L_InP=1)*(L_TwinIna=1))))</f>
        <v/>
      </c>
      <c r="E52" s="16">
        <f>IF('Calc'!$H$2+'Calc'!$I$2&gt;0,"",IF('Calc'!$C52="","",SUMPRODUCT((P_StatusN="INACTIVE")*(ISNUMBER(P_LWD))*(P_LWD&gt;='Calc'!$C52)*(P_LWD&lt;EDATE('Calc'!$C52,1))*((P_TypeN="PERM")))+SUMPRODUCT((L_StatusN="INACTIVE")*(ISNUMBER(L_LWD))*(L_LWD&gt;='Calc'!$C52)*(L_LWD&lt;EDATE('Calc'!$C52,1))*((L_TypeN="PERM")))-SUMPRODUCT((L_StatusN="INACTIVE")*(ISNUMBER(L_LWD))*(L_LWD&gt;='Calc'!$C52)*(L_LWD&lt;EDATE('Calc'!$C52,1))*((L_TypeN="PERM"))*(L_InP=1)*(L_TwinIna=1))))</f>
        <v/>
      </c>
      <c r="F52" s="16">
        <f>IF('Calc'!$H$2+'Calc'!$I$2&gt;0,"",IF('Calc'!$C52="","",SUMPRODUCT((P_StatusN="INACTIVE")*(ISNUMBER(P_LWD))*(P_LWD&gt;='Calc'!$C52)*(P_LWD&lt;EDATE('Calc'!$C52,1))*((P_TypeN="PC")))+SUMPRODUCT((L_StatusN="INACTIVE")*(ISNUMBER(L_LWD))*(L_LWD&gt;='Calc'!$C52)*(L_LWD&lt;EDATE('Calc'!$C52,1))*((L_TypeN="PC")))-SUMPRODUCT((L_StatusN="INACTIVE")*(ISNUMBER(L_LWD))*(L_LWD&gt;='Calc'!$C52)*(L_LWD&lt;EDATE('Calc'!$C52,1))*((L_TypeN="PC"))*(L_InP=1)*(L_TwinIna=1))))</f>
        <v/>
      </c>
      <c r="G52" s="16">
        <f>IF('Calc'!$H$2+'Calc'!$I$2&gt;0,"",IF('Calc'!$C52="","",SUMPRODUCT((P_StatusN="INACTIVE")*(ISNUMBER(P_LWD))*(P_LWD&gt;='Calc'!$C52)*(P_LWD&lt;EDATE('Calc'!$C52,1))*((P_TypeN="MS")))+SUMPRODUCT((L_StatusN="INACTIVE")*(ISNUMBER(L_LWD))*(L_LWD&gt;='Calc'!$C52)*(L_LWD&lt;EDATE('Calc'!$C52,1))*((L_TypeN="MS")))-SUMPRODUCT((L_StatusN="INACTIVE")*(ISNUMBER(L_LWD))*(L_LWD&gt;='Calc'!$C52)*(L_LWD&lt;EDATE('Calc'!$C52,1))*((L_TypeN="MS"))*(L_InP=1)*(L_TwinIna=1))))</f>
        <v/>
      </c>
      <c r="H52" s="16">
        <f>IF('Calc'!$H$2+'Calc'!$I$2&gt;0,"",IF('Calc'!$C52="","",SUMPRODUCT((ISNUMBER(P_Start))*(P_Start&gt;='Calc'!$C52)*(P_Start&lt;EDATE('Calc'!$C52,1))*((P_TypeN=UPPER(FiltCat))+(FiltCat="All")))+SUMPRODUCT((ISNUMBER(L_Start))*(L_Start&gt;='Calc'!$C52)*(L_Start&lt;EDATE('Calc'!$C52,1))*((L_TypeN=UPPER(FiltCat))+(FiltCat="All")))-SUMPRODUCT((ISNUMBER(L_Start))*(L_Start&gt;='Calc'!$C52)*(L_Start&lt;EDATE('Calc'!$C52,1))*((L_TypeN=UPPER(FiltCat))+(FiltCat="All"))*(L_InP=1))))</f>
        <v/>
      </c>
    </row>
    <row r="53" ht="26" customHeight="1">
      <c r="B53" s="17" t="inlineStr">
        <is>
          <t>Total</t>
        </is>
      </c>
      <c r="C53" s="17" t="inlineStr">
        <is>
          <t>—</t>
        </is>
      </c>
      <c r="D53" s="18">
        <f>SUM(D5:D52)</f>
        <v/>
      </c>
      <c r="E53" s="18">
        <f>SUM(E5:E52)</f>
        <v/>
      </c>
      <c r="F53" s="18">
        <f>SUM(F5:F52)</f>
        <v/>
      </c>
      <c r="G53" s="18">
        <f>SUM(G5:G52)</f>
        <v/>
      </c>
      <c r="H53" s="18">
        <f>SUM(H5:H52)</f>
        <v/>
      </c>
    </row>
  </sheetData>
  <mergeCells count="3">
    <mergeCell ref="B3:K3"/>
    <mergeCell ref="J10:K10"/>
    <mergeCell ref="B2:K2"/>
  </mergeCells>
  <conditionalFormatting sqref="B5:H52">
    <cfRule type="expression" priority="1" dxfId="0">
      <formula>AND($B5&lt;&gt;"",$B5&gt;=SelStartTxt,$B5&lt;=SelEndTxt)</formula>
    </cfRule>
  </conditionalFormatting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8496B0"/>
    <outlinePr summaryBelow="1" summaryRight="1"/>
    <pageSetUpPr fitToPage="1"/>
  </sheetPr>
  <dimension ref="B2:Y50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10" customWidth="1" min="4" max="4"/>
    <col width="20" customWidth="1" min="5" max="5"/>
    <col width="13" customWidth="1" min="6" max="6"/>
    <col width="24" customWidth="1" min="7" max="7"/>
    <col width="22" customWidth="1" min="8" max="8"/>
    <col width="14" customWidth="1" min="9" max="9"/>
    <col width="10" customWidth="1" min="10" max="10"/>
    <col width="9" customWidth="1" min="11" max="11"/>
    <col width="15" customWidth="1" min="12" max="12"/>
    <col width="17" customWidth="1" min="13" max="13"/>
    <col width="10" customWidth="1" min="14" max="14"/>
    <col width="14" customWidth="1" min="15" max="15"/>
    <col width="12" customWidth="1" min="16" max="16"/>
    <col width="8" customWidth="1" min="17" max="17"/>
    <col width="13" customWidth="1" min="18" max="18"/>
    <col width="13" customWidth="1" min="19" max="19"/>
    <col width="9" customWidth="1" min="20" max="20"/>
    <col width="18" customWidth="1" min="21" max="21"/>
    <col width="16" customWidth="1" min="22" max="22"/>
    <col width="9" customWidth="1" min="23" max="23"/>
    <col width="10" customWidth="1" min="24" max="24"/>
    <col width="13" customWidth="1" min="25" max="25"/>
  </cols>
  <sheetData>
    <row r="1" ht="15" customHeight="1"/>
    <row r="2" ht="32" customHeight="1">
      <c r="B2" s="1" t="inlineStr">
        <is>
          <t>Data_Profile  (paste '1. IBGT Profile' rows here)</t>
        </is>
      </c>
    </row>
    <row r="3" ht="26" customHeight="1">
      <c r="B3" s="11" t="inlineStr">
        <is>
          <t>Copy the data from your '1. IBGT Profile' sheet and paste it here - headers at B4, or data only at B5. Prefer Paste Values so dates stay real dates.</t>
        </is>
      </c>
    </row>
    <row r="4" ht="28" customHeight="1">
      <c r="B4" s="12" t="inlineStr">
        <is>
          <t>StaffID</t>
        </is>
      </c>
      <c r="C4" s="12" t="inlineStr">
        <is>
          <t>1BankID</t>
        </is>
      </c>
      <c r="D4" s="12" t="inlineStr">
        <is>
          <t>Status</t>
        </is>
      </c>
      <c r="E4" s="12" t="inlineStr">
        <is>
          <t>Full Name</t>
        </is>
      </c>
      <c r="F4" s="12" t="inlineStr">
        <is>
          <t>Chinese Name</t>
        </is>
      </c>
      <c r="G4" s="12" t="inlineStr">
        <is>
          <t>Platform working on (currently</t>
        </is>
      </c>
      <c r="H4" s="12" t="inlineStr">
        <is>
          <t>Squad working on (currently</t>
        </is>
      </c>
      <c r="I4" s="12" t="inlineStr">
        <is>
          <t>Vendor</t>
        </is>
      </c>
      <c r="J4" s="12" t="inlineStr">
        <is>
          <t>Type</t>
        </is>
      </c>
      <c r="K4" s="12" t="inlineStr">
        <is>
          <t>Level</t>
        </is>
      </c>
      <c r="L4" s="12" t="inlineStr">
        <is>
          <t>JF with function</t>
        </is>
      </c>
      <c r="M4" s="12" t="inlineStr">
        <is>
          <t>Job function</t>
        </is>
      </c>
      <c r="N4" s="12" t="inlineStr">
        <is>
          <t>Gender</t>
        </is>
      </c>
      <c r="O4" s="12" t="inlineStr">
        <is>
          <t>Perm / PC / MS</t>
        </is>
      </c>
      <c r="P4" s="12" t="inlineStr">
        <is>
          <t>Role</t>
        </is>
      </c>
      <c r="Q4" s="12" t="inlineStr">
        <is>
          <t>Tenure</t>
        </is>
      </c>
      <c r="R4" s="12" t="inlineStr">
        <is>
          <t>Staff start date</t>
        </is>
      </c>
      <c r="S4" s="12" t="inlineStr">
        <is>
          <t>Contract end date</t>
        </is>
      </c>
      <c r="T4" s="12" t="inlineStr">
        <is>
          <t>IBG/FRT</t>
        </is>
      </c>
      <c r="U4" s="12" t="inlineStr">
        <is>
          <t>Reporting manager.</t>
        </is>
      </c>
      <c r="V4" s="12" t="inlineStr">
        <is>
          <t>PLATFORM (Billing)</t>
        </is>
      </c>
      <c r="W4" s="12" t="inlineStr">
        <is>
          <t>PC code</t>
        </is>
      </c>
      <c r="X4" s="12" t="inlineStr">
        <is>
          <t>Dept CODE</t>
        </is>
      </c>
      <c r="Y4" s="12" t="inlineStr">
        <is>
          <t>Last workday.</t>
        </is>
      </c>
    </row>
    <row r="5" ht="22" customHeight="1">
      <c r="B5" s="19" t="inlineStr">
        <is>
          <t>E0001</t>
        </is>
      </c>
      <c r="C5" s="19" t="inlineStr">
        <is>
          <t>1B0001</t>
        </is>
      </c>
      <c r="D5" s="19" t="inlineStr">
        <is>
          <t>Active</t>
        </is>
      </c>
      <c r="E5" s="19" t="inlineStr">
        <is>
          <t>Zhang Wei</t>
        </is>
      </c>
      <c r="F5" s="19" t="inlineStr">
        <is>
          <t>张伟</t>
        </is>
      </c>
      <c r="G5" s="19" t="inlineStr">
        <is>
          <t>IBGT</t>
        </is>
      </c>
      <c r="H5" s="19" t="inlineStr">
        <is>
          <t>Design</t>
        </is>
      </c>
      <c r="I5" s="19" t="inlineStr">
        <is>
          <t>VendorA</t>
        </is>
      </c>
      <c r="J5" s="19" t="n"/>
      <c r="K5" s="19" t="inlineStr">
        <is>
          <t>L3</t>
        </is>
      </c>
      <c r="L5" s="19" t="inlineStr">
        <is>
          <t>Y</t>
        </is>
      </c>
      <c r="M5" s="19" t="inlineStr">
        <is>
          <t>Engineer</t>
        </is>
      </c>
      <c r="N5" s="19" t="inlineStr">
        <is>
          <t>M</t>
        </is>
      </c>
      <c r="O5" s="13" t="inlineStr">
        <is>
          <t>Perm</t>
        </is>
      </c>
      <c r="P5" s="19" t="inlineStr">
        <is>
          <t>Engineer</t>
        </is>
      </c>
      <c r="Q5" s="19" t="n"/>
      <c r="R5" s="20" t="n">
        <v>45299</v>
      </c>
      <c r="S5" s="20" t="n"/>
      <c r="T5" s="19" t="inlineStr">
        <is>
          <t>IBG</t>
        </is>
      </c>
      <c r="U5" s="19" t="inlineStr">
        <is>
          <t>M01</t>
        </is>
      </c>
      <c r="V5" s="19" t="inlineStr">
        <is>
          <t>IBGT</t>
        </is>
      </c>
      <c r="W5" s="19" t="inlineStr">
        <is>
          <t>PC01</t>
        </is>
      </c>
      <c r="X5" s="19" t="inlineStr">
        <is>
          <t>D01</t>
        </is>
      </c>
      <c r="Y5" s="20" t="n"/>
    </row>
    <row r="6" ht="22" customHeight="1">
      <c r="B6" s="21" t="inlineStr">
        <is>
          <t>E0002</t>
        </is>
      </c>
      <c r="C6" s="21" t="inlineStr">
        <is>
          <t>1B0002</t>
        </is>
      </c>
      <c r="D6" s="21" t="inlineStr">
        <is>
          <t>Active</t>
        </is>
      </c>
      <c r="E6" s="21" t="inlineStr">
        <is>
          <t>Li Na</t>
        </is>
      </c>
      <c r="F6" s="21" t="inlineStr">
        <is>
          <t>李娜</t>
        </is>
      </c>
      <c r="G6" s="21" t="inlineStr">
        <is>
          <t>IBGT</t>
        </is>
      </c>
      <c r="H6" s="21" t="inlineStr">
        <is>
          <t>Test</t>
        </is>
      </c>
      <c r="I6" s="21" t="inlineStr">
        <is>
          <t>VendorA</t>
        </is>
      </c>
      <c r="J6" s="21" t="n"/>
      <c r="K6" s="21" t="inlineStr">
        <is>
          <t>L2</t>
        </is>
      </c>
      <c r="L6" s="21" t="inlineStr">
        <is>
          <t>Y</t>
        </is>
      </c>
      <c r="M6" s="21" t="inlineStr">
        <is>
          <t>Engineer</t>
        </is>
      </c>
      <c r="N6" s="21" t="inlineStr">
        <is>
          <t>F</t>
        </is>
      </c>
      <c r="O6" s="15" t="inlineStr">
        <is>
          <t>PC</t>
        </is>
      </c>
      <c r="P6" s="21" t="inlineStr">
        <is>
          <t>Engineer</t>
        </is>
      </c>
      <c r="Q6" s="21" t="n"/>
      <c r="R6" s="22" t="n">
        <v>45340</v>
      </c>
      <c r="S6" s="22" t="n"/>
      <c r="T6" s="21" t="inlineStr">
        <is>
          <t>IBG</t>
        </is>
      </c>
      <c r="U6" s="21" t="inlineStr">
        <is>
          <t>M01</t>
        </is>
      </c>
      <c r="V6" s="21" t="inlineStr">
        <is>
          <t>IBGT</t>
        </is>
      </c>
      <c r="W6" s="21" t="inlineStr">
        <is>
          <t>PC01</t>
        </is>
      </c>
      <c r="X6" s="21" t="inlineStr">
        <is>
          <t>D01</t>
        </is>
      </c>
      <c r="Y6" s="22" t="n"/>
    </row>
    <row r="7" ht="22" customHeight="1">
      <c r="B7" s="19" t="inlineStr">
        <is>
          <t>E0003</t>
        </is>
      </c>
      <c r="C7" s="19" t="inlineStr">
        <is>
          <t>1B0003</t>
        </is>
      </c>
      <c r="D7" s="19" t="inlineStr">
        <is>
          <t>Inactive</t>
        </is>
      </c>
      <c r="E7" s="19" t="inlineStr">
        <is>
          <t>Wang Qiang</t>
        </is>
      </c>
      <c r="F7" s="19" t="inlineStr">
        <is>
          <t>王强</t>
        </is>
      </c>
      <c r="G7" s="19" t="inlineStr">
        <is>
          <t>IBGT</t>
        </is>
      </c>
      <c r="H7" s="19" t="inlineStr">
        <is>
          <t>Design</t>
        </is>
      </c>
      <c r="I7" s="19" t="inlineStr">
        <is>
          <t>VendorB</t>
        </is>
      </c>
      <c r="J7" s="19" t="n"/>
      <c r="K7" s="19" t="inlineStr">
        <is>
          <t>L3</t>
        </is>
      </c>
      <c r="L7" s="19" t="inlineStr">
        <is>
          <t>N</t>
        </is>
      </c>
      <c r="M7" s="19" t="inlineStr">
        <is>
          <t>Engineer</t>
        </is>
      </c>
      <c r="N7" s="19" t="inlineStr">
        <is>
          <t>M</t>
        </is>
      </c>
      <c r="O7" s="13" t="inlineStr">
        <is>
          <t>MS</t>
        </is>
      </c>
      <c r="P7" s="19" t="inlineStr">
        <is>
          <t>Engineer</t>
        </is>
      </c>
      <c r="Q7" s="19" t="n"/>
      <c r="R7" s="20" t="n">
        <v>45355</v>
      </c>
      <c r="S7" s="20" t="n"/>
      <c r="T7" s="19" t="inlineStr">
        <is>
          <t>IBG</t>
        </is>
      </c>
      <c r="U7" s="19" t="inlineStr">
        <is>
          <t>M01</t>
        </is>
      </c>
      <c r="V7" s="19" t="inlineStr">
        <is>
          <t>IBGT</t>
        </is>
      </c>
      <c r="W7" s="19" t="inlineStr">
        <is>
          <t>PC01</t>
        </is>
      </c>
      <c r="X7" s="19" t="inlineStr">
        <is>
          <t>D01</t>
        </is>
      </c>
      <c r="Y7" s="20" t="n">
        <v>45625</v>
      </c>
    </row>
    <row r="8" ht="22" customHeight="1">
      <c r="B8" s="21" t="inlineStr">
        <is>
          <t>E0004</t>
        </is>
      </c>
      <c r="C8" s="21" t="inlineStr">
        <is>
          <t>1B0004</t>
        </is>
      </c>
      <c r="D8" s="21" t="inlineStr">
        <is>
          <t>Active</t>
        </is>
      </c>
      <c r="E8" s="21" t="inlineStr">
        <is>
          <t>Zhao Min</t>
        </is>
      </c>
      <c r="F8" s="21" t="inlineStr">
        <is>
          <t>赵敏</t>
        </is>
      </c>
      <c r="G8" s="21" t="inlineStr">
        <is>
          <t>IBGT</t>
        </is>
      </c>
      <c r="H8" s="21" t="inlineStr">
        <is>
          <t>Test</t>
        </is>
      </c>
      <c r="I8" s="21" t="inlineStr">
        <is>
          <t>VendorB</t>
        </is>
      </c>
      <c r="J8" s="21" t="n"/>
      <c r="K8" s="21" t="inlineStr">
        <is>
          <t>L4</t>
        </is>
      </c>
      <c r="L8" s="21" t="inlineStr">
        <is>
          <t>Y</t>
        </is>
      </c>
      <c r="M8" s="21" t="inlineStr">
        <is>
          <t>Lead</t>
        </is>
      </c>
      <c r="N8" s="21" t="inlineStr">
        <is>
          <t>F</t>
        </is>
      </c>
      <c r="O8" s="15" t="inlineStr">
        <is>
          <t>Perm</t>
        </is>
      </c>
      <c r="P8" s="21" t="inlineStr">
        <is>
          <t>Lead</t>
        </is>
      </c>
      <c r="Q8" s="21" t="n"/>
      <c r="R8" s="22" t="n">
        <v>45313</v>
      </c>
      <c r="S8" s="22" t="n"/>
      <c r="T8" s="21" t="inlineStr">
        <is>
          <t>IBG</t>
        </is>
      </c>
      <c r="U8" s="21" t="inlineStr">
        <is>
          <t>M01</t>
        </is>
      </c>
      <c r="V8" s="21" t="inlineStr">
        <is>
          <t>IBGT</t>
        </is>
      </c>
      <c r="W8" s="21" t="inlineStr">
        <is>
          <t>PC01</t>
        </is>
      </c>
      <c r="X8" s="21" t="inlineStr">
        <is>
          <t>D01</t>
        </is>
      </c>
      <c r="Y8" s="22" t="n"/>
    </row>
    <row r="9" ht="22" customHeight="1">
      <c r="B9" s="19" t="inlineStr">
        <is>
          <t>E0005</t>
        </is>
      </c>
      <c r="C9" s="19" t="inlineStr">
        <is>
          <t>1B0005</t>
        </is>
      </c>
      <c r="D9" s="19" t="inlineStr">
        <is>
          <t>Inactive</t>
        </is>
      </c>
      <c r="E9" s="19" t="inlineStr">
        <is>
          <t>Liu Yang</t>
        </is>
      </c>
      <c r="F9" s="19" t="inlineStr">
        <is>
          <t>刘洋</t>
        </is>
      </c>
      <c r="G9" s="19" t="inlineStr">
        <is>
          <t>IBGT</t>
        </is>
      </c>
      <c r="H9" s="19" t="inlineStr">
        <is>
          <t>Design</t>
        </is>
      </c>
      <c r="I9" s="19" t="inlineStr">
        <is>
          <t>VendorA</t>
        </is>
      </c>
      <c r="J9" s="19" t="n"/>
      <c r="K9" s="19" t="inlineStr">
        <is>
          <t>L2</t>
        </is>
      </c>
      <c r="L9" s="19" t="inlineStr">
        <is>
          <t>Y</t>
        </is>
      </c>
      <c r="M9" s="19" t="inlineStr">
        <is>
          <t>Engineer</t>
        </is>
      </c>
      <c r="N9" s="19" t="inlineStr">
        <is>
          <t>M</t>
        </is>
      </c>
      <c r="O9" s="13" t="inlineStr">
        <is>
          <t>PC</t>
        </is>
      </c>
      <c r="P9" s="19" t="inlineStr">
        <is>
          <t>Engineer</t>
        </is>
      </c>
      <c r="Q9" s="19" t="n"/>
      <c r="R9" s="20" t="n">
        <v>45397</v>
      </c>
      <c r="S9" s="20" t="n"/>
      <c r="T9" s="19" t="inlineStr">
        <is>
          <t>IBG</t>
        </is>
      </c>
      <c r="U9" s="19" t="inlineStr">
        <is>
          <t>M01</t>
        </is>
      </c>
      <c r="V9" s="19" t="inlineStr">
        <is>
          <t>IBGT</t>
        </is>
      </c>
      <c r="W9" s="19" t="inlineStr">
        <is>
          <t>PC01</t>
        </is>
      </c>
      <c r="X9" s="19" t="inlineStr">
        <is>
          <t>D01</t>
        </is>
      </c>
      <c r="Y9" s="20" t="n">
        <v>45747</v>
      </c>
    </row>
    <row r="10" ht="22" customHeight="1">
      <c r="B10" s="21" t="inlineStr">
        <is>
          <t>E0006</t>
        </is>
      </c>
      <c r="C10" s="21" t="inlineStr">
        <is>
          <t>1B0006</t>
        </is>
      </c>
      <c r="D10" s="21" t="inlineStr">
        <is>
          <t>Active</t>
        </is>
      </c>
      <c r="E10" s="21" t="inlineStr">
        <is>
          <t>Chen Jing</t>
        </is>
      </c>
      <c r="F10" s="21" t="inlineStr">
        <is>
          <t>陈静</t>
        </is>
      </c>
      <c r="G10" s="21" t="inlineStr">
        <is>
          <t>IBGT</t>
        </is>
      </c>
      <c r="H10" s="21" t="inlineStr">
        <is>
          <t>Qual</t>
        </is>
      </c>
      <c r="I10" s="21" t="inlineStr">
        <is>
          <t>VendorC</t>
        </is>
      </c>
      <c r="J10" s="21" t="n"/>
      <c r="K10" s="21" t="inlineStr">
        <is>
          <t>L2</t>
        </is>
      </c>
      <c r="L10" s="21" t="inlineStr">
        <is>
          <t>N</t>
        </is>
      </c>
      <c r="M10" s="21" t="inlineStr">
        <is>
          <t>Engineer</t>
        </is>
      </c>
      <c r="N10" s="21" t="inlineStr">
        <is>
          <t>F</t>
        </is>
      </c>
      <c r="O10" s="15" t="inlineStr">
        <is>
          <t>MS</t>
        </is>
      </c>
      <c r="P10" s="21" t="inlineStr">
        <is>
          <t>Engineer</t>
        </is>
      </c>
      <c r="Q10" s="21" t="n"/>
      <c r="R10" s="22" t="n">
        <v>45418</v>
      </c>
      <c r="S10" s="22" t="n"/>
      <c r="T10" s="21" t="inlineStr">
        <is>
          <t>IBG</t>
        </is>
      </c>
      <c r="U10" s="21" t="inlineStr">
        <is>
          <t>M01</t>
        </is>
      </c>
      <c r="V10" s="21" t="inlineStr">
        <is>
          <t>IBGT</t>
        </is>
      </c>
      <c r="W10" s="21" t="inlineStr">
        <is>
          <t>PC01</t>
        </is>
      </c>
      <c r="X10" s="21" t="inlineStr">
        <is>
          <t>D01</t>
        </is>
      </c>
      <c r="Y10" s="22" t="n"/>
    </row>
    <row r="11" ht="22" customHeight="1">
      <c r="B11" s="19" t="inlineStr">
        <is>
          <t>E0007</t>
        </is>
      </c>
      <c r="C11" s="19" t="inlineStr">
        <is>
          <t>1B0007</t>
        </is>
      </c>
      <c r="D11" s="19" t="inlineStr">
        <is>
          <t>Inactive</t>
        </is>
      </c>
      <c r="E11" s="19" t="inlineStr">
        <is>
          <t>Yang Fan</t>
        </is>
      </c>
      <c r="F11" s="19" t="inlineStr">
        <is>
          <t>杨帆</t>
        </is>
      </c>
      <c r="G11" s="19" t="inlineStr">
        <is>
          <t>IBGT</t>
        </is>
      </c>
      <c r="H11" s="19" t="inlineStr">
        <is>
          <t>Design</t>
        </is>
      </c>
      <c r="I11" s="19" t="inlineStr">
        <is>
          <t>VendorA</t>
        </is>
      </c>
      <c r="J11" s="19" t="n"/>
      <c r="K11" s="19" t="inlineStr">
        <is>
          <t>L3</t>
        </is>
      </c>
      <c r="L11" s="19" t="inlineStr">
        <is>
          <t>Y</t>
        </is>
      </c>
      <c r="M11" s="19" t="inlineStr">
        <is>
          <t>Engineer</t>
        </is>
      </c>
      <c r="N11" s="19" t="inlineStr">
        <is>
          <t>M</t>
        </is>
      </c>
      <c r="O11" s="13" t="inlineStr">
        <is>
          <t>Perm</t>
        </is>
      </c>
      <c r="P11" s="19" t="inlineStr">
        <is>
          <t>Engineer</t>
        </is>
      </c>
      <c r="Q11" s="19" t="n"/>
      <c r="R11" s="20" t="n">
        <v>45453</v>
      </c>
      <c r="S11" s="20" t="n"/>
      <c r="T11" s="19" t="inlineStr">
        <is>
          <t>IBG</t>
        </is>
      </c>
      <c r="U11" s="19" t="inlineStr">
        <is>
          <t>M01</t>
        </is>
      </c>
      <c r="V11" s="19" t="inlineStr">
        <is>
          <t>IBGT</t>
        </is>
      </c>
      <c r="W11" s="19" t="inlineStr">
        <is>
          <t>PC01</t>
        </is>
      </c>
      <c r="X11" s="19" t="inlineStr">
        <is>
          <t>D01</t>
        </is>
      </c>
      <c r="Y11" s="20" t="n">
        <v>45838</v>
      </c>
    </row>
    <row r="12" ht="22" customHeight="1">
      <c r="B12" s="21" t="inlineStr">
        <is>
          <t>E0008</t>
        </is>
      </c>
      <c r="C12" s="21" t="inlineStr">
        <is>
          <t>1B0008</t>
        </is>
      </c>
      <c r="D12" s="21" t="inlineStr">
        <is>
          <t>Active</t>
        </is>
      </c>
      <c r="E12" s="21" t="inlineStr">
        <is>
          <t>Zhou Ting</t>
        </is>
      </c>
      <c r="F12" s="21" t="inlineStr">
        <is>
          <t>周婷</t>
        </is>
      </c>
      <c r="G12" s="21" t="inlineStr">
        <is>
          <t>IBGT</t>
        </is>
      </c>
      <c r="H12" s="21" t="inlineStr">
        <is>
          <t>Test</t>
        </is>
      </c>
      <c r="I12" s="21" t="inlineStr">
        <is>
          <t>VendorB</t>
        </is>
      </c>
      <c r="J12" s="21" t="n"/>
      <c r="K12" s="21" t="inlineStr">
        <is>
          <t>L2</t>
        </is>
      </c>
      <c r="L12" s="21" t="inlineStr">
        <is>
          <t>Y</t>
        </is>
      </c>
      <c r="M12" s="21" t="inlineStr">
        <is>
          <t>Engineer</t>
        </is>
      </c>
      <c r="N12" s="21" t="inlineStr">
        <is>
          <t>F</t>
        </is>
      </c>
      <c r="O12" s="15" t="inlineStr">
        <is>
          <t>PC</t>
        </is>
      </c>
      <c r="P12" s="21" t="inlineStr">
        <is>
          <t>Engineer</t>
        </is>
      </c>
      <c r="Q12" s="21" t="n"/>
      <c r="R12" s="22" t="n">
        <v>45474</v>
      </c>
      <c r="S12" s="22" t="n"/>
      <c r="T12" s="21" t="inlineStr">
        <is>
          <t>IBG</t>
        </is>
      </c>
      <c r="U12" s="21" t="inlineStr">
        <is>
          <t>M01</t>
        </is>
      </c>
      <c r="V12" s="21" t="inlineStr">
        <is>
          <t>IBGT</t>
        </is>
      </c>
      <c r="W12" s="21" t="inlineStr">
        <is>
          <t>PC01</t>
        </is>
      </c>
      <c r="X12" s="21" t="inlineStr">
        <is>
          <t>D01</t>
        </is>
      </c>
      <c r="Y12" s="22" t="n"/>
    </row>
    <row r="13" ht="22" customHeight="1">
      <c r="B13" s="19" t="inlineStr">
        <is>
          <t>E0009</t>
        </is>
      </c>
      <c r="C13" s="19" t="inlineStr">
        <is>
          <t>1B0009</t>
        </is>
      </c>
      <c r="D13" s="19" t="inlineStr">
        <is>
          <t>Inactive</t>
        </is>
      </c>
      <c r="E13" s="19" t="inlineStr">
        <is>
          <t>Wu Lei</t>
        </is>
      </c>
      <c r="F13" s="19" t="inlineStr">
        <is>
          <t>吴磊</t>
        </is>
      </c>
      <c r="G13" s="19" t="inlineStr">
        <is>
          <t>IBGT</t>
        </is>
      </c>
      <c r="H13" s="19" t="inlineStr">
        <is>
          <t>Qual</t>
        </is>
      </c>
      <c r="I13" s="19" t="inlineStr">
        <is>
          <t>VendorC</t>
        </is>
      </c>
      <c r="J13" s="19" t="n"/>
      <c r="K13" s="19" t="inlineStr">
        <is>
          <t>L3</t>
        </is>
      </c>
      <c r="L13" s="19" t="inlineStr">
        <is>
          <t>N</t>
        </is>
      </c>
      <c r="M13" s="19" t="inlineStr">
        <is>
          <t>Engineer</t>
        </is>
      </c>
      <c r="N13" s="19" t="inlineStr">
        <is>
          <t>M</t>
        </is>
      </c>
      <c r="O13" s="13" t="inlineStr">
        <is>
          <t>MS</t>
        </is>
      </c>
      <c r="P13" s="19" t="inlineStr">
        <is>
          <t>Engineer</t>
        </is>
      </c>
      <c r="Q13" s="19" t="n"/>
      <c r="R13" s="20" t="n">
        <v>45523</v>
      </c>
      <c r="S13" s="20" t="n"/>
      <c r="T13" s="19" t="inlineStr">
        <is>
          <t>IBG</t>
        </is>
      </c>
      <c r="U13" s="19" t="inlineStr">
        <is>
          <t>M01</t>
        </is>
      </c>
      <c r="V13" s="19" t="inlineStr">
        <is>
          <t>IBGT</t>
        </is>
      </c>
      <c r="W13" s="19" t="inlineStr">
        <is>
          <t>PC01</t>
        </is>
      </c>
      <c r="X13" s="19" t="inlineStr">
        <is>
          <t>D01</t>
        </is>
      </c>
      <c r="Y13" s="20" t="n">
        <v>46080</v>
      </c>
    </row>
    <row r="14" ht="22" customHeight="1">
      <c r="B14" s="21" t="inlineStr">
        <is>
          <t>E0010</t>
        </is>
      </c>
      <c r="C14" s="21" t="inlineStr">
        <is>
          <t>1B0010</t>
        </is>
      </c>
      <c r="D14" s="21" t="inlineStr">
        <is>
          <t>Active</t>
        </is>
      </c>
      <c r="E14" s="21" t="inlineStr">
        <is>
          <t>Zheng Shuai</t>
        </is>
      </c>
      <c r="F14" s="21" t="inlineStr">
        <is>
          <t>郑爽</t>
        </is>
      </c>
      <c r="G14" s="21" t="inlineStr">
        <is>
          <t>IBGT</t>
        </is>
      </c>
      <c r="H14" s="21" t="inlineStr">
        <is>
          <t>Design</t>
        </is>
      </c>
      <c r="I14" s="21" t="inlineStr">
        <is>
          <t>VendorA</t>
        </is>
      </c>
      <c r="J14" s="21" t="n"/>
      <c r="K14" s="21" t="inlineStr">
        <is>
          <t>L2</t>
        </is>
      </c>
      <c r="L14" s="21" t="inlineStr">
        <is>
          <t>Y</t>
        </is>
      </c>
      <c r="M14" s="21" t="inlineStr">
        <is>
          <t>Engineer</t>
        </is>
      </c>
      <c r="N14" s="21" t="inlineStr">
        <is>
          <t>M</t>
        </is>
      </c>
      <c r="O14" s="15" t="inlineStr">
        <is>
          <t>Perm</t>
        </is>
      </c>
      <c r="P14" s="21" t="inlineStr">
        <is>
          <t>Engineer</t>
        </is>
      </c>
      <c r="Q14" s="21" t="n"/>
      <c r="R14" s="22" t="n">
        <v>45544</v>
      </c>
      <c r="S14" s="22" t="n"/>
      <c r="T14" s="21" t="inlineStr">
        <is>
          <t>IBG</t>
        </is>
      </c>
      <c r="U14" s="21" t="inlineStr">
        <is>
          <t>M01</t>
        </is>
      </c>
      <c r="V14" s="21" t="inlineStr">
        <is>
          <t>IBGT</t>
        </is>
      </c>
      <c r="W14" s="21" t="inlineStr">
        <is>
          <t>PC01</t>
        </is>
      </c>
      <c r="X14" s="21" t="inlineStr">
        <is>
          <t>D01</t>
        </is>
      </c>
      <c r="Y14" s="22" t="n"/>
    </row>
    <row r="15" ht="22" customHeight="1">
      <c r="B15" s="19" t="inlineStr">
        <is>
          <t>E0011</t>
        </is>
      </c>
      <c r="C15" s="19" t="inlineStr">
        <is>
          <t>1B0011</t>
        </is>
      </c>
      <c r="D15" s="19" t="inlineStr">
        <is>
          <t>Inactive</t>
        </is>
      </c>
      <c r="E15" s="19" t="inlineStr">
        <is>
          <t>Feng Jun</t>
        </is>
      </c>
      <c r="F15" s="19" t="inlineStr">
        <is>
          <t>冯军</t>
        </is>
      </c>
      <c r="G15" s="19" t="inlineStr">
        <is>
          <t>IBGT</t>
        </is>
      </c>
      <c r="H15" s="19" t="inlineStr">
        <is>
          <t>Test</t>
        </is>
      </c>
      <c r="I15" s="19" t="inlineStr">
        <is>
          <t>VendorB</t>
        </is>
      </c>
      <c r="J15" s="19" t="n"/>
      <c r="K15" s="19" t="inlineStr">
        <is>
          <t>L3</t>
        </is>
      </c>
      <c r="L15" s="19" t="inlineStr">
        <is>
          <t>Y</t>
        </is>
      </c>
      <c r="M15" s="19" t="inlineStr">
        <is>
          <t>Engineer</t>
        </is>
      </c>
      <c r="N15" s="19" t="inlineStr">
        <is>
          <t>M</t>
        </is>
      </c>
      <c r="O15" s="13" t="inlineStr">
        <is>
          <t>PC</t>
        </is>
      </c>
      <c r="P15" s="19" t="inlineStr">
        <is>
          <t>Engineer</t>
        </is>
      </c>
      <c r="Q15" s="19" t="n"/>
      <c r="R15" s="20" t="n">
        <v>45621</v>
      </c>
      <c r="S15" s="20" t="n"/>
      <c r="T15" s="19" t="inlineStr">
        <is>
          <t>IBG</t>
        </is>
      </c>
      <c r="U15" s="19" t="inlineStr">
        <is>
          <t>M01</t>
        </is>
      </c>
      <c r="V15" s="19" t="inlineStr">
        <is>
          <t>IBGT</t>
        </is>
      </c>
      <c r="W15" s="19" t="inlineStr">
        <is>
          <t>PC01</t>
        </is>
      </c>
      <c r="X15" s="19" t="inlineStr">
        <is>
          <t>D01</t>
        </is>
      </c>
      <c r="Y15" s="20" t="n">
        <v>45930</v>
      </c>
    </row>
    <row r="16" ht="22" customHeight="1">
      <c r="B16" s="21" t="inlineStr">
        <is>
          <t>E0012</t>
        </is>
      </c>
      <c r="C16" s="21" t="inlineStr">
        <is>
          <t>1B0012</t>
        </is>
      </c>
      <c r="D16" s="21" t="inlineStr">
        <is>
          <t>Active</t>
        </is>
      </c>
      <c r="E16" s="21" t="inlineStr">
        <is>
          <t>Xu Qing</t>
        </is>
      </c>
      <c r="F16" s="21" t="inlineStr">
        <is>
          <t>许晴</t>
        </is>
      </c>
      <c r="G16" s="21" t="inlineStr">
        <is>
          <t>IBGT</t>
        </is>
      </c>
      <c r="H16" s="21" t="inlineStr">
        <is>
          <t>Qual</t>
        </is>
      </c>
      <c r="I16" s="21" t="inlineStr">
        <is>
          <t>VendorC</t>
        </is>
      </c>
      <c r="J16" s="21" t="n"/>
      <c r="K16" s="21" t="inlineStr">
        <is>
          <t>L2</t>
        </is>
      </c>
      <c r="L16" s="21" t="inlineStr">
        <is>
          <t>N</t>
        </is>
      </c>
      <c r="M16" s="21" t="inlineStr">
        <is>
          <t>Engineer</t>
        </is>
      </c>
      <c r="N16" s="21" t="inlineStr">
        <is>
          <t>F</t>
        </is>
      </c>
      <c r="O16" s="15" t="inlineStr">
        <is>
          <t>MS</t>
        </is>
      </c>
      <c r="P16" s="21" t="inlineStr">
        <is>
          <t>Engineer</t>
        </is>
      </c>
      <c r="Q16" s="21" t="n"/>
      <c r="R16" s="22" t="n">
        <v>45663</v>
      </c>
      <c r="S16" s="22" t="n"/>
      <c r="T16" s="21" t="inlineStr">
        <is>
          <t>IBG</t>
        </is>
      </c>
      <c r="U16" s="21" t="inlineStr">
        <is>
          <t>M01</t>
        </is>
      </c>
      <c r="V16" s="21" t="inlineStr">
        <is>
          <t>IBGT</t>
        </is>
      </c>
      <c r="W16" s="21" t="inlineStr">
        <is>
          <t>PC01</t>
        </is>
      </c>
      <c r="X16" s="21" t="inlineStr">
        <is>
          <t>D01</t>
        </is>
      </c>
      <c r="Y16" s="22" t="n"/>
    </row>
    <row r="17" ht="22" customHeight="1">
      <c r="B17" s="19" t="inlineStr">
        <is>
          <t>E0013</t>
        </is>
      </c>
      <c r="C17" s="19" t="inlineStr">
        <is>
          <t>1B0013</t>
        </is>
      </c>
      <c r="D17" s="19" t="inlineStr">
        <is>
          <t>Inactive</t>
        </is>
      </c>
      <c r="E17" s="19" t="inlineStr">
        <is>
          <t>He Chao</t>
        </is>
      </c>
      <c r="F17" s="19" t="inlineStr">
        <is>
          <t>何超</t>
        </is>
      </c>
      <c r="G17" s="19" t="inlineStr">
        <is>
          <t>IBGT</t>
        </is>
      </c>
      <c r="H17" s="19" t="inlineStr">
        <is>
          <t>Design</t>
        </is>
      </c>
      <c r="I17" s="19" t="inlineStr">
        <is>
          <t>VendorA</t>
        </is>
      </c>
      <c r="J17" s="19" t="n"/>
      <c r="K17" s="19" t="inlineStr">
        <is>
          <t>L3</t>
        </is>
      </c>
      <c r="L17" s="19" t="inlineStr">
        <is>
          <t>Y</t>
        </is>
      </c>
      <c r="M17" s="19" t="inlineStr">
        <is>
          <t>Engineer</t>
        </is>
      </c>
      <c r="N17" s="19" t="inlineStr">
        <is>
          <t>M</t>
        </is>
      </c>
      <c r="O17" s="13" t="inlineStr">
        <is>
          <t>Perm</t>
        </is>
      </c>
      <c r="P17" s="19" t="inlineStr">
        <is>
          <t>Engineer</t>
        </is>
      </c>
      <c r="Q17" s="19" t="n"/>
      <c r="R17" s="20" t="n">
        <v>45733</v>
      </c>
      <c r="S17" s="20" t="n"/>
      <c r="T17" s="19" t="inlineStr">
        <is>
          <t>IBG</t>
        </is>
      </c>
      <c r="U17" s="19" t="inlineStr">
        <is>
          <t>M01</t>
        </is>
      </c>
      <c r="V17" s="19" t="inlineStr">
        <is>
          <t>IBGT</t>
        </is>
      </c>
      <c r="W17" s="19" t="inlineStr">
        <is>
          <t>PC01</t>
        </is>
      </c>
      <c r="X17" s="19" t="inlineStr">
        <is>
          <t>D01</t>
        </is>
      </c>
      <c r="Y17" s="20" t="n">
        <v>46022</v>
      </c>
    </row>
    <row r="18" ht="22" customHeight="1">
      <c r="B18" s="21" t="inlineStr">
        <is>
          <t>E0014</t>
        </is>
      </c>
      <c r="C18" s="21" t="inlineStr">
        <is>
          <t>1B0014</t>
        </is>
      </c>
      <c r="D18" s="21" t="inlineStr">
        <is>
          <t>Active</t>
        </is>
      </c>
      <c r="E18" s="21" t="inlineStr">
        <is>
          <t>Deng Zi</t>
        </is>
      </c>
      <c r="F18" s="21" t="inlineStr">
        <is>
          <t>邓紫</t>
        </is>
      </c>
      <c r="G18" s="21" t="inlineStr">
        <is>
          <t>IBGT</t>
        </is>
      </c>
      <c r="H18" s="21" t="inlineStr">
        <is>
          <t>Test</t>
        </is>
      </c>
      <c r="I18" s="21" t="inlineStr">
        <is>
          <t>VendorB</t>
        </is>
      </c>
      <c r="J18" s="21" t="n"/>
      <c r="K18" s="21" t="inlineStr">
        <is>
          <t>L2</t>
        </is>
      </c>
      <c r="L18" s="21" t="inlineStr">
        <is>
          <t>Y</t>
        </is>
      </c>
      <c r="M18" s="21" t="inlineStr">
        <is>
          <t>Engineer</t>
        </is>
      </c>
      <c r="N18" s="21" t="inlineStr">
        <is>
          <t>F</t>
        </is>
      </c>
      <c r="O18" s="15" t="inlineStr">
        <is>
          <t>PC</t>
        </is>
      </c>
      <c r="P18" s="21" t="inlineStr">
        <is>
          <t>Engineer</t>
        </is>
      </c>
      <c r="Q18" s="21" t="n"/>
      <c r="R18" s="22" t="n">
        <v>45782</v>
      </c>
      <c r="S18" s="22" t="n"/>
      <c r="T18" s="21" t="inlineStr">
        <is>
          <t>IBG</t>
        </is>
      </c>
      <c r="U18" s="21" t="inlineStr">
        <is>
          <t>M01</t>
        </is>
      </c>
      <c r="V18" s="21" t="inlineStr">
        <is>
          <t>IBGT</t>
        </is>
      </c>
      <c r="W18" s="21" t="inlineStr">
        <is>
          <t>PC01</t>
        </is>
      </c>
      <c r="X18" s="21" t="inlineStr">
        <is>
          <t>D01</t>
        </is>
      </c>
      <c r="Y18" s="22" t="n"/>
    </row>
    <row r="19" ht="22" customHeight="1">
      <c r="B19" s="19" t="inlineStr">
        <is>
          <t>E0015</t>
        </is>
      </c>
      <c r="C19" s="19" t="inlineStr">
        <is>
          <t>1B0015</t>
        </is>
      </c>
      <c r="D19" s="19" t="inlineStr">
        <is>
          <t>Active</t>
        </is>
      </c>
      <c r="E19" s="19" t="inlineStr">
        <is>
          <t>Cao Ying</t>
        </is>
      </c>
      <c r="F19" s="19" t="inlineStr">
        <is>
          <t>曹颖</t>
        </is>
      </c>
      <c r="G19" s="19" t="inlineStr">
        <is>
          <t>IBGT</t>
        </is>
      </c>
      <c r="H19" s="19" t="inlineStr">
        <is>
          <t>Qual</t>
        </is>
      </c>
      <c r="I19" s="19" t="inlineStr">
        <is>
          <t>VendorC</t>
        </is>
      </c>
      <c r="J19" s="19" t="n"/>
      <c r="K19" s="19" t="inlineStr">
        <is>
          <t>L2</t>
        </is>
      </c>
      <c r="L19" s="19" t="inlineStr">
        <is>
          <t>N</t>
        </is>
      </c>
      <c r="M19" s="19" t="inlineStr">
        <is>
          <t>Engineer</t>
        </is>
      </c>
      <c r="N19" s="19" t="inlineStr">
        <is>
          <t>F</t>
        </is>
      </c>
      <c r="O19" s="13" t="inlineStr">
        <is>
          <t>MS</t>
        </is>
      </c>
      <c r="P19" s="19" t="inlineStr">
        <is>
          <t>Engineer</t>
        </is>
      </c>
      <c r="Q19" s="19" t="n"/>
      <c r="R19" s="20" t="n">
        <v>45852</v>
      </c>
      <c r="S19" s="20" t="n"/>
      <c r="T19" s="19" t="inlineStr">
        <is>
          <t>IBG</t>
        </is>
      </c>
      <c r="U19" s="19" t="inlineStr">
        <is>
          <t>M01</t>
        </is>
      </c>
      <c r="V19" s="19" t="inlineStr">
        <is>
          <t>IBGT</t>
        </is>
      </c>
      <c r="W19" s="19" t="inlineStr">
        <is>
          <t>PC01</t>
        </is>
      </c>
      <c r="X19" s="19" t="inlineStr">
        <is>
          <t>D01</t>
        </is>
      </c>
      <c r="Y19" s="20" t="n"/>
    </row>
    <row r="20" ht="22" customHeight="1">
      <c r="B20" s="21" t="inlineStr">
        <is>
          <t>E0016</t>
        </is>
      </c>
      <c r="C20" s="21" t="inlineStr">
        <is>
          <t>1B0016</t>
        </is>
      </c>
      <c r="D20" s="21" t="inlineStr">
        <is>
          <t>Active</t>
        </is>
      </c>
      <c r="E20" s="21" t="inlineStr">
        <is>
          <t>Pan Shuai</t>
        </is>
      </c>
      <c r="F20" s="21" t="inlineStr">
        <is>
          <t>潘帅</t>
        </is>
      </c>
      <c r="G20" s="21" t="inlineStr">
        <is>
          <t>IBGT</t>
        </is>
      </c>
      <c r="H20" s="21" t="inlineStr">
        <is>
          <t>Design</t>
        </is>
      </c>
      <c r="I20" s="21" t="inlineStr">
        <is>
          <t>VendorA</t>
        </is>
      </c>
      <c r="J20" s="21" t="n"/>
      <c r="K20" s="21" t="inlineStr">
        <is>
          <t>L2</t>
        </is>
      </c>
      <c r="L20" s="21" t="inlineStr">
        <is>
          <t>Y</t>
        </is>
      </c>
      <c r="M20" s="21" t="inlineStr">
        <is>
          <t>Engineer</t>
        </is>
      </c>
      <c r="N20" s="21" t="inlineStr">
        <is>
          <t>M</t>
        </is>
      </c>
      <c r="O20" s="15" t="inlineStr">
        <is>
          <t>Perm</t>
        </is>
      </c>
      <c r="P20" s="21" t="inlineStr">
        <is>
          <t>Engineer</t>
        </is>
      </c>
      <c r="Q20" s="21" t="n"/>
      <c r="R20" s="22" t="n">
        <v>46033</v>
      </c>
      <c r="S20" s="22" t="n"/>
      <c r="T20" s="21" t="inlineStr">
        <is>
          <t>IBG</t>
        </is>
      </c>
      <c r="U20" s="21" t="inlineStr">
        <is>
          <t>M01</t>
        </is>
      </c>
      <c r="V20" s="21" t="inlineStr">
        <is>
          <t>IBGT</t>
        </is>
      </c>
      <c r="W20" s="21" t="inlineStr">
        <is>
          <t>PC01</t>
        </is>
      </c>
      <c r="X20" s="21" t="inlineStr">
        <is>
          <t>D01</t>
        </is>
      </c>
      <c r="Y20" s="22" t="n"/>
    </row>
    <row r="21" ht="22" customHeight="1">
      <c r="B21" s="19" t="inlineStr">
        <is>
          <t>E0017</t>
        </is>
      </c>
      <c r="C21" s="19" t="inlineStr">
        <is>
          <t>1B0017</t>
        </is>
      </c>
      <c r="D21" s="19" t="inlineStr">
        <is>
          <t>Active</t>
        </is>
      </c>
      <c r="E21" s="19" t="inlineStr">
        <is>
          <t>Lin Yun</t>
        </is>
      </c>
      <c r="F21" s="19" t="inlineStr">
        <is>
          <t>林允</t>
        </is>
      </c>
      <c r="G21" s="19" t="inlineStr">
        <is>
          <t>IBGT</t>
        </is>
      </c>
      <c r="H21" s="19" t="inlineStr">
        <is>
          <t>Test</t>
        </is>
      </c>
      <c r="I21" s="19" t="inlineStr">
        <is>
          <t>VendorB</t>
        </is>
      </c>
      <c r="J21" s="19" t="n"/>
      <c r="K21" s="19" t="inlineStr">
        <is>
          <t>L2</t>
        </is>
      </c>
      <c r="L21" s="19" t="inlineStr">
        <is>
          <t>Y</t>
        </is>
      </c>
      <c r="M21" s="19" t="inlineStr">
        <is>
          <t>Engineer</t>
        </is>
      </c>
      <c r="N21" s="19" t="inlineStr">
        <is>
          <t>F</t>
        </is>
      </c>
      <c r="O21" s="13" t="inlineStr">
        <is>
          <t>PC</t>
        </is>
      </c>
      <c r="P21" s="19" t="inlineStr">
        <is>
          <t>Engineer</t>
        </is>
      </c>
      <c r="Q21" s="19" t="n"/>
      <c r="R21" s="20" t="n">
        <v>46132</v>
      </c>
      <c r="S21" s="20" t="n"/>
      <c r="T21" s="19" t="inlineStr">
        <is>
          <t>IBG</t>
        </is>
      </c>
      <c r="U21" s="19" t="inlineStr">
        <is>
          <t>M01</t>
        </is>
      </c>
      <c r="V21" s="19" t="inlineStr">
        <is>
          <t>IBGT</t>
        </is>
      </c>
      <c r="W21" s="19" t="inlineStr">
        <is>
          <t>PC01</t>
        </is>
      </c>
      <c r="X21" s="19" t="inlineStr">
        <is>
          <t>D01</t>
        </is>
      </c>
      <c r="Y21" s="20" t="n"/>
    </row>
    <row r="22" ht="22" customHeight="1">
      <c r="B22" s="21" t="inlineStr">
        <is>
          <t>E0018</t>
        </is>
      </c>
      <c r="C22" s="21" t="inlineStr">
        <is>
          <t>1B0018</t>
        </is>
      </c>
      <c r="D22" s="21" t="inlineStr">
        <is>
          <t>Inactive</t>
        </is>
      </c>
      <c r="E22" s="21" t="inlineStr">
        <is>
          <t>Su Mang</t>
        </is>
      </c>
      <c r="F22" s="21" t="inlineStr">
        <is>
          <t>苏芒</t>
        </is>
      </c>
      <c r="G22" s="21" t="inlineStr">
        <is>
          <t>IBGT</t>
        </is>
      </c>
      <c r="H22" s="21" t="inlineStr">
        <is>
          <t>Qual</t>
        </is>
      </c>
      <c r="I22" s="21" t="inlineStr">
        <is>
          <t>VendorC</t>
        </is>
      </c>
      <c r="J22" s="21" t="n"/>
      <c r="K22" s="21" t="inlineStr">
        <is>
          <t>L2</t>
        </is>
      </c>
      <c r="L22" s="21" t="inlineStr">
        <is>
          <t>N</t>
        </is>
      </c>
      <c r="M22" s="21" t="inlineStr">
        <is>
          <t>Engineer</t>
        </is>
      </c>
      <c r="N22" s="21" t="inlineStr">
        <is>
          <t>F</t>
        </is>
      </c>
      <c r="O22" s="15" t="inlineStr">
        <is>
          <t>MS</t>
        </is>
      </c>
      <c r="P22" s="21" t="inlineStr">
        <is>
          <t>Engineer</t>
        </is>
      </c>
      <c r="Q22" s="21" t="n"/>
      <c r="R22" s="22" t="n">
        <v>46237</v>
      </c>
      <c r="S22" s="22" t="n"/>
      <c r="T22" s="21" t="inlineStr">
        <is>
          <t>IBG</t>
        </is>
      </c>
      <c r="U22" s="21" t="inlineStr">
        <is>
          <t>M01</t>
        </is>
      </c>
      <c r="V22" s="21" t="inlineStr">
        <is>
          <t>IBGT</t>
        </is>
      </c>
      <c r="W22" s="21" t="inlineStr">
        <is>
          <t>PC01</t>
        </is>
      </c>
      <c r="X22" s="21" t="inlineStr">
        <is>
          <t>D01</t>
        </is>
      </c>
      <c r="Y22" s="22" t="n">
        <v>46263</v>
      </c>
    </row>
    <row r="23" ht="22" customHeight="1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3" t="n"/>
      <c r="P23" s="19" t="n"/>
      <c r="Q23" s="19" t="n"/>
      <c r="R23" s="20" t="n"/>
      <c r="S23" s="20" t="n"/>
      <c r="T23" s="19" t="n"/>
      <c r="U23" s="19" t="n"/>
      <c r="V23" s="19" t="n"/>
      <c r="W23" s="19" t="n"/>
      <c r="X23" s="19" t="n"/>
      <c r="Y23" s="20" t="n"/>
    </row>
    <row r="24" ht="22" customHeight="1"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15" t="n"/>
      <c r="P24" s="21" t="n"/>
      <c r="Q24" s="21" t="n"/>
      <c r="R24" s="22" t="n"/>
      <c r="S24" s="22" t="n"/>
      <c r="T24" s="21" t="n"/>
      <c r="U24" s="21" t="n"/>
      <c r="V24" s="21" t="n"/>
      <c r="W24" s="21" t="n"/>
      <c r="X24" s="21" t="n"/>
      <c r="Y24" s="22" t="n"/>
    </row>
    <row r="25" ht="22" customHeight="1"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3" t="n"/>
      <c r="P25" s="19" t="n"/>
      <c r="Q25" s="19" t="n"/>
      <c r="R25" s="20" t="n"/>
      <c r="S25" s="20" t="n"/>
      <c r="T25" s="19" t="n"/>
      <c r="U25" s="19" t="n"/>
      <c r="V25" s="19" t="n"/>
      <c r="W25" s="19" t="n"/>
      <c r="X25" s="19" t="n"/>
      <c r="Y25" s="20" t="n"/>
    </row>
    <row r="26" ht="22" customHeight="1"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15" t="n"/>
      <c r="P26" s="21" t="n"/>
      <c r="Q26" s="21" t="n"/>
      <c r="R26" s="22" t="n"/>
      <c r="S26" s="22" t="n"/>
      <c r="T26" s="21" t="n"/>
      <c r="U26" s="21" t="n"/>
      <c r="V26" s="21" t="n"/>
      <c r="W26" s="21" t="n"/>
      <c r="X26" s="21" t="n"/>
      <c r="Y26" s="22" t="n"/>
    </row>
    <row r="27" ht="22" customHeight="1"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3" t="n"/>
      <c r="P27" s="19" t="n"/>
      <c r="Q27" s="19" t="n"/>
      <c r="R27" s="20" t="n"/>
      <c r="S27" s="20" t="n"/>
      <c r="T27" s="19" t="n"/>
      <c r="U27" s="19" t="n"/>
      <c r="V27" s="19" t="n"/>
      <c r="W27" s="19" t="n"/>
      <c r="X27" s="19" t="n"/>
      <c r="Y27" s="20" t="n"/>
    </row>
    <row r="28" ht="22" customHeight="1"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15" t="n"/>
      <c r="P28" s="21" t="n"/>
      <c r="Q28" s="21" t="n"/>
      <c r="R28" s="22" t="n"/>
      <c r="S28" s="22" t="n"/>
      <c r="T28" s="21" t="n"/>
      <c r="U28" s="21" t="n"/>
      <c r="V28" s="21" t="n"/>
      <c r="W28" s="21" t="n"/>
      <c r="X28" s="21" t="n"/>
      <c r="Y28" s="22" t="n"/>
    </row>
    <row r="29" ht="22" customHeight="1"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3" t="n"/>
      <c r="P29" s="19" t="n"/>
      <c r="Q29" s="19" t="n"/>
      <c r="R29" s="20" t="n"/>
      <c r="S29" s="20" t="n"/>
      <c r="T29" s="19" t="n"/>
      <c r="U29" s="19" t="n"/>
      <c r="V29" s="19" t="n"/>
      <c r="W29" s="19" t="n"/>
      <c r="X29" s="19" t="n"/>
      <c r="Y29" s="20" t="n"/>
    </row>
    <row r="30" ht="22" customHeight="1"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15" t="n"/>
      <c r="P30" s="21" t="n"/>
      <c r="Q30" s="21" t="n"/>
      <c r="R30" s="22" t="n"/>
      <c r="S30" s="22" t="n"/>
      <c r="T30" s="21" t="n"/>
      <c r="U30" s="21" t="n"/>
      <c r="V30" s="21" t="n"/>
      <c r="W30" s="21" t="n"/>
      <c r="X30" s="21" t="n"/>
      <c r="Y30" s="22" t="n"/>
    </row>
    <row r="31" ht="22" customHeight="1"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3" t="n"/>
      <c r="P31" s="19" t="n"/>
      <c r="Q31" s="19" t="n"/>
      <c r="R31" s="20" t="n"/>
      <c r="S31" s="20" t="n"/>
      <c r="T31" s="19" t="n"/>
      <c r="U31" s="19" t="n"/>
      <c r="V31" s="19" t="n"/>
      <c r="W31" s="19" t="n"/>
      <c r="X31" s="19" t="n"/>
      <c r="Y31" s="20" t="n"/>
    </row>
    <row r="32" ht="22" customHeight="1"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15" t="n"/>
      <c r="P32" s="21" t="n"/>
      <c r="Q32" s="21" t="n"/>
      <c r="R32" s="22" t="n"/>
      <c r="S32" s="22" t="n"/>
      <c r="T32" s="21" t="n"/>
      <c r="U32" s="21" t="n"/>
      <c r="V32" s="21" t="n"/>
      <c r="W32" s="21" t="n"/>
      <c r="X32" s="21" t="n"/>
      <c r="Y32" s="22" t="n"/>
    </row>
    <row r="33" ht="22" customHeight="1"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3" t="n"/>
      <c r="P33" s="19" t="n"/>
      <c r="Q33" s="19" t="n"/>
      <c r="R33" s="20" t="n"/>
      <c r="S33" s="20" t="n"/>
      <c r="T33" s="19" t="n"/>
      <c r="U33" s="19" t="n"/>
      <c r="V33" s="19" t="n"/>
      <c r="W33" s="19" t="n"/>
      <c r="X33" s="19" t="n"/>
      <c r="Y33" s="20" t="n"/>
    </row>
    <row r="34" ht="22" customHeight="1"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15" t="n"/>
      <c r="P34" s="21" t="n"/>
      <c r="Q34" s="21" t="n"/>
      <c r="R34" s="22" t="n"/>
      <c r="S34" s="22" t="n"/>
      <c r="T34" s="21" t="n"/>
      <c r="U34" s="21" t="n"/>
      <c r="V34" s="21" t="n"/>
      <c r="W34" s="21" t="n"/>
      <c r="X34" s="21" t="n"/>
      <c r="Y34" s="22" t="n"/>
    </row>
    <row r="35" ht="22" customHeight="1"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3" t="n"/>
      <c r="P35" s="19" t="n"/>
      <c r="Q35" s="19" t="n"/>
      <c r="R35" s="20" t="n"/>
      <c r="S35" s="20" t="n"/>
      <c r="T35" s="19" t="n"/>
      <c r="U35" s="19" t="n"/>
      <c r="V35" s="19" t="n"/>
      <c r="W35" s="19" t="n"/>
      <c r="X35" s="19" t="n"/>
      <c r="Y35" s="20" t="n"/>
    </row>
    <row r="36" ht="22" customHeight="1"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15" t="n"/>
      <c r="P36" s="21" t="n"/>
      <c r="Q36" s="21" t="n"/>
      <c r="R36" s="22" t="n"/>
      <c r="S36" s="22" t="n"/>
      <c r="T36" s="21" t="n"/>
      <c r="U36" s="21" t="n"/>
      <c r="V36" s="21" t="n"/>
      <c r="W36" s="21" t="n"/>
      <c r="X36" s="21" t="n"/>
      <c r="Y36" s="22" t="n"/>
    </row>
    <row r="37" ht="22" customHeight="1"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3" t="n"/>
      <c r="P37" s="19" t="n"/>
      <c r="Q37" s="19" t="n"/>
      <c r="R37" s="20" t="n"/>
      <c r="S37" s="20" t="n"/>
      <c r="T37" s="19" t="n"/>
      <c r="U37" s="19" t="n"/>
      <c r="V37" s="19" t="n"/>
      <c r="W37" s="19" t="n"/>
      <c r="X37" s="19" t="n"/>
      <c r="Y37" s="20" t="n"/>
    </row>
    <row r="38" ht="22" customHeight="1"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15" t="n"/>
      <c r="P38" s="21" t="n"/>
      <c r="Q38" s="21" t="n"/>
      <c r="R38" s="22" t="n"/>
      <c r="S38" s="22" t="n"/>
      <c r="T38" s="21" t="n"/>
      <c r="U38" s="21" t="n"/>
      <c r="V38" s="21" t="n"/>
      <c r="W38" s="21" t="n"/>
      <c r="X38" s="21" t="n"/>
      <c r="Y38" s="22" t="n"/>
    </row>
    <row r="39" ht="22" customHeight="1"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3" t="n"/>
      <c r="P39" s="19" t="n"/>
      <c r="Q39" s="19" t="n"/>
      <c r="R39" s="20" t="n"/>
      <c r="S39" s="20" t="n"/>
      <c r="T39" s="19" t="n"/>
      <c r="U39" s="19" t="n"/>
      <c r="V39" s="19" t="n"/>
      <c r="W39" s="19" t="n"/>
      <c r="X39" s="19" t="n"/>
      <c r="Y39" s="20" t="n"/>
    </row>
    <row r="40" ht="22" customHeight="1"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15" t="n"/>
      <c r="P40" s="21" t="n"/>
      <c r="Q40" s="21" t="n"/>
      <c r="R40" s="22" t="n"/>
      <c r="S40" s="22" t="n"/>
      <c r="T40" s="21" t="n"/>
      <c r="U40" s="21" t="n"/>
      <c r="V40" s="21" t="n"/>
      <c r="W40" s="21" t="n"/>
      <c r="X40" s="21" t="n"/>
      <c r="Y40" s="22" t="n"/>
    </row>
    <row r="41" ht="22" customHeight="1"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3" t="n"/>
      <c r="P41" s="19" t="n"/>
      <c r="Q41" s="19" t="n"/>
      <c r="R41" s="20" t="n"/>
      <c r="S41" s="20" t="n"/>
      <c r="T41" s="19" t="n"/>
      <c r="U41" s="19" t="n"/>
      <c r="V41" s="19" t="n"/>
      <c r="W41" s="19" t="n"/>
      <c r="X41" s="19" t="n"/>
      <c r="Y41" s="20" t="n"/>
    </row>
    <row r="42" ht="22" customHeight="1"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15" t="n"/>
      <c r="P42" s="21" t="n"/>
      <c r="Q42" s="21" t="n"/>
      <c r="R42" s="22" t="n"/>
      <c r="S42" s="22" t="n"/>
      <c r="T42" s="21" t="n"/>
      <c r="U42" s="21" t="n"/>
      <c r="V42" s="21" t="n"/>
      <c r="W42" s="21" t="n"/>
      <c r="X42" s="21" t="n"/>
      <c r="Y42" s="22" t="n"/>
    </row>
    <row r="43" ht="22" customHeight="1"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3" t="n"/>
      <c r="P43" s="19" t="n"/>
      <c r="Q43" s="19" t="n"/>
      <c r="R43" s="20" t="n"/>
      <c r="S43" s="20" t="n"/>
      <c r="T43" s="19" t="n"/>
      <c r="U43" s="19" t="n"/>
      <c r="V43" s="19" t="n"/>
      <c r="W43" s="19" t="n"/>
      <c r="X43" s="19" t="n"/>
      <c r="Y43" s="20" t="n"/>
    </row>
    <row r="44" ht="22" customHeight="1"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15" t="n"/>
      <c r="P44" s="21" t="n"/>
      <c r="Q44" s="21" t="n"/>
      <c r="R44" s="22" t="n"/>
      <c r="S44" s="22" t="n"/>
      <c r="T44" s="21" t="n"/>
      <c r="U44" s="21" t="n"/>
      <c r="V44" s="21" t="n"/>
      <c r="W44" s="21" t="n"/>
      <c r="X44" s="21" t="n"/>
      <c r="Y44" s="22" t="n"/>
    </row>
    <row r="45" ht="22" customHeight="1"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3" t="n"/>
      <c r="P45" s="19" t="n"/>
      <c r="Q45" s="19" t="n"/>
      <c r="R45" s="20" t="n"/>
      <c r="S45" s="20" t="n"/>
      <c r="T45" s="19" t="n"/>
      <c r="U45" s="19" t="n"/>
      <c r="V45" s="19" t="n"/>
      <c r="W45" s="19" t="n"/>
      <c r="X45" s="19" t="n"/>
      <c r="Y45" s="20" t="n"/>
    </row>
    <row r="46" ht="22" customHeight="1"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15" t="n"/>
      <c r="P46" s="21" t="n"/>
      <c r="Q46" s="21" t="n"/>
      <c r="R46" s="22" t="n"/>
      <c r="S46" s="22" t="n"/>
      <c r="T46" s="21" t="n"/>
      <c r="U46" s="21" t="n"/>
      <c r="V46" s="21" t="n"/>
      <c r="W46" s="21" t="n"/>
      <c r="X46" s="21" t="n"/>
      <c r="Y46" s="22" t="n"/>
    </row>
    <row r="47" ht="22" customHeight="1"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3" t="n"/>
      <c r="P47" s="19" t="n"/>
      <c r="Q47" s="19" t="n"/>
      <c r="R47" s="20" t="n"/>
      <c r="S47" s="20" t="n"/>
      <c r="T47" s="19" t="n"/>
      <c r="U47" s="19" t="n"/>
      <c r="V47" s="19" t="n"/>
      <c r="W47" s="19" t="n"/>
      <c r="X47" s="19" t="n"/>
      <c r="Y47" s="20" t="n"/>
    </row>
    <row r="48" ht="22" customHeight="1"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15" t="n"/>
      <c r="P48" s="21" t="n"/>
      <c r="Q48" s="21" t="n"/>
      <c r="R48" s="22" t="n"/>
      <c r="S48" s="22" t="n"/>
      <c r="T48" s="21" t="n"/>
      <c r="U48" s="21" t="n"/>
      <c r="V48" s="21" t="n"/>
      <c r="W48" s="21" t="n"/>
      <c r="X48" s="21" t="n"/>
      <c r="Y48" s="22" t="n"/>
    </row>
    <row r="49" ht="22" customHeight="1"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3" t="n"/>
      <c r="P49" s="19" t="n"/>
      <c r="Q49" s="19" t="n"/>
      <c r="R49" s="20" t="n"/>
      <c r="S49" s="20" t="n"/>
      <c r="T49" s="19" t="n"/>
      <c r="U49" s="19" t="n"/>
      <c r="V49" s="19" t="n"/>
      <c r="W49" s="19" t="n"/>
      <c r="X49" s="19" t="n"/>
      <c r="Y49" s="20" t="n"/>
    </row>
    <row r="50" ht="22" customHeight="1"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15" t="n"/>
      <c r="P50" s="21" t="n"/>
      <c r="Q50" s="21" t="n"/>
      <c r="R50" s="22" t="n"/>
      <c r="S50" s="22" t="n"/>
      <c r="T50" s="21" t="n"/>
      <c r="U50" s="21" t="n"/>
      <c r="V50" s="21" t="n"/>
      <c r="W50" s="21" t="n"/>
      <c r="X50" s="21" t="n"/>
      <c r="Y50" s="22" t="n"/>
    </row>
    <row r="51" ht="22" customHeight="1"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3" t="n"/>
      <c r="P51" s="19" t="n"/>
      <c r="Q51" s="19" t="n"/>
      <c r="R51" s="20" t="n"/>
      <c r="S51" s="20" t="n"/>
      <c r="T51" s="19" t="n"/>
      <c r="U51" s="19" t="n"/>
      <c r="V51" s="19" t="n"/>
      <c r="W51" s="19" t="n"/>
      <c r="X51" s="19" t="n"/>
      <c r="Y51" s="20" t="n"/>
    </row>
    <row r="52" ht="22" customHeight="1"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15" t="n"/>
      <c r="P52" s="21" t="n"/>
      <c r="Q52" s="21" t="n"/>
      <c r="R52" s="22" t="n"/>
      <c r="S52" s="22" t="n"/>
      <c r="T52" s="21" t="n"/>
      <c r="U52" s="21" t="n"/>
      <c r="V52" s="21" t="n"/>
      <c r="W52" s="21" t="n"/>
      <c r="X52" s="21" t="n"/>
      <c r="Y52" s="22" t="n"/>
    </row>
    <row r="53" ht="22" customHeight="1"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3" t="n"/>
      <c r="P53" s="19" t="n"/>
      <c r="Q53" s="19" t="n"/>
      <c r="R53" s="20" t="n"/>
      <c r="S53" s="20" t="n"/>
      <c r="T53" s="19" t="n"/>
      <c r="U53" s="19" t="n"/>
      <c r="V53" s="19" t="n"/>
      <c r="W53" s="19" t="n"/>
      <c r="X53" s="19" t="n"/>
      <c r="Y53" s="20" t="n"/>
    </row>
    <row r="54" ht="22" customHeight="1"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15" t="n"/>
      <c r="P54" s="21" t="n"/>
      <c r="Q54" s="21" t="n"/>
      <c r="R54" s="22" t="n"/>
      <c r="S54" s="22" t="n"/>
      <c r="T54" s="21" t="n"/>
      <c r="U54" s="21" t="n"/>
      <c r="V54" s="21" t="n"/>
      <c r="W54" s="21" t="n"/>
      <c r="X54" s="21" t="n"/>
      <c r="Y54" s="22" t="n"/>
    </row>
    <row r="55" ht="22" customHeight="1"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3" t="n"/>
      <c r="P55" s="19" t="n"/>
      <c r="Q55" s="19" t="n"/>
      <c r="R55" s="20" t="n"/>
      <c r="S55" s="20" t="n"/>
      <c r="T55" s="19" t="n"/>
      <c r="U55" s="19" t="n"/>
      <c r="V55" s="19" t="n"/>
      <c r="W55" s="19" t="n"/>
      <c r="X55" s="19" t="n"/>
      <c r="Y55" s="20" t="n"/>
    </row>
    <row r="56" ht="22" customHeight="1"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15" t="n"/>
      <c r="P56" s="21" t="n"/>
      <c r="Q56" s="21" t="n"/>
      <c r="R56" s="22" t="n"/>
      <c r="S56" s="22" t="n"/>
      <c r="T56" s="21" t="n"/>
      <c r="U56" s="21" t="n"/>
      <c r="V56" s="21" t="n"/>
      <c r="W56" s="21" t="n"/>
      <c r="X56" s="21" t="n"/>
      <c r="Y56" s="22" t="n"/>
    </row>
    <row r="57" ht="22" customHeight="1"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3" t="n"/>
      <c r="P57" s="19" t="n"/>
      <c r="Q57" s="19" t="n"/>
      <c r="R57" s="20" t="n"/>
      <c r="S57" s="20" t="n"/>
      <c r="T57" s="19" t="n"/>
      <c r="U57" s="19" t="n"/>
      <c r="V57" s="19" t="n"/>
      <c r="W57" s="19" t="n"/>
      <c r="X57" s="19" t="n"/>
      <c r="Y57" s="20" t="n"/>
    </row>
    <row r="58" ht="22" customHeight="1"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15" t="n"/>
      <c r="P58" s="21" t="n"/>
      <c r="Q58" s="21" t="n"/>
      <c r="R58" s="22" t="n"/>
      <c r="S58" s="22" t="n"/>
      <c r="T58" s="21" t="n"/>
      <c r="U58" s="21" t="n"/>
      <c r="V58" s="21" t="n"/>
      <c r="W58" s="21" t="n"/>
      <c r="X58" s="21" t="n"/>
      <c r="Y58" s="22" t="n"/>
    </row>
    <row r="59" ht="22" customHeight="1"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3" t="n"/>
      <c r="P59" s="19" t="n"/>
      <c r="Q59" s="19" t="n"/>
      <c r="R59" s="20" t="n"/>
      <c r="S59" s="20" t="n"/>
      <c r="T59" s="19" t="n"/>
      <c r="U59" s="19" t="n"/>
      <c r="V59" s="19" t="n"/>
      <c r="W59" s="19" t="n"/>
      <c r="X59" s="19" t="n"/>
      <c r="Y59" s="20" t="n"/>
    </row>
    <row r="60" ht="22" customHeight="1"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15" t="n"/>
      <c r="P60" s="21" t="n"/>
      <c r="Q60" s="21" t="n"/>
      <c r="R60" s="22" t="n"/>
      <c r="S60" s="22" t="n"/>
      <c r="T60" s="21" t="n"/>
      <c r="U60" s="21" t="n"/>
      <c r="V60" s="21" t="n"/>
      <c r="W60" s="21" t="n"/>
      <c r="X60" s="21" t="n"/>
      <c r="Y60" s="22" t="n"/>
    </row>
    <row r="61" ht="22" customHeight="1"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3" t="n"/>
      <c r="P61" s="19" t="n"/>
      <c r="Q61" s="19" t="n"/>
      <c r="R61" s="20" t="n"/>
      <c r="S61" s="20" t="n"/>
      <c r="T61" s="19" t="n"/>
      <c r="U61" s="19" t="n"/>
      <c r="V61" s="19" t="n"/>
      <c r="W61" s="19" t="n"/>
      <c r="X61" s="19" t="n"/>
      <c r="Y61" s="20" t="n"/>
    </row>
    <row r="62" ht="22" customHeight="1"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15" t="n"/>
      <c r="P62" s="21" t="n"/>
      <c r="Q62" s="21" t="n"/>
      <c r="R62" s="22" t="n"/>
      <c r="S62" s="22" t="n"/>
      <c r="T62" s="21" t="n"/>
      <c r="U62" s="21" t="n"/>
      <c r="V62" s="21" t="n"/>
      <c r="W62" s="21" t="n"/>
      <c r="X62" s="21" t="n"/>
      <c r="Y62" s="22" t="n"/>
    </row>
    <row r="63" ht="22" customHeight="1"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3" t="n"/>
      <c r="P63" s="19" t="n"/>
      <c r="Q63" s="19" t="n"/>
      <c r="R63" s="20" t="n"/>
      <c r="S63" s="20" t="n"/>
      <c r="T63" s="19" t="n"/>
      <c r="U63" s="19" t="n"/>
      <c r="V63" s="19" t="n"/>
      <c r="W63" s="19" t="n"/>
      <c r="X63" s="19" t="n"/>
      <c r="Y63" s="20" t="n"/>
    </row>
    <row r="64" ht="22" customHeight="1"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15" t="n"/>
      <c r="P64" s="21" t="n"/>
      <c r="Q64" s="21" t="n"/>
      <c r="R64" s="22" t="n"/>
      <c r="S64" s="22" t="n"/>
      <c r="T64" s="21" t="n"/>
      <c r="U64" s="21" t="n"/>
      <c r="V64" s="21" t="n"/>
      <c r="W64" s="21" t="n"/>
      <c r="X64" s="21" t="n"/>
      <c r="Y64" s="22" t="n"/>
    </row>
    <row r="65" ht="22" customHeight="1"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3" t="n"/>
      <c r="P65" s="19" t="n"/>
      <c r="Q65" s="19" t="n"/>
      <c r="R65" s="20" t="n"/>
      <c r="S65" s="20" t="n"/>
      <c r="T65" s="19" t="n"/>
      <c r="U65" s="19" t="n"/>
      <c r="V65" s="19" t="n"/>
      <c r="W65" s="19" t="n"/>
      <c r="X65" s="19" t="n"/>
      <c r="Y65" s="20" t="n"/>
    </row>
    <row r="66" ht="22" customHeight="1"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15" t="n"/>
      <c r="P66" s="21" t="n"/>
      <c r="Q66" s="21" t="n"/>
      <c r="R66" s="22" t="n"/>
      <c r="S66" s="22" t="n"/>
      <c r="T66" s="21" t="n"/>
      <c r="U66" s="21" t="n"/>
      <c r="V66" s="21" t="n"/>
      <c r="W66" s="21" t="n"/>
      <c r="X66" s="21" t="n"/>
      <c r="Y66" s="22" t="n"/>
    </row>
    <row r="67" ht="22" customHeight="1"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3" t="n"/>
      <c r="P67" s="19" t="n"/>
      <c r="Q67" s="19" t="n"/>
      <c r="R67" s="20" t="n"/>
      <c r="S67" s="20" t="n"/>
      <c r="T67" s="19" t="n"/>
      <c r="U67" s="19" t="n"/>
      <c r="V67" s="19" t="n"/>
      <c r="W67" s="19" t="n"/>
      <c r="X67" s="19" t="n"/>
      <c r="Y67" s="20" t="n"/>
    </row>
    <row r="68" ht="22" customHeight="1"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15" t="n"/>
      <c r="P68" s="21" t="n"/>
      <c r="Q68" s="21" t="n"/>
      <c r="R68" s="22" t="n"/>
      <c r="S68" s="22" t="n"/>
      <c r="T68" s="21" t="n"/>
      <c r="U68" s="21" t="n"/>
      <c r="V68" s="21" t="n"/>
      <c r="W68" s="21" t="n"/>
      <c r="X68" s="21" t="n"/>
      <c r="Y68" s="22" t="n"/>
    </row>
    <row r="69" ht="22" customHeight="1"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3" t="n"/>
      <c r="P69" s="19" t="n"/>
      <c r="Q69" s="19" t="n"/>
      <c r="R69" s="20" t="n"/>
      <c r="S69" s="20" t="n"/>
      <c r="T69" s="19" t="n"/>
      <c r="U69" s="19" t="n"/>
      <c r="V69" s="19" t="n"/>
      <c r="W69" s="19" t="n"/>
      <c r="X69" s="19" t="n"/>
      <c r="Y69" s="20" t="n"/>
    </row>
    <row r="70" ht="22" customHeight="1"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15" t="n"/>
      <c r="P70" s="21" t="n"/>
      <c r="Q70" s="21" t="n"/>
      <c r="R70" s="22" t="n"/>
      <c r="S70" s="22" t="n"/>
      <c r="T70" s="21" t="n"/>
      <c r="U70" s="21" t="n"/>
      <c r="V70" s="21" t="n"/>
      <c r="W70" s="21" t="n"/>
      <c r="X70" s="21" t="n"/>
      <c r="Y70" s="22" t="n"/>
    </row>
    <row r="71" ht="22" customHeight="1"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3" t="n"/>
      <c r="P71" s="19" t="n"/>
      <c r="Q71" s="19" t="n"/>
      <c r="R71" s="20" t="n"/>
      <c r="S71" s="20" t="n"/>
      <c r="T71" s="19" t="n"/>
      <c r="U71" s="19" t="n"/>
      <c r="V71" s="19" t="n"/>
      <c r="W71" s="19" t="n"/>
      <c r="X71" s="19" t="n"/>
      <c r="Y71" s="20" t="n"/>
    </row>
    <row r="72" ht="22" customHeight="1"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15" t="n"/>
      <c r="P72" s="21" t="n"/>
      <c r="Q72" s="21" t="n"/>
      <c r="R72" s="22" t="n"/>
      <c r="S72" s="22" t="n"/>
      <c r="T72" s="21" t="n"/>
      <c r="U72" s="21" t="n"/>
      <c r="V72" s="21" t="n"/>
      <c r="W72" s="21" t="n"/>
      <c r="X72" s="21" t="n"/>
      <c r="Y72" s="22" t="n"/>
    </row>
    <row r="73" ht="22" customHeight="1"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3" t="n"/>
      <c r="P73" s="19" t="n"/>
      <c r="Q73" s="19" t="n"/>
      <c r="R73" s="20" t="n"/>
      <c r="S73" s="20" t="n"/>
      <c r="T73" s="19" t="n"/>
      <c r="U73" s="19" t="n"/>
      <c r="V73" s="19" t="n"/>
      <c r="W73" s="19" t="n"/>
      <c r="X73" s="19" t="n"/>
      <c r="Y73" s="20" t="n"/>
    </row>
    <row r="74" ht="22" customHeight="1"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15" t="n"/>
      <c r="P74" s="21" t="n"/>
      <c r="Q74" s="21" t="n"/>
      <c r="R74" s="22" t="n"/>
      <c r="S74" s="22" t="n"/>
      <c r="T74" s="21" t="n"/>
      <c r="U74" s="21" t="n"/>
      <c r="V74" s="21" t="n"/>
      <c r="W74" s="21" t="n"/>
      <c r="X74" s="21" t="n"/>
      <c r="Y74" s="22" t="n"/>
    </row>
    <row r="75" ht="22" customHeight="1"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3" t="n"/>
      <c r="P75" s="19" t="n"/>
      <c r="Q75" s="19" t="n"/>
      <c r="R75" s="20" t="n"/>
      <c r="S75" s="20" t="n"/>
      <c r="T75" s="19" t="n"/>
      <c r="U75" s="19" t="n"/>
      <c r="V75" s="19" t="n"/>
      <c r="W75" s="19" t="n"/>
      <c r="X75" s="19" t="n"/>
      <c r="Y75" s="20" t="n"/>
    </row>
    <row r="76" ht="22" customHeight="1"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15" t="n"/>
      <c r="P76" s="21" t="n"/>
      <c r="Q76" s="21" t="n"/>
      <c r="R76" s="22" t="n"/>
      <c r="S76" s="22" t="n"/>
      <c r="T76" s="21" t="n"/>
      <c r="U76" s="21" t="n"/>
      <c r="V76" s="21" t="n"/>
      <c r="W76" s="21" t="n"/>
      <c r="X76" s="21" t="n"/>
      <c r="Y76" s="22" t="n"/>
    </row>
    <row r="77" ht="22" customHeight="1"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3" t="n"/>
      <c r="P77" s="19" t="n"/>
      <c r="Q77" s="19" t="n"/>
      <c r="R77" s="20" t="n"/>
      <c r="S77" s="20" t="n"/>
      <c r="T77" s="19" t="n"/>
      <c r="U77" s="19" t="n"/>
      <c r="V77" s="19" t="n"/>
      <c r="W77" s="19" t="n"/>
      <c r="X77" s="19" t="n"/>
      <c r="Y77" s="20" t="n"/>
    </row>
    <row r="78" ht="22" customHeight="1"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15" t="n"/>
      <c r="P78" s="21" t="n"/>
      <c r="Q78" s="21" t="n"/>
      <c r="R78" s="22" t="n"/>
      <c r="S78" s="22" t="n"/>
      <c r="T78" s="21" t="n"/>
      <c r="U78" s="21" t="n"/>
      <c r="V78" s="21" t="n"/>
      <c r="W78" s="21" t="n"/>
      <c r="X78" s="21" t="n"/>
      <c r="Y78" s="22" t="n"/>
    </row>
    <row r="79" ht="22" customHeight="1"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3" t="n"/>
      <c r="P79" s="19" t="n"/>
      <c r="Q79" s="19" t="n"/>
      <c r="R79" s="20" t="n"/>
      <c r="S79" s="20" t="n"/>
      <c r="T79" s="19" t="n"/>
      <c r="U79" s="19" t="n"/>
      <c r="V79" s="19" t="n"/>
      <c r="W79" s="19" t="n"/>
      <c r="X79" s="19" t="n"/>
      <c r="Y79" s="20" t="n"/>
    </row>
    <row r="80" ht="22" customHeight="1"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15" t="n"/>
      <c r="P80" s="21" t="n"/>
      <c r="Q80" s="21" t="n"/>
      <c r="R80" s="22" t="n"/>
      <c r="S80" s="22" t="n"/>
      <c r="T80" s="21" t="n"/>
      <c r="U80" s="21" t="n"/>
      <c r="V80" s="21" t="n"/>
      <c r="W80" s="21" t="n"/>
      <c r="X80" s="21" t="n"/>
      <c r="Y80" s="22" t="n"/>
    </row>
    <row r="81" ht="22" customHeight="1"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3" t="n"/>
      <c r="P81" s="19" t="n"/>
      <c r="Q81" s="19" t="n"/>
      <c r="R81" s="20" t="n"/>
      <c r="S81" s="20" t="n"/>
      <c r="T81" s="19" t="n"/>
      <c r="U81" s="19" t="n"/>
      <c r="V81" s="19" t="n"/>
      <c r="W81" s="19" t="n"/>
      <c r="X81" s="19" t="n"/>
      <c r="Y81" s="20" t="n"/>
    </row>
    <row r="82" ht="22" customHeight="1"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15" t="n"/>
      <c r="P82" s="21" t="n"/>
      <c r="Q82" s="21" t="n"/>
      <c r="R82" s="22" t="n"/>
      <c r="S82" s="22" t="n"/>
      <c r="T82" s="21" t="n"/>
      <c r="U82" s="21" t="n"/>
      <c r="V82" s="21" t="n"/>
      <c r="W82" s="21" t="n"/>
      <c r="X82" s="21" t="n"/>
      <c r="Y82" s="22" t="n"/>
    </row>
    <row r="83" ht="22" customHeight="1"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3" t="n"/>
      <c r="P83" s="19" t="n"/>
      <c r="Q83" s="19" t="n"/>
      <c r="R83" s="20" t="n"/>
      <c r="S83" s="20" t="n"/>
      <c r="T83" s="19" t="n"/>
      <c r="U83" s="19" t="n"/>
      <c r="V83" s="19" t="n"/>
      <c r="W83" s="19" t="n"/>
      <c r="X83" s="19" t="n"/>
      <c r="Y83" s="20" t="n"/>
    </row>
    <row r="84" ht="22" customHeight="1"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15" t="n"/>
      <c r="P84" s="21" t="n"/>
      <c r="Q84" s="21" t="n"/>
      <c r="R84" s="22" t="n"/>
      <c r="S84" s="22" t="n"/>
      <c r="T84" s="21" t="n"/>
      <c r="U84" s="21" t="n"/>
      <c r="V84" s="21" t="n"/>
      <c r="W84" s="21" t="n"/>
      <c r="X84" s="21" t="n"/>
      <c r="Y84" s="22" t="n"/>
    </row>
    <row r="85" ht="22" customHeight="1"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3" t="n"/>
      <c r="P85" s="19" t="n"/>
      <c r="Q85" s="19" t="n"/>
      <c r="R85" s="20" t="n"/>
      <c r="S85" s="20" t="n"/>
      <c r="T85" s="19" t="n"/>
      <c r="U85" s="19" t="n"/>
      <c r="V85" s="19" t="n"/>
      <c r="W85" s="19" t="n"/>
      <c r="X85" s="19" t="n"/>
      <c r="Y85" s="20" t="n"/>
    </row>
    <row r="86" ht="22" customHeight="1"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15" t="n"/>
      <c r="P86" s="21" t="n"/>
      <c r="Q86" s="21" t="n"/>
      <c r="R86" s="22" t="n"/>
      <c r="S86" s="22" t="n"/>
      <c r="T86" s="21" t="n"/>
      <c r="U86" s="21" t="n"/>
      <c r="V86" s="21" t="n"/>
      <c r="W86" s="21" t="n"/>
      <c r="X86" s="21" t="n"/>
      <c r="Y86" s="22" t="n"/>
    </row>
    <row r="87" ht="22" customHeight="1"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3" t="n"/>
      <c r="P87" s="19" t="n"/>
      <c r="Q87" s="19" t="n"/>
      <c r="R87" s="20" t="n"/>
      <c r="S87" s="20" t="n"/>
      <c r="T87" s="19" t="n"/>
      <c r="U87" s="19" t="n"/>
      <c r="V87" s="19" t="n"/>
      <c r="W87" s="19" t="n"/>
      <c r="X87" s="19" t="n"/>
      <c r="Y87" s="20" t="n"/>
    </row>
    <row r="88" ht="22" customHeight="1"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15" t="n"/>
      <c r="P88" s="21" t="n"/>
      <c r="Q88" s="21" t="n"/>
      <c r="R88" s="22" t="n"/>
      <c r="S88" s="22" t="n"/>
      <c r="T88" s="21" t="n"/>
      <c r="U88" s="21" t="n"/>
      <c r="V88" s="21" t="n"/>
      <c r="W88" s="21" t="n"/>
      <c r="X88" s="21" t="n"/>
      <c r="Y88" s="22" t="n"/>
    </row>
    <row r="89" ht="22" customHeight="1"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3" t="n"/>
      <c r="P89" s="19" t="n"/>
      <c r="Q89" s="19" t="n"/>
      <c r="R89" s="20" t="n"/>
      <c r="S89" s="20" t="n"/>
      <c r="T89" s="19" t="n"/>
      <c r="U89" s="19" t="n"/>
      <c r="V89" s="19" t="n"/>
      <c r="W89" s="19" t="n"/>
      <c r="X89" s="19" t="n"/>
      <c r="Y89" s="20" t="n"/>
    </row>
    <row r="90" ht="22" customHeight="1"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15" t="n"/>
      <c r="P90" s="21" t="n"/>
      <c r="Q90" s="21" t="n"/>
      <c r="R90" s="22" t="n"/>
      <c r="S90" s="22" t="n"/>
      <c r="T90" s="21" t="n"/>
      <c r="U90" s="21" t="n"/>
      <c r="V90" s="21" t="n"/>
      <c r="W90" s="21" t="n"/>
      <c r="X90" s="21" t="n"/>
      <c r="Y90" s="22" t="n"/>
    </row>
    <row r="91" ht="22" customHeight="1"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3" t="n"/>
      <c r="P91" s="19" t="n"/>
      <c r="Q91" s="19" t="n"/>
      <c r="R91" s="20" t="n"/>
      <c r="S91" s="20" t="n"/>
      <c r="T91" s="19" t="n"/>
      <c r="U91" s="19" t="n"/>
      <c r="V91" s="19" t="n"/>
      <c r="W91" s="19" t="n"/>
      <c r="X91" s="19" t="n"/>
      <c r="Y91" s="20" t="n"/>
    </row>
    <row r="92" ht="22" customHeight="1"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15" t="n"/>
      <c r="P92" s="21" t="n"/>
      <c r="Q92" s="21" t="n"/>
      <c r="R92" s="22" t="n"/>
      <c r="S92" s="22" t="n"/>
      <c r="T92" s="21" t="n"/>
      <c r="U92" s="21" t="n"/>
      <c r="V92" s="21" t="n"/>
      <c r="W92" s="21" t="n"/>
      <c r="X92" s="21" t="n"/>
      <c r="Y92" s="22" t="n"/>
    </row>
    <row r="93" ht="22" customHeight="1"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3" t="n"/>
      <c r="P93" s="19" t="n"/>
      <c r="Q93" s="19" t="n"/>
      <c r="R93" s="20" t="n"/>
      <c r="S93" s="20" t="n"/>
      <c r="T93" s="19" t="n"/>
      <c r="U93" s="19" t="n"/>
      <c r="V93" s="19" t="n"/>
      <c r="W93" s="19" t="n"/>
      <c r="X93" s="19" t="n"/>
      <c r="Y93" s="20" t="n"/>
    </row>
    <row r="94" ht="22" customHeight="1"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15" t="n"/>
      <c r="P94" s="21" t="n"/>
      <c r="Q94" s="21" t="n"/>
      <c r="R94" s="22" t="n"/>
      <c r="S94" s="22" t="n"/>
      <c r="T94" s="21" t="n"/>
      <c r="U94" s="21" t="n"/>
      <c r="V94" s="21" t="n"/>
      <c r="W94" s="21" t="n"/>
      <c r="X94" s="21" t="n"/>
      <c r="Y94" s="22" t="n"/>
    </row>
    <row r="95" ht="22" customHeight="1"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3" t="n"/>
      <c r="P95" s="19" t="n"/>
      <c r="Q95" s="19" t="n"/>
      <c r="R95" s="20" t="n"/>
      <c r="S95" s="20" t="n"/>
      <c r="T95" s="19" t="n"/>
      <c r="U95" s="19" t="n"/>
      <c r="V95" s="19" t="n"/>
      <c r="W95" s="19" t="n"/>
      <c r="X95" s="19" t="n"/>
      <c r="Y95" s="20" t="n"/>
    </row>
    <row r="96" ht="22" customHeight="1"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15" t="n"/>
      <c r="P96" s="21" t="n"/>
      <c r="Q96" s="21" t="n"/>
      <c r="R96" s="22" t="n"/>
      <c r="S96" s="22" t="n"/>
      <c r="T96" s="21" t="n"/>
      <c r="U96" s="21" t="n"/>
      <c r="V96" s="21" t="n"/>
      <c r="W96" s="21" t="n"/>
      <c r="X96" s="21" t="n"/>
      <c r="Y96" s="22" t="n"/>
    </row>
    <row r="97" ht="22" customHeight="1"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3" t="n"/>
      <c r="P97" s="19" t="n"/>
      <c r="Q97" s="19" t="n"/>
      <c r="R97" s="20" t="n"/>
      <c r="S97" s="20" t="n"/>
      <c r="T97" s="19" t="n"/>
      <c r="U97" s="19" t="n"/>
      <c r="V97" s="19" t="n"/>
      <c r="W97" s="19" t="n"/>
      <c r="X97" s="19" t="n"/>
      <c r="Y97" s="20" t="n"/>
    </row>
    <row r="98" ht="22" customHeight="1"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15" t="n"/>
      <c r="P98" s="21" t="n"/>
      <c r="Q98" s="21" t="n"/>
      <c r="R98" s="22" t="n"/>
      <c r="S98" s="22" t="n"/>
      <c r="T98" s="21" t="n"/>
      <c r="U98" s="21" t="n"/>
      <c r="V98" s="21" t="n"/>
      <c r="W98" s="21" t="n"/>
      <c r="X98" s="21" t="n"/>
      <c r="Y98" s="22" t="n"/>
    </row>
    <row r="99" ht="22" customHeight="1"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3" t="n"/>
      <c r="P99" s="19" t="n"/>
      <c r="Q99" s="19" t="n"/>
      <c r="R99" s="20" t="n"/>
      <c r="S99" s="20" t="n"/>
      <c r="T99" s="19" t="n"/>
      <c r="U99" s="19" t="n"/>
      <c r="V99" s="19" t="n"/>
      <c r="W99" s="19" t="n"/>
      <c r="X99" s="19" t="n"/>
      <c r="Y99" s="20" t="n"/>
    </row>
    <row r="100" ht="22" customHeight="1"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15" t="n"/>
      <c r="P100" s="21" t="n"/>
      <c r="Q100" s="21" t="n"/>
      <c r="R100" s="22" t="n"/>
      <c r="S100" s="22" t="n"/>
      <c r="T100" s="21" t="n"/>
      <c r="U100" s="21" t="n"/>
      <c r="V100" s="21" t="n"/>
      <c r="W100" s="21" t="n"/>
      <c r="X100" s="21" t="n"/>
      <c r="Y100" s="22" t="n"/>
    </row>
    <row r="101" ht="22" customHeight="1"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3" t="n"/>
      <c r="P101" s="19" t="n"/>
      <c r="Q101" s="19" t="n"/>
      <c r="R101" s="20" t="n"/>
      <c r="S101" s="20" t="n"/>
      <c r="T101" s="19" t="n"/>
      <c r="U101" s="19" t="n"/>
      <c r="V101" s="19" t="n"/>
      <c r="W101" s="19" t="n"/>
      <c r="X101" s="19" t="n"/>
      <c r="Y101" s="20" t="n"/>
    </row>
    <row r="102" ht="22" customHeight="1"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15" t="n"/>
      <c r="P102" s="21" t="n"/>
      <c r="Q102" s="21" t="n"/>
      <c r="R102" s="22" t="n"/>
      <c r="S102" s="22" t="n"/>
      <c r="T102" s="21" t="n"/>
      <c r="U102" s="21" t="n"/>
      <c r="V102" s="21" t="n"/>
      <c r="W102" s="21" t="n"/>
      <c r="X102" s="21" t="n"/>
      <c r="Y102" s="22" t="n"/>
    </row>
    <row r="103" ht="22" customHeight="1"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3" t="n"/>
      <c r="P103" s="19" t="n"/>
      <c r="Q103" s="19" t="n"/>
      <c r="R103" s="20" t="n"/>
      <c r="S103" s="20" t="n"/>
      <c r="T103" s="19" t="n"/>
      <c r="U103" s="19" t="n"/>
      <c r="V103" s="19" t="n"/>
      <c r="W103" s="19" t="n"/>
      <c r="X103" s="19" t="n"/>
      <c r="Y103" s="20" t="n"/>
    </row>
    <row r="104" ht="22" customHeight="1"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15" t="n"/>
      <c r="P104" s="21" t="n"/>
      <c r="Q104" s="21" t="n"/>
      <c r="R104" s="22" t="n"/>
      <c r="S104" s="22" t="n"/>
      <c r="T104" s="21" t="n"/>
      <c r="U104" s="21" t="n"/>
      <c r="V104" s="21" t="n"/>
      <c r="W104" s="21" t="n"/>
      <c r="X104" s="21" t="n"/>
      <c r="Y104" s="22" t="n"/>
    </row>
    <row r="105" ht="22" customHeight="1"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3" t="n"/>
      <c r="P105" s="19" t="n"/>
      <c r="Q105" s="19" t="n"/>
      <c r="R105" s="20" t="n"/>
      <c r="S105" s="20" t="n"/>
      <c r="T105" s="19" t="n"/>
      <c r="U105" s="19" t="n"/>
      <c r="V105" s="19" t="n"/>
      <c r="W105" s="19" t="n"/>
      <c r="X105" s="19" t="n"/>
      <c r="Y105" s="20" t="n"/>
    </row>
    <row r="106" ht="22" customHeight="1"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15" t="n"/>
      <c r="P106" s="21" t="n"/>
      <c r="Q106" s="21" t="n"/>
      <c r="R106" s="22" t="n"/>
      <c r="S106" s="22" t="n"/>
      <c r="T106" s="21" t="n"/>
      <c r="U106" s="21" t="n"/>
      <c r="V106" s="21" t="n"/>
      <c r="W106" s="21" t="n"/>
      <c r="X106" s="21" t="n"/>
      <c r="Y106" s="22" t="n"/>
    </row>
    <row r="107" ht="22" customHeight="1"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3" t="n"/>
      <c r="P107" s="19" t="n"/>
      <c r="Q107" s="19" t="n"/>
      <c r="R107" s="20" t="n"/>
      <c r="S107" s="20" t="n"/>
      <c r="T107" s="19" t="n"/>
      <c r="U107" s="19" t="n"/>
      <c r="V107" s="19" t="n"/>
      <c r="W107" s="19" t="n"/>
      <c r="X107" s="19" t="n"/>
      <c r="Y107" s="20" t="n"/>
    </row>
    <row r="108" ht="22" customHeight="1"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15" t="n"/>
      <c r="P108" s="21" t="n"/>
      <c r="Q108" s="21" t="n"/>
      <c r="R108" s="22" t="n"/>
      <c r="S108" s="22" t="n"/>
      <c r="T108" s="21" t="n"/>
      <c r="U108" s="21" t="n"/>
      <c r="V108" s="21" t="n"/>
      <c r="W108" s="21" t="n"/>
      <c r="X108" s="21" t="n"/>
      <c r="Y108" s="22" t="n"/>
    </row>
    <row r="109" ht="22" customHeight="1"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3" t="n"/>
      <c r="P109" s="19" t="n"/>
      <c r="Q109" s="19" t="n"/>
      <c r="R109" s="20" t="n"/>
      <c r="S109" s="20" t="n"/>
      <c r="T109" s="19" t="n"/>
      <c r="U109" s="19" t="n"/>
      <c r="V109" s="19" t="n"/>
      <c r="W109" s="19" t="n"/>
      <c r="X109" s="19" t="n"/>
      <c r="Y109" s="20" t="n"/>
    </row>
    <row r="110" ht="22" customHeight="1"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15" t="n"/>
      <c r="P110" s="21" t="n"/>
      <c r="Q110" s="21" t="n"/>
      <c r="R110" s="22" t="n"/>
      <c r="S110" s="22" t="n"/>
      <c r="T110" s="21" t="n"/>
      <c r="U110" s="21" t="n"/>
      <c r="V110" s="21" t="n"/>
      <c r="W110" s="21" t="n"/>
      <c r="X110" s="21" t="n"/>
      <c r="Y110" s="22" t="n"/>
    </row>
    <row r="111" ht="22" customHeight="1"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3" t="n"/>
      <c r="P111" s="19" t="n"/>
      <c r="Q111" s="19" t="n"/>
      <c r="R111" s="20" t="n"/>
      <c r="S111" s="20" t="n"/>
      <c r="T111" s="19" t="n"/>
      <c r="U111" s="19" t="n"/>
      <c r="V111" s="19" t="n"/>
      <c r="W111" s="19" t="n"/>
      <c r="X111" s="19" t="n"/>
      <c r="Y111" s="20" t="n"/>
    </row>
    <row r="112" ht="22" customHeight="1"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15" t="n"/>
      <c r="P112" s="21" t="n"/>
      <c r="Q112" s="21" t="n"/>
      <c r="R112" s="22" t="n"/>
      <c r="S112" s="22" t="n"/>
      <c r="T112" s="21" t="n"/>
      <c r="U112" s="21" t="n"/>
      <c r="V112" s="21" t="n"/>
      <c r="W112" s="21" t="n"/>
      <c r="X112" s="21" t="n"/>
      <c r="Y112" s="22" t="n"/>
    </row>
    <row r="113" ht="22" customHeight="1"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3" t="n"/>
      <c r="P113" s="19" t="n"/>
      <c r="Q113" s="19" t="n"/>
      <c r="R113" s="20" t="n"/>
      <c r="S113" s="20" t="n"/>
      <c r="T113" s="19" t="n"/>
      <c r="U113" s="19" t="n"/>
      <c r="V113" s="19" t="n"/>
      <c r="W113" s="19" t="n"/>
      <c r="X113" s="19" t="n"/>
      <c r="Y113" s="20" t="n"/>
    </row>
    <row r="114" ht="22" customHeight="1"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15" t="n"/>
      <c r="P114" s="21" t="n"/>
      <c r="Q114" s="21" t="n"/>
      <c r="R114" s="22" t="n"/>
      <c r="S114" s="22" t="n"/>
      <c r="T114" s="21" t="n"/>
      <c r="U114" s="21" t="n"/>
      <c r="V114" s="21" t="n"/>
      <c r="W114" s="21" t="n"/>
      <c r="X114" s="21" t="n"/>
      <c r="Y114" s="22" t="n"/>
    </row>
    <row r="115" ht="22" customHeight="1"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3" t="n"/>
      <c r="P115" s="19" t="n"/>
      <c r="Q115" s="19" t="n"/>
      <c r="R115" s="20" t="n"/>
      <c r="S115" s="20" t="n"/>
      <c r="T115" s="19" t="n"/>
      <c r="U115" s="19" t="n"/>
      <c r="V115" s="19" t="n"/>
      <c r="W115" s="19" t="n"/>
      <c r="X115" s="19" t="n"/>
      <c r="Y115" s="20" t="n"/>
    </row>
    <row r="116" ht="22" customHeight="1"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15" t="n"/>
      <c r="P116" s="21" t="n"/>
      <c r="Q116" s="21" t="n"/>
      <c r="R116" s="22" t="n"/>
      <c r="S116" s="22" t="n"/>
      <c r="T116" s="21" t="n"/>
      <c r="U116" s="21" t="n"/>
      <c r="V116" s="21" t="n"/>
      <c r="W116" s="21" t="n"/>
      <c r="X116" s="21" t="n"/>
      <c r="Y116" s="22" t="n"/>
    </row>
    <row r="117" ht="22" customHeight="1"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3" t="n"/>
      <c r="P117" s="19" t="n"/>
      <c r="Q117" s="19" t="n"/>
      <c r="R117" s="20" t="n"/>
      <c r="S117" s="20" t="n"/>
      <c r="T117" s="19" t="n"/>
      <c r="U117" s="19" t="n"/>
      <c r="V117" s="19" t="n"/>
      <c r="W117" s="19" t="n"/>
      <c r="X117" s="19" t="n"/>
      <c r="Y117" s="20" t="n"/>
    </row>
    <row r="118" ht="22" customHeight="1"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15" t="n"/>
      <c r="P118" s="21" t="n"/>
      <c r="Q118" s="21" t="n"/>
      <c r="R118" s="22" t="n"/>
      <c r="S118" s="22" t="n"/>
      <c r="T118" s="21" t="n"/>
      <c r="U118" s="21" t="n"/>
      <c r="V118" s="21" t="n"/>
      <c r="W118" s="21" t="n"/>
      <c r="X118" s="21" t="n"/>
      <c r="Y118" s="22" t="n"/>
    </row>
    <row r="119" ht="22" customHeight="1"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3" t="n"/>
      <c r="P119" s="19" t="n"/>
      <c r="Q119" s="19" t="n"/>
      <c r="R119" s="20" t="n"/>
      <c r="S119" s="20" t="n"/>
      <c r="T119" s="19" t="n"/>
      <c r="U119" s="19" t="n"/>
      <c r="V119" s="19" t="n"/>
      <c r="W119" s="19" t="n"/>
      <c r="X119" s="19" t="n"/>
      <c r="Y119" s="20" t="n"/>
    </row>
    <row r="120" ht="22" customHeight="1"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15" t="n"/>
      <c r="P120" s="21" t="n"/>
      <c r="Q120" s="21" t="n"/>
      <c r="R120" s="22" t="n"/>
      <c r="S120" s="22" t="n"/>
      <c r="T120" s="21" t="n"/>
      <c r="U120" s="21" t="n"/>
      <c r="V120" s="21" t="n"/>
      <c r="W120" s="21" t="n"/>
      <c r="X120" s="21" t="n"/>
      <c r="Y120" s="22" t="n"/>
    </row>
    <row r="121" ht="22" customHeight="1"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3" t="n"/>
      <c r="P121" s="19" t="n"/>
      <c r="Q121" s="19" t="n"/>
      <c r="R121" s="20" t="n"/>
      <c r="S121" s="20" t="n"/>
      <c r="T121" s="19" t="n"/>
      <c r="U121" s="19" t="n"/>
      <c r="V121" s="19" t="n"/>
      <c r="W121" s="19" t="n"/>
      <c r="X121" s="19" t="n"/>
      <c r="Y121" s="20" t="n"/>
    </row>
    <row r="122" ht="22" customHeight="1"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15" t="n"/>
      <c r="P122" s="21" t="n"/>
      <c r="Q122" s="21" t="n"/>
      <c r="R122" s="22" t="n"/>
      <c r="S122" s="22" t="n"/>
      <c r="T122" s="21" t="n"/>
      <c r="U122" s="21" t="n"/>
      <c r="V122" s="21" t="n"/>
      <c r="W122" s="21" t="n"/>
      <c r="X122" s="21" t="n"/>
      <c r="Y122" s="22" t="n"/>
    </row>
    <row r="123" ht="22" customHeight="1"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3" t="n"/>
      <c r="P123" s="19" t="n"/>
      <c r="Q123" s="19" t="n"/>
      <c r="R123" s="20" t="n"/>
      <c r="S123" s="20" t="n"/>
      <c r="T123" s="19" t="n"/>
      <c r="U123" s="19" t="n"/>
      <c r="V123" s="19" t="n"/>
      <c r="W123" s="19" t="n"/>
      <c r="X123" s="19" t="n"/>
      <c r="Y123" s="20" t="n"/>
    </row>
    <row r="124" ht="22" customHeight="1"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15" t="n"/>
      <c r="P124" s="21" t="n"/>
      <c r="Q124" s="21" t="n"/>
      <c r="R124" s="22" t="n"/>
      <c r="S124" s="22" t="n"/>
      <c r="T124" s="21" t="n"/>
      <c r="U124" s="21" t="n"/>
      <c r="V124" s="21" t="n"/>
      <c r="W124" s="21" t="n"/>
      <c r="X124" s="21" t="n"/>
      <c r="Y124" s="22" t="n"/>
    </row>
    <row r="125" ht="22" customHeight="1"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3" t="n"/>
      <c r="P125" s="19" t="n"/>
      <c r="Q125" s="19" t="n"/>
      <c r="R125" s="20" t="n"/>
      <c r="S125" s="20" t="n"/>
      <c r="T125" s="19" t="n"/>
      <c r="U125" s="19" t="n"/>
      <c r="V125" s="19" t="n"/>
      <c r="W125" s="19" t="n"/>
      <c r="X125" s="19" t="n"/>
      <c r="Y125" s="20" t="n"/>
    </row>
    <row r="126" ht="22" customHeight="1"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15" t="n"/>
      <c r="P126" s="21" t="n"/>
      <c r="Q126" s="21" t="n"/>
      <c r="R126" s="22" t="n"/>
      <c r="S126" s="22" t="n"/>
      <c r="T126" s="21" t="n"/>
      <c r="U126" s="21" t="n"/>
      <c r="V126" s="21" t="n"/>
      <c r="W126" s="21" t="n"/>
      <c r="X126" s="21" t="n"/>
      <c r="Y126" s="22" t="n"/>
    </row>
    <row r="127" ht="22" customHeight="1"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3" t="n"/>
      <c r="P127" s="19" t="n"/>
      <c r="Q127" s="19" t="n"/>
      <c r="R127" s="20" t="n"/>
      <c r="S127" s="20" t="n"/>
      <c r="T127" s="19" t="n"/>
      <c r="U127" s="19" t="n"/>
      <c r="V127" s="19" t="n"/>
      <c r="W127" s="19" t="n"/>
      <c r="X127" s="19" t="n"/>
      <c r="Y127" s="20" t="n"/>
    </row>
    <row r="128" ht="22" customHeight="1"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15" t="n"/>
      <c r="P128" s="21" t="n"/>
      <c r="Q128" s="21" t="n"/>
      <c r="R128" s="22" t="n"/>
      <c r="S128" s="22" t="n"/>
      <c r="T128" s="21" t="n"/>
      <c r="U128" s="21" t="n"/>
      <c r="V128" s="21" t="n"/>
      <c r="W128" s="21" t="n"/>
      <c r="X128" s="21" t="n"/>
      <c r="Y128" s="22" t="n"/>
    </row>
    <row r="129" ht="22" customHeight="1"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3" t="n"/>
      <c r="P129" s="19" t="n"/>
      <c r="Q129" s="19" t="n"/>
      <c r="R129" s="20" t="n"/>
      <c r="S129" s="20" t="n"/>
      <c r="T129" s="19" t="n"/>
      <c r="U129" s="19" t="n"/>
      <c r="V129" s="19" t="n"/>
      <c r="W129" s="19" t="n"/>
      <c r="X129" s="19" t="n"/>
      <c r="Y129" s="20" t="n"/>
    </row>
    <row r="130" ht="22" customHeight="1"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15" t="n"/>
      <c r="P130" s="21" t="n"/>
      <c r="Q130" s="21" t="n"/>
      <c r="R130" s="22" t="n"/>
      <c r="S130" s="22" t="n"/>
      <c r="T130" s="21" t="n"/>
      <c r="U130" s="21" t="n"/>
      <c r="V130" s="21" t="n"/>
      <c r="W130" s="21" t="n"/>
      <c r="X130" s="21" t="n"/>
      <c r="Y130" s="22" t="n"/>
    </row>
    <row r="131" ht="22" customHeight="1"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3" t="n"/>
      <c r="P131" s="19" t="n"/>
      <c r="Q131" s="19" t="n"/>
      <c r="R131" s="20" t="n"/>
      <c r="S131" s="20" t="n"/>
      <c r="T131" s="19" t="n"/>
      <c r="U131" s="19" t="n"/>
      <c r="V131" s="19" t="n"/>
      <c r="W131" s="19" t="n"/>
      <c r="X131" s="19" t="n"/>
      <c r="Y131" s="20" t="n"/>
    </row>
    <row r="132" ht="22" customHeight="1"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15" t="n"/>
      <c r="P132" s="21" t="n"/>
      <c r="Q132" s="21" t="n"/>
      <c r="R132" s="22" t="n"/>
      <c r="S132" s="22" t="n"/>
      <c r="T132" s="21" t="n"/>
      <c r="U132" s="21" t="n"/>
      <c r="V132" s="21" t="n"/>
      <c r="W132" s="21" t="n"/>
      <c r="X132" s="21" t="n"/>
      <c r="Y132" s="22" t="n"/>
    </row>
    <row r="133" ht="22" customHeight="1"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3" t="n"/>
      <c r="P133" s="19" t="n"/>
      <c r="Q133" s="19" t="n"/>
      <c r="R133" s="20" t="n"/>
      <c r="S133" s="20" t="n"/>
      <c r="T133" s="19" t="n"/>
      <c r="U133" s="19" t="n"/>
      <c r="V133" s="19" t="n"/>
      <c r="W133" s="19" t="n"/>
      <c r="X133" s="19" t="n"/>
      <c r="Y133" s="20" t="n"/>
    </row>
    <row r="134" ht="22" customHeight="1"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15" t="n"/>
      <c r="P134" s="21" t="n"/>
      <c r="Q134" s="21" t="n"/>
      <c r="R134" s="22" t="n"/>
      <c r="S134" s="22" t="n"/>
      <c r="T134" s="21" t="n"/>
      <c r="U134" s="21" t="n"/>
      <c r="V134" s="21" t="n"/>
      <c r="W134" s="21" t="n"/>
      <c r="X134" s="21" t="n"/>
      <c r="Y134" s="22" t="n"/>
    </row>
    <row r="135" ht="22" customHeight="1"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3" t="n"/>
      <c r="P135" s="19" t="n"/>
      <c r="Q135" s="19" t="n"/>
      <c r="R135" s="20" t="n"/>
      <c r="S135" s="20" t="n"/>
      <c r="T135" s="19" t="n"/>
      <c r="U135" s="19" t="n"/>
      <c r="V135" s="19" t="n"/>
      <c r="W135" s="19" t="n"/>
      <c r="X135" s="19" t="n"/>
      <c r="Y135" s="20" t="n"/>
    </row>
    <row r="136" ht="22" customHeight="1"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15" t="n"/>
      <c r="P136" s="21" t="n"/>
      <c r="Q136" s="21" t="n"/>
      <c r="R136" s="22" t="n"/>
      <c r="S136" s="22" t="n"/>
      <c r="T136" s="21" t="n"/>
      <c r="U136" s="21" t="n"/>
      <c r="V136" s="21" t="n"/>
      <c r="W136" s="21" t="n"/>
      <c r="X136" s="21" t="n"/>
      <c r="Y136" s="22" t="n"/>
    </row>
    <row r="137" ht="22" customHeight="1"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3" t="n"/>
      <c r="P137" s="19" t="n"/>
      <c r="Q137" s="19" t="n"/>
      <c r="R137" s="20" t="n"/>
      <c r="S137" s="20" t="n"/>
      <c r="T137" s="19" t="n"/>
      <c r="U137" s="19" t="n"/>
      <c r="V137" s="19" t="n"/>
      <c r="W137" s="19" t="n"/>
      <c r="X137" s="19" t="n"/>
      <c r="Y137" s="20" t="n"/>
    </row>
    <row r="138" ht="22" customHeight="1"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15" t="n"/>
      <c r="P138" s="21" t="n"/>
      <c r="Q138" s="21" t="n"/>
      <c r="R138" s="22" t="n"/>
      <c r="S138" s="22" t="n"/>
      <c r="T138" s="21" t="n"/>
      <c r="U138" s="21" t="n"/>
      <c r="V138" s="21" t="n"/>
      <c r="W138" s="21" t="n"/>
      <c r="X138" s="21" t="n"/>
      <c r="Y138" s="22" t="n"/>
    </row>
    <row r="139" ht="22" customHeight="1"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3" t="n"/>
      <c r="P139" s="19" t="n"/>
      <c r="Q139" s="19" t="n"/>
      <c r="R139" s="20" t="n"/>
      <c r="S139" s="20" t="n"/>
      <c r="T139" s="19" t="n"/>
      <c r="U139" s="19" t="n"/>
      <c r="V139" s="19" t="n"/>
      <c r="W139" s="19" t="n"/>
      <c r="X139" s="19" t="n"/>
      <c r="Y139" s="20" t="n"/>
    </row>
    <row r="140" ht="22" customHeight="1"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15" t="n"/>
      <c r="P140" s="21" t="n"/>
      <c r="Q140" s="21" t="n"/>
      <c r="R140" s="22" t="n"/>
      <c r="S140" s="22" t="n"/>
      <c r="T140" s="21" t="n"/>
      <c r="U140" s="21" t="n"/>
      <c r="V140" s="21" t="n"/>
      <c r="W140" s="21" t="n"/>
      <c r="X140" s="21" t="n"/>
      <c r="Y140" s="22" t="n"/>
    </row>
    <row r="141" ht="22" customHeight="1"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3" t="n"/>
      <c r="P141" s="19" t="n"/>
      <c r="Q141" s="19" t="n"/>
      <c r="R141" s="20" t="n"/>
      <c r="S141" s="20" t="n"/>
      <c r="T141" s="19" t="n"/>
      <c r="U141" s="19" t="n"/>
      <c r="V141" s="19" t="n"/>
      <c r="W141" s="19" t="n"/>
      <c r="X141" s="19" t="n"/>
      <c r="Y141" s="20" t="n"/>
    </row>
    <row r="142" ht="22" customHeight="1"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15" t="n"/>
      <c r="P142" s="21" t="n"/>
      <c r="Q142" s="21" t="n"/>
      <c r="R142" s="22" t="n"/>
      <c r="S142" s="22" t="n"/>
      <c r="T142" s="21" t="n"/>
      <c r="U142" s="21" t="n"/>
      <c r="V142" s="21" t="n"/>
      <c r="W142" s="21" t="n"/>
      <c r="X142" s="21" t="n"/>
      <c r="Y142" s="22" t="n"/>
    </row>
    <row r="143" ht="22" customHeight="1"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3" t="n"/>
      <c r="P143" s="19" t="n"/>
      <c r="Q143" s="19" t="n"/>
      <c r="R143" s="20" t="n"/>
      <c r="S143" s="20" t="n"/>
      <c r="T143" s="19" t="n"/>
      <c r="U143" s="19" t="n"/>
      <c r="V143" s="19" t="n"/>
      <c r="W143" s="19" t="n"/>
      <c r="X143" s="19" t="n"/>
      <c r="Y143" s="20" t="n"/>
    </row>
    <row r="144" ht="22" customHeight="1"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15" t="n"/>
      <c r="P144" s="21" t="n"/>
      <c r="Q144" s="21" t="n"/>
      <c r="R144" s="22" t="n"/>
      <c r="S144" s="22" t="n"/>
      <c r="T144" s="21" t="n"/>
      <c r="U144" s="21" t="n"/>
      <c r="V144" s="21" t="n"/>
      <c r="W144" s="21" t="n"/>
      <c r="X144" s="21" t="n"/>
      <c r="Y144" s="22" t="n"/>
    </row>
    <row r="145" ht="22" customHeight="1"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3" t="n"/>
      <c r="P145" s="19" t="n"/>
      <c r="Q145" s="19" t="n"/>
      <c r="R145" s="20" t="n"/>
      <c r="S145" s="20" t="n"/>
      <c r="T145" s="19" t="n"/>
      <c r="U145" s="19" t="n"/>
      <c r="V145" s="19" t="n"/>
      <c r="W145" s="19" t="n"/>
      <c r="X145" s="19" t="n"/>
      <c r="Y145" s="20" t="n"/>
    </row>
    <row r="146" ht="22" customHeight="1"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15" t="n"/>
      <c r="P146" s="21" t="n"/>
      <c r="Q146" s="21" t="n"/>
      <c r="R146" s="22" t="n"/>
      <c r="S146" s="22" t="n"/>
      <c r="T146" s="21" t="n"/>
      <c r="U146" s="21" t="n"/>
      <c r="V146" s="21" t="n"/>
      <c r="W146" s="21" t="n"/>
      <c r="X146" s="21" t="n"/>
      <c r="Y146" s="22" t="n"/>
    </row>
    <row r="147" ht="22" customHeight="1"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3" t="n"/>
      <c r="P147" s="19" t="n"/>
      <c r="Q147" s="19" t="n"/>
      <c r="R147" s="20" t="n"/>
      <c r="S147" s="20" t="n"/>
      <c r="T147" s="19" t="n"/>
      <c r="U147" s="19" t="n"/>
      <c r="V147" s="19" t="n"/>
      <c r="W147" s="19" t="n"/>
      <c r="X147" s="19" t="n"/>
      <c r="Y147" s="20" t="n"/>
    </row>
    <row r="148" ht="22" customHeight="1"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15" t="n"/>
      <c r="P148" s="21" t="n"/>
      <c r="Q148" s="21" t="n"/>
      <c r="R148" s="22" t="n"/>
      <c r="S148" s="22" t="n"/>
      <c r="T148" s="21" t="n"/>
      <c r="U148" s="21" t="n"/>
      <c r="V148" s="21" t="n"/>
      <c r="W148" s="21" t="n"/>
      <c r="X148" s="21" t="n"/>
      <c r="Y148" s="22" t="n"/>
    </row>
    <row r="149" ht="22" customHeight="1"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3" t="n"/>
      <c r="P149" s="19" t="n"/>
      <c r="Q149" s="19" t="n"/>
      <c r="R149" s="20" t="n"/>
      <c r="S149" s="20" t="n"/>
      <c r="T149" s="19" t="n"/>
      <c r="U149" s="19" t="n"/>
      <c r="V149" s="19" t="n"/>
      <c r="W149" s="19" t="n"/>
      <c r="X149" s="19" t="n"/>
      <c r="Y149" s="20" t="n"/>
    </row>
    <row r="150" ht="22" customHeight="1"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15" t="n"/>
      <c r="P150" s="21" t="n"/>
      <c r="Q150" s="21" t="n"/>
      <c r="R150" s="22" t="n"/>
      <c r="S150" s="22" t="n"/>
      <c r="T150" s="21" t="n"/>
      <c r="U150" s="21" t="n"/>
      <c r="V150" s="21" t="n"/>
      <c r="W150" s="21" t="n"/>
      <c r="X150" s="21" t="n"/>
      <c r="Y150" s="22" t="n"/>
    </row>
    <row r="151" ht="22" customHeight="1"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3" t="n"/>
      <c r="P151" s="19" t="n"/>
      <c r="Q151" s="19" t="n"/>
      <c r="R151" s="20" t="n"/>
      <c r="S151" s="20" t="n"/>
      <c r="T151" s="19" t="n"/>
      <c r="U151" s="19" t="n"/>
      <c r="V151" s="19" t="n"/>
      <c r="W151" s="19" t="n"/>
      <c r="X151" s="19" t="n"/>
      <c r="Y151" s="20" t="n"/>
    </row>
    <row r="152" ht="22" customHeight="1"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15" t="n"/>
      <c r="P152" s="21" t="n"/>
      <c r="Q152" s="21" t="n"/>
      <c r="R152" s="22" t="n"/>
      <c r="S152" s="22" t="n"/>
      <c r="T152" s="21" t="n"/>
      <c r="U152" s="21" t="n"/>
      <c r="V152" s="21" t="n"/>
      <c r="W152" s="21" t="n"/>
      <c r="X152" s="21" t="n"/>
      <c r="Y152" s="22" t="n"/>
    </row>
    <row r="153" ht="22" customHeight="1"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3" t="n"/>
      <c r="P153" s="19" t="n"/>
      <c r="Q153" s="19" t="n"/>
      <c r="R153" s="20" t="n"/>
      <c r="S153" s="20" t="n"/>
      <c r="T153" s="19" t="n"/>
      <c r="U153" s="19" t="n"/>
      <c r="V153" s="19" t="n"/>
      <c r="W153" s="19" t="n"/>
      <c r="X153" s="19" t="n"/>
      <c r="Y153" s="20" t="n"/>
    </row>
    <row r="154" ht="22" customHeight="1"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15" t="n"/>
      <c r="P154" s="21" t="n"/>
      <c r="Q154" s="21" t="n"/>
      <c r="R154" s="22" t="n"/>
      <c r="S154" s="22" t="n"/>
      <c r="T154" s="21" t="n"/>
      <c r="U154" s="21" t="n"/>
      <c r="V154" s="21" t="n"/>
      <c r="W154" s="21" t="n"/>
      <c r="X154" s="21" t="n"/>
      <c r="Y154" s="22" t="n"/>
    </row>
    <row r="155" ht="22" customHeight="1"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3" t="n"/>
      <c r="P155" s="19" t="n"/>
      <c r="Q155" s="19" t="n"/>
      <c r="R155" s="20" t="n"/>
      <c r="S155" s="20" t="n"/>
      <c r="T155" s="19" t="n"/>
      <c r="U155" s="19" t="n"/>
      <c r="V155" s="19" t="n"/>
      <c r="W155" s="19" t="n"/>
      <c r="X155" s="19" t="n"/>
      <c r="Y155" s="20" t="n"/>
    </row>
    <row r="156" ht="22" customHeight="1"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15" t="n"/>
      <c r="P156" s="21" t="n"/>
      <c r="Q156" s="21" t="n"/>
      <c r="R156" s="22" t="n"/>
      <c r="S156" s="22" t="n"/>
      <c r="T156" s="21" t="n"/>
      <c r="U156" s="21" t="n"/>
      <c r="V156" s="21" t="n"/>
      <c r="W156" s="21" t="n"/>
      <c r="X156" s="21" t="n"/>
      <c r="Y156" s="22" t="n"/>
    </row>
    <row r="157" ht="22" customHeight="1"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3" t="n"/>
      <c r="P157" s="19" t="n"/>
      <c r="Q157" s="19" t="n"/>
      <c r="R157" s="20" t="n"/>
      <c r="S157" s="20" t="n"/>
      <c r="T157" s="19" t="n"/>
      <c r="U157" s="19" t="n"/>
      <c r="V157" s="19" t="n"/>
      <c r="W157" s="19" t="n"/>
      <c r="X157" s="19" t="n"/>
      <c r="Y157" s="20" t="n"/>
    </row>
    <row r="158" ht="22" customHeight="1"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15" t="n"/>
      <c r="P158" s="21" t="n"/>
      <c r="Q158" s="21" t="n"/>
      <c r="R158" s="22" t="n"/>
      <c r="S158" s="22" t="n"/>
      <c r="T158" s="21" t="n"/>
      <c r="U158" s="21" t="n"/>
      <c r="V158" s="21" t="n"/>
      <c r="W158" s="21" t="n"/>
      <c r="X158" s="21" t="n"/>
      <c r="Y158" s="22" t="n"/>
    </row>
    <row r="159" ht="22" customHeight="1"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3" t="n"/>
      <c r="P159" s="19" t="n"/>
      <c r="Q159" s="19" t="n"/>
      <c r="R159" s="20" t="n"/>
      <c r="S159" s="20" t="n"/>
      <c r="T159" s="19" t="n"/>
      <c r="U159" s="19" t="n"/>
      <c r="V159" s="19" t="n"/>
      <c r="W159" s="19" t="n"/>
      <c r="X159" s="19" t="n"/>
      <c r="Y159" s="20" t="n"/>
    </row>
    <row r="160" ht="22" customHeight="1"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15" t="n"/>
      <c r="P160" s="21" t="n"/>
      <c r="Q160" s="21" t="n"/>
      <c r="R160" s="22" t="n"/>
      <c r="S160" s="22" t="n"/>
      <c r="T160" s="21" t="n"/>
      <c r="U160" s="21" t="n"/>
      <c r="V160" s="21" t="n"/>
      <c r="W160" s="21" t="n"/>
      <c r="X160" s="21" t="n"/>
      <c r="Y160" s="22" t="n"/>
    </row>
    <row r="161" ht="22" customHeight="1"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3" t="n"/>
      <c r="P161" s="19" t="n"/>
      <c r="Q161" s="19" t="n"/>
      <c r="R161" s="20" t="n"/>
      <c r="S161" s="20" t="n"/>
      <c r="T161" s="19" t="n"/>
      <c r="U161" s="19" t="n"/>
      <c r="V161" s="19" t="n"/>
      <c r="W161" s="19" t="n"/>
      <c r="X161" s="19" t="n"/>
      <c r="Y161" s="20" t="n"/>
    </row>
    <row r="162" ht="22" customHeight="1"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15" t="n"/>
      <c r="P162" s="21" t="n"/>
      <c r="Q162" s="21" t="n"/>
      <c r="R162" s="22" t="n"/>
      <c r="S162" s="22" t="n"/>
      <c r="T162" s="21" t="n"/>
      <c r="U162" s="21" t="n"/>
      <c r="V162" s="21" t="n"/>
      <c r="W162" s="21" t="n"/>
      <c r="X162" s="21" t="n"/>
      <c r="Y162" s="22" t="n"/>
    </row>
    <row r="163" ht="22" customHeight="1"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3" t="n"/>
      <c r="P163" s="19" t="n"/>
      <c r="Q163" s="19" t="n"/>
      <c r="R163" s="20" t="n"/>
      <c r="S163" s="20" t="n"/>
      <c r="T163" s="19" t="n"/>
      <c r="U163" s="19" t="n"/>
      <c r="V163" s="19" t="n"/>
      <c r="W163" s="19" t="n"/>
      <c r="X163" s="19" t="n"/>
      <c r="Y163" s="20" t="n"/>
    </row>
    <row r="164" ht="22" customHeight="1"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15" t="n"/>
      <c r="P164" s="21" t="n"/>
      <c r="Q164" s="21" t="n"/>
      <c r="R164" s="22" t="n"/>
      <c r="S164" s="22" t="n"/>
      <c r="T164" s="21" t="n"/>
      <c r="U164" s="21" t="n"/>
      <c r="V164" s="21" t="n"/>
      <c r="W164" s="21" t="n"/>
      <c r="X164" s="21" t="n"/>
      <c r="Y164" s="22" t="n"/>
    </row>
    <row r="165" ht="22" customHeight="1"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3" t="n"/>
      <c r="P165" s="19" t="n"/>
      <c r="Q165" s="19" t="n"/>
      <c r="R165" s="20" t="n"/>
      <c r="S165" s="20" t="n"/>
      <c r="T165" s="19" t="n"/>
      <c r="U165" s="19" t="n"/>
      <c r="V165" s="19" t="n"/>
      <c r="W165" s="19" t="n"/>
      <c r="X165" s="19" t="n"/>
      <c r="Y165" s="20" t="n"/>
    </row>
    <row r="166" ht="22" customHeight="1"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15" t="n"/>
      <c r="P166" s="21" t="n"/>
      <c r="Q166" s="21" t="n"/>
      <c r="R166" s="22" t="n"/>
      <c r="S166" s="22" t="n"/>
      <c r="T166" s="21" t="n"/>
      <c r="U166" s="21" t="n"/>
      <c r="V166" s="21" t="n"/>
      <c r="W166" s="21" t="n"/>
      <c r="X166" s="21" t="n"/>
      <c r="Y166" s="22" t="n"/>
    </row>
    <row r="167" ht="22" customHeight="1"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3" t="n"/>
      <c r="P167" s="19" t="n"/>
      <c r="Q167" s="19" t="n"/>
      <c r="R167" s="20" t="n"/>
      <c r="S167" s="20" t="n"/>
      <c r="T167" s="19" t="n"/>
      <c r="U167" s="19" t="n"/>
      <c r="V167" s="19" t="n"/>
      <c r="W167" s="19" t="n"/>
      <c r="X167" s="19" t="n"/>
      <c r="Y167" s="20" t="n"/>
    </row>
    <row r="168" ht="22" customHeight="1"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15" t="n"/>
      <c r="P168" s="21" t="n"/>
      <c r="Q168" s="21" t="n"/>
      <c r="R168" s="22" t="n"/>
      <c r="S168" s="22" t="n"/>
      <c r="T168" s="21" t="n"/>
      <c r="U168" s="21" t="n"/>
      <c r="V168" s="21" t="n"/>
      <c r="W168" s="21" t="n"/>
      <c r="X168" s="21" t="n"/>
      <c r="Y168" s="22" t="n"/>
    </row>
    <row r="169" ht="22" customHeight="1"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3" t="n"/>
      <c r="P169" s="19" t="n"/>
      <c r="Q169" s="19" t="n"/>
      <c r="R169" s="20" t="n"/>
      <c r="S169" s="20" t="n"/>
      <c r="T169" s="19" t="n"/>
      <c r="U169" s="19" t="n"/>
      <c r="V169" s="19" t="n"/>
      <c r="W169" s="19" t="n"/>
      <c r="X169" s="19" t="n"/>
      <c r="Y169" s="20" t="n"/>
    </row>
    <row r="170" ht="22" customHeight="1"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15" t="n"/>
      <c r="P170" s="21" t="n"/>
      <c r="Q170" s="21" t="n"/>
      <c r="R170" s="22" t="n"/>
      <c r="S170" s="22" t="n"/>
      <c r="T170" s="21" t="n"/>
      <c r="U170" s="21" t="n"/>
      <c r="V170" s="21" t="n"/>
      <c r="W170" s="21" t="n"/>
      <c r="X170" s="21" t="n"/>
      <c r="Y170" s="22" t="n"/>
    </row>
    <row r="171" ht="22" customHeight="1"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3" t="n"/>
      <c r="P171" s="19" t="n"/>
      <c r="Q171" s="19" t="n"/>
      <c r="R171" s="20" t="n"/>
      <c r="S171" s="20" t="n"/>
      <c r="T171" s="19" t="n"/>
      <c r="U171" s="19" t="n"/>
      <c r="V171" s="19" t="n"/>
      <c r="W171" s="19" t="n"/>
      <c r="X171" s="19" t="n"/>
      <c r="Y171" s="20" t="n"/>
    </row>
    <row r="172" ht="22" customHeight="1"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15" t="n"/>
      <c r="P172" s="21" t="n"/>
      <c r="Q172" s="21" t="n"/>
      <c r="R172" s="22" t="n"/>
      <c r="S172" s="22" t="n"/>
      <c r="T172" s="21" t="n"/>
      <c r="U172" s="21" t="n"/>
      <c r="V172" s="21" t="n"/>
      <c r="W172" s="21" t="n"/>
      <c r="X172" s="21" t="n"/>
      <c r="Y172" s="22" t="n"/>
    </row>
    <row r="173" ht="22" customHeight="1"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3" t="n"/>
      <c r="P173" s="19" t="n"/>
      <c r="Q173" s="19" t="n"/>
      <c r="R173" s="20" t="n"/>
      <c r="S173" s="20" t="n"/>
      <c r="T173" s="19" t="n"/>
      <c r="U173" s="19" t="n"/>
      <c r="V173" s="19" t="n"/>
      <c r="W173" s="19" t="n"/>
      <c r="X173" s="19" t="n"/>
      <c r="Y173" s="20" t="n"/>
    </row>
    <row r="174" ht="22" customHeight="1"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15" t="n"/>
      <c r="P174" s="21" t="n"/>
      <c r="Q174" s="21" t="n"/>
      <c r="R174" s="22" t="n"/>
      <c r="S174" s="22" t="n"/>
      <c r="T174" s="21" t="n"/>
      <c r="U174" s="21" t="n"/>
      <c r="V174" s="21" t="n"/>
      <c r="W174" s="21" t="n"/>
      <c r="X174" s="21" t="n"/>
      <c r="Y174" s="22" t="n"/>
    </row>
    <row r="175" ht="22" customHeight="1"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3" t="n"/>
      <c r="P175" s="19" t="n"/>
      <c r="Q175" s="19" t="n"/>
      <c r="R175" s="20" t="n"/>
      <c r="S175" s="20" t="n"/>
      <c r="T175" s="19" t="n"/>
      <c r="U175" s="19" t="n"/>
      <c r="V175" s="19" t="n"/>
      <c r="W175" s="19" t="n"/>
      <c r="X175" s="19" t="n"/>
      <c r="Y175" s="20" t="n"/>
    </row>
    <row r="176" ht="22" customHeight="1"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15" t="n"/>
      <c r="P176" s="21" t="n"/>
      <c r="Q176" s="21" t="n"/>
      <c r="R176" s="22" t="n"/>
      <c r="S176" s="22" t="n"/>
      <c r="T176" s="21" t="n"/>
      <c r="U176" s="21" t="n"/>
      <c r="V176" s="21" t="n"/>
      <c r="W176" s="21" t="n"/>
      <c r="X176" s="21" t="n"/>
      <c r="Y176" s="22" t="n"/>
    </row>
    <row r="177" ht="22" customHeight="1"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3" t="n"/>
      <c r="P177" s="19" t="n"/>
      <c r="Q177" s="19" t="n"/>
      <c r="R177" s="20" t="n"/>
      <c r="S177" s="20" t="n"/>
      <c r="T177" s="19" t="n"/>
      <c r="U177" s="19" t="n"/>
      <c r="V177" s="19" t="n"/>
      <c r="W177" s="19" t="n"/>
      <c r="X177" s="19" t="n"/>
      <c r="Y177" s="20" t="n"/>
    </row>
    <row r="178" ht="22" customHeight="1"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15" t="n"/>
      <c r="P178" s="21" t="n"/>
      <c r="Q178" s="21" t="n"/>
      <c r="R178" s="22" t="n"/>
      <c r="S178" s="22" t="n"/>
      <c r="T178" s="21" t="n"/>
      <c r="U178" s="21" t="n"/>
      <c r="V178" s="21" t="n"/>
      <c r="W178" s="21" t="n"/>
      <c r="X178" s="21" t="n"/>
      <c r="Y178" s="22" t="n"/>
    </row>
    <row r="179" ht="22" customHeight="1"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3" t="n"/>
      <c r="P179" s="19" t="n"/>
      <c r="Q179" s="19" t="n"/>
      <c r="R179" s="20" t="n"/>
      <c r="S179" s="20" t="n"/>
      <c r="T179" s="19" t="n"/>
      <c r="U179" s="19" t="n"/>
      <c r="V179" s="19" t="n"/>
      <c r="W179" s="19" t="n"/>
      <c r="X179" s="19" t="n"/>
      <c r="Y179" s="20" t="n"/>
    </row>
    <row r="180" ht="22" customHeight="1"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15" t="n"/>
      <c r="P180" s="21" t="n"/>
      <c r="Q180" s="21" t="n"/>
      <c r="R180" s="22" t="n"/>
      <c r="S180" s="22" t="n"/>
      <c r="T180" s="21" t="n"/>
      <c r="U180" s="21" t="n"/>
      <c r="V180" s="21" t="n"/>
      <c r="W180" s="21" t="n"/>
      <c r="X180" s="21" t="n"/>
      <c r="Y180" s="22" t="n"/>
    </row>
    <row r="181" ht="22" customHeight="1"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3" t="n"/>
      <c r="P181" s="19" t="n"/>
      <c r="Q181" s="19" t="n"/>
      <c r="R181" s="20" t="n"/>
      <c r="S181" s="20" t="n"/>
      <c r="T181" s="19" t="n"/>
      <c r="U181" s="19" t="n"/>
      <c r="V181" s="19" t="n"/>
      <c r="W181" s="19" t="n"/>
      <c r="X181" s="19" t="n"/>
      <c r="Y181" s="20" t="n"/>
    </row>
    <row r="182" ht="22" customHeight="1"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15" t="n"/>
      <c r="P182" s="21" t="n"/>
      <c r="Q182" s="21" t="n"/>
      <c r="R182" s="22" t="n"/>
      <c r="S182" s="22" t="n"/>
      <c r="T182" s="21" t="n"/>
      <c r="U182" s="21" t="n"/>
      <c r="V182" s="21" t="n"/>
      <c r="W182" s="21" t="n"/>
      <c r="X182" s="21" t="n"/>
      <c r="Y182" s="22" t="n"/>
    </row>
    <row r="183" ht="22" customHeight="1"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3" t="n"/>
      <c r="P183" s="19" t="n"/>
      <c r="Q183" s="19" t="n"/>
      <c r="R183" s="20" t="n"/>
      <c r="S183" s="20" t="n"/>
      <c r="T183" s="19" t="n"/>
      <c r="U183" s="19" t="n"/>
      <c r="V183" s="19" t="n"/>
      <c r="W183" s="19" t="n"/>
      <c r="X183" s="19" t="n"/>
      <c r="Y183" s="20" t="n"/>
    </row>
    <row r="184" ht="22" customHeight="1"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15" t="n"/>
      <c r="P184" s="21" t="n"/>
      <c r="Q184" s="21" t="n"/>
      <c r="R184" s="22" t="n"/>
      <c r="S184" s="22" t="n"/>
      <c r="T184" s="21" t="n"/>
      <c r="U184" s="21" t="n"/>
      <c r="V184" s="21" t="n"/>
      <c r="W184" s="21" t="n"/>
      <c r="X184" s="21" t="n"/>
      <c r="Y184" s="22" t="n"/>
    </row>
    <row r="185" ht="22" customHeight="1"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3" t="n"/>
      <c r="P185" s="19" t="n"/>
      <c r="Q185" s="19" t="n"/>
      <c r="R185" s="20" t="n"/>
      <c r="S185" s="20" t="n"/>
      <c r="T185" s="19" t="n"/>
      <c r="U185" s="19" t="n"/>
      <c r="V185" s="19" t="n"/>
      <c r="W185" s="19" t="n"/>
      <c r="X185" s="19" t="n"/>
      <c r="Y185" s="20" t="n"/>
    </row>
    <row r="186" ht="22" customHeight="1"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15" t="n"/>
      <c r="P186" s="21" t="n"/>
      <c r="Q186" s="21" t="n"/>
      <c r="R186" s="22" t="n"/>
      <c r="S186" s="22" t="n"/>
      <c r="T186" s="21" t="n"/>
      <c r="U186" s="21" t="n"/>
      <c r="V186" s="21" t="n"/>
      <c r="W186" s="21" t="n"/>
      <c r="X186" s="21" t="n"/>
      <c r="Y186" s="22" t="n"/>
    </row>
    <row r="187" ht="22" customHeight="1"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3" t="n"/>
      <c r="P187" s="19" t="n"/>
      <c r="Q187" s="19" t="n"/>
      <c r="R187" s="20" t="n"/>
      <c r="S187" s="20" t="n"/>
      <c r="T187" s="19" t="n"/>
      <c r="U187" s="19" t="n"/>
      <c r="V187" s="19" t="n"/>
      <c r="W187" s="19" t="n"/>
      <c r="X187" s="19" t="n"/>
      <c r="Y187" s="20" t="n"/>
    </row>
    <row r="188" ht="22" customHeight="1"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15" t="n"/>
      <c r="P188" s="21" t="n"/>
      <c r="Q188" s="21" t="n"/>
      <c r="R188" s="22" t="n"/>
      <c r="S188" s="22" t="n"/>
      <c r="T188" s="21" t="n"/>
      <c r="U188" s="21" t="n"/>
      <c r="V188" s="21" t="n"/>
      <c r="W188" s="21" t="n"/>
      <c r="X188" s="21" t="n"/>
      <c r="Y188" s="22" t="n"/>
    </row>
    <row r="189" ht="22" customHeight="1"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3" t="n"/>
      <c r="P189" s="19" t="n"/>
      <c r="Q189" s="19" t="n"/>
      <c r="R189" s="20" t="n"/>
      <c r="S189" s="20" t="n"/>
      <c r="T189" s="19" t="n"/>
      <c r="U189" s="19" t="n"/>
      <c r="V189" s="19" t="n"/>
      <c r="W189" s="19" t="n"/>
      <c r="X189" s="19" t="n"/>
      <c r="Y189" s="20" t="n"/>
    </row>
    <row r="190" ht="22" customHeight="1"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15" t="n"/>
      <c r="P190" s="21" t="n"/>
      <c r="Q190" s="21" t="n"/>
      <c r="R190" s="22" t="n"/>
      <c r="S190" s="22" t="n"/>
      <c r="T190" s="21" t="n"/>
      <c r="U190" s="21" t="n"/>
      <c r="V190" s="21" t="n"/>
      <c r="W190" s="21" t="n"/>
      <c r="X190" s="21" t="n"/>
      <c r="Y190" s="22" t="n"/>
    </row>
    <row r="191" ht="22" customHeight="1"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3" t="n"/>
      <c r="P191" s="19" t="n"/>
      <c r="Q191" s="19" t="n"/>
      <c r="R191" s="20" t="n"/>
      <c r="S191" s="20" t="n"/>
      <c r="T191" s="19" t="n"/>
      <c r="U191" s="19" t="n"/>
      <c r="V191" s="19" t="n"/>
      <c r="W191" s="19" t="n"/>
      <c r="X191" s="19" t="n"/>
      <c r="Y191" s="20" t="n"/>
    </row>
    <row r="192" ht="22" customHeight="1"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15" t="n"/>
      <c r="P192" s="21" t="n"/>
      <c r="Q192" s="21" t="n"/>
      <c r="R192" s="22" t="n"/>
      <c r="S192" s="22" t="n"/>
      <c r="T192" s="21" t="n"/>
      <c r="U192" s="21" t="n"/>
      <c r="V192" s="21" t="n"/>
      <c r="W192" s="21" t="n"/>
      <c r="X192" s="21" t="n"/>
      <c r="Y192" s="22" t="n"/>
    </row>
    <row r="193" ht="22" customHeight="1"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3" t="n"/>
      <c r="P193" s="19" t="n"/>
      <c r="Q193" s="19" t="n"/>
      <c r="R193" s="20" t="n"/>
      <c r="S193" s="20" t="n"/>
      <c r="T193" s="19" t="n"/>
      <c r="U193" s="19" t="n"/>
      <c r="V193" s="19" t="n"/>
      <c r="W193" s="19" t="n"/>
      <c r="X193" s="19" t="n"/>
      <c r="Y193" s="20" t="n"/>
    </row>
    <row r="194" ht="22" customHeight="1"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15" t="n"/>
      <c r="P194" s="21" t="n"/>
      <c r="Q194" s="21" t="n"/>
      <c r="R194" s="22" t="n"/>
      <c r="S194" s="22" t="n"/>
      <c r="T194" s="21" t="n"/>
      <c r="U194" s="21" t="n"/>
      <c r="V194" s="21" t="n"/>
      <c r="W194" s="21" t="n"/>
      <c r="X194" s="21" t="n"/>
      <c r="Y194" s="22" t="n"/>
    </row>
    <row r="195" ht="22" customHeight="1"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3" t="n"/>
      <c r="P195" s="19" t="n"/>
      <c r="Q195" s="19" t="n"/>
      <c r="R195" s="20" t="n"/>
      <c r="S195" s="20" t="n"/>
      <c r="T195" s="19" t="n"/>
      <c r="U195" s="19" t="n"/>
      <c r="V195" s="19" t="n"/>
      <c r="W195" s="19" t="n"/>
      <c r="X195" s="19" t="n"/>
      <c r="Y195" s="20" t="n"/>
    </row>
    <row r="196" ht="22" customHeight="1"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15" t="n"/>
      <c r="P196" s="21" t="n"/>
      <c r="Q196" s="21" t="n"/>
      <c r="R196" s="22" t="n"/>
      <c r="S196" s="22" t="n"/>
      <c r="T196" s="21" t="n"/>
      <c r="U196" s="21" t="n"/>
      <c r="V196" s="21" t="n"/>
      <c r="W196" s="21" t="n"/>
      <c r="X196" s="21" t="n"/>
      <c r="Y196" s="22" t="n"/>
    </row>
    <row r="197" ht="22" customHeight="1"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3" t="n"/>
      <c r="P197" s="19" t="n"/>
      <c r="Q197" s="19" t="n"/>
      <c r="R197" s="20" t="n"/>
      <c r="S197" s="20" t="n"/>
      <c r="T197" s="19" t="n"/>
      <c r="U197" s="19" t="n"/>
      <c r="V197" s="19" t="n"/>
      <c r="W197" s="19" t="n"/>
      <c r="X197" s="19" t="n"/>
      <c r="Y197" s="20" t="n"/>
    </row>
    <row r="198" ht="22" customHeight="1"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15" t="n"/>
      <c r="P198" s="21" t="n"/>
      <c r="Q198" s="21" t="n"/>
      <c r="R198" s="22" t="n"/>
      <c r="S198" s="22" t="n"/>
      <c r="T198" s="21" t="n"/>
      <c r="U198" s="21" t="n"/>
      <c r="V198" s="21" t="n"/>
      <c r="W198" s="21" t="n"/>
      <c r="X198" s="21" t="n"/>
      <c r="Y198" s="22" t="n"/>
    </row>
    <row r="199" ht="22" customHeight="1"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3" t="n"/>
      <c r="P199" s="19" t="n"/>
      <c r="Q199" s="19" t="n"/>
      <c r="R199" s="20" t="n"/>
      <c r="S199" s="20" t="n"/>
      <c r="T199" s="19" t="n"/>
      <c r="U199" s="19" t="n"/>
      <c r="V199" s="19" t="n"/>
      <c r="W199" s="19" t="n"/>
      <c r="X199" s="19" t="n"/>
      <c r="Y199" s="20" t="n"/>
    </row>
    <row r="200" ht="22" customHeight="1"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15" t="n"/>
      <c r="P200" s="21" t="n"/>
      <c r="Q200" s="21" t="n"/>
      <c r="R200" s="22" t="n"/>
      <c r="S200" s="22" t="n"/>
      <c r="T200" s="21" t="n"/>
      <c r="U200" s="21" t="n"/>
      <c r="V200" s="21" t="n"/>
      <c r="W200" s="21" t="n"/>
      <c r="X200" s="21" t="n"/>
      <c r="Y200" s="22" t="n"/>
    </row>
    <row r="201" ht="22" customHeight="1"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3" t="n"/>
      <c r="P201" s="19" t="n"/>
      <c r="Q201" s="19" t="n"/>
      <c r="R201" s="20" t="n"/>
      <c r="S201" s="20" t="n"/>
      <c r="T201" s="19" t="n"/>
      <c r="U201" s="19" t="n"/>
      <c r="V201" s="19" t="n"/>
      <c r="W201" s="19" t="n"/>
      <c r="X201" s="19" t="n"/>
      <c r="Y201" s="20" t="n"/>
    </row>
    <row r="202" ht="22" customHeight="1"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15" t="n"/>
      <c r="P202" s="21" t="n"/>
      <c r="Q202" s="21" t="n"/>
      <c r="R202" s="22" t="n"/>
      <c r="S202" s="22" t="n"/>
      <c r="T202" s="21" t="n"/>
      <c r="U202" s="21" t="n"/>
      <c r="V202" s="21" t="n"/>
      <c r="W202" s="21" t="n"/>
      <c r="X202" s="21" t="n"/>
      <c r="Y202" s="22" t="n"/>
    </row>
    <row r="203" ht="22" customHeight="1"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3" t="n"/>
      <c r="P203" s="19" t="n"/>
      <c r="Q203" s="19" t="n"/>
      <c r="R203" s="20" t="n"/>
      <c r="S203" s="20" t="n"/>
      <c r="T203" s="19" t="n"/>
      <c r="U203" s="19" t="n"/>
      <c r="V203" s="19" t="n"/>
      <c r="W203" s="19" t="n"/>
      <c r="X203" s="19" t="n"/>
      <c r="Y203" s="20" t="n"/>
    </row>
    <row r="204" ht="22" customHeight="1"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15" t="n"/>
      <c r="P204" s="21" t="n"/>
      <c r="Q204" s="21" t="n"/>
      <c r="R204" s="22" t="n"/>
      <c r="S204" s="22" t="n"/>
      <c r="T204" s="21" t="n"/>
      <c r="U204" s="21" t="n"/>
      <c r="V204" s="21" t="n"/>
      <c r="W204" s="21" t="n"/>
      <c r="X204" s="21" t="n"/>
      <c r="Y204" s="22" t="n"/>
    </row>
    <row r="205" ht="22" customHeight="1"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3" t="n"/>
      <c r="P205" s="19" t="n"/>
      <c r="Q205" s="19" t="n"/>
      <c r="R205" s="20" t="n"/>
      <c r="S205" s="20" t="n"/>
      <c r="T205" s="19" t="n"/>
      <c r="U205" s="19" t="n"/>
      <c r="V205" s="19" t="n"/>
      <c r="W205" s="19" t="n"/>
      <c r="X205" s="19" t="n"/>
      <c r="Y205" s="20" t="n"/>
    </row>
    <row r="206" ht="22" customHeight="1"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15" t="n"/>
      <c r="P206" s="21" t="n"/>
      <c r="Q206" s="21" t="n"/>
      <c r="R206" s="22" t="n"/>
      <c r="S206" s="22" t="n"/>
      <c r="T206" s="21" t="n"/>
      <c r="U206" s="21" t="n"/>
      <c r="V206" s="21" t="n"/>
      <c r="W206" s="21" t="n"/>
      <c r="X206" s="21" t="n"/>
      <c r="Y206" s="22" t="n"/>
    </row>
    <row r="207" ht="22" customHeight="1"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3" t="n"/>
      <c r="P207" s="19" t="n"/>
      <c r="Q207" s="19" t="n"/>
      <c r="R207" s="20" t="n"/>
      <c r="S207" s="20" t="n"/>
      <c r="T207" s="19" t="n"/>
      <c r="U207" s="19" t="n"/>
      <c r="V207" s="19" t="n"/>
      <c r="W207" s="19" t="n"/>
      <c r="X207" s="19" t="n"/>
      <c r="Y207" s="20" t="n"/>
    </row>
    <row r="208" ht="22" customHeight="1"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15" t="n"/>
      <c r="P208" s="21" t="n"/>
      <c r="Q208" s="21" t="n"/>
      <c r="R208" s="22" t="n"/>
      <c r="S208" s="22" t="n"/>
      <c r="T208" s="21" t="n"/>
      <c r="U208" s="21" t="n"/>
      <c r="V208" s="21" t="n"/>
      <c r="W208" s="21" t="n"/>
      <c r="X208" s="21" t="n"/>
      <c r="Y208" s="22" t="n"/>
    </row>
    <row r="209" ht="22" customHeight="1"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3" t="n"/>
      <c r="P209" s="19" t="n"/>
      <c r="Q209" s="19" t="n"/>
      <c r="R209" s="20" t="n"/>
      <c r="S209" s="20" t="n"/>
      <c r="T209" s="19" t="n"/>
      <c r="U209" s="19" t="n"/>
      <c r="V209" s="19" t="n"/>
      <c r="W209" s="19" t="n"/>
      <c r="X209" s="19" t="n"/>
      <c r="Y209" s="20" t="n"/>
    </row>
    <row r="210" ht="22" customHeight="1"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15" t="n"/>
      <c r="P210" s="21" t="n"/>
      <c r="Q210" s="21" t="n"/>
      <c r="R210" s="22" t="n"/>
      <c r="S210" s="22" t="n"/>
      <c r="T210" s="21" t="n"/>
      <c r="U210" s="21" t="n"/>
      <c r="V210" s="21" t="n"/>
      <c r="W210" s="21" t="n"/>
      <c r="X210" s="21" t="n"/>
      <c r="Y210" s="22" t="n"/>
    </row>
    <row r="211" ht="22" customHeight="1"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3" t="n"/>
      <c r="P211" s="19" t="n"/>
      <c r="Q211" s="19" t="n"/>
      <c r="R211" s="20" t="n"/>
      <c r="S211" s="20" t="n"/>
      <c r="T211" s="19" t="n"/>
      <c r="U211" s="19" t="n"/>
      <c r="V211" s="19" t="n"/>
      <c r="W211" s="19" t="n"/>
      <c r="X211" s="19" t="n"/>
      <c r="Y211" s="20" t="n"/>
    </row>
    <row r="212" ht="22" customHeight="1"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15" t="n"/>
      <c r="P212" s="21" t="n"/>
      <c r="Q212" s="21" t="n"/>
      <c r="R212" s="22" t="n"/>
      <c r="S212" s="22" t="n"/>
      <c r="T212" s="21" t="n"/>
      <c r="U212" s="21" t="n"/>
      <c r="V212" s="21" t="n"/>
      <c r="W212" s="21" t="n"/>
      <c r="X212" s="21" t="n"/>
      <c r="Y212" s="22" t="n"/>
    </row>
    <row r="213" ht="22" customHeight="1"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3" t="n"/>
      <c r="P213" s="19" t="n"/>
      <c r="Q213" s="19" t="n"/>
      <c r="R213" s="20" t="n"/>
      <c r="S213" s="20" t="n"/>
      <c r="T213" s="19" t="n"/>
      <c r="U213" s="19" t="n"/>
      <c r="V213" s="19" t="n"/>
      <c r="W213" s="19" t="n"/>
      <c r="X213" s="19" t="n"/>
      <c r="Y213" s="20" t="n"/>
    </row>
    <row r="214" ht="22" customHeight="1"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15" t="n"/>
      <c r="P214" s="21" t="n"/>
      <c r="Q214" s="21" t="n"/>
      <c r="R214" s="22" t="n"/>
      <c r="S214" s="22" t="n"/>
      <c r="T214" s="21" t="n"/>
      <c r="U214" s="21" t="n"/>
      <c r="V214" s="21" t="n"/>
      <c r="W214" s="21" t="n"/>
      <c r="X214" s="21" t="n"/>
      <c r="Y214" s="22" t="n"/>
    </row>
    <row r="215" ht="22" customHeight="1"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3" t="n"/>
      <c r="P215" s="19" t="n"/>
      <c r="Q215" s="19" t="n"/>
      <c r="R215" s="20" t="n"/>
      <c r="S215" s="20" t="n"/>
      <c r="T215" s="19" t="n"/>
      <c r="U215" s="19" t="n"/>
      <c r="V215" s="19" t="n"/>
      <c r="W215" s="19" t="n"/>
      <c r="X215" s="19" t="n"/>
      <c r="Y215" s="20" t="n"/>
    </row>
    <row r="216" ht="22" customHeight="1"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15" t="n"/>
      <c r="P216" s="21" t="n"/>
      <c r="Q216" s="21" t="n"/>
      <c r="R216" s="22" t="n"/>
      <c r="S216" s="22" t="n"/>
      <c r="T216" s="21" t="n"/>
      <c r="U216" s="21" t="n"/>
      <c r="V216" s="21" t="n"/>
      <c r="W216" s="21" t="n"/>
      <c r="X216" s="21" t="n"/>
      <c r="Y216" s="22" t="n"/>
    </row>
    <row r="217" ht="22" customHeight="1"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3" t="n"/>
      <c r="P217" s="19" t="n"/>
      <c r="Q217" s="19" t="n"/>
      <c r="R217" s="20" t="n"/>
      <c r="S217" s="20" t="n"/>
      <c r="T217" s="19" t="n"/>
      <c r="U217" s="19" t="n"/>
      <c r="V217" s="19" t="n"/>
      <c r="W217" s="19" t="n"/>
      <c r="X217" s="19" t="n"/>
      <c r="Y217" s="20" t="n"/>
    </row>
    <row r="218" ht="22" customHeight="1"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15" t="n"/>
      <c r="P218" s="21" t="n"/>
      <c r="Q218" s="21" t="n"/>
      <c r="R218" s="22" t="n"/>
      <c r="S218" s="22" t="n"/>
      <c r="T218" s="21" t="n"/>
      <c r="U218" s="21" t="n"/>
      <c r="V218" s="21" t="n"/>
      <c r="W218" s="21" t="n"/>
      <c r="X218" s="21" t="n"/>
      <c r="Y218" s="22" t="n"/>
    </row>
    <row r="219" ht="22" customHeight="1"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3" t="n"/>
      <c r="P219" s="19" t="n"/>
      <c r="Q219" s="19" t="n"/>
      <c r="R219" s="20" t="n"/>
      <c r="S219" s="20" t="n"/>
      <c r="T219" s="19" t="n"/>
      <c r="U219" s="19" t="n"/>
      <c r="V219" s="19" t="n"/>
      <c r="W219" s="19" t="n"/>
      <c r="X219" s="19" t="n"/>
      <c r="Y219" s="20" t="n"/>
    </row>
    <row r="220" ht="22" customHeight="1"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15" t="n"/>
      <c r="P220" s="21" t="n"/>
      <c r="Q220" s="21" t="n"/>
      <c r="R220" s="22" t="n"/>
      <c r="S220" s="22" t="n"/>
      <c r="T220" s="21" t="n"/>
      <c r="U220" s="21" t="n"/>
      <c r="V220" s="21" t="n"/>
      <c r="W220" s="21" t="n"/>
      <c r="X220" s="21" t="n"/>
      <c r="Y220" s="22" t="n"/>
    </row>
    <row r="221" ht="22" customHeight="1"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3" t="n"/>
      <c r="P221" s="19" t="n"/>
      <c r="Q221" s="19" t="n"/>
      <c r="R221" s="20" t="n"/>
      <c r="S221" s="20" t="n"/>
      <c r="T221" s="19" t="n"/>
      <c r="U221" s="19" t="n"/>
      <c r="V221" s="19" t="n"/>
      <c r="W221" s="19" t="n"/>
      <c r="X221" s="19" t="n"/>
      <c r="Y221" s="20" t="n"/>
    </row>
    <row r="222" ht="22" customHeight="1"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15" t="n"/>
      <c r="P222" s="21" t="n"/>
      <c r="Q222" s="21" t="n"/>
      <c r="R222" s="22" t="n"/>
      <c r="S222" s="22" t="n"/>
      <c r="T222" s="21" t="n"/>
      <c r="U222" s="21" t="n"/>
      <c r="V222" s="21" t="n"/>
      <c r="W222" s="21" t="n"/>
      <c r="X222" s="21" t="n"/>
      <c r="Y222" s="22" t="n"/>
    </row>
    <row r="223" ht="22" customHeight="1"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3" t="n"/>
      <c r="P223" s="19" t="n"/>
      <c r="Q223" s="19" t="n"/>
      <c r="R223" s="20" t="n"/>
      <c r="S223" s="20" t="n"/>
      <c r="T223" s="19" t="n"/>
      <c r="U223" s="19" t="n"/>
      <c r="V223" s="19" t="n"/>
      <c r="W223" s="19" t="n"/>
      <c r="X223" s="19" t="n"/>
      <c r="Y223" s="20" t="n"/>
    </row>
    <row r="224" ht="22" customHeight="1"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15" t="n"/>
      <c r="P224" s="21" t="n"/>
      <c r="Q224" s="21" t="n"/>
      <c r="R224" s="22" t="n"/>
      <c r="S224" s="22" t="n"/>
      <c r="T224" s="21" t="n"/>
      <c r="U224" s="21" t="n"/>
      <c r="V224" s="21" t="n"/>
      <c r="W224" s="21" t="n"/>
      <c r="X224" s="21" t="n"/>
      <c r="Y224" s="22" t="n"/>
    </row>
    <row r="225" ht="22" customHeight="1"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3" t="n"/>
      <c r="P225" s="19" t="n"/>
      <c r="Q225" s="19" t="n"/>
      <c r="R225" s="20" t="n"/>
      <c r="S225" s="20" t="n"/>
      <c r="T225" s="19" t="n"/>
      <c r="U225" s="19" t="n"/>
      <c r="V225" s="19" t="n"/>
      <c r="W225" s="19" t="n"/>
      <c r="X225" s="19" t="n"/>
      <c r="Y225" s="20" t="n"/>
    </row>
    <row r="226" ht="22" customHeight="1"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15" t="n"/>
      <c r="P226" s="21" t="n"/>
      <c r="Q226" s="21" t="n"/>
      <c r="R226" s="22" t="n"/>
      <c r="S226" s="22" t="n"/>
      <c r="T226" s="21" t="n"/>
      <c r="U226" s="21" t="n"/>
      <c r="V226" s="21" t="n"/>
      <c r="W226" s="21" t="n"/>
      <c r="X226" s="21" t="n"/>
      <c r="Y226" s="22" t="n"/>
    </row>
    <row r="227" ht="22" customHeight="1"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3" t="n"/>
      <c r="P227" s="19" t="n"/>
      <c r="Q227" s="19" t="n"/>
      <c r="R227" s="20" t="n"/>
      <c r="S227" s="20" t="n"/>
      <c r="T227" s="19" t="n"/>
      <c r="U227" s="19" t="n"/>
      <c r="V227" s="19" t="n"/>
      <c r="W227" s="19" t="n"/>
      <c r="X227" s="19" t="n"/>
      <c r="Y227" s="20" t="n"/>
    </row>
    <row r="228" ht="22" customHeight="1"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15" t="n"/>
      <c r="P228" s="21" t="n"/>
      <c r="Q228" s="21" t="n"/>
      <c r="R228" s="22" t="n"/>
      <c r="S228" s="22" t="n"/>
      <c r="T228" s="21" t="n"/>
      <c r="U228" s="21" t="n"/>
      <c r="V228" s="21" t="n"/>
      <c r="W228" s="21" t="n"/>
      <c r="X228" s="21" t="n"/>
      <c r="Y228" s="22" t="n"/>
    </row>
    <row r="229" ht="22" customHeight="1"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3" t="n"/>
      <c r="P229" s="19" t="n"/>
      <c r="Q229" s="19" t="n"/>
      <c r="R229" s="20" t="n"/>
      <c r="S229" s="20" t="n"/>
      <c r="T229" s="19" t="n"/>
      <c r="U229" s="19" t="n"/>
      <c r="V229" s="19" t="n"/>
      <c r="W229" s="19" t="n"/>
      <c r="X229" s="19" t="n"/>
      <c r="Y229" s="20" t="n"/>
    </row>
    <row r="230" ht="22" customHeight="1"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15" t="n"/>
      <c r="P230" s="21" t="n"/>
      <c r="Q230" s="21" t="n"/>
      <c r="R230" s="22" t="n"/>
      <c r="S230" s="22" t="n"/>
      <c r="T230" s="21" t="n"/>
      <c r="U230" s="21" t="n"/>
      <c r="V230" s="21" t="n"/>
      <c r="W230" s="21" t="n"/>
      <c r="X230" s="21" t="n"/>
      <c r="Y230" s="22" t="n"/>
    </row>
    <row r="231" ht="22" customHeight="1"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3" t="n"/>
      <c r="P231" s="19" t="n"/>
      <c r="Q231" s="19" t="n"/>
      <c r="R231" s="20" t="n"/>
      <c r="S231" s="20" t="n"/>
      <c r="T231" s="19" t="n"/>
      <c r="U231" s="19" t="n"/>
      <c r="V231" s="19" t="n"/>
      <c r="W231" s="19" t="n"/>
      <c r="X231" s="19" t="n"/>
      <c r="Y231" s="20" t="n"/>
    </row>
    <row r="232" ht="22" customHeight="1"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15" t="n"/>
      <c r="P232" s="21" t="n"/>
      <c r="Q232" s="21" t="n"/>
      <c r="R232" s="22" t="n"/>
      <c r="S232" s="22" t="n"/>
      <c r="T232" s="21" t="n"/>
      <c r="U232" s="21" t="n"/>
      <c r="V232" s="21" t="n"/>
      <c r="W232" s="21" t="n"/>
      <c r="X232" s="21" t="n"/>
      <c r="Y232" s="22" t="n"/>
    </row>
    <row r="233" ht="22" customHeight="1"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3" t="n"/>
      <c r="P233" s="19" t="n"/>
      <c r="Q233" s="19" t="n"/>
      <c r="R233" s="20" t="n"/>
      <c r="S233" s="20" t="n"/>
      <c r="T233" s="19" t="n"/>
      <c r="U233" s="19" t="n"/>
      <c r="V233" s="19" t="n"/>
      <c r="W233" s="19" t="n"/>
      <c r="X233" s="19" t="n"/>
      <c r="Y233" s="20" t="n"/>
    </row>
    <row r="234" ht="22" customHeight="1"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15" t="n"/>
      <c r="P234" s="21" t="n"/>
      <c r="Q234" s="21" t="n"/>
      <c r="R234" s="22" t="n"/>
      <c r="S234" s="22" t="n"/>
      <c r="T234" s="21" t="n"/>
      <c r="U234" s="21" t="n"/>
      <c r="V234" s="21" t="n"/>
      <c r="W234" s="21" t="n"/>
      <c r="X234" s="21" t="n"/>
      <c r="Y234" s="22" t="n"/>
    </row>
    <row r="235" ht="22" customHeight="1"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3" t="n"/>
      <c r="P235" s="19" t="n"/>
      <c r="Q235" s="19" t="n"/>
      <c r="R235" s="20" t="n"/>
      <c r="S235" s="20" t="n"/>
      <c r="T235" s="19" t="n"/>
      <c r="U235" s="19" t="n"/>
      <c r="V235" s="19" t="n"/>
      <c r="W235" s="19" t="n"/>
      <c r="X235" s="19" t="n"/>
      <c r="Y235" s="20" t="n"/>
    </row>
    <row r="236" ht="22" customHeight="1"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15" t="n"/>
      <c r="P236" s="21" t="n"/>
      <c r="Q236" s="21" t="n"/>
      <c r="R236" s="22" t="n"/>
      <c r="S236" s="22" t="n"/>
      <c r="T236" s="21" t="n"/>
      <c r="U236" s="21" t="n"/>
      <c r="V236" s="21" t="n"/>
      <c r="W236" s="21" t="n"/>
      <c r="X236" s="21" t="n"/>
      <c r="Y236" s="22" t="n"/>
    </row>
    <row r="237" ht="22" customHeight="1"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3" t="n"/>
      <c r="P237" s="19" t="n"/>
      <c r="Q237" s="19" t="n"/>
      <c r="R237" s="20" t="n"/>
      <c r="S237" s="20" t="n"/>
      <c r="T237" s="19" t="n"/>
      <c r="U237" s="19" t="n"/>
      <c r="V237" s="19" t="n"/>
      <c r="W237" s="19" t="n"/>
      <c r="X237" s="19" t="n"/>
      <c r="Y237" s="20" t="n"/>
    </row>
    <row r="238" ht="22" customHeight="1"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15" t="n"/>
      <c r="P238" s="21" t="n"/>
      <c r="Q238" s="21" t="n"/>
      <c r="R238" s="22" t="n"/>
      <c r="S238" s="22" t="n"/>
      <c r="T238" s="21" t="n"/>
      <c r="U238" s="21" t="n"/>
      <c r="V238" s="21" t="n"/>
      <c r="W238" s="21" t="n"/>
      <c r="X238" s="21" t="n"/>
      <c r="Y238" s="22" t="n"/>
    </row>
    <row r="239" ht="22" customHeight="1"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3" t="n"/>
      <c r="P239" s="19" t="n"/>
      <c r="Q239" s="19" t="n"/>
      <c r="R239" s="20" t="n"/>
      <c r="S239" s="20" t="n"/>
      <c r="T239" s="19" t="n"/>
      <c r="U239" s="19" t="n"/>
      <c r="V239" s="19" t="n"/>
      <c r="W239" s="19" t="n"/>
      <c r="X239" s="19" t="n"/>
      <c r="Y239" s="20" t="n"/>
    </row>
    <row r="240" ht="22" customHeight="1"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15" t="n"/>
      <c r="P240" s="21" t="n"/>
      <c r="Q240" s="21" t="n"/>
      <c r="R240" s="22" t="n"/>
      <c r="S240" s="22" t="n"/>
      <c r="T240" s="21" t="n"/>
      <c r="U240" s="21" t="n"/>
      <c r="V240" s="21" t="n"/>
      <c r="W240" s="21" t="n"/>
      <c r="X240" s="21" t="n"/>
      <c r="Y240" s="22" t="n"/>
    </row>
    <row r="241" ht="22" customHeight="1"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3" t="n"/>
      <c r="P241" s="19" t="n"/>
      <c r="Q241" s="19" t="n"/>
      <c r="R241" s="20" t="n"/>
      <c r="S241" s="20" t="n"/>
      <c r="T241" s="19" t="n"/>
      <c r="U241" s="19" t="n"/>
      <c r="V241" s="19" t="n"/>
      <c r="W241" s="19" t="n"/>
      <c r="X241" s="19" t="n"/>
      <c r="Y241" s="20" t="n"/>
    </row>
    <row r="242" ht="22" customHeight="1"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15" t="n"/>
      <c r="P242" s="21" t="n"/>
      <c r="Q242" s="21" t="n"/>
      <c r="R242" s="22" t="n"/>
      <c r="S242" s="22" t="n"/>
      <c r="T242" s="21" t="n"/>
      <c r="U242" s="21" t="n"/>
      <c r="V242" s="21" t="n"/>
      <c r="W242" s="21" t="n"/>
      <c r="X242" s="21" t="n"/>
      <c r="Y242" s="22" t="n"/>
    </row>
    <row r="243" ht="22" customHeight="1"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3" t="n"/>
      <c r="P243" s="19" t="n"/>
      <c r="Q243" s="19" t="n"/>
      <c r="R243" s="20" t="n"/>
      <c r="S243" s="20" t="n"/>
      <c r="T243" s="19" t="n"/>
      <c r="U243" s="19" t="n"/>
      <c r="V243" s="19" t="n"/>
      <c r="W243" s="19" t="n"/>
      <c r="X243" s="19" t="n"/>
      <c r="Y243" s="20" t="n"/>
    </row>
    <row r="244" ht="22" customHeight="1"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15" t="n"/>
      <c r="P244" s="21" t="n"/>
      <c r="Q244" s="21" t="n"/>
      <c r="R244" s="22" t="n"/>
      <c r="S244" s="22" t="n"/>
      <c r="T244" s="21" t="n"/>
      <c r="U244" s="21" t="n"/>
      <c r="V244" s="21" t="n"/>
      <c r="W244" s="21" t="n"/>
      <c r="X244" s="21" t="n"/>
      <c r="Y244" s="22" t="n"/>
    </row>
    <row r="245" ht="22" customHeight="1"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3" t="n"/>
      <c r="P245" s="19" t="n"/>
      <c r="Q245" s="19" t="n"/>
      <c r="R245" s="20" t="n"/>
      <c r="S245" s="20" t="n"/>
      <c r="T245" s="19" t="n"/>
      <c r="U245" s="19" t="n"/>
      <c r="V245" s="19" t="n"/>
      <c r="W245" s="19" t="n"/>
      <c r="X245" s="19" t="n"/>
      <c r="Y245" s="20" t="n"/>
    </row>
    <row r="246" ht="22" customHeight="1"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15" t="n"/>
      <c r="P246" s="21" t="n"/>
      <c r="Q246" s="21" t="n"/>
      <c r="R246" s="22" t="n"/>
      <c r="S246" s="22" t="n"/>
      <c r="T246" s="21" t="n"/>
      <c r="U246" s="21" t="n"/>
      <c r="V246" s="21" t="n"/>
      <c r="W246" s="21" t="n"/>
      <c r="X246" s="21" t="n"/>
      <c r="Y246" s="22" t="n"/>
    </row>
    <row r="247" ht="22" customHeight="1"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3" t="n"/>
      <c r="P247" s="19" t="n"/>
      <c r="Q247" s="19" t="n"/>
      <c r="R247" s="20" t="n"/>
      <c r="S247" s="20" t="n"/>
      <c r="T247" s="19" t="n"/>
      <c r="U247" s="19" t="n"/>
      <c r="V247" s="19" t="n"/>
      <c r="W247" s="19" t="n"/>
      <c r="X247" s="19" t="n"/>
      <c r="Y247" s="20" t="n"/>
    </row>
    <row r="248" ht="22" customHeight="1"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15" t="n"/>
      <c r="P248" s="21" t="n"/>
      <c r="Q248" s="21" t="n"/>
      <c r="R248" s="22" t="n"/>
      <c r="S248" s="22" t="n"/>
      <c r="T248" s="21" t="n"/>
      <c r="U248" s="21" t="n"/>
      <c r="V248" s="21" t="n"/>
      <c r="W248" s="21" t="n"/>
      <c r="X248" s="21" t="n"/>
      <c r="Y248" s="22" t="n"/>
    </row>
    <row r="249" ht="22" customHeight="1"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3" t="n"/>
      <c r="P249" s="19" t="n"/>
      <c r="Q249" s="19" t="n"/>
      <c r="R249" s="20" t="n"/>
      <c r="S249" s="20" t="n"/>
      <c r="T249" s="19" t="n"/>
      <c r="U249" s="19" t="n"/>
      <c r="V249" s="19" t="n"/>
      <c r="W249" s="19" t="n"/>
      <c r="X249" s="19" t="n"/>
      <c r="Y249" s="20" t="n"/>
    </row>
    <row r="250" ht="22" customHeight="1"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15" t="n"/>
      <c r="P250" s="21" t="n"/>
      <c r="Q250" s="21" t="n"/>
      <c r="R250" s="22" t="n"/>
      <c r="S250" s="22" t="n"/>
      <c r="T250" s="21" t="n"/>
      <c r="U250" s="21" t="n"/>
      <c r="V250" s="21" t="n"/>
      <c r="W250" s="21" t="n"/>
      <c r="X250" s="21" t="n"/>
      <c r="Y250" s="22" t="n"/>
    </row>
    <row r="251" ht="22" customHeight="1"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3" t="n"/>
      <c r="P251" s="19" t="n"/>
      <c r="Q251" s="19" t="n"/>
      <c r="R251" s="20" t="n"/>
      <c r="S251" s="20" t="n"/>
      <c r="T251" s="19" t="n"/>
      <c r="U251" s="19" t="n"/>
      <c r="V251" s="19" t="n"/>
      <c r="W251" s="19" t="n"/>
      <c r="X251" s="19" t="n"/>
      <c r="Y251" s="20" t="n"/>
    </row>
    <row r="252" ht="22" customHeight="1"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15" t="n"/>
      <c r="P252" s="21" t="n"/>
      <c r="Q252" s="21" t="n"/>
      <c r="R252" s="22" t="n"/>
      <c r="S252" s="22" t="n"/>
      <c r="T252" s="21" t="n"/>
      <c r="U252" s="21" t="n"/>
      <c r="V252" s="21" t="n"/>
      <c r="W252" s="21" t="n"/>
      <c r="X252" s="21" t="n"/>
      <c r="Y252" s="22" t="n"/>
    </row>
    <row r="253" ht="22" customHeight="1"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3" t="n"/>
      <c r="P253" s="19" t="n"/>
      <c r="Q253" s="19" t="n"/>
      <c r="R253" s="20" t="n"/>
      <c r="S253" s="20" t="n"/>
      <c r="T253" s="19" t="n"/>
      <c r="U253" s="19" t="n"/>
      <c r="V253" s="19" t="n"/>
      <c r="W253" s="19" t="n"/>
      <c r="X253" s="19" t="n"/>
      <c r="Y253" s="20" t="n"/>
    </row>
    <row r="254" ht="22" customHeight="1"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15" t="n"/>
      <c r="P254" s="21" t="n"/>
      <c r="Q254" s="21" t="n"/>
      <c r="R254" s="22" t="n"/>
      <c r="S254" s="22" t="n"/>
      <c r="T254" s="21" t="n"/>
      <c r="U254" s="21" t="n"/>
      <c r="V254" s="21" t="n"/>
      <c r="W254" s="21" t="n"/>
      <c r="X254" s="21" t="n"/>
      <c r="Y254" s="22" t="n"/>
    </row>
    <row r="255" ht="22" customHeight="1"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3" t="n"/>
      <c r="P255" s="19" t="n"/>
      <c r="Q255" s="19" t="n"/>
      <c r="R255" s="20" t="n"/>
      <c r="S255" s="20" t="n"/>
      <c r="T255" s="19" t="n"/>
      <c r="U255" s="19" t="n"/>
      <c r="V255" s="19" t="n"/>
      <c r="W255" s="19" t="n"/>
      <c r="X255" s="19" t="n"/>
      <c r="Y255" s="20" t="n"/>
    </row>
    <row r="256" ht="22" customHeight="1"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15" t="n"/>
      <c r="P256" s="21" t="n"/>
      <c r="Q256" s="21" t="n"/>
      <c r="R256" s="22" t="n"/>
      <c r="S256" s="22" t="n"/>
      <c r="T256" s="21" t="n"/>
      <c r="U256" s="21" t="n"/>
      <c r="V256" s="21" t="n"/>
      <c r="W256" s="21" t="n"/>
      <c r="X256" s="21" t="n"/>
      <c r="Y256" s="22" t="n"/>
    </row>
    <row r="257" ht="22" customHeight="1"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3" t="n"/>
      <c r="P257" s="19" t="n"/>
      <c r="Q257" s="19" t="n"/>
      <c r="R257" s="20" t="n"/>
      <c r="S257" s="20" t="n"/>
      <c r="T257" s="19" t="n"/>
      <c r="U257" s="19" t="n"/>
      <c r="V257" s="19" t="n"/>
      <c r="W257" s="19" t="n"/>
      <c r="X257" s="19" t="n"/>
      <c r="Y257" s="20" t="n"/>
    </row>
    <row r="258" ht="22" customHeight="1"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15" t="n"/>
      <c r="P258" s="21" t="n"/>
      <c r="Q258" s="21" t="n"/>
      <c r="R258" s="22" t="n"/>
      <c r="S258" s="22" t="n"/>
      <c r="T258" s="21" t="n"/>
      <c r="U258" s="21" t="n"/>
      <c r="V258" s="21" t="n"/>
      <c r="W258" s="21" t="n"/>
      <c r="X258" s="21" t="n"/>
      <c r="Y258" s="22" t="n"/>
    </row>
    <row r="259" ht="22" customHeight="1"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3" t="n"/>
      <c r="P259" s="19" t="n"/>
      <c r="Q259" s="19" t="n"/>
      <c r="R259" s="20" t="n"/>
      <c r="S259" s="20" t="n"/>
      <c r="T259" s="19" t="n"/>
      <c r="U259" s="19" t="n"/>
      <c r="V259" s="19" t="n"/>
      <c r="W259" s="19" t="n"/>
      <c r="X259" s="19" t="n"/>
      <c r="Y259" s="20" t="n"/>
    </row>
    <row r="260" ht="22" customHeight="1"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15" t="n"/>
      <c r="P260" s="21" t="n"/>
      <c r="Q260" s="21" t="n"/>
      <c r="R260" s="22" t="n"/>
      <c r="S260" s="22" t="n"/>
      <c r="T260" s="21" t="n"/>
      <c r="U260" s="21" t="n"/>
      <c r="V260" s="21" t="n"/>
      <c r="W260" s="21" t="n"/>
      <c r="X260" s="21" t="n"/>
      <c r="Y260" s="22" t="n"/>
    </row>
    <row r="261" ht="22" customHeight="1"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3" t="n"/>
      <c r="P261" s="19" t="n"/>
      <c r="Q261" s="19" t="n"/>
      <c r="R261" s="20" t="n"/>
      <c r="S261" s="20" t="n"/>
      <c r="T261" s="19" t="n"/>
      <c r="U261" s="19" t="n"/>
      <c r="V261" s="19" t="n"/>
      <c r="W261" s="19" t="n"/>
      <c r="X261" s="19" t="n"/>
      <c r="Y261" s="20" t="n"/>
    </row>
    <row r="262" ht="22" customHeight="1"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15" t="n"/>
      <c r="P262" s="21" t="n"/>
      <c r="Q262" s="21" t="n"/>
      <c r="R262" s="22" t="n"/>
      <c r="S262" s="22" t="n"/>
      <c r="T262" s="21" t="n"/>
      <c r="U262" s="21" t="n"/>
      <c r="V262" s="21" t="n"/>
      <c r="W262" s="21" t="n"/>
      <c r="X262" s="21" t="n"/>
      <c r="Y262" s="22" t="n"/>
    </row>
    <row r="263" ht="22" customHeight="1"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3" t="n"/>
      <c r="P263" s="19" t="n"/>
      <c r="Q263" s="19" t="n"/>
      <c r="R263" s="20" t="n"/>
      <c r="S263" s="20" t="n"/>
      <c r="T263" s="19" t="n"/>
      <c r="U263" s="19" t="n"/>
      <c r="V263" s="19" t="n"/>
      <c r="W263" s="19" t="n"/>
      <c r="X263" s="19" t="n"/>
      <c r="Y263" s="20" t="n"/>
    </row>
    <row r="264" ht="22" customHeight="1"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15" t="n"/>
      <c r="P264" s="21" t="n"/>
      <c r="Q264" s="21" t="n"/>
      <c r="R264" s="22" t="n"/>
      <c r="S264" s="22" t="n"/>
      <c r="T264" s="21" t="n"/>
      <c r="U264" s="21" t="n"/>
      <c r="V264" s="21" t="n"/>
      <c r="W264" s="21" t="n"/>
      <c r="X264" s="21" t="n"/>
      <c r="Y264" s="22" t="n"/>
    </row>
    <row r="265" ht="22" customHeight="1"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3" t="n"/>
      <c r="P265" s="19" t="n"/>
      <c r="Q265" s="19" t="n"/>
      <c r="R265" s="20" t="n"/>
      <c r="S265" s="20" t="n"/>
      <c r="T265" s="19" t="n"/>
      <c r="U265" s="19" t="n"/>
      <c r="V265" s="19" t="n"/>
      <c r="W265" s="19" t="n"/>
      <c r="X265" s="19" t="n"/>
      <c r="Y265" s="20" t="n"/>
    </row>
    <row r="266" ht="22" customHeight="1"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15" t="n"/>
      <c r="P266" s="21" t="n"/>
      <c r="Q266" s="21" t="n"/>
      <c r="R266" s="22" t="n"/>
      <c r="S266" s="22" t="n"/>
      <c r="T266" s="21" t="n"/>
      <c r="U266" s="21" t="n"/>
      <c r="V266" s="21" t="n"/>
      <c r="W266" s="21" t="n"/>
      <c r="X266" s="21" t="n"/>
      <c r="Y266" s="22" t="n"/>
    </row>
    <row r="267" ht="22" customHeight="1"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3" t="n"/>
      <c r="P267" s="19" t="n"/>
      <c r="Q267" s="19" t="n"/>
      <c r="R267" s="20" t="n"/>
      <c r="S267" s="20" t="n"/>
      <c r="T267" s="19" t="n"/>
      <c r="U267" s="19" t="n"/>
      <c r="V267" s="19" t="n"/>
      <c r="W267" s="19" t="n"/>
      <c r="X267" s="19" t="n"/>
      <c r="Y267" s="20" t="n"/>
    </row>
    <row r="268" ht="22" customHeight="1"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15" t="n"/>
      <c r="P268" s="21" t="n"/>
      <c r="Q268" s="21" t="n"/>
      <c r="R268" s="22" t="n"/>
      <c r="S268" s="22" t="n"/>
      <c r="T268" s="21" t="n"/>
      <c r="U268" s="21" t="n"/>
      <c r="V268" s="21" t="n"/>
      <c r="W268" s="21" t="n"/>
      <c r="X268" s="21" t="n"/>
      <c r="Y268" s="22" t="n"/>
    </row>
    <row r="269" ht="22" customHeight="1"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3" t="n"/>
      <c r="P269" s="19" t="n"/>
      <c r="Q269" s="19" t="n"/>
      <c r="R269" s="20" t="n"/>
      <c r="S269" s="20" t="n"/>
      <c r="T269" s="19" t="n"/>
      <c r="U269" s="19" t="n"/>
      <c r="V269" s="19" t="n"/>
      <c r="W269" s="19" t="n"/>
      <c r="X269" s="19" t="n"/>
      <c r="Y269" s="20" t="n"/>
    </row>
    <row r="270" ht="22" customHeight="1"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15" t="n"/>
      <c r="P270" s="21" t="n"/>
      <c r="Q270" s="21" t="n"/>
      <c r="R270" s="22" t="n"/>
      <c r="S270" s="22" t="n"/>
      <c r="T270" s="21" t="n"/>
      <c r="U270" s="21" t="n"/>
      <c r="V270" s="21" t="n"/>
      <c r="W270" s="21" t="n"/>
      <c r="X270" s="21" t="n"/>
      <c r="Y270" s="22" t="n"/>
    </row>
    <row r="271" ht="22" customHeight="1"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3" t="n"/>
      <c r="P271" s="19" t="n"/>
      <c r="Q271" s="19" t="n"/>
      <c r="R271" s="20" t="n"/>
      <c r="S271" s="20" t="n"/>
      <c r="T271" s="19" t="n"/>
      <c r="U271" s="19" t="n"/>
      <c r="V271" s="19" t="n"/>
      <c r="W271" s="19" t="n"/>
      <c r="X271" s="19" t="n"/>
      <c r="Y271" s="20" t="n"/>
    </row>
    <row r="272" ht="22" customHeight="1"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15" t="n"/>
      <c r="P272" s="21" t="n"/>
      <c r="Q272" s="21" t="n"/>
      <c r="R272" s="22" t="n"/>
      <c r="S272" s="22" t="n"/>
      <c r="T272" s="21" t="n"/>
      <c r="U272" s="21" t="n"/>
      <c r="V272" s="21" t="n"/>
      <c r="W272" s="21" t="n"/>
      <c r="X272" s="21" t="n"/>
      <c r="Y272" s="22" t="n"/>
    </row>
    <row r="273" ht="22" customHeight="1"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3" t="n"/>
      <c r="P273" s="19" t="n"/>
      <c r="Q273" s="19" t="n"/>
      <c r="R273" s="20" t="n"/>
      <c r="S273" s="20" t="n"/>
      <c r="T273" s="19" t="n"/>
      <c r="U273" s="19" t="n"/>
      <c r="V273" s="19" t="n"/>
      <c r="W273" s="19" t="n"/>
      <c r="X273" s="19" t="n"/>
      <c r="Y273" s="20" t="n"/>
    </row>
    <row r="274" ht="22" customHeight="1"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15" t="n"/>
      <c r="P274" s="21" t="n"/>
      <c r="Q274" s="21" t="n"/>
      <c r="R274" s="22" t="n"/>
      <c r="S274" s="22" t="n"/>
      <c r="T274" s="21" t="n"/>
      <c r="U274" s="21" t="n"/>
      <c r="V274" s="21" t="n"/>
      <c r="W274" s="21" t="n"/>
      <c r="X274" s="21" t="n"/>
      <c r="Y274" s="22" t="n"/>
    </row>
    <row r="275" ht="22" customHeight="1"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3" t="n"/>
      <c r="P275" s="19" t="n"/>
      <c r="Q275" s="19" t="n"/>
      <c r="R275" s="20" t="n"/>
      <c r="S275" s="20" t="n"/>
      <c r="T275" s="19" t="n"/>
      <c r="U275" s="19" t="n"/>
      <c r="V275" s="19" t="n"/>
      <c r="W275" s="19" t="n"/>
      <c r="X275" s="19" t="n"/>
      <c r="Y275" s="20" t="n"/>
    </row>
    <row r="276" ht="22" customHeight="1"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15" t="n"/>
      <c r="P276" s="21" t="n"/>
      <c r="Q276" s="21" t="n"/>
      <c r="R276" s="22" t="n"/>
      <c r="S276" s="22" t="n"/>
      <c r="T276" s="21" t="n"/>
      <c r="U276" s="21" t="n"/>
      <c r="V276" s="21" t="n"/>
      <c r="W276" s="21" t="n"/>
      <c r="X276" s="21" t="n"/>
      <c r="Y276" s="22" t="n"/>
    </row>
    <row r="277" ht="22" customHeight="1"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3" t="n"/>
      <c r="P277" s="19" t="n"/>
      <c r="Q277" s="19" t="n"/>
      <c r="R277" s="20" t="n"/>
      <c r="S277" s="20" t="n"/>
      <c r="T277" s="19" t="n"/>
      <c r="U277" s="19" t="n"/>
      <c r="V277" s="19" t="n"/>
      <c r="W277" s="19" t="n"/>
      <c r="X277" s="19" t="n"/>
      <c r="Y277" s="20" t="n"/>
    </row>
    <row r="278" ht="22" customHeight="1"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15" t="n"/>
      <c r="P278" s="21" t="n"/>
      <c r="Q278" s="21" t="n"/>
      <c r="R278" s="22" t="n"/>
      <c r="S278" s="22" t="n"/>
      <c r="T278" s="21" t="n"/>
      <c r="U278" s="21" t="n"/>
      <c r="V278" s="21" t="n"/>
      <c r="W278" s="21" t="n"/>
      <c r="X278" s="21" t="n"/>
      <c r="Y278" s="22" t="n"/>
    </row>
    <row r="279" ht="22" customHeight="1"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3" t="n"/>
      <c r="P279" s="19" t="n"/>
      <c r="Q279" s="19" t="n"/>
      <c r="R279" s="20" t="n"/>
      <c r="S279" s="20" t="n"/>
      <c r="T279" s="19" t="n"/>
      <c r="U279" s="19" t="n"/>
      <c r="V279" s="19" t="n"/>
      <c r="W279" s="19" t="n"/>
      <c r="X279" s="19" t="n"/>
      <c r="Y279" s="20" t="n"/>
    </row>
    <row r="280" ht="22" customHeight="1"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15" t="n"/>
      <c r="P280" s="21" t="n"/>
      <c r="Q280" s="21" t="n"/>
      <c r="R280" s="22" t="n"/>
      <c r="S280" s="22" t="n"/>
      <c r="T280" s="21" t="n"/>
      <c r="U280" s="21" t="n"/>
      <c r="V280" s="21" t="n"/>
      <c r="W280" s="21" t="n"/>
      <c r="X280" s="21" t="n"/>
      <c r="Y280" s="22" t="n"/>
    </row>
    <row r="281" ht="22" customHeight="1"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3" t="n"/>
      <c r="P281" s="19" t="n"/>
      <c r="Q281" s="19" t="n"/>
      <c r="R281" s="20" t="n"/>
      <c r="S281" s="20" t="n"/>
      <c r="T281" s="19" t="n"/>
      <c r="U281" s="19" t="n"/>
      <c r="V281" s="19" t="n"/>
      <c r="W281" s="19" t="n"/>
      <c r="X281" s="19" t="n"/>
      <c r="Y281" s="20" t="n"/>
    </row>
    <row r="282" ht="22" customHeight="1"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15" t="n"/>
      <c r="P282" s="21" t="n"/>
      <c r="Q282" s="21" t="n"/>
      <c r="R282" s="22" t="n"/>
      <c r="S282" s="22" t="n"/>
      <c r="T282" s="21" t="n"/>
      <c r="U282" s="21" t="n"/>
      <c r="V282" s="21" t="n"/>
      <c r="W282" s="21" t="n"/>
      <c r="X282" s="21" t="n"/>
      <c r="Y282" s="22" t="n"/>
    </row>
    <row r="283" ht="22" customHeight="1"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3" t="n"/>
      <c r="P283" s="19" t="n"/>
      <c r="Q283" s="19" t="n"/>
      <c r="R283" s="20" t="n"/>
      <c r="S283" s="20" t="n"/>
      <c r="T283" s="19" t="n"/>
      <c r="U283" s="19" t="n"/>
      <c r="V283" s="19" t="n"/>
      <c r="W283" s="19" t="n"/>
      <c r="X283" s="19" t="n"/>
      <c r="Y283" s="20" t="n"/>
    </row>
    <row r="284" ht="22" customHeight="1"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15" t="n"/>
      <c r="P284" s="21" t="n"/>
      <c r="Q284" s="21" t="n"/>
      <c r="R284" s="22" t="n"/>
      <c r="S284" s="22" t="n"/>
      <c r="T284" s="21" t="n"/>
      <c r="U284" s="21" t="n"/>
      <c r="V284" s="21" t="n"/>
      <c r="W284" s="21" t="n"/>
      <c r="X284" s="21" t="n"/>
      <c r="Y284" s="22" t="n"/>
    </row>
    <row r="285" ht="22" customHeight="1"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3" t="n"/>
      <c r="P285" s="19" t="n"/>
      <c r="Q285" s="19" t="n"/>
      <c r="R285" s="20" t="n"/>
      <c r="S285" s="20" t="n"/>
      <c r="T285" s="19" t="n"/>
      <c r="U285" s="19" t="n"/>
      <c r="V285" s="19" t="n"/>
      <c r="W285" s="19" t="n"/>
      <c r="X285" s="19" t="n"/>
      <c r="Y285" s="20" t="n"/>
    </row>
    <row r="286" ht="22" customHeight="1"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15" t="n"/>
      <c r="P286" s="21" t="n"/>
      <c r="Q286" s="21" t="n"/>
      <c r="R286" s="22" t="n"/>
      <c r="S286" s="22" t="n"/>
      <c r="T286" s="21" t="n"/>
      <c r="U286" s="21" t="n"/>
      <c r="V286" s="21" t="n"/>
      <c r="W286" s="21" t="n"/>
      <c r="X286" s="21" t="n"/>
      <c r="Y286" s="22" t="n"/>
    </row>
    <row r="287" ht="22" customHeight="1"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3" t="n"/>
      <c r="P287" s="19" t="n"/>
      <c r="Q287" s="19" t="n"/>
      <c r="R287" s="20" t="n"/>
      <c r="S287" s="20" t="n"/>
      <c r="T287" s="19" t="n"/>
      <c r="U287" s="19" t="n"/>
      <c r="V287" s="19" t="n"/>
      <c r="W287" s="19" t="n"/>
      <c r="X287" s="19" t="n"/>
      <c r="Y287" s="20" t="n"/>
    </row>
    <row r="288" ht="22" customHeight="1"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15" t="n"/>
      <c r="P288" s="21" t="n"/>
      <c r="Q288" s="21" t="n"/>
      <c r="R288" s="22" t="n"/>
      <c r="S288" s="22" t="n"/>
      <c r="T288" s="21" t="n"/>
      <c r="U288" s="21" t="n"/>
      <c r="V288" s="21" t="n"/>
      <c r="W288" s="21" t="n"/>
      <c r="X288" s="21" t="n"/>
      <c r="Y288" s="22" t="n"/>
    </row>
    <row r="289" ht="22" customHeight="1"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3" t="n"/>
      <c r="P289" s="19" t="n"/>
      <c r="Q289" s="19" t="n"/>
      <c r="R289" s="20" t="n"/>
      <c r="S289" s="20" t="n"/>
      <c r="T289" s="19" t="n"/>
      <c r="U289" s="19" t="n"/>
      <c r="V289" s="19" t="n"/>
      <c r="W289" s="19" t="n"/>
      <c r="X289" s="19" t="n"/>
      <c r="Y289" s="20" t="n"/>
    </row>
    <row r="290" ht="22" customHeight="1"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15" t="n"/>
      <c r="P290" s="21" t="n"/>
      <c r="Q290" s="21" t="n"/>
      <c r="R290" s="22" t="n"/>
      <c r="S290" s="22" t="n"/>
      <c r="T290" s="21" t="n"/>
      <c r="U290" s="21" t="n"/>
      <c r="V290" s="21" t="n"/>
      <c r="W290" s="21" t="n"/>
      <c r="X290" s="21" t="n"/>
      <c r="Y290" s="22" t="n"/>
    </row>
    <row r="291" ht="22" customHeight="1"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3" t="n"/>
      <c r="P291" s="19" t="n"/>
      <c r="Q291" s="19" t="n"/>
      <c r="R291" s="20" t="n"/>
      <c r="S291" s="20" t="n"/>
      <c r="T291" s="19" t="n"/>
      <c r="U291" s="19" t="n"/>
      <c r="V291" s="19" t="n"/>
      <c r="W291" s="19" t="n"/>
      <c r="X291" s="19" t="n"/>
      <c r="Y291" s="20" t="n"/>
    </row>
    <row r="292" ht="22" customHeight="1"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15" t="n"/>
      <c r="P292" s="21" t="n"/>
      <c r="Q292" s="21" t="n"/>
      <c r="R292" s="22" t="n"/>
      <c r="S292" s="22" t="n"/>
      <c r="T292" s="21" t="n"/>
      <c r="U292" s="21" t="n"/>
      <c r="V292" s="21" t="n"/>
      <c r="W292" s="21" t="n"/>
      <c r="X292" s="21" t="n"/>
      <c r="Y292" s="22" t="n"/>
    </row>
    <row r="293" ht="22" customHeight="1"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3" t="n"/>
      <c r="P293" s="19" t="n"/>
      <c r="Q293" s="19" t="n"/>
      <c r="R293" s="20" t="n"/>
      <c r="S293" s="20" t="n"/>
      <c r="T293" s="19" t="n"/>
      <c r="U293" s="19" t="n"/>
      <c r="V293" s="19" t="n"/>
      <c r="W293" s="19" t="n"/>
      <c r="X293" s="19" t="n"/>
      <c r="Y293" s="20" t="n"/>
    </row>
    <row r="294" ht="22" customHeight="1"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15" t="n"/>
      <c r="P294" s="21" t="n"/>
      <c r="Q294" s="21" t="n"/>
      <c r="R294" s="22" t="n"/>
      <c r="S294" s="22" t="n"/>
      <c r="T294" s="21" t="n"/>
      <c r="U294" s="21" t="n"/>
      <c r="V294" s="21" t="n"/>
      <c r="W294" s="21" t="n"/>
      <c r="X294" s="21" t="n"/>
      <c r="Y294" s="22" t="n"/>
    </row>
    <row r="295" ht="22" customHeight="1"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3" t="n"/>
      <c r="P295" s="19" t="n"/>
      <c r="Q295" s="19" t="n"/>
      <c r="R295" s="20" t="n"/>
      <c r="S295" s="20" t="n"/>
      <c r="T295" s="19" t="n"/>
      <c r="U295" s="19" t="n"/>
      <c r="V295" s="19" t="n"/>
      <c r="W295" s="19" t="n"/>
      <c r="X295" s="19" t="n"/>
      <c r="Y295" s="20" t="n"/>
    </row>
    <row r="296" ht="22" customHeight="1"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15" t="n"/>
      <c r="P296" s="21" t="n"/>
      <c r="Q296" s="21" t="n"/>
      <c r="R296" s="22" t="n"/>
      <c r="S296" s="22" t="n"/>
      <c r="T296" s="21" t="n"/>
      <c r="U296" s="21" t="n"/>
      <c r="V296" s="21" t="n"/>
      <c r="W296" s="21" t="n"/>
      <c r="X296" s="21" t="n"/>
      <c r="Y296" s="22" t="n"/>
    </row>
    <row r="297" ht="22" customHeight="1"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3" t="n"/>
      <c r="P297" s="19" t="n"/>
      <c r="Q297" s="19" t="n"/>
      <c r="R297" s="20" t="n"/>
      <c r="S297" s="20" t="n"/>
      <c r="T297" s="19" t="n"/>
      <c r="U297" s="19" t="n"/>
      <c r="V297" s="19" t="n"/>
      <c r="W297" s="19" t="n"/>
      <c r="X297" s="19" t="n"/>
      <c r="Y297" s="20" t="n"/>
    </row>
    <row r="298" ht="22" customHeight="1"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15" t="n"/>
      <c r="P298" s="21" t="n"/>
      <c r="Q298" s="21" t="n"/>
      <c r="R298" s="22" t="n"/>
      <c r="S298" s="22" t="n"/>
      <c r="T298" s="21" t="n"/>
      <c r="U298" s="21" t="n"/>
      <c r="V298" s="21" t="n"/>
      <c r="W298" s="21" t="n"/>
      <c r="X298" s="21" t="n"/>
      <c r="Y298" s="22" t="n"/>
    </row>
    <row r="299" ht="22" customHeight="1"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3" t="n"/>
      <c r="P299" s="19" t="n"/>
      <c r="Q299" s="19" t="n"/>
      <c r="R299" s="20" t="n"/>
      <c r="S299" s="20" t="n"/>
      <c r="T299" s="19" t="n"/>
      <c r="U299" s="19" t="n"/>
      <c r="V299" s="19" t="n"/>
      <c r="W299" s="19" t="n"/>
      <c r="X299" s="19" t="n"/>
      <c r="Y299" s="20" t="n"/>
    </row>
    <row r="300" ht="22" customHeight="1"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15" t="n"/>
      <c r="P300" s="21" t="n"/>
      <c r="Q300" s="21" t="n"/>
      <c r="R300" s="22" t="n"/>
      <c r="S300" s="22" t="n"/>
      <c r="T300" s="21" t="n"/>
      <c r="U300" s="21" t="n"/>
      <c r="V300" s="21" t="n"/>
      <c r="W300" s="21" t="n"/>
      <c r="X300" s="21" t="n"/>
      <c r="Y300" s="22" t="n"/>
    </row>
    <row r="301" ht="22" customHeight="1"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3" t="n"/>
      <c r="P301" s="19" t="n"/>
      <c r="Q301" s="19" t="n"/>
      <c r="R301" s="20" t="n"/>
      <c r="S301" s="20" t="n"/>
      <c r="T301" s="19" t="n"/>
      <c r="U301" s="19" t="n"/>
      <c r="V301" s="19" t="n"/>
      <c r="W301" s="19" t="n"/>
      <c r="X301" s="19" t="n"/>
      <c r="Y301" s="20" t="n"/>
    </row>
    <row r="302" ht="22" customHeight="1"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15" t="n"/>
      <c r="P302" s="21" t="n"/>
      <c r="Q302" s="21" t="n"/>
      <c r="R302" s="22" t="n"/>
      <c r="S302" s="22" t="n"/>
      <c r="T302" s="21" t="n"/>
      <c r="U302" s="21" t="n"/>
      <c r="V302" s="21" t="n"/>
      <c r="W302" s="21" t="n"/>
      <c r="X302" s="21" t="n"/>
      <c r="Y302" s="22" t="n"/>
    </row>
    <row r="303" ht="22" customHeight="1"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3" t="n"/>
      <c r="P303" s="19" t="n"/>
      <c r="Q303" s="19" t="n"/>
      <c r="R303" s="20" t="n"/>
      <c r="S303" s="20" t="n"/>
      <c r="T303" s="19" t="n"/>
      <c r="U303" s="19" t="n"/>
      <c r="V303" s="19" t="n"/>
      <c r="W303" s="19" t="n"/>
      <c r="X303" s="19" t="n"/>
      <c r="Y303" s="20" t="n"/>
    </row>
    <row r="304" ht="22" customHeight="1"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15" t="n"/>
      <c r="P304" s="21" t="n"/>
      <c r="Q304" s="21" t="n"/>
      <c r="R304" s="22" t="n"/>
      <c r="S304" s="22" t="n"/>
      <c r="T304" s="21" t="n"/>
      <c r="U304" s="21" t="n"/>
      <c r="V304" s="21" t="n"/>
      <c r="W304" s="21" t="n"/>
      <c r="X304" s="21" t="n"/>
      <c r="Y304" s="22" t="n"/>
    </row>
    <row r="305" ht="22" customHeight="1"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3" t="n"/>
      <c r="P305" s="19" t="n"/>
      <c r="Q305" s="19" t="n"/>
      <c r="R305" s="20" t="n"/>
      <c r="S305" s="20" t="n"/>
      <c r="T305" s="19" t="n"/>
      <c r="U305" s="19" t="n"/>
      <c r="V305" s="19" t="n"/>
      <c r="W305" s="19" t="n"/>
      <c r="X305" s="19" t="n"/>
      <c r="Y305" s="20" t="n"/>
    </row>
    <row r="306" ht="22" customHeight="1"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15" t="n"/>
      <c r="P306" s="21" t="n"/>
      <c r="Q306" s="21" t="n"/>
      <c r="R306" s="22" t="n"/>
      <c r="S306" s="22" t="n"/>
      <c r="T306" s="21" t="n"/>
      <c r="U306" s="21" t="n"/>
      <c r="V306" s="21" t="n"/>
      <c r="W306" s="21" t="n"/>
      <c r="X306" s="21" t="n"/>
      <c r="Y306" s="22" t="n"/>
    </row>
    <row r="307" ht="22" customHeight="1"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3" t="n"/>
      <c r="P307" s="19" t="n"/>
      <c r="Q307" s="19" t="n"/>
      <c r="R307" s="20" t="n"/>
      <c r="S307" s="20" t="n"/>
      <c r="T307" s="19" t="n"/>
      <c r="U307" s="19" t="n"/>
      <c r="V307" s="19" t="n"/>
      <c r="W307" s="19" t="n"/>
      <c r="X307" s="19" t="n"/>
      <c r="Y307" s="20" t="n"/>
    </row>
    <row r="308" ht="22" customHeight="1"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15" t="n"/>
      <c r="P308" s="21" t="n"/>
      <c r="Q308" s="21" t="n"/>
      <c r="R308" s="22" t="n"/>
      <c r="S308" s="22" t="n"/>
      <c r="T308" s="21" t="n"/>
      <c r="U308" s="21" t="n"/>
      <c r="V308" s="21" t="n"/>
      <c r="W308" s="21" t="n"/>
      <c r="X308" s="21" t="n"/>
      <c r="Y308" s="22" t="n"/>
    </row>
    <row r="309" ht="22" customHeight="1"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3" t="n"/>
      <c r="P309" s="19" t="n"/>
      <c r="Q309" s="19" t="n"/>
      <c r="R309" s="20" t="n"/>
      <c r="S309" s="20" t="n"/>
      <c r="T309" s="19" t="n"/>
      <c r="U309" s="19" t="n"/>
      <c r="V309" s="19" t="n"/>
      <c r="W309" s="19" t="n"/>
      <c r="X309" s="19" t="n"/>
      <c r="Y309" s="20" t="n"/>
    </row>
    <row r="310" ht="22" customHeight="1"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15" t="n"/>
      <c r="P310" s="21" t="n"/>
      <c r="Q310" s="21" t="n"/>
      <c r="R310" s="22" t="n"/>
      <c r="S310" s="22" t="n"/>
      <c r="T310" s="21" t="n"/>
      <c r="U310" s="21" t="n"/>
      <c r="V310" s="21" t="n"/>
      <c r="W310" s="21" t="n"/>
      <c r="X310" s="21" t="n"/>
      <c r="Y310" s="22" t="n"/>
    </row>
    <row r="311" ht="22" customHeight="1"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3" t="n"/>
      <c r="P311" s="19" t="n"/>
      <c r="Q311" s="19" t="n"/>
      <c r="R311" s="20" t="n"/>
      <c r="S311" s="20" t="n"/>
      <c r="T311" s="19" t="n"/>
      <c r="U311" s="19" t="n"/>
      <c r="V311" s="19" t="n"/>
      <c r="W311" s="19" t="n"/>
      <c r="X311" s="19" t="n"/>
      <c r="Y311" s="20" t="n"/>
    </row>
    <row r="312" ht="22" customHeight="1"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15" t="n"/>
      <c r="P312" s="21" t="n"/>
      <c r="Q312" s="21" t="n"/>
      <c r="R312" s="22" t="n"/>
      <c r="S312" s="22" t="n"/>
      <c r="T312" s="21" t="n"/>
      <c r="U312" s="21" t="n"/>
      <c r="V312" s="21" t="n"/>
      <c r="W312" s="21" t="n"/>
      <c r="X312" s="21" t="n"/>
      <c r="Y312" s="22" t="n"/>
    </row>
    <row r="313" ht="22" customHeight="1"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3" t="n"/>
      <c r="P313" s="19" t="n"/>
      <c r="Q313" s="19" t="n"/>
      <c r="R313" s="20" t="n"/>
      <c r="S313" s="20" t="n"/>
      <c r="T313" s="19" t="n"/>
      <c r="U313" s="19" t="n"/>
      <c r="V313" s="19" t="n"/>
      <c r="W313" s="19" t="n"/>
      <c r="X313" s="19" t="n"/>
      <c r="Y313" s="20" t="n"/>
    </row>
    <row r="314" ht="22" customHeight="1"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15" t="n"/>
      <c r="P314" s="21" t="n"/>
      <c r="Q314" s="21" t="n"/>
      <c r="R314" s="22" t="n"/>
      <c r="S314" s="22" t="n"/>
      <c r="T314" s="21" t="n"/>
      <c r="U314" s="21" t="n"/>
      <c r="V314" s="21" t="n"/>
      <c r="W314" s="21" t="n"/>
      <c r="X314" s="21" t="n"/>
      <c r="Y314" s="22" t="n"/>
    </row>
    <row r="315" ht="22" customHeight="1"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3" t="n"/>
      <c r="P315" s="19" t="n"/>
      <c r="Q315" s="19" t="n"/>
      <c r="R315" s="20" t="n"/>
      <c r="S315" s="20" t="n"/>
      <c r="T315" s="19" t="n"/>
      <c r="U315" s="19" t="n"/>
      <c r="V315" s="19" t="n"/>
      <c r="W315" s="19" t="n"/>
      <c r="X315" s="19" t="n"/>
      <c r="Y315" s="20" t="n"/>
    </row>
    <row r="316" ht="22" customHeight="1"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15" t="n"/>
      <c r="P316" s="21" t="n"/>
      <c r="Q316" s="21" t="n"/>
      <c r="R316" s="22" t="n"/>
      <c r="S316" s="22" t="n"/>
      <c r="T316" s="21" t="n"/>
      <c r="U316" s="21" t="n"/>
      <c r="V316" s="21" t="n"/>
      <c r="W316" s="21" t="n"/>
      <c r="X316" s="21" t="n"/>
      <c r="Y316" s="22" t="n"/>
    </row>
    <row r="317" ht="22" customHeight="1"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3" t="n"/>
      <c r="P317" s="19" t="n"/>
      <c r="Q317" s="19" t="n"/>
      <c r="R317" s="20" t="n"/>
      <c r="S317" s="20" t="n"/>
      <c r="T317" s="19" t="n"/>
      <c r="U317" s="19" t="n"/>
      <c r="V317" s="19" t="n"/>
      <c r="W317" s="19" t="n"/>
      <c r="X317" s="19" t="n"/>
      <c r="Y317" s="20" t="n"/>
    </row>
    <row r="318" ht="22" customHeight="1"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15" t="n"/>
      <c r="P318" s="21" t="n"/>
      <c r="Q318" s="21" t="n"/>
      <c r="R318" s="22" t="n"/>
      <c r="S318" s="22" t="n"/>
      <c r="T318" s="21" t="n"/>
      <c r="U318" s="21" t="n"/>
      <c r="V318" s="21" t="n"/>
      <c r="W318" s="21" t="n"/>
      <c r="X318" s="21" t="n"/>
      <c r="Y318" s="22" t="n"/>
    </row>
    <row r="319" ht="22" customHeight="1"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3" t="n"/>
      <c r="P319" s="19" t="n"/>
      <c r="Q319" s="19" t="n"/>
      <c r="R319" s="20" t="n"/>
      <c r="S319" s="20" t="n"/>
      <c r="T319" s="19" t="n"/>
      <c r="U319" s="19" t="n"/>
      <c r="V319" s="19" t="n"/>
      <c r="W319" s="19" t="n"/>
      <c r="X319" s="19" t="n"/>
      <c r="Y319" s="20" t="n"/>
    </row>
    <row r="320" ht="22" customHeight="1"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15" t="n"/>
      <c r="P320" s="21" t="n"/>
      <c r="Q320" s="21" t="n"/>
      <c r="R320" s="22" t="n"/>
      <c r="S320" s="22" t="n"/>
      <c r="T320" s="21" t="n"/>
      <c r="U320" s="21" t="n"/>
      <c r="V320" s="21" t="n"/>
      <c r="W320" s="21" t="n"/>
      <c r="X320" s="21" t="n"/>
      <c r="Y320" s="22" t="n"/>
    </row>
    <row r="321" ht="22" customHeight="1"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3" t="n"/>
      <c r="P321" s="19" t="n"/>
      <c r="Q321" s="19" t="n"/>
      <c r="R321" s="20" t="n"/>
      <c r="S321" s="20" t="n"/>
      <c r="T321" s="19" t="n"/>
      <c r="U321" s="19" t="n"/>
      <c r="V321" s="19" t="n"/>
      <c r="W321" s="19" t="n"/>
      <c r="X321" s="19" t="n"/>
      <c r="Y321" s="20" t="n"/>
    </row>
    <row r="322" ht="22" customHeight="1"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15" t="n"/>
      <c r="P322" s="21" t="n"/>
      <c r="Q322" s="21" t="n"/>
      <c r="R322" s="22" t="n"/>
      <c r="S322" s="22" t="n"/>
      <c r="T322" s="21" t="n"/>
      <c r="U322" s="21" t="n"/>
      <c r="V322" s="21" t="n"/>
      <c r="W322" s="21" t="n"/>
      <c r="X322" s="21" t="n"/>
      <c r="Y322" s="22" t="n"/>
    </row>
    <row r="323" ht="22" customHeight="1"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3" t="n"/>
      <c r="P323" s="19" t="n"/>
      <c r="Q323" s="19" t="n"/>
      <c r="R323" s="20" t="n"/>
      <c r="S323" s="20" t="n"/>
      <c r="T323" s="19" t="n"/>
      <c r="U323" s="19" t="n"/>
      <c r="V323" s="19" t="n"/>
      <c r="W323" s="19" t="n"/>
      <c r="X323" s="19" t="n"/>
      <c r="Y323" s="20" t="n"/>
    </row>
    <row r="324" ht="22" customHeight="1"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15" t="n"/>
      <c r="P324" s="21" t="n"/>
      <c r="Q324" s="21" t="n"/>
      <c r="R324" s="22" t="n"/>
      <c r="S324" s="22" t="n"/>
      <c r="T324" s="21" t="n"/>
      <c r="U324" s="21" t="n"/>
      <c r="V324" s="21" t="n"/>
      <c r="W324" s="21" t="n"/>
      <c r="X324" s="21" t="n"/>
      <c r="Y324" s="22" t="n"/>
    </row>
    <row r="325" ht="22" customHeight="1"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3" t="n"/>
      <c r="P325" s="19" t="n"/>
      <c r="Q325" s="19" t="n"/>
      <c r="R325" s="20" t="n"/>
      <c r="S325" s="20" t="n"/>
      <c r="T325" s="19" t="n"/>
      <c r="U325" s="19" t="n"/>
      <c r="V325" s="19" t="n"/>
      <c r="W325" s="19" t="n"/>
      <c r="X325" s="19" t="n"/>
      <c r="Y325" s="20" t="n"/>
    </row>
    <row r="326" ht="22" customHeight="1"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15" t="n"/>
      <c r="P326" s="21" t="n"/>
      <c r="Q326" s="21" t="n"/>
      <c r="R326" s="22" t="n"/>
      <c r="S326" s="22" t="n"/>
      <c r="T326" s="21" t="n"/>
      <c r="U326" s="21" t="n"/>
      <c r="V326" s="21" t="n"/>
      <c r="W326" s="21" t="n"/>
      <c r="X326" s="21" t="n"/>
      <c r="Y326" s="22" t="n"/>
    </row>
    <row r="327" ht="22" customHeight="1"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3" t="n"/>
      <c r="P327" s="19" t="n"/>
      <c r="Q327" s="19" t="n"/>
      <c r="R327" s="20" t="n"/>
      <c r="S327" s="20" t="n"/>
      <c r="T327" s="19" t="n"/>
      <c r="U327" s="19" t="n"/>
      <c r="V327" s="19" t="n"/>
      <c r="W327" s="19" t="n"/>
      <c r="X327" s="19" t="n"/>
      <c r="Y327" s="20" t="n"/>
    </row>
    <row r="328" ht="22" customHeight="1"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15" t="n"/>
      <c r="P328" s="21" t="n"/>
      <c r="Q328" s="21" t="n"/>
      <c r="R328" s="22" t="n"/>
      <c r="S328" s="22" t="n"/>
      <c r="T328" s="21" t="n"/>
      <c r="U328" s="21" t="n"/>
      <c r="V328" s="21" t="n"/>
      <c r="W328" s="21" t="n"/>
      <c r="X328" s="21" t="n"/>
      <c r="Y328" s="22" t="n"/>
    </row>
    <row r="329" ht="22" customHeight="1"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3" t="n"/>
      <c r="P329" s="19" t="n"/>
      <c r="Q329" s="19" t="n"/>
      <c r="R329" s="20" t="n"/>
      <c r="S329" s="20" t="n"/>
      <c r="T329" s="19" t="n"/>
      <c r="U329" s="19" t="n"/>
      <c r="V329" s="19" t="n"/>
      <c r="W329" s="19" t="n"/>
      <c r="X329" s="19" t="n"/>
      <c r="Y329" s="20" t="n"/>
    </row>
    <row r="330" ht="22" customHeight="1"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15" t="n"/>
      <c r="P330" s="21" t="n"/>
      <c r="Q330" s="21" t="n"/>
      <c r="R330" s="22" t="n"/>
      <c r="S330" s="22" t="n"/>
      <c r="T330" s="21" t="n"/>
      <c r="U330" s="21" t="n"/>
      <c r="V330" s="21" t="n"/>
      <c r="W330" s="21" t="n"/>
      <c r="X330" s="21" t="n"/>
      <c r="Y330" s="22" t="n"/>
    </row>
    <row r="331" ht="22" customHeight="1"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3" t="n"/>
      <c r="P331" s="19" t="n"/>
      <c r="Q331" s="19" t="n"/>
      <c r="R331" s="20" t="n"/>
      <c r="S331" s="20" t="n"/>
      <c r="T331" s="19" t="n"/>
      <c r="U331" s="19" t="n"/>
      <c r="V331" s="19" t="n"/>
      <c r="W331" s="19" t="n"/>
      <c r="X331" s="19" t="n"/>
      <c r="Y331" s="20" t="n"/>
    </row>
    <row r="332" ht="22" customHeight="1"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15" t="n"/>
      <c r="P332" s="21" t="n"/>
      <c r="Q332" s="21" t="n"/>
      <c r="R332" s="22" t="n"/>
      <c r="S332" s="22" t="n"/>
      <c r="T332" s="21" t="n"/>
      <c r="U332" s="21" t="n"/>
      <c r="V332" s="21" t="n"/>
      <c r="W332" s="21" t="n"/>
      <c r="X332" s="21" t="n"/>
      <c r="Y332" s="22" t="n"/>
    </row>
    <row r="333" ht="22" customHeight="1"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3" t="n"/>
      <c r="P333" s="19" t="n"/>
      <c r="Q333" s="19" t="n"/>
      <c r="R333" s="20" t="n"/>
      <c r="S333" s="20" t="n"/>
      <c r="T333" s="19" t="n"/>
      <c r="U333" s="19" t="n"/>
      <c r="V333" s="19" t="n"/>
      <c r="W333" s="19" t="n"/>
      <c r="X333" s="19" t="n"/>
      <c r="Y333" s="20" t="n"/>
    </row>
    <row r="334" ht="22" customHeight="1"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15" t="n"/>
      <c r="P334" s="21" t="n"/>
      <c r="Q334" s="21" t="n"/>
      <c r="R334" s="22" t="n"/>
      <c r="S334" s="22" t="n"/>
      <c r="T334" s="21" t="n"/>
      <c r="U334" s="21" t="n"/>
      <c r="V334" s="21" t="n"/>
      <c r="W334" s="21" t="n"/>
      <c r="X334" s="21" t="n"/>
      <c r="Y334" s="22" t="n"/>
    </row>
    <row r="335" ht="22" customHeight="1"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3" t="n"/>
      <c r="P335" s="19" t="n"/>
      <c r="Q335" s="19" t="n"/>
      <c r="R335" s="20" t="n"/>
      <c r="S335" s="20" t="n"/>
      <c r="T335" s="19" t="n"/>
      <c r="U335" s="19" t="n"/>
      <c r="V335" s="19" t="n"/>
      <c r="W335" s="19" t="n"/>
      <c r="X335" s="19" t="n"/>
      <c r="Y335" s="20" t="n"/>
    </row>
    <row r="336" ht="22" customHeight="1"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15" t="n"/>
      <c r="P336" s="21" t="n"/>
      <c r="Q336" s="21" t="n"/>
      <c r="R336" s="22" t="n"/>
      <c r="S336" s="22" t="n"/>
      <c r="T336" s="21" t="n"/>
      <c r="U336" s="21" t="n"/>
      <c r="V336" s="21" t="n"/>
      <c r="W336" s="21" t="n"/>
      <c r="X336" s="21" t="n"/>
      <c r="Y336" s="22" t="n"/>
    </row>
    <row r="337" ht="22" customHeight="1"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3" t="n"/>
      <c r="P337" s="19" t="n"/>
      <c r="Q337" s="19" t="n"/>
      <c r="R337" s="20" t="n"/>
      <c r="S337" s="20" t="n"/>
      <c r="T337" s="19" t="n"/>
      <c r="U337" s="19" t="n"/>
      <c r="V337" s="19" t="n"/>
      <c r="W337" s="19" t="n"/>
      <c r="X337" s="19" t="n"/>
      <c r="Y337" s="20" t="n"/>
    </row>
    <row r="338" ht="22" customHeight="1"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15" t="n"/>
      <c r="P338" s="21" t="n"/>
      <c r="Q338" s="21" t="n"/>
      <c r="R338" s="22" t="n"/>
      <c r="S338" s="22" t="n"/>
      <c r="T338" s="21" t="n"/>
      <c r="U338" s="21" t="n"/>
      <c r="V338" s="21" t="n"/>
      <c r="W338" s="21" t="n"/>
      <c r="X338" s="21" t="n"/>
      <c r="Y338" s="22" t="n"/>
    </row>
    <row r="339" ht="22" customHeight="1"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3" t="n"/>
      <c r="P339" s="19" t="n"/>
      <c r="Q339" s="19" t="n"/>
      <c r="R339" s="20" t="n"/>
      <c r="S339" s="20" t="n"/>
      <c r="T339" s="19" t="n"/>
      <c r="U339" s="19" t="n"/>
      <c r="V339" s="19" t="n"/>
      <c r="W339" s="19" t="n"/>
      <c r="X339" s="19" t="n"/>
      <c r="Y339" s="20" t="n"/>
    </row>
    <row r="340" ht="22" customHeight="1"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15" t="n"/>
      <c r="P340" s="21" t="n"/>
      <c r="Q340" s="21" t="n"/>
      <c r="R340" s="22" t="n"/>
      <c r="S340" s="22" t="n"/>
      <c r="T340" s="21" t="n"/>
      <c r="U340" s="21" t="n"/>
      <c r="V340" s="21" t="n"/>
      <c r="W340" s="21" t="n"/>
      <c r="X340" s="21" t="n"/>
      <c r="Y340" s="22" t="n"/>
    </row>
    <row r="341" ht="22" customHeight="1"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3" t="n"/>
      <c r="P341" s="19" t="n"/>
      <c r="Q341" s="19" t="n"/>
      <c r="R341" s="20" t="n"/>
      <c r="S341" s="20" t="n"/>
      <c r="T341" s="19" t="n"/>
      <c r="U341" s="19" t="n"/>
      <c r="V341" s="19" t="n"/>
      <c r="W341" s="19" t="n"/>
      <c r="X341" s="19" t="n"/>
      <c r="Y341" s="20" t="n"/>
    </row>
    <row r="342" ht="22" customHeight="1"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15" t="n"/>
      <c r="P342" s="21" t="n"/>
      <c r="Q342" s="21" t="n"/>
      <c r="R342" s="22" t="n"/>
      <c r="S342" s="22" t="n"/>
      <c r="T342" s="21" t="n"/>
      <c r="U342" s="21" t="n"/>
      <c r="V342" s="21" t="n"/>
      <c r="W342" s="21" t="n"/>
      <c r="X342" s="21" t="n"/>
      <c r="Y342" s="22" t="n"/>
    </row>
    <row r="343" ht="22" customHeight="1"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3" t="n"/>
      <c r="P343" s="19" t="n"/>
      <c r="Q343" s="19" t="n"/>
      <c r="R343" s="20" t="n"/>
      <c r="S343" s="20" t="n"/>
      <c r="T343" s="19" t="n"/>
      <c r="U343" s="19" t="n"/>
      <c r="V343" s="19" t="n"/>
      <c r="W343" s="19" t="n"/>
      <c r="X343" s="19" t="n"/>
      <c r="Y343" s="20" t="n"/>
    </row>
    <row r="344" ht="22" customHeight="1"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15" t="n"/>
      <c r="P344" s="21" t="n"/>
      <c r="Q344" s="21" t="n"/>
      <c r="R344" s="22" t="n"/>
      <c r="S344" s="22" t="n"/>
      <c r="T344" s="21" t="n"/>
      <c r="U344" s="21" t="n"/>
      <c r="V344" s="21" t="n"/>
      <c r="W344" s="21" t="n"/>
      <c r="X344" s="21" t="n"/>
      <c r="Y344" s="22" t="n"/>
    </row>
    <row r="345" ht="22" customHeight="1"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3" t="n"/>
      <c r="P345" s="19" t="n"/>
      <c r="Q345" s="19" t="n"/>
      <c r="R345" s="20" t="n"/>
      <c r="S345" s="20" t="n"/>
      <c r="T345" s="19" t="n"/>
      <c r="U345" s="19" t="n"/>
      <c r="V345" s="19" t="n"/>
      <c r="W345" s="19" t="n"/>
      <c r="X345" s="19" t="n"/>
      <c r="Y345" s="20" t="n"/>
    </row>
    <row r="346" ht="22" customHeight="1"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15" t="n"/>
      <c r="P346" s="21" t="n"/>
      <c r="Q346" s="21" t="n"/>
      <c r="R346" s="22" t="n"/>
      <c r="S346" s="22" t="n"/>
      <c r="T346" s="21" t="n"/>
      <c r="U346" s="21" t="n"/>
      <c r="V346" s="21" t="n"/>
      <c r="W346" s="21" t="n"/>
      <c r="X346" s="21" t="n"/>
      <c r="Y346" s="22" t="n"/>
    </row>
    <row r="347" ht="22" customHeight="1"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3" t="n"/>
      <c r="P347" s="19" t="n"/>
      <c r="Q347" s="19" t="n"/>
      <c r="R347" s="20" t="n"/>
      <c r="S347" s="20" t="n"/>
      <c r="T347" s="19" t="n"/>
      <c r="U347" s="19" t="n"/>
      <c r="V347" s="19" t="n"/>
      <c r="W347" s="19" t="n"/>
      <c r="X347" s="19" t="n"/>
      <c r="Y347" s="20" t="n"/>
    </row>
    <row r="348" ht="22" customHeight="1"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15" t="n"/>
      <c r="P348" s="21" t="n"/>
      <c r="Q348" s="21" t="n"/>
      <c r="R348" s="22" t="n"/>
      <c r="S348" s="22" t="n"/>
      <c r="T348" s="21" t="n"/>
      <c r="U348" s="21" t="n"/>
      <c r="V348" s="21" t="n"/>
      <c r="W348" s="21" t="n"/>
      <c r="X348" s="21" t="n"/>
      <c r="Y348" s="22" t="n"/>
    </row>
    <row r="349" ht="22" customHeight="1"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3" t="n"/>
      <c r="P349" s="19" t="n"/>
      <c r="Q349" s="19" t="n"/>
      <c r="R349" s="20" t="n"/>
      <c r="S349" s="20" t="n"/>
      <c r="T349" s="19" t="n"/>
      <c r="U349" s="19" t="n"/>
      <c r="V349" s="19" t="n"/>
      <c r="W349" s="19" t="n"/>
      <c r="X349" s="19" t="n"/>
      <c r="Y349" s="20" t="n"/>
    </row>
    <row r="350" ht="22" customHeight="1"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15" t="n"/>
      <c r="P350" s="21" t="n"/>
      <c r="Q350" s="21" t="n"/>
      <c r="R350" s="22" t="n"/>
      <c r="S350" s="22" t="n"/>
      <c r="T350" s="21" t="n"/>
      <c r="U350" s="21" t="n"/>
      <c r="V350" s="21" t="n"/>
      <c r="W350" s="21" t="n"/>
      <c r="X350" s="21" t="n"/>
      <c r="Y350" s="22" t="n"/>
    </row>
    <row r="351" ht="22" customHeight="1"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3" t="n"/>
      <c r="P351" s="19" t="n"/>
      <c r="Q351" s="19" t="n"/>
      <c r="R351" s="20" t="n"/>
      <c r="S351" s="20" t="n"/>
      <c r="T351" s="19" t="n"/>
      <c r="U351" s="19" t="n"/>
      <c r="V351" s="19" t="n"/>
      <c r="W351" s="19" t="n"/>
      <c r="X351" s="19" t="n"/>
      <c r="Y351" s="20" t="n"/>
    </row>
    <row r="352" ht="22" customHeight="1"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15" t="n"/>
      <c r="P352" s="21" t="n"/>
      <c r="Q352" s="21" t="n"/>
      <c r="R352" s="22" t="n"/>
      <c r="S352" s="22" t="n"/>
      <c r="T352" s="21" t="n"/>
      <c r="U352" s="21" t="n"/>
      <c r="V352" s="21" t="n"/>
      <c r="W352" s="21" t="n"/>
      <c r="X352" s="21" t="n"/>
      <c r="Y352" s="22" t="n"/>
    </row>
    <row r="353" ht="22" customHeight="1"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3" t="n"/>
      <c r="P353" s="19" t="n"/>
      <c r="Q353" s="19" t="n"/>
      <c r="R353" s="20" t="n"/>
      <c r="S353" s="20" t="n"/>
      <c r="T353" s="19" t="n"/>
      <c r="U353" s="19" t="n"/>
      <c r="V353" s="19" t="n"/>
      <c r="W353" s="19" t="n"/>
      <c r="X353" s="19" t="n"/>
      <c r="Y353" s="20" t="n"/>
    </row>
    <row r="354" ht="22" customHeight="1"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15" t="n"/>
      <c r="P354" s="21" t="n"/>
      <c r="Q354" s="21" t="n"/>
      <c r="R354" s="22" t="n"/>
      <c r="S354" s="22" t="n"/>
      <c r="T354" s="21" t="n"/>
      <c r="U354" s="21" t="n"/>
      <c r="V354" s="21" t="n"/>
      <c r="W354" s="21" t="n"/>
      <c r="X354" s="21" t="n"/>
      <c r="Y354" s="22" t="n"/>
    </row>
    <row r="355" ht="22" customHeight="1"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3" t="n"/>
      <c r="P355" s="19" t="n"/>
      <c r="Q355" s="19" t="n"/>
      <c r="R355" s="20" t="n"/>
      <c r="S355" s="20" t="n"/>
      <c r="T355" s="19" t="n"/>
      <c r="U355" s="19" t="n"/>
      <c r="V355" s="19" t="n"/>
      <c r="W355" s="19" t="n"/>
      <c r="X355" s="19" t="n"/>
      <c r="Y355" s="20" t="n"/>
    </row>
    <row r="356" ht="22" customHeight="1"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15" t="n"/>
      <c r="P356" s="21" t="n"/>
      <c r="Q356" s="21" t="n"/>
      <c r="R356" s="22" t="n"/>
      <c r="S356" s="22" t="n"/>
      <c r="T356" s="21" t="n"/>
      <c r="U356" s="21" t="n"/>
      <c r="V356" s="21" t="n"/>
      <c r="W356" s="21" t="n"/>
      <c r="X356" s="21" t="n"/>
      <c r="Y356" s="22" t="n"/>
    </row>
    <row r="357" ht="22" customHeight="1"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3" t="n"/>
      <c r="P357" s="19" t="n"/>
      <c r="Q357" s="19" t="n"/>
      <c r="R357" s="20" t="n"/>
      <c r="S357" s="20" t="n"/>
      <c r="T357" s="19" t="n"/>
      <c r="U357" s="19" t="n"/>
      <c r="V357" s="19" t="n"/>
      <c r="W357" s="19" t="n"/>
      <c r="X357" s="19" t="n"/>
      <c r="Y357" s="20" t="n"/>
    </row>
    <row r="358" ht="22" customHeight="1"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15" t="n"/>
      <c r="P358" s="21" t="n"/>
      <c r="Q358" s="21" t="n"/>
      <c r="R358" s="22" t="n"/>
      <c r="S358" s="22" t="n"/>
      <c r="T358" s="21" t="n"/>
      <c r="U358" s="21" t="n"/>
      <c r="V358" s="21" t="n"/>
      <c r="W358" s="21" t="n"/>
      <c r="X358" s="21" t="n"/>
      <c r="Y358" s="22" t="n"/>
    </row>
    <row r="359" ht="22" customHeight="1"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3" t="n"/>
      <c r="P359" s="19" t="n"/>
      <c r="Q359" s="19" t="n"/>
      <c r="R359" s="20" t="n"/>
      <c r="S359" s="20" t="n"/>
      <c r="T359" s="19" t="n"/>
      <c r="U359" s="19" t="n"/>
      <c r="V359" s="19" t="n"/>
      <c r="W359" s="19" t="n"/>
      <c r="X359" s="19" t="n"/>
      <c r="Y359" s="20" t="n"/>
    </row>
    <row r="360" ht="22" customHeight="1"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15" t="n"/>
      <c r="P360" s="21" t="n"/>
      <c r="Q360" s="21" t="n"/>
      <c r="R360" s="22" t="n"/>
      <c r="S360" s="22" t="n"/>
      <c r="T360" s="21" t="n"/>
      <c r="U360" s="21" t="n"/>
      <c r="V360" s="21" t="n"/>
      <c r="W360" s="21" t="n"/>
      <c r="X360" s="21" t="n"/>
      <c r="Y360" s="22" t="n"/>
    </row>
    <row r="361" ht="22" customHeight="1"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3" t="n"/>
      <c r="P361" s="19" t="n"/>
      <c r="Q361" s="19" t="n"/>
      <c r="R361" s="20" t="n"/>
      <c r="S361" s="20" t="n"/>
      <c r="T361" s="19" t="n"/>
      <c r="U361" s="19" t="n"/>
      <c r="V361" s="19" t="n"/>
      <c r="W361" s="19" t="n"/>
      <c r="X361" s="19" t="n"/>
      <c r="Y361" s="20" t="n"/>
    </row>
    <row r="362" ht="22" customHeight="1"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15" t="n"/>
      <c r="P362" s="21" t="n"/>
      <c r="Q362" s="21" t="n"/>
      <c r="R362" s="22" t="n"/>
      <c r="S362" s="22" t="n"/>
      <c r="T362" s="21" t="n"/>
      <c r="U362" s="21" t="n"/>
      <c r="V362" s="21" t="n"/>
      <c r="W362" s="21" t="n"/>
      <c r="X362" s="21" t="n"/>
      <c r="Y362" s="22" t="n"/>
    </row>
    <row r="363" ht="22" customHeight="1"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3" t="n"/>
      <c r="P363" s="19" t="n"/>
      <c r="Q363" s="19" t="n"/>
      <c r="R363" s="20" t="n"/>
      <c r="S363" s="20" t="n"/>
      <c r="T363" s="19" t="n"/>
      <c r="U363" s="19" t="n"/>
      <c r="V363" s="19" t="n"/>
      <c r="W363" s="19" t="n"/>
      <c r="X363" s="19" t="n"/>
      <c r="Y363" s="20" t="n"/>
    </row>
    <row r="364" ht="22" customHeight="1"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15" t="n"/>
      <c r="P364" s="21" t="n"/>
      <c r="Q364" s="21" t="n"/>
      <c r="R364" s="22" t="n"/>
      <c r="S364" s="22" t="n"/>
      <c r="T364" s="21" t="n"/>
      <c r="U364" s="21" t="n"/>
      <c r="V364" s="21" t="n"/>
      <c r="W364" s="21" t="n"/>
      <c r="X364" s="21" t="n"/>
      <c r="Y364" s="22" t="n"/>
    </row>
    <row r="365" ht="22" customHeight="1"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3" t="n"/>
      <c r="P365" s="19" t="n"/>
      <c r="Q365" s="19" t="n"/>
      <c r="R365" s="20" t="n"/>
      <c r="S365" s="20" t="n"/>
      <c r="T365" s="19" t="n"/>
      <c r="U365" s="19" t="n"/>
      <c r="V365" s="19" t="n"/>
      <c r="W365" s="19" t="n"/>
      <c r="X365" s="19" t="n"/>
      <c r="Y365" s="20" t="n"/>
    </row>
    <row r="366" ht="22" customHeight="1"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15" t="n"/>
      <c r="P366" s="21" t="n"/>
      <c r="Q366" s="21" t="n"/>
      <c r="R366" s="22" t="n"/>
      <c r="S366" s="22" t="n"/>
      <c r="T366" s="21" t="n"/>
      <c r="U366" s="21" t="n"/>
      <c r="V366" s="21" t="n"/>
      <c r="W366" s="21" t="n"/>
      <c r="X366" s="21" t="n"/>
      <c r="Y366" s="22" t="n"/>
    </row>
    <row r="367" ht="22" customHeight="1"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3" t="n"/>
      <c r="P367" s="19" t="n"/>
      <c r="Q367" s="19" t="n"/>
      <c r="R367" s="20" t="n"/>
      <c r="S367" s="20" t="n"/>
      <c r="T367" s="19" t="n"/>
      <c r="U367" s="19" t="n"/>
      <c r="V367" s="19" t="n"/>
      <c r="W367" s="19" t="n"/>
      <c r="X367" s="19" t="n"/>
      <c r="Y367" s="20" t="n"/>
    </row>
    <row r="368" ht="22" customHeight="1"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15" t="n"/>
      <c r="P368" s="21" t="n"/>
      <c r="Q368" s="21" t="n"/>
      <c r="R368" s="22" t="n"/>
      <c r="S368" s="22" t="n"/>
      <c r="T368" s="21" t="n"/>
      <c r="U368" s="21" t="n"/>
      <c r="V368" s="21" t="n"/>
      <c r="W368" s="21" t="n"/>
      <c r="X368" s="21" t="n"/>
      <c r="Y368" s="22" t="n"/>
    </row>
    <row r="369" ht="22" customHeight="1"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3" t="n"/>
      <c r="P369" s="19" t="n"/>
      <c r="Q369" s="19" t="n"/>
      <c r="R369" s="20" t="n"/>
      <c r="S369" s="20" t="n"/>
      <c r="T369" s="19" t="n"/>
      <c r="U369" s="19" t="n"/>
      <c r="V369" s="19" t="n"/>
      <c r="W369" s="19" t="n"/>
      <c r="X369" s="19" t="n"/>
      <c r="Y369" s="20" t="n"/>
    </row>
    <row r="370" ht="22" customHeight="1"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15" t="n"/>
      <c r="P370" s="21" t="n"/>
      <c r="Q370" s="21" t="n"/>
      <c r="R370" s="22" t="n"/>
      <c r="S370" s="22" t="n"/>
      <c r="T370" s="21" t="n"/>
      <c r="U370" s="21" t="n"/>
      <c r="V370" s="21" t="n"/>
      <c r="W370" s="21" t="n"/>
      <c r="X370" s="21" t="n"/>
      <c r="Y370" s="22" t="n"/>
    </row>
    <row r="371" ht="22" customHeight="1"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3" t="n"/>
      <c r="P371" s="19" t="n"/>
      <c r="Q371" s="19" t="n"/>
      <c r="R371" s="20" t="n"/>
      <c r="S371" s="20" t="n"/>
      <c r="T371" s="19" t="n"/>
      <c r="U371" s="19" t="n"/>
      <c r="V371" s="19" t="n"/>
      <c r="W371" s="19" t="n"/>
      <c r="X371" s="19" t="n"/>
      <c r="Y371" s="20" t="n"/>
    </row>
    <row r="372" ht="22" customHeight="1"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15" t="n"/>
      <c r="P372" s="21" t="n"/>
      <c r="Q372" s="21" t="n"/>
      <c r="R372" s="22" t="n"/>
      <c r="S372" s="22" t="n"/>
      <c r="T372" s="21" t="n"/>
      <c r="U372" s="21" t="n"/>
      <c r="V372" s="21" t="n"/>
      <c r="W372" s="21" t="n"/>
      <c r="X372" s="21" t="n"/>
      <c r="Y372" s="22" t="n"/>
    </row>
    <row r="373" ht="22" customHeight="1"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3" t="n"/>
      <c r="P373" s="19" t="n"/>
      <c r="Q373" s="19" t="n"/>
      <c r="R373" s="20" t="n"/>
      <c r="S373" s="20" t="n"/>
      <c r="T373" s="19" t="n"/>
      <c r="U373" s="19" t="n"/>
      <c r="V373" s="19" t="n"/>
      <c r="W373" s="19" t="n"/>
      <c r="X373" s="19" t="n"/>
      <c r="Y373" s="20" t="n"/>
    </row>
    <row r="374" ht="22" customHeight="1"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15" t="n"/>
      <c r="P374" s="21" t="n"/>
      <c r="Q374" s="21" t="n"/>
      <c r="R374" s="22" t="n"/>
      <c r="S374" s="22" t="n"/>
      <c r="T374" s="21" t="n"/>
      <c r="U374" s="21" t="n"/>
      <c r="V374" s="21" t="n"/>
      <c r="W374" s="21" t="n"/>
      <c r="X374" s="21" t="n"/>
      <c r="Y374" s="22" t="n"/>
    </row>
    <row r="375" ht="22" customHeight="1"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3" t="n"/>
      <c r="P375" s="19" t="n"/>
      <c r="Q375" s="19" t="n"/>
      <c r="R375" s="20" t="n"/>
      <c r="S375" s="20" t="n"/>
      <c r="T375" s="19" t="n"/>
      <c r="U375" s="19" t="n"/>
      <c r="V375" s="19" t="n"/>
      <c r="W375" s="19" t="n"/>
      <c r="X375" s="19" t="n"/>
      <c r="Y375" s="20" t="n"/>
    </row>
    <row r="376" ht="22" customHeight="1"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15" t="n"/>
      <c r="P376" s="21" t="n"/>
      <c r="Q376" s="21" t="n"/>
      <c r="R376" s="22" t="n"/>
      <c r="S376" s="22" t="n"/>
      <c r="T376" s="21" t="n"/>
      <c r="U376" s="21" t="n"/>
      <c r="V376" s="21" t="n"/>
      <c r="W376" s="21" t="n"/>
      <c r="X376" s="21" t="n"/>
      <c r="Y376" s="22" t="n"/>
    </row>
    <row r="377" ht="22" customHeight="1"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3" t="n"/>
      <c r="P377" s="19" t="n"/>
      <c r="Q377" s="19" t="n"/>
      <c r="R377" s="20" t="n"/>
      <c r="S377" s="20" t="n"/>
      <c r="T377" s="19" t="n"/>
      <c r="U377" s="19" t="n"/>
      <c r="V377" s="19" t="n"/>
      <c r="W377" s="19" t="n"/>
      <c r="X377" s="19" t="n"/>
      <c r="Y377" s="20" t="n"/>
    </row>
    <row r="378" ht="22" customHeight="1"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15" t="n"/>
      <c r="P378" s="21" t="n"/>
      <c r="Q378" s="21" t="n"/>
      <c r="R378" s="22" t="n"/>
      <c r="S378" s="22" t="n"/>
      <c r="T378" s="21" t="n"/>
      <c r="U378" s="21" t="n"/>
      <c r="V378" s="21" t="n"/>
      <c r="W378" s="21" t="n"/>
      <c r="X378" s="21" t="n"/>
      <c r="Y378" s="22" t="n"/>
    </row>
    <row r="379" ht="22" customHeight="1"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3" t="n"/>
      <c r="P379" s="19" t="n"/>
      <c r="Q379" s="19" t="n"/>
      <c r="R379" s="20" t="n"/>
      <c r="S379" s="20" t="n"/>
      <c r="T379" s="19" t="n"/>
      <c r="U379" s="19" t="n"/>
      <c r="V379" s="19" t="n"/>
      <c r="W379" s="19" t="n"/>
      <c r="X379" s="19" t="n"/>
      <c r="Y379" s="20" t="n"/>
    </row>
    <row r="380" ht="22" customHeight="1"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15" t="n"/>
      <c r="P380" s="21" t="n"/>
      <c r="Q380" s="21" t="n"/>
      <c r="R380" s="22" t="n"/>
      <c r="S380" s="22" t="n"/>
      <c r="T380" s="21" t="n"/>
      <c r="U380" s="21" t="n"/>
      <c r="V380" s="21" t="n"/>
      <c r="W380" s="21" t="n"/>
      <c r="X380" s="21" t="n"/>
      <c r="Y380" s="22" t="n"/>
    </row>
    <row r="381" ht="22" customHeight="1"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3" t="n"/>
      <c r="P381" s="19" t="n"/>
      <c r="Q381" s="19" t="n"/>
      <c r="R381" s="20" t="n"/>
      <c r="S381" s="20" t="n"/>
      <c r="T381" s="19" t="n"/>
      <c r="U381" s="19" t="n"/>
      <c r="V381" s="19" t="n"/>
      <c r="W381" s="19" t="n"/>
      <c r="X381" s="19" t="n"/>
      <c r="Y381" s="20" t="n"/>
    </row>
    <row r="382" ht="22" customHeight="1"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15" t="n"/>
      <c r="P382" s="21" t="n"/>
      <c r="Q382" s="21" t="n"/>
      <c r="R382" s="22" t="n"/>
      <c r="S382" s="22" t="n"/>
      <c r="T382" s="21" t="n"/>
      <c r="U382" s="21" t="n"/>
      <c r="V382" s="21" t="n"/>
      <c r="W382" s="21" t="n"/>
      <c r="X382" s="21" t="n"/>
      <c r="Y382" s="22" t="n"/>
    </row>
    <row r="383" ht="22" customHeight="1"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3" t="n"/>
      <c r="P383" s="19" t="n"/>
      <c r="Q383" s="19" t="n"/>
      <c r="R383" s="20" t="n"/>
      <c r="S383" s="20" t="n"/>
      <c r="T383" s="19" t="n"/>
      <c r="U383" s="19" t="n"/>
      <c r="V383" s="19" t="n"/>
      <c r="W383" s="19" t="n"/>
      <c r="X383" s="19" t="n"/>
      <c r="Y383" s="20" t="n"/>
    </row>
    <row r="384" ht="22" customHeight="1"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15" t="n"/>
      <c r="P384" s="21" t="n"/>
      <c r="Q384" s="21" t="n"/>
      <c r="R384" s="22" t="n"/>
      <c r="S384" s="22" t="n"/>
      <c r="T384" s="21" t="n"/>
      <c r="U384" s="21" t="n"/>
      <c r="V384" s="21" t="n"/>
      <c r="W384" s="21" t="n"/>
      <c r="X384" s="21" t="n"/>
      <c r="Y384" s="22" t="n"/>
    </row>
    <row r="385" ht="22" customHeight="1"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3" t="n"/>
      <c r="P385" s="19" t="n"/>
      <c r="Q385" s="19" t="n"/>
      <c r="R385" s="20" t="n"/>
      <c r="S385" s="20" t="n"/>
      <c r="T385" s="19" t="n"/>
      <c r="U385" s="19" t="n"/>
      <c r="V385" s="19" t="n"/>
      <c r="W385" s="19" t="n"/>
      <c r="X385" s="19" t="n"/>
      <c r="Y385" s="20" t="n"/>
    </row>
    <row r="386" ht="22" customHeight="1"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15" t="n"/>
      <c r="P386" s="21" t="n"/>
      <c r="Q386" s="21" t="n"/>
      <c r="R386" s="22" t="n"/>
      <c r="S386" s="22" t="n"/>
      <c r="T386" s="21" t="n"/>
      <c r="U386" s="21" t="n"/>
      <c r="V386" s="21" t="n"/>
      <c r="W386" s="21" t="n"/>
      <c r="X386" s="21" t="n"/>
      <c r="Y386" s="22" t="n"/>
    </row>
    <row r="387" ht="22" customHeight="1"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3" t="n"/>
      <c r="P387" s="19" t="n"/>
      <c r="Q387" s="19" t="n"/>
      <c r="R387" s="20" t="n"/>
      <c r="S387" s="20" t="n"/>
      <c r="T387" s="19" t="n"/>
      <c r="U387" s="19" t="n"/>
      <c r="V387" s="19" t="n"/>
      <c r="W387" s="19" t="n"/>
      <c r="X387" s="19" t="n"/>
      <c r="Y387" s="20" t="n"/>
    </row>
    <row r="388" ht="22" customHeight="1"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15" t="n"/>
      <c r="P388" s="21" t="n"/>
      <c r="Q388" s="21" t="n"/>
      <c r="R388" s="22" t="n"/>
      <c r="S388" s="22" t="n"/>
      <c r="T388" s="21" t="n"/>
      <c r="U388" s="21" t="n"/>
      <c r="V388" s="21" t="n"/>
      <c r="W388" s="21" t="n"/>
      <c r="X388" s="21" t="n"/>
      <c r="Y388" s="22" t="n"/>
    </row>
    <row r="389" ht="22" customHeight="1"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3" t="n"/>
      <c r="P389" s="19" t="n"/>
      <c r="Q389" s="19" t="n"/>
      <c r="R389" s="20" t="n"/>
      <c r="S389" s="20" t="n"/>
      <c r="T389" s="19" t="n"/>
      <c r="U389" s="19" t="n"/>
      <c r="V389" s="19" t="n"/>
      <c r="W389" s="19" t="n"/>
      <c r="X389" s="19" t="n"/>
      <c r="Y389" s="20" t="n"/>
    </row>
    <row r="390" ht="22" customHeight="1"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15" t="n"/>
      <c r="P390" s="21" t="n"/>
      <c r="Q390" s="21" t="n"/>
      <c r="R390" s="22" t="n"/>
      <c r="S390" s="22" t="n"/>
      <c r="T390" s="21" t="n"/>
      <c r="U390" s="21" t="n"/>
      <c r="V390" s="21" t="n"/>
      <c r="W390" s="21" t="n"/>
      <c r="X390" s="21" t="n"/>
      <c r="Y390" s="22" t="n"/>
    </row>
    <row r="391" ht="22" customHeight="1"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3" t="n"/>
      <c r="P391" s="19" t="n"/>
      <c r="Q391" s="19" t="n"/>
      <c r="R391" s="20" t="n"/>
      <c r="S391" s="20" t="n"/>
      <c r="T391" s="19" t="n"/>
      <c r="U391" s="19" t="n"/>
      <c r="V391" s="19" t="n"/>
      <c r="W391" s="19" t="n"/>
      <c r="X391" s="19" t="n"/>
      <c r="Y391" s="20" t="n"/>
    </row>
    <row r="392" ht="22" customHeight="1"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15" t="n"/>
      <c r="P392" s="21" t="n"/>
      <c r="Q392" s="21" t="n"/>
      <c r="R392" s="22" t="n"/>
      <c r="S392" s="22" t="n"/>
      <c r="T392" s="21" t="n"/>
      <c r="U392" s="21" t="n"/>
      <c r="V392" s="21" t="n"/>
      <c r="W392" s="21" t="n"/>
      <c r="X392" s="21" t="n"/>
      <c r="Y392" s="22" t="n"/>
    </row>
    <row r="393" ht="22" customHeight="1"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3" t="n"/>
      <c r="P393" s="19" t="n"/>
      <c r="Q393" s="19" t="n"/>
      <c r="R393" s="20" t="n"/>
      <c r="S393" s="20" t="n"/>
      <c r="T393" s="19" t="n"/>
      <c r="U393" s="19" t="n"/>
      <c r="V393" s="19" t="n"/>
      <c r="W393" s="19" t="n"/>
      <c r="X393" s="19" t="n"/>
      <c r="Y393" s="20" t="n"/>
    </row>
    <row r="394" ht="22" customHeight="1"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15" t="n"/>
      <c r="P394" s="21" t="n"/>
      <c r="Q394" s="21" t="n"/>
      <c r="R394" s="22" t="n"/>
      <c r="S394" s="22" t="n"/>
      <c r="T394" s="21" t="n"/>
      <c r="U394" s="21" t="n"/>
      <c r="V394" s="21" t="n"/>
      <c r="W394" s="21" t="n"/>
      <c r="X394" s="21" t="n"/>
      <c r="Y394" s="22" t="n"/>
    </row>
    <row r="395" ht="22" customHeight="1"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3" t="n"/>
      <c r="P395" s="19" t="n"/>
      <c r="Q395" s="19" t="n"/>
      <c r="R395" s="20" t="n"/>
      <c r="S395" s="20" t="n"/>
      <c r="T395" s="19" t="n"/>
      <c r="U395" s="19" t="n"/>
      <c r="V395" s="19" t="n"/>
      <c r="W395" s="19" t="n"/>
      <c r="X395" s="19" t="n"/>
      <c r="Y395" s="20" t="n"/>
    </row>
    <row r="396" ht="22" customHeight="1"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15" t="n"/>
      <c r="P396" s="21" t="n"/>
      <c r="Q396" s="21" t="n"/>
      <c r="R396" s="22" t="n"/>
      <c r="S396" s="22" t="n"/>
      <c r="T396" s="21" t="n"/>
      <c r="U396" s="21" t="n"/>
      <c r="V396" s="21" t="n"/>
      <c r="W396" s="21" t="n"/>
      <c r="X396" s="21" t="n"/>
      <c r="Y396" s="22" t="n"/>
    </row>
    <row r="397" ht="22" customHeight="1"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3" t="n"/>
      <c r="P397" s="19" t="n"/>
      <c r="Q397" s="19" t="n"/>
      <c r="R397" s="20" t="n"/>
      <c r="S397" s="20" t="n"/>
      <c r="T397" s="19" t="n"/>
      <c r="U397" s="19" t="n"/>
      <c r="V397" s="19" t="n"/>
      <c r="W397" s="19" t="n"/>
      <c r="X397" s="19" t="n"/>
      <c r="Y397" s="20" t="n"/>
    </row>
    <row r="398" ht="22" customHeight="1"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15" t="n"/>
      <c r="P398" s="21" t="n"/>
      <c r="Q398" s="21" t="n"/>
      <c r="R398" s="22" t="n"/>
      <c r="S398" s="22" t="n"/>
      <c r="T398" s="21" t="n"/>
      <c r="U398" s="21" t="n"/>
      <c r="V398" s="21" t="n"/>
      <c r="W398" s="21" t="n"/>
      <c r="X398" s="21" t="n"/>
      <c r="Y398" s="22" t="n"/>
    </row>
    <row r="399" ht="22" customHeight="1"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3" t="n"/>
      <c r="P399" s="19" t="n"/>
      <c r="Q399" s="19" t="n"/>
      <c r="R399" s="20" t="n"/>
      <c r="S399" s="20" t="n"/>
      <c r="T399" s="19" t="n"/>
      <c r="U399" s="19" t="n"/>
      <c r="V399" s="19" t="n"/>
      <c r="W399" s="19" t="n"/>
      <c r="X399" s="19" t="n"/>
      <c r="Y399" s="20" t="n"/>
    </row>
    <row r="400" ht="22" customHeight="1"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15" t="n"/>
      <c r="P400" s="21" t="n"/>
      <c r="Q400" s="21" t="n"/>
      <c r="R400" s="22" t="n"/>
      <c r="S400" s="22" t="n"/>
      <c r="T400" s="21" t="n"/>
      <c r="U400" s="21" t="n"/>
      <c r="V400" s="21" t="n"/>
      <c r="W400" s="21" t="n"/>
      <c r="X400" s="21" t="n"/>
      <c r="Y400" s="22" t="n"/>
    </row>
    <row r="401" ht="22" customHeight="1"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3" t="n"/>
      <c r="P401" s="19" t="n"/>
      <c r="Q401" s="19" t="n"/>
      <c r="R401" s="20" t="n"/>
      <c r="S401" s="20" t="n"/>
      <c r="T401" s="19" t="n"/>
      <c r="U401" s="19" t="n"/>
      <c r="V401" s="19" t="n"/>
      <c r="W401" s="19" t="n"/>
      <c r="X401" s="19" t="n"/>
      <c r="Y401" s="20" t="n"/>
    </row>
    <row r="402" ht="22" customHeight="1"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15" t="n"/>
      <c r="P402" s="21" t="n"/>
      <c r="Q402" s="21" t="n"/>
      <c r="R402" s="22" t="n"/>
      <c r="S402" s="22" t="n"/>
      <c r="T402" s="21" t="n"/>
      <c r="U402" s="21" t="n"/>
      <c r="V402" s="21" t="n"/>
      <c r="W402" s="21" t="n"/>
      <c r="X402" s="21" t="n"/>
      <c r="Y402" s="22" t="n"/>
    </row>
    <row r="403" ht="22" customHeight="1"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3" t="n"/>
      <c r="P403" s="19" t="n"/>
      <c r="Q403" s="19" t="n"/>
      <c r="R403" s="20" t="n"/>
      <c r="S403" s="20" t="n"/>
      <c r="T403" s="19" t="n"/>
      <c r="U403" s="19" t="n"/>
      <c r="V403" s="19" t="n"/>
      <c r="W403" s="19" t="n"/>
      <c r="X403" s="19" t="n"/>
      <c r="Y403" s="20" t="n"/>
    </row>
    <row r="404" ht="22" customHeight="1"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15" t="n"/>
      <c r="P404" s="21" t="n"/>
      <c r="Q404" s="21" t="n"/>
      <c r="R404" s="22" t="n"/>
      <c r="S404" s="22" t="n"/>
      <c r="T404" s="21" t="n"/>
      <c r="U404" s="21" t="n"/>
      <c r="V404" s="21" t="n"/>
      <c r="W404" s="21" t="n"/>
      <c r="X404" s="21" t="n"/>
      <c r="Y404" s="22" t="n"/>
    </row>
    <row r="405" ht="22" customHeight="1"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3" t="n"/>
      <c r="P405" s="19" t="n"/>
      <c r="Q405" s="19" t="n"/>
      <c r="R405" s="20" t="n"/>
      <c r="S405" s="20" t="n"/>
      <c r="T405" s="19" t="n"/>
      <c r="U405" s="19" t="n"/>
      <c r="V405" s="19" t="n"/>
      <c r="W405" s="19" t="n"/>
      <c r="X405" s="19" t="n"/>
      <c r="Y405" s="20" t="n"/>
    </row>
    <row r="406" ht="22" customHeight="1"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15" t="n"/>
      <c r="P406" s="21" t="n"/>
      <c r="Q406" s="21" t="n"/>
      <c r="R406" s="22" t="n"/>
      <c r="S406" s="22" t="n"/>
      <c r="T406" s="21" t="n"/>
      <c r="U406" s="21" t="n"/>
      <c r="V406" s="21" t="n"/>
      <c r="W406" s="21" t="n"/>
      <c r="X406" s="21" t="n"/>
      <c r="Y406" s="22" t="n"/>
    </row>
    <row r="407" ht="22" customHeight="1"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3" t="n"/>
      <c r="P407" s="19" t="n"/>
      <c r="Q407" s="19" t="n"/>
      <c r="R407" s="20" t="n"/>
      <c r="S407" s="20" t="n"/>
      <c r="T407" s="19" t="n"/>
      <c r="U407" s="19" t="n"/>
      <c r="V407" s="19" t="n"/>
      <c r="W407" s="19" t="n"/>
      <c r="X407" s="19" t="n"/>
      <c r="Y407" s="20" t="n"/>
    </row>
    <row r="408" ht="22" customHeight="1"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15" t="n"/>
      <c r="P408" s="21" t="n"/>
      <c r="Q408" s="21" t="n"/>
      <c r="R408" s="22" t="n"/>
      <c r="S408" s="22" t="n"/>
      <c r="T408" s="21" t="n"/>
      <c r="U408" s="21" t="n"/>
      <c r="V408" s="21" t="n"/>
      <c r="W408" s="21" t="n"/>
      <c r="X408" s="21" t="n"/>
      <c r="Y408" s="22" t="n"/>
    </row>
    <row r="409" ht="22" customHeight="1"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3" t="n"/>
      <c r="P409" s="19" t="n"/>
      <c r="Q409" s="19" t="n"/>
      <c r="R409" s="20" t="n"/>
      <c r="S409" s="20" t="n"/>
      <c r="T409" s="19" t="n"/>
      <c r="U409" s="19" t="n"/>
      <c r="V409" s="19" t="n"/>
      <c r="W409" s="19" t="n"/>
      <c r="X409" s="19" t="n"/>
      <c r="Y409" s="20" t="n"/>
    </row>
    <row r="410" ht="22" customHeight="1"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15" t="n"/>
      <c r="P410" s="21" t="n"/>
      <c r="Q410" s="21" t="n"/>
      <c r="R410" s="22" t="n"/>
      <c r="S410" s="22" t="n"/>
      <c r="T410" s="21" t="n"/>
      <c r="U410" s="21" t="n"/>
      <c r="V410" s="21" t="n"/>
      <c r="W410" s="21" t="n"/>
      <c r="X410" s="21" t="n"/>
      <c r="Y410" s="22" t="n"/>
    </row>
    <row r="411" ht="22" customHeight="1"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3" t="n"/>
      <c r="P411" s="19" t="n"/>
      <c r="Q411" s="19" t="n"/>
      <c r="R411" s="20" t="n"/>
      <c r="S411" s="20" t="n"/>
      <c r="T411" s="19" t="n"/>
      <c r="U411" s="19" t="n"/>
      <c r="V411" s="19" t="n"/>
      <c r="W411" s="19" t="n"/>
      <c r="X411" s="19" t="n"/>
      <c r="Y411" s="20" t="n"/>
    </row>
    <row r="412" ht="22" customHeight="1"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15" t="n"/>
      <c r="P412" s="21" t="n"/>
      <c r="Q412" s="21" t="n"/>
      <c r="R412" s="22" t="n"/>
      <c r="S412" s="22" t="n"/>
      <c r="T412" s="21" t="n"/>
      <c r="U412" s="21" t="n"/>
      <c r="V412" s="21" t="n"/>
      <c r="W412" s="21" t="n"/>
      <c r="X412" s="21" t="n"/>
      <c r="Y412" s="22" t="n"/>
    </row>
    <row r="413" ht="22" customHeight="1"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3" t="n"/>
      <c r="P413" s="19" t="n"/>
      <c r="Q413" s="19" t="n"/>
      <c r="R413" s="20" t="n"/>
      <c r="S413" s="20" t="n"/>
      <c r="T413" s="19" t="n"/>
      <c r="U413" s="19" t="n"/>
      <c r="V413" s="19" t="n"/>
      <c r="W413" s="19" t="n"/>
      <c r="X413" s="19" t="n"/>
      <c r="Y413" s="20" t="n"/>
    </row>
    <row r="414" ht="22" customHeight="1"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15" t="n"/>
      <c r="P414" s="21" t="n"/>
      <c r="Q414" s="21" t="n"/>
      <c r="R414" s="22" t="n"/>
      <c r="S414" s="22" t="n"/>
      <c r="T414" s="21" t="n"/>
      <c r="U414" s="21" t="n"/>
      <c r="V414" s="21" t="n"/>
      <c r="W414" s="21" t="n"/>
      <c r="X414" s="21" t="n"/>
      <c r="Y414" s="22" t="n"/>
    </row>
    <row r="415" ht="22" customHeight="1"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3" t="n"/>
      <c r="P415" s="19" t="n"/>
      <c r="Q415" s="19" t="n"/>
      <c r="R415" s="20" t="n"/>
      <c r="S415" s="20" t="n"/>
      <c r="T415" s="19" t="n"/>
      <c r="U415" s="19" t="n"/>
      <c r="V415" s="19" t="n"/>
      <c r="W415" s="19" t="n"/>
      <c r="X415" s="19" t="n"/>
      <c r="Y415" s="20" t="n"/>
    </row>
    <row r="416" ht="22" customHeight="1"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15" t="n"/>
      <c r="P416" s="21" t="n"/>
      <c r="Q416" s="21" t="n"/>
      <c r="R416" s="22" t="n"/>
      <c r="S416" s="22" t="n"/>
      <c r="T416" s="21" t="n"/>
      <c r="U416" s="21" t="n"/>
      <c r="V416" s="21" t="n"/>
      <c r="W416" s="21" t="n"/>
      <c r="X416" s="21" t="n"/>
      <c r="Y416" s="22" t="n"/>
    </row>
    <row r="417" ht="22" customHeight="1"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3" t="n"/>
      <c r="P417" s="19" t="n"/>
      <c r="Q417" s="19" t="n"/>
      <c r="R417" s="20" t="n"/>
      <c r="S417" s="20" t="n"/>
      <c r="T417" s="19" t="n"/>
      <c r="U417" s="19" t="n"/>
      <c r="V417" s="19" t="n"/>
      <c r="W417" s="19" t="n"/>
      <c r="X417" s="19" t="n"/>
      <c r="Y417" s="20" t="n"/>
    </row>
    <row r="418" ht="22" customHeight="1"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15" t="n"/>
      <c r="P418" s="21" t="n"/>
      <c r="Q418" s="21" t="n"/>
      <c r="R418" s="22" t="n"/>
      <c r="S418" s="22" t="n"/>
      <c r="T418" s="21" t="n"/>
      <c r="U418" s="21" t="n"/>
      <c r="V418" s="21" t="n"/>
      <c r="W418" s="21" t="n"/>
      <c r="X418" s="21" t="n"/>
      <c r="Y418" s="22" t="n"/>
    </row>
    <row r="419" ht="22" customHeight="1"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3" t="n"/>
      <c r="P419" s="19" t="n"/>
      <c r="Q419" s="19" t="n"/>
      <c r="R419" s="20" t="n"/>
      <c r="S419" s="20" t="n"/>
      <c r="T419" s="19" t="n"/>
      <c r="U419" s="19" t="n"/>
      <c r="V419" s="19" t="n"/>
      <c r="W419" s="19" t="n"/>
      <c r="X419" s="19" t="n"/>
      <c r="Y419" s="20" t="n"/>
    </row>
    <row r="420" ht="22" customHeight="1"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15" t="n"/>
      <c r="P420" s="21" t="n"/>
      <c r="Q420" s="21" t="n"/>
      <c r="R420" s="22" t="n"/>
      <c r="S420" s="22" t="n"/>
      <c r="T420" s="21" t="n"/>
      <c r="U420" s="21" t="n"/>
      <c r="V420" s="21" t="n"/>
      <c r="W420" s="21" t="n"/>
      <c r="X420" s="21" t="n"/>
      <c r="Y420" s="22" t="n"/>
    </row>
    <row r="421" ht="22" customHeight="1"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3" t="n"/>
      <c r="P421" s="19" t="n"/>
      <c r="Q421" s="19" t="n"/>
      <c r="R421" s="20" t="n"/>
      <c r="S421" s="20" t="n"/>
      <c r="T421" s="19" t="n"/>
      <c r="U421" s="19" t="n"/>
      <c r="V421" s="19" t="n"/>
      <c r="W421" s="19" t="n"/>
      <c r="X421" s="19" t="n"/>
      <c r="Y421" s="20" t="n"/>
    </row>
    <row r="422" ht="22" customHeight="1"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15" t="n"/>
      <c r="P422" s="21" t="n"/>
      <c r="Q422" s="21" t="n"/>
      <c r="R422" s="22" t="n"/>
      <c r="S422" s="22" t="n"/>
      <c r="T422" s="21" t="n"/>
      <c r="U422" s="21" t="n"/>
      <c r="V422" s="21" t="n"/>
      <c r="W422" s="21" t="n"/>
      <c r="X422" s="21" t="n"/>
      <c r="Y422" s="22" t="n"/>
    </row>
    <row r="423" ht="22" customHeight="1"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3" t="n"/>
      <c r="P423" s="19" t="n"/>
      <c r="Q423" s="19" t="n"/>
      <c r="R423" s="20" t="n"/>
      <c r="S423" s="20" t="n"/>
      <c r="T423" s="19" t="n"/>
      <c r="U423" s="19" t="n"/>
      <c r="V423" s="19" t="n"/>
      <c r="W423" s="19" t="n"/>
      <c r="X423" s="19" t="n"/>
      <c r="Y423" s="20" t="n"/>
    </row>
    <row r="424" ht="22" customHeight="1"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15" t="n"/>
      <c r="P424" s="21" t="n"/>
      <c r="Q424" s="21" t="n"/>
      <c r="R424" s="22" t="n"/>
      <c r="S424" s="22" t="n"/>
      <c r="T424" s="21" t="n"/>
      <c r="U424" s="21" t="n"/>
      <c r="V424" s="21" t="n"/>
      <c r="W424" s="21" t="n"/>
      <c r="X424" s="21" t="n"/>
      <c r="Y424" s="22" t="n"/>
    </row>
    <row r="425" ht="22" customHeight="1"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3" t="n"/>
      <c r="P425" s="19" t="n"/>
      <c r="Q425" s="19" t="n"/>
      <c r="R425" s="20" t="n"/>
      <c r="S425" s="20" t="n"/>
      <c r="T425" s="19" t="n"/>
      <c r="U425" s="19" t="n"/>
      <c r="V425" s="19" t="n"/>
      <c r="W425" s="19" t="n"/>
      <c r="X425" s="19" t="n"/>
      <c r="Y425" s="20" t="n"/>
    </row>
    <row r="426" ht="22" customHeight="1"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15" t="n"/>
      <c r="P426" s="21" t="n"/>
      <c r="Q426" s="21" t="n"/>
      <c r="R426" s="22" t="n"/>
      <c r="S426" s="22" t="n"/>
      <c r="T426" s="21" t="n"/>
      <c r="U426" s="21" t="n"/>
      <c r="V426" s="21" t="n"/>
      <c r="W426" s="21" t="n"/>
      <c r="X426" s="21" t="n"/>
      <c r="Y426" s="22" t="n"/>
    </row>
    <row r="427" ht="22" customHeight="1"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3" t="n"/>
      <c r="P427" s="19" t="n"/>
      <c r="Q427" s="19" t="n"/>
      <c r="R427" s="20" t="n"/>
      <c r="S427" s="20" t="n"/>
      <c r="T427" s="19" t="n"/>
      <c r="U427" s="19" t="n"/>
      <c r="V427" s="19" t="n"/>
      <c r="W427" s="19" t="n"/>
      <c r="X427" s="19" t="n"/>
      <c r="Y427" s="20" t="n"/>
    </row>
    <row r="428" ht="22" customHeight="1"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15" t="n"/>
      <c r="P428" s="21" t="n"/>
      <c r="Q428" s="21" t="n"/>
      <c r="R428" s="22" t="n"/>
      <c r="S428" s="22" t="n"/>
      <c r="T428" s="21" t="n"/>
      <c r="U428" s="21" t="n"/>
      <c r="V428" s="21" t="n"/>
      <c r="W428" s="21" t="n"/>
      <c r="X428" s="21" t="n"/>
      <c r="Y428" s="22" t="n"/>
    </row>
    <row r="429" ht="22" customHeight="1"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3" t="n"/>
      <c r="P429" s="19" t="n"/>
      <c r="Q429" s="19" t="n"/>
      <c r="R429" s="20" t="n"/>
      <c r="S429" s="20" t="n"/>
      <c r="T429" s="19" t="n"/>
      <c r="U429" s="19" t="n"/>
      <c r="V429" s="19" t="n"/>
      <c r="W429" s="19" t="n"/>
      <c r="X429" s="19" t="n"/>
      <c r="Y429" s="20" t="n"/>
    </row>
    <row r="430" ht="22" customHeight="1"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15" t="n"/>
      <c r="P430" s="21" t="n"/>
      <c r="Q430" s="21" t="n"/>
      <c r="R430" s="22" t="n"/>
      <c r="S430" s="22" t="n"/>
      <c r="T430" s="21" t="n"/>
      <c r="U430" s="21" t="n"/>
      <c r="V430" s="21" t="n"/>
      <c r="W430" s="21" t="n"/>
      <c r="X430" s="21" t="n"/>
      <c r="Y430" s="22" t="n"/>
    </row>
    <row r="431" ht="22" customHeight="1"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3" t="n"/>
      <c r="P431" s="19" t="n"/>
      <c r="Q431" s="19" t="n"/>
      <c r="R431" s="20" t="n"/>
      <c r="S431" s="20" t="n"/>
      <c r="T431" s="19" t="n"/>
      <c r="U431" s="19" t="n"/>
      <c r="V431" s="19" t="n"/>
      <c r="W431" s="19" t="n"/>
      <c r="X431" s="19" t="n"/>
      <c r="Y431" s="20" t="n"/>
    </row>
    <row r="432" ht="22" customHeight="1"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15" t="n"/>
      <c r="P432" s="21" t="n"/>
      <c r="Q432" s="21" t="n"/>
      <c r="R432" s="22" t="n"/>
      <c r="S432" s="22" t="n"/>
      <c r="T432" s="21" t="n"/>
      <c r="U432" s="21" t="n"/>
      <c r="V432" s="21" t="n"/>
      <c r="W432" s="21" t="n"/>
      <c r="X432" s="21" t="n"/>
      <c r="Y432" s="22" t="n"/>
    </row>
    <row r="433" ht="22" customHeight="1"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3" t="n"/>
      <c r="P433" s="19" t="n"/>
      <c r="Q433" s="19" t="n"/>
      <c r="R433" s="20" t="n"/>
      <c r="S433" s="20" t="n"/>
      <c r="T433" s="19" t="n"/>
      <c r="U433" s="19" t="n"/>
      <c r="V433" s="19" t="n"/>
      <c r="W433" s="19" t="n"/>
      <c r="X433" s="19" t="n"/>
      <c r="Y433" s="20" t="n"/>
    </row>
    <row r="434" ht="22" customHeight="1"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15" t="n"/>
      <c r="P434" s="21" t="n"/>
      <c r="Q434" s="21" t="n"/>
      <c r="R434" s="22" t="n"/>
      <c r="S434" s="22" t="n"/>
      <c r="T434" s="21" t="n"/>
      <c r="U434" s="21" t="n"/>
      <c r="V434" s="21" t="n"/>
      <c r="W434" s="21" t="n"/>
      <c r="X434" s="21" t="n"/>
      <c r="Y434" s="22" t="n"/>
    </row>
    <row r="435" ht="22" customHeight="1"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3" t="n"/>
      <c r="P435" s="19" t="n"/>
      <c r="Q435" s="19" t="n"/>
      <c r="R435" s="20" t="n"/>
      <c r="S435" s="20" t="n"/>
      <c r="T435" s="19" t="n"/>
      <c r="U435" s="19" t="n"/>
      <c r="V435" s="19" t="n"/>
      <c r="W435" s="19" t="n"/>
      <c r="X435" s="19" t="n"/>
      <c r="Y435" s="20" t="n"/>
    </row>
    <row r="436" ht="22" customHeight="1"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15" t="n"/>
      <c r="P436" s="21" t="n"/>
      <c r="Q436" s="21" t="n"/>
      <c r="R436" s="22" t="n"/>
      <c r="S436" s="22" t="n"/>
      <c r="T436" s="21" t="n"/>
      <c r="U436" s="21" t="n"/>
      <c r="V436" s="21" t="n"/>
      <c r="W436" s="21" t="n"/>
      <c r="X436" s="21" t="n"/>
      <c r="Y436" s="22" t="n"/>
    </row>
    <row r="437" ht="22" customHeight="1"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3" t="n"/>
      <c r="P437" s="19" t="n"/>
      <c r="Q437" s="19" t="n"/>
      <c r="R437" s="20" t="n"/>
      <c r="S437" s="20" t="n"/>
      <c r="T437" s="19" t="n"/>
      <c r="U437" s="19" t="n"/>
      <c r="V437" s="19" t="n"/>
      <c r="W437" s="19" t="n"/>
      <c r="X437" s="19" t="n"/>
      <c r="Y437" s="20" t="n"/>
    </row>
    <row r="438" ht="22" customHeight="1"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15" t="n"/>
      <c r="P438" s="21" t="n"/>
      <c r="Q438" s="21" t="n"/>
      <c r="R438" s="22" t="n"/>
      <c r="S438" s="22" t="n"/>
      <c r="T438" s="21" t="n"/>
      <c r="U438" s="21" t="n"/>
      <c r="V438" s="21" t="n"/>
      <c r="W438" s="21" t="n"/>
      <c r="X438" s="21" t="n"/>
      <c r="Y438" s="22" t="n"/>
    </row>
    <row r="439" ht="22" customHeight="1"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3" t="n"/>
      <c r="P439" s="19" t="n"/>
      <c r="Q439" s="19" t="n"/>
      <c r="R439" s="20" t="n"/>
      <c r="S439" s="20" t="n"/>
      <c r="T439" s="19" t="n"/>
      <c r="U439" s="19" t="n"/>
      <c r="V439" s="19" t="n"/>
      <c r="W439" s="19" t="n"/>
      <c r="X439" s="19" t="n"/>
      <c r="Y439" s="20" t="n"/>
    </row>
    <row r="440" ht="22" customHeight="1"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15" t="n"/>
      <c r="P440" s="21" t="n"/>
      <c r="Q440" s="21" t="n"/>
      <c r="R440" s="22" t="n"/>
      <c r="S440" s="22" t="n"/>
      <c r="T440" s="21" t="n"/>
      <c r="U440" s="21" t="n"/>
      <c r="V440" s="21" t="n"/>
      <c r="W440" s="21" t="n"/>
      <c r="X440" s="21" t="n"/>
      <c r="Y440" s="22" t="n"/>
    </row>
    <row r="441" ht="22" customHeight="1"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3" t="n"/>
      <c r="P441" s="19" t="n"/>
      <c r="Q441" s="19" t="n"/>
      <c r="R441" s="20" t="n"/>
      <c r="S441" s="20" t="n"/>
      <c r="T441" s="19" t="n"/>
      <c r="U441" s="19" t="n"/>
      <c r="V441" s="19" t="n"/>
      <c r="W441" s="19" t="n"/>
      <c r="X441" s="19" t="n"/>
      <c r="Y441" s="20" t="n"/>
    </row>
    <row r="442" ht="22" customHeight="1"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15" t="n"/>
      <c r="P442" s="21" t="n"/>
      <c r="Q442" s="21" t="n"/>
      <c r="R442" s="22" t="n"/>
      <c r="S442" s="22" t="n"/>
      <c r="T442" s="21" t="n"/>
      <c r="U442" s="21" t="n"/>
      <c r="V442" s="21" t="n"/>
      <c r="W442" s="21" t="n"/>
      <c r="X442" s="21" t="n"/>
      <c r="Y442" s="22" t="n"/>
    </row>
    <row r="443" ht="22" customHeight="1"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3" t="n"/>
      <c r="P443" s="19" t="n"/>
      <c r="Q443" s="19" t="n"/>
      <c r="R443" s="20" t="n"/>
      <c r="S443" s="20" t="n"/>
      <c r="T443" s="19" t="n"/>
      <c r="U443" s="19" t="n"/>
      <c r="V443" s="19" t="n"/>
      <c r="W443" s="19" t="n"/>
      <c r="X443" s="19" t="n"/>
      <c r="Y443" s="20" t="n"/>
    </row>
    <row r="444" ht="22" customHeight="1"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15" t="n"/>
      <c r="P444" s="21" t="n"/>
      <c r="Q444" s="21" t="n"/>
      <c r="R444" s="22" t="n"/>
      <c r="S444" s="22" t="n"/>
      <c r="T444" s="21" t="n"/>
      <c r="U444" s="21" t="n"/>
      <c r="V444" s="21" t="n"/>
      <c r="W444" s="21" t="n"/>
      <c r="X444" s="21" t="n"/>
      <c r="Y444" s="22" t="n"/>
    </row>
    <row r="445" ht="22" customHeight="1"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3" t="n"/>
      <c r="P445" s="19" t="n"/>
      <c r="Q445" s="19" t="n"/>
      <c r="R445" s="20" t="n"/>
      <c r="S445" s="20" t="n"/>
      <c r="T445" s="19" t="n"/>
      <c r="U445" s="19" t="n"/>
      <c r="V445" s="19" t="n"/>
      <c r="W445" s="19" t="n"/>
      <c r="X445" s="19" t="n"/>
      <c r="Y445" s="20" t="n"/>
    </row>
    <row r="446" ht="22" customHeight="1"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15" t="n"/>
      <c r="P446" s="21" t="n"/>
      <c r="Q446" s="21" t="n"/>
      <c r="R446" s="22" t="n"/>
      <c r="S446" s="22" t="n"/>
      <c r="T446" s="21" t="n"/>
      <c r="U446" s="21" t="n"/>
      <c r="V446" s="21" t="n"/>
      <c r="W446" s="21" t="n"/>
      <c r="X446" s="21" t="n"/>
      <c r="Y446" s="22" t="n"/>
    </row>
    <row r="447" ht="22" customHeight="1"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3" t="n"/>
      <c r="P447" s="19" t="n"/>
      <c r="Q447" s="19" t="n"/>
      <c r="R447" s="20" t="n"/>
      <c r="S447" s="20" t="n"/>
      <c r="T447" s="19" t="n"/>
      <c r="U447" s="19" t="n"/>
      <c r="V447" s="19" t="n"/>
      <c r="W447" s="19" t="n"/>
      <c r="X447" s="19" t="n"/>
      <c r="Y447" s="20" t="n"/>
    </row>
    <row r="448" ht="22" customHeight="1"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15" t="n"/>
      <c r="P448" s="21" t="n"/>
      <c r="Q448" s="21" t="n"/>
      <c r="R448" s="22" t="n"/>
      <c r="S448" s="22" t="n"/>
      <c r="T448" s="21" t="n"/>
      <c r="U448" s="21" t="n"/>
      <c r="V448" s="21" t="n"/>
      <c r="W448" s="21" t="n"/>
      <c r="X448" s="21" t="n"/>
      <c r="Y448" s="22" t="n"/>
    </row>
    <row r="449" ht="22" customHeight="1"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3" t="n"/>
      <c r="P449" s="19" t="n"/>
      <c r="Q449" s="19" t="n"/>
      <c r="R449" s="20" t="n"/>
      <c r="S449" s="20" t="n"/>
      <c r="T449" s="19" t="n"/>
      <c r="U449" s="19" t="n"/>
      <c r="V449" s="19" t="n"/>
      <c r="W449" s="19" t="n"/>
      <c r="X449" s="19" t="n"/>
      <c r="Y449" s="20" t="n"/>
    </row>
    <row r="450" ht="22" customHeight="1"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15" t="n"/>
      <c r="P450" s="21" t="n"/>
      <c r="Q450" s="21" t="n"/>
      <c r="R450" s="22" t="n"/>
      <c r="S450" s="22" t="n"/>
      <c r="T450" s="21" t="n"/>
      <c r="U450" s="21" t="n"/>
      <c r="V450" s="21" t="n"/>
      <c r="W450" s="21" t="n"/>
      <c r="X450" s="21" t="n"/>
      <c r="Y450" s="22" t="n"/>
    </row>
    <row r="451" ht="22" customHeight="1"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3" t="n"/>
      <c r="P451" s="19" t="n"/>
      <c r="Q451" s="19" t="n"/>
      <c r="R451" s="20" t="n"/>
      <c r="S451" s="20" t="n"/>
      <c r="T451" s="19" t="n"/>
      <c r="U451" s="19" t="n"/>
      <c r="V451" s="19" t="n"/>
      <c r="W451" s="19" t="n"/>
      <c r="X451" s="19" t="n"/>
      <c r="Y451" s="20" t="n"/>
    </row>
    <row r="452" ht="22" customHeight="1"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15" t="n"/>
      <c r="P452" s="21" t="n"/>
      <c r="Q452" s="21" t="n"/>
      <c r="R452" s="22" t="n"/>
      <c r="S452" s="22" t="n"/>
      <c r="T452" s="21" t="n"/>
      <c r="U452" s="21" t="n"/>
      <c r="V452" s="21" t="n"/>
      <c r="W452" s="21" t="n"/>
      <c r="X452" s="21" t="n"/>
      <c r="Y452" s="22" t="n"/>
    </row>
    <row r="453" ht="22" customHeight="1"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3" t="n"/>
      <c r="P453" s="19" t="n"/>
      <c r="Q453" s="19" t="n"/>
      <c r="R453" s="20" t="n"/>
      <c r="S453" s="20" t="n"/>
      <c r="T453" s="19" t="n"/>
      <c r="U453" s="19" t="n"/>
      <c r="V453" s="19" t="n"/>
      <c r="W453" s="19" t="n"/>
      <c r="X453" s="19" t="n"/>
      <c r="Y453" s="20" t="n"/>
    </row>
    <row r="454" ht="22" customHeight="1"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15" t="n"/>
      <c r="P454" s="21" t="n"/>
      <c r="Q454" s="21" t="n"/>
      <c r="R454" s="22" t="n"/>
      <c r="S454" s="22" t="n"/>
      <c r="T454" s="21" t="n"/>
      <c r="U454" s="21" t="n"/>
      <c r="V454" s="21" t="n"/>
      <c r="W454" s="21" t="n"/>
      <c r="X454" s="21" t="n"/>
      <c r="Y454" s="22" t="n"/>
    </row>
    <row r="455" ht="22" customHeight="1"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3" t="n"/>
      <c r="P455" s="19" t="n"/>
      <c r="Q455" s="19" t="n"/>
      <c r="R455" s="20" t="n"/>
      <c r="S455" s="20" t="n"/>
      <c r="T455" s="19" t="n"/>
      <c r="U455" s="19" t="n"/>
      <c r="V455" s="19" t="n"/>
      <c r="W455" s="19" t="n"/>
      <c r="X455" s="19" t="n"/>
      <c r="Y455" s="20" t="n"/>
    </row>
    <row r="456" ht="22" customHeight="1"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15" t="n"/>
      <c r="P456" s="21" t="n"/>
      <c r="Q456" s="21" t="n"/>
      <c r="R456" s="22" t="n"/>
      <c r="S456" s="22" t="n"/>
      <c r="T456" s="21" t="n"/>
      <c r="U456" s="21" t="n"/>
      <c r="V456" s="21" t="n"/>
      <c r="W456" s="21" t="n"/>
      <c r="X456" s="21" t="n"/>
      <c r="Y456" s="22" t="n"/>
    </row>
    <row r="457" ht="22" customHeight="1"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3" t="n"/>
      <c r="P457" s="19" t="n"/>
      <c r="Q457" s="19" t="n"/>
      <c r="R457" s="20" t="n"/>
      <c r="S457" s="20" t="n"/>
      <c r="T457" s="19" t="n"/>
      <c r="U457" s="19" t="n"/>
      <c r="V457" s="19" t="n"/>
      <c r="W457" s="19" t="n"/>
      <c r="X457" s="19" t="n"/>
      <c r="Y457" s="20" t="n"/>
    </row>
    <row r="458" ht="22" customHeight="1"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15" t="n"/>
      <c r="P458" s="21" t="n"/>
      <c r="Q458" s="21" t="n"/>
      <c r="R458" s="22" t="n"/>
      <c r="S458" s="22" t="n"/>
      <c r="T458" s="21" t="n"/>
      <c r="U458" s="21" t="n"/>
      <c r="V458" s="21" t="n"/>
      <c r="W458" s="21" t="n"/>
      <c r="X458" s="21" t="n"/>
      <c r="Y458" s="22" t="n"/>
    </row>
    <row r="459" ht="22" customHeight="1"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3" t="n"/>
      <c r="P459" s="19" t="n"/>
      <c r="Q459" s="19" t="n"/>
      <c r="R459" s="20" t="n"/>
      <c r="S459" s="20" t="n"/>
      <c r="T459" s="19" t="n"/>
      <c r="U459" s="19" t="n"/>
      <c r="V459" s="19" t="n"/>
      <c r="W459" s="19" t="n"/>
      <c r="X459" s="19" t="n"/>
      <c r="Y459" s="20" t="n"/>
    </row>
    <row r="460" ht="22" customHeight="1"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15" t="n"/>
      <c r="P460" s="21" t="n"/>
      <c r="Q460" s="21" t="n"/>
      <c r="R460" s="22" t="n"/>
      <c r="S460" s="22" t="n"/>
      <c r="T460" s="21" t="n"/>
      <c r="U460" s="21" t="n"/>
      <c r="V460" s="21" t="n"/>
      <c r="W460" s="21" t="n"/>
      <c r="X460" s="21" t="n"/>
      <c r="Y460" s="22" t="n"/>
    </row>
    <row r="461" ht="22" customHeight="1"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3" t="n"/>
      <c r="P461" s="19" t="n"/>
      <c r="Q461" s="19" t="n"/>
      <c r="R461" s="20" t="n"/>
      <c r="S461" s="20" t="n"/>
      <c r="T461" s="19" t="n"/>
      <c r="U461" s="19" t="n"/>
      <c r="V461" s="19" t="n"/>
      <c r="W461" s="19" t="n"/>
      <c r="X461" s="19" t="n"/>
      <c r="Y461" s="20" t="n"/>
    </row>
    <row r="462" ht="22" customHeight="1"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15" t="n"/>
      <c r="P462" s="21" t="n"/>
      <c r="Q462" s="21" t="n"/>
      <c r="R462" s="22" t="n"/>
      <c r="S462" s="22" t="n"/>
      <c r="T462" s="21" t="n"/>
      <c r="U462" s="21" t="n"/>
      <c r="V462" s="21" t="n"/>
      <c r="W462" s="21" t="n"/>
      <c r="X462" s="21" t="n"/>
      <c r="Y462" s="22" t="n"/>
    </row>
    <row r="463" ht="22" customHeight="1"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3" t="n"/>
      <c r="P463" s="19" t="n"/>
      <c r="Q463" s="19" t="n"/>
      <c r="R463" s="20" t="n"/>
      <c r="S463" s="20" t="n"/>
      <c r="T463" s="19" t="n"/>
      <c r="U463" s="19" t="n"/>
      <c r="V463" s="19" t="n"/>
      <c r="W463" s="19" t="n"/>
      <c r="X463" s="19" t="n"/>
      <c r="Y463" s="20" t="n"/>
    </row>
    <row r="464" ht="22" customHeight="1"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15" t="n"/>
      <c r="P464" s="21" t="n"/>
      <c r="Q464" s="21" t="n"/>
      <c r="R464" s="22" t="n"/>
      <c r="S464" s="22" t="n"/>
      <c r="T464" s="21" t="n"/>
      <c r="U464" s="21" t="n"/>
      <c r="V464" s="21" t="n"/>
      <c r="W464" s="21" t="n"/>
      <c r="X464" s="21" t="n"/>
      <c r="Y464" s="22" t="n"/>
    </row>
    <row r="465" ht="22" customHeight="1"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3" t="n"/>
      <c r="P465" s="19" t="n"/>
      <c r="Q465" s="19" t="n"/>
      <c r="R465" s="20" t="n"/>
      <c r="S465" s="20" t="n"/>
      <c r="T465" s="19" t="n"/>
      <c r="U465" s="19" t="n"/>
      <c r="V465" s="19" t="n"/>
      <c r="W465" s="19" t="n"/>
      <c r="X465" s="19" t="n"/>
      <c r="Y465" s="20" t="n"/>
    </row>
    <row r="466" ht="22" customHeight="1"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15" t="n"/>
      <c r="P466" s="21" t="n"/>
      <c r="Q466" s="21" t="n"/>
      <c r="R466" s="22" t="n"/>
      <c r="S466" s="22" t="n"/>
      <c r="T466" s="21" t="n"/>
      <c r="U466" s="21" t="n"/>
      <c r="V466" s="21" t="n"/>
      <c r="W466" s="21" t="n"/>
      <c r="X466" s="21" t="n"/>
      <c r="Y466" s="22" t="n"/>
    </row>
    <row r="467" ht="22" customHeight="1"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3" t="n"/>
      <c r="P467" s="19" t="n"/>
      <c r="Q467" s="19" t="n"/>
      <c r="R467" s="20" t="n"/>
      <c r="S467" s="20" t="n"/>
      <c r="T467" s="19" t="n"/>
      <c r="U467" s="19" t="n"/>
      <c r="V467" s="19" t="n"/>
      <c r="W467" s="19" t="n"/>
      <c r="X467" s="19" t="n"/>
      <c r="Y467" s="20" t="n"/>
    </row>
    <row r="468" ht="22" customHeight="1"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15" t="n"/>
      <c r="P468" s="21" t="n"/>
      <c r="Q468" s="21" t="n"/>
      <c r="R468" s="22" t="n"/>
      <c r="S468" s="22" t="n"/>
      <c r="T468" s="21" t="n"/>
      <c r="U468" s="21" t="n"/>
      <c r="V468" s="21" t="n"/>
      <c r="W468" s="21" t="n"/>
      <c r="X468" s="21" t="n"/>
      <c r="Y468" s="22" t="n"/>
    </row>
    <row r="469" ht="22" customHeight="1"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3" t="n"/>
      <c r="P469" s="19" t="n"/>
      <c r="Q469" s="19" t="n"/>
      <c r="R469" s="20" t="n"/>
      <c r="S469" s="20" t="n"/>
      <c r="T469" s="19" t="n"/>
      <c r="U469" s="19" t="n"/>
      <c r="V469" s="19" t="n"/>
      <c r="W469" s="19" t="n"/>
      <c r="X469" s="19" t="n"/>
      <c r="Y469" s="20" t="n"/>
    </row>
    <row r="470" ht="22" customHeight="1"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15" t="n"/>
      <c r="P470" s="21" t="n"/>
      <c r="Q470" s="21" t="n"/>
      <c r="R470" s="22" t="n"/>
      <c r="S470" s="22" t="n"/>
      <c r="T470" s="21" t="n"/>
      <c r="U470" s="21" t="n"/>
      <c r="V470" s="21" t="n"/>
      <c r="W470" s="21" t="n"/>
      <c r="X470" s="21" t="n"/>
      <c r="Y470" s="22" t="n"/>
    </row>
    <row r="471" ht="22" customHeight="1"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3" t="n"/>
      <c r="P471" s="19" t="n"/>
      <c r="Q471" s="19" t="n"/>
      <c r="R471" s="20" t="n"/>
      <c r="S471" s="20" t="n"/>
      <c r="T471" s="19" t="n"/>
      <c r="U471" s="19" t="n"/>
      <c r="V471" s="19" t="n"/>
      <c r="W471" s="19" t="n"/>
      <c r="X471" s="19" t="n"/>
      <c r="Y471" s="20" t="n"/>
    </row>
    <row r="472" ht="22" customHeight="1"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15" t="n"/>
      <c r="P472" s="21" t="n"/>
      <c r="Q472" s="21" t="n"/>
      <c r="R472" s="22" t="n"/>
      <c r="S472" s="22" t="n"/>
      <c r="T472" s="21" t="n"/>
      <c r="U472" s="21" t="n"/>
      <c r="V472" s="21" t="n"/>
      <c r="W472" s="21" t="n"/>
      <c r="X472" s="21" t="n"/>
      <c r="Y472" s="22" t="n"/>
    </row>
    <row r="473" ht="22" customHeight="1"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3" t="n"/>
      <c r="P473" s="19" t="n"/>
      <c r="Q473" s="19" t="n"/>
      <c r="R473" s="20" t="n"/>
      <c r="S473" s="20" t="n"/>
      <c r="T473" s="19" t="n"/>
      <c r="U473" s="19" t="n"/>
      <c r="V473" s="19" t="n"/>
      <c r="W473" s="19" t="n"/>
      <c r="X473" s="19" t="n"/>
      <c r="Y473" s="20" t="n"/>
    </row>
    <row r="474" ht="22" customHeight="1"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15" t="n"/>
      <c r="P474" s="21" t="n"/>
      <c r="Q474" s="21" t="n"/>
      <c r="R474" s="22" t="n"/>
      <c r="S474" s="22" t="n"/>
      <c r="T474" s="21" t="n"/>
      <c r="U474" s="21" t="n"/>
      <c r="V474" s="21" t="n"/>
      <c r="W474" s="21" t="n"/>
      <c r="X474" s="21" t="n"/>
      <c r="Y474" s="22" t="n"/>
    </row>
    <row r="475" ht="22" customHeight="1"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3" t="n"/>
      <c r="P475" s="19" t="n"/>
      <c r="Q475" s="19" t="n"/>
      <c r="R475" s="20" t="n"/>
      <c r="S475" s="20" t="n"/>
      <c r="T475" s="19" t="n"/>
      <c r="U475" s="19" t="n"/>
      <c r="V475" s="19" t="n"/>
      <c r="W475" s="19" t="n"/>
      <c r="X475" s="19" t="n"/>
      <c r="Y475" s="20" t="n"/>
    </row>
    <row r="476" ht="22" customHeight="1"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15" t="n"/>
      <c r="P476" s="21" t="n"/>
      <c r="Q476" s="21" t="n"/>
      <c r="R476" s="22" t="n"/>
      <c r="S476" s="22" t="n"/>
      <c r="T476" s="21" t="n"/>
      <c r="U476" s="21" t="n"/>
      <c r="V476" s="21" t="n"/>
      <c r="W476" s="21" t="n"/>
      <c r="X476" s="21" t="n"/>
      <c r="Y476" s="22" t="n"/>
    </row>
    <row r="477" ht="22" customHeight="1"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3" t="n"/>
      <c r="P477" s="19" t="n"/>
      <c r="Q477" s="19" t="n"/>
      <c r="R477" s="20" t="n"/>
      <c r="S477" s="20" t="n"/>
      <c r="T477" s="19" t="n"/>
      <c r="U477" s="19" t="n"/>
      <c r="V477" s="19" t="n"/>
      <c r="W477" s="19" t="n"/>
      <c r="X477" s="19" t="n"/>
      <c r="Y477" s="20" t="n"/>
    </row>
    <row r="478" ht="22" customHeight="1"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15" t="n"/>
      <c r="P478" s="21" t="n"/>
      <c r="Q478" s="21" t="n"/>
      <c r="R478" s="22" t="n"/>
      <c r="S478" s="22" t="n"/>
      <c r="T478" s="21" t="n"/>
      <c r="U478" s="21" t="n"/>
      <c r="V478" s="21" t="n"/>
      <c r="W478" s="21" t="n"/>
      <c r="X478" s="21" t="n"/>
      <c r="Y478" s="22" t="n"/>
    </row>
    <row r="479" ht="22" customHeight="1"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3" t="n"/>
      <c r="P479" s="19" t="n"/>
      <c r="Q479" s="19" t="n"/>
      <c r="R479" s="20" t="n"/>
      <c r="S479" s="20" t="n"/>
      <c r="T479" s="19" t="n"/>
      <c r="U479" s="19" t="n"/>
      <c r="V479" s="19" t="n"/>
      <c r="W479" s="19" t="n"/>
      <c r="X479" s="19" t="n"/>
      <c r="Y479" s="20" t="n"/>
    </row>
    <row r="480" ht="22" customHeight="1"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15" t="n"/>
      <c r="P480" s="21" t="n"/>
      <c r="Q480" s="21" t="n"/>
      <c r="R480" s="22" t="n"/>
      <c r="S480" s="22" t="n"/>
      <c r="T480" s="21" t="n"/>
      <c r="U480" s="21" t="n"/>
      <c r="V480" s="21" t="n"/>
      <c r="W480" s="21" t="n"/>
      <c r="X480" s="21" t="n"/>
      <c r="Y480" s="22" t="n"/>
    </row>
    <row r="481" ht="22" customHeight="1"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3" t="n"/>
      <c r="P481" s="19" t="n"/>
      <c r="Q481" s="19" t="n"/>
      <c r="R481" s="20" t="n"/>
      <c r="S481" s="20" t="n"/>
      <c r="T481" s="19" t="n"/>
      <c r="U481" s="19" t="n"/>
      <c r="V481" s="19" t="n"/>
      <c r="W481" s="19" t="n"/>
      <c r="X481" s="19" t="n"/>
      <c r="Y481" s="20" t="n"/>
    </row>
    <row r="482" ht="22" customHeight="1"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15" t="n"/>
      <c r="P482" s="21" t="n"/>
      <c r="Q482" s="21" t="n"/>
      <c r="R482" s="22" t="n"/>
      <c r="S482" s="22" t="n"/>
      <c r="T482" s="21" t="n"/>
      <c r="U482" s="21" t="n"/>
      <c r="V482" s="21" t="n"/>
      <c r="W482" s="21" t="n"/>
      <c r="X482" s="21" t="n"/>
      <c r="Y482" s="22" t="n"/>
    </row>
    <row r="483" ht="22" customHeight="1"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3" t="n"/>
      <c r="P483" s="19" t="n"/>
      <c r="Q483" s="19" t="n"/>
      <c r="R483" s="20" t="n"/>
      <c r="S483" s="20" t="n"/>
      <c r="T483" s="19" t="n"/>
      <c r="U483" s="19" t="n"/>
      <c r="V483" s="19" t="n"/>
      <c r="W483" s="19" t="n"/>
      <c r="X483" s="19" t="n"/>
      <c r="Y483" s="20" t="n"/>
    </row>
    <row r="484" ht="22" customHeight="1"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15" t="n"/>
      <c r="P484" s="21" t="n"/>
      <c r="Q484" s="21" t="n"/>
      <c r="R484" s="22" t="n"/>
      <c r="S484" s="22" t="n"/>
      <c r="T484" s="21" t="n"/>
      <c r="U484" s="21" t="n"/>
      <c r="V484" s="21" t="n"/>
      <c r="W484" s="21" t="n"/>
      <c r="X484" s="21" t="n"/>
      <c r="Y484" s="22" t="n"/>
    </row>
    <row r="485" ht="22" customHeight="1"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3" t="n"/>
      <c r="P485" s="19" t="n"/>
      <c r="Q485" s="19" t="n"/>
      <c r="R485" s="20" t="n"/>
      <c r="S485" s="20" t="n"/>
      <c r="T485" s="19" t="n"/>
      <c r="U485" s="19" t="n"/>
      <c r="V485" s="19" t="n"/>
      <c r="W485" s="19" t="n"/>
      <c r="X485" s="19" t="n"/>
      <c r="Y485" s="20" t="n"/>
    </row>
    <row r="486" ht="22" customHeight="1"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15" t="n"/>
      <c r="P486" s="21" t="n"/>
      <c r="Q486" s="21" t="n"/>
      <c r="R486" s="22" t="n"/>
      <c r="S486" s="22" t="n"/>
      <c r="T486" s="21" t="n"/>
      <c r="U486" s="21" t="n"/>
      <c r="V486" s="21" t="n"/>
      <c r="W486" s="21" t="n"/>
      <c r="X486" s="21" t="n"/>
      <c r="Y486" s="22" t="n"/>
    </row>
    <row r="487" ht="22" customHeight="1"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3" t="n"/>
      <c r="P487" s="19" t="n"/>
      <c r="Q487" s="19" t="n"/>
      <c r="R487" s="20" t="n"/>
      <c r="S487" s="20" t="n"/>
      <c r="T487" s="19" t="n"/>
      <c r="U487" s="19" t="n"/>
      <c r="V487" s="19" t="n"/>
      <c r="W487" s="19" t="n"/>
      <c r="X487" s="19" t="n"/>
      <c r="Y487" s="20" t="n"/>
    </row>
    <row r="488" ht="22" customHeight="1"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15" t="n"/>
      <c r="P488" s="21" t="n"/>
      <c r="Q488" s="21" t="n"/>
      <c r="R488" s="22" t="n"/>
      <c r="S488" s="22" t="n"/>
      <c r="T488" s="21" t="n"/>
      <c r="U488" s="21" t="n"/>
      <c r="V488" s="21" t="n"/>
      <c r="W488" s="21" t="n"/>
      <c r="X488" s="21" t="n"/>
      <c r="Y488" s="22" t="n"/>
    </row>
    <row r="489" ht="22" customHeight="1"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3" t="n"/>
      <c r="P489" s="19" t="n"/>
      <c r="Q489" s="19" t="n"/>
      <c r="R489" s="20" t="n"/>
      <c r="S489" s="20" t="n"/>
      <c r="T489" s="19" t="n"/>
      <c r="U489" s="19" t="n"/>
      <c r="V489" s="19" t="n"/>
      <c r="W489" s="19" t="n"/>
      <c r="X489" s="19" t="n"/>
      <c r="Y489" s="20" t="n"/>
    </row>
    <row r="490" ht="22" customHeight="1"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15" t="n"/>
      <c r="P490" s="21" t="n"/>
      <c r="Q490" s="21" t="n"/>
      <c r="R490" s="22" t="n"/>
      <c r="S490" s="22" t="n"/>
      <c r="T490" s="21" t="n"/>
      <c r="U490" s="21" t="n"/>
      <c r="V490" s="21" t="n"/>
      <c r="W490" s="21" t="n"/>
      <c r="X490" s="21" t="n"/>
      <c r="Y490" s="22" t="n"/>
    </row>
    <row r="491" ht="22" customHeight="1"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3" t="n"/>
      <c r="P491" s="19" t="n"/>
      <c r="Q491" s="19" t="n"/>
      <c r="R491" s="20" t="n"/>
      <c r="S491" s="20" t="n"/>
      <c r="T491" s="19" t="n"/>
      <c r="U491" s="19" t="n"/>
      <c r="V491" s="19" t="n"/>
      <c r="W491" s="19" t="n"/>
      <c r="X491" s="19" t="n"/>
      <c r="Y491" s="20" t="n"/>
    </row>
    <row r="492" ht="22" customHeight="1"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15" t="n"/>
      <c r="P492" s="21" t="n"/>
      <c r="Q492" s="21" t="n"/>
      <c r="R492" s="22" t="n"/>
      <c r="S492" s="22" t="n"/>
      <c r="T492" s="21" t="n"/>
      <c r="U492" s="21" t="n"/>
      <c r="V492" s="21" t="n"/>
      <c r="W492" s="21" t="n"/>
      <c r="X492" s="21" t="n"/>
      <c r="Y492" s="22" t="n"/>
    </row>
    <row r="493" ht="22" customHeight="1"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3" t="n"/>
      <c r="P493" s="19" t="n"/>
      <c r="Q493" s="19" t="n"/>
      <c r="R493" s="20" t="n"/>
      <c r="S493" s="20" t="n"/>
      <c r="T493" s="19" t="n"/>
      <c r="U493" s="19" t="n"/>
      <c r="V493" s="19" t="n"/>
      <c r="W493" s="19" t="n"/>
      <c r="X493" s="19" t="n"/>
      <c r="Y493" s="20" t="n"/>
    </row>
    <row r="494" ht="22" customHeight="1"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15" t="n"/>
      <c r="P494" s="21" t="n"/>
      <c r="Q494" s="21" t="n"/>
      <c r="R494" s="22" t="n"/>
      <c r="S494" s="22" t="n"/>
      <c r="T494" s="21" t="n"/>
      <c r="U494" s="21" t="n"/>
      <c r="V494" s="21" t="n"/>
      <c r="W494" s="21" t="n"/>
      <c r="X494" s="21" t="n"/>
      <c r="Y494" s="22" t="n"/>
    </row>
    <row r="495" ht="22" customHeight="1"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3" t="n"/>
      <c r="P495" s="19" t="n"/>
      <c r="Q495" s="19" t="n"/>
      <c r="R495" s="20" t="n"/>
      <c r="S495" s="20" t="n"/>
      <c r="T495" s="19" t="n"/>
      <c r="U495" s="19" t="n"/>
      <c r="V495" s="19" t="n"/>
      <c r="W495" s="19" t="n"/>
      <c r="X495" s="19" t="n"/>
      <c r="Y495" s="20" t="n"/>
    </row>
    <row r="496" ht="22" customHeight="1"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15" t="n"/>
      <c r="P496" s="21" t="n"/>
      <c r="Q496" s="21" t="n"/>
      <c r="R496" s="22" t="n"/>
      <c r="S496" s="22" t="n"/>
      <c r="T496" s="21" t="n"/>
      <c r="U496" s="21" t="n"/>
      <c r="V496" s="21" t="n"/>
      <c r="W496" s="21" t="n"/>
      <c r="X496" s="21" t="n"/>
      <c r="Y496" s="22" t="n"/>
    </row>
    <row r="497" ht="22" customHeight="1"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3" t="n"/>
      <c r="P497" s="19" t="n"/>
      <c r="Q497" s="19" t="n"/>
      <c r="R497" s="20" t="n"/>
      <c r="S497" s="20" t="n"/>
      <c r="T497" s="19" t="n"/>
      <c r="U497" s="19" t="n"/>
      <c r="V497" s="19" t="n"/>
      <c r="W497" s="19" t="n"/>
      <c r="X497" s="19" t="n"/>
      <c r="Y497" s="20" t="n"/>
    </row>
    <row r="498" ht="22" customHeight="1"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15" t="n"/>
      <c r="P498" s="21" t="n"/>
      <c r="Q498" s="21" t="n"/>
      <c r="R498" s="22" t="n"/>
      <c r="S498" s="22" t="n"/>
      <c r="T498" s="21" t="n"/>
      <c r="U498" s="21" t="n"/>
      <c r="V498" s="21" t="n"/>
      <c r="W498" s="21" t="n"/>
      <c r="X498" s="21" t="n"/>
      <c r="Y498" s="22" t="n"/>
    </row>
    <row r="499" ht="22" customHeight="1"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3" t="n"/>
      <c r="P499" s="19" t="n"/>
      <c r="Q499" s="19" t="n"/>
      <c r="R499" s="20" t="n"/>
      <c r="S499" s="20" t="n"/>
      <c r="T499" s="19" t="n"/>
      <c r="U499" s="19" t="n"/>
      <c r="V499" s="19" t="n"/>
      <c r="W499" s="19" t="n"/>
      <c r="X499" s="19" t="n"/>
      <c r="Y499" s="20" t="n"/>
    </row>
    <row r="500" ht="22" customHeight="1"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15" t="n"/>
      <c r="P500" s="21" t="n"/>
      <c r="Q500" s="21" t="n"/>
      <c r="R500" s="22" t="n"/>
      <c r="S500" s="22" t="n"/>
      <c r="T500" s="21" t="n"/>
      <c r="U500" s="21" t="n"/>
      <c r="V500" s="21" t="n"/>
      <c r="W500" s="21" t="n"/>
      <c r="X500" s="21" t="n"/>
      <c r="Y500" s="22" t="n"/>
    </row>
    <row r="501" ht="22" customHeight="1"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3" t="n"/>
      <c r="P501" s="19" t="n"/>
      <c r="Q501" s="19" t="n"/>
      <c r="R501" s="20" t="n"/>
      <c r="S501" s="20" t="n"/>
      <c r="T501" s="19" t="n"/>
      <c r="U501" s="19" t="n"/>
      <c r="V501" s="19" t="n"/>
      <c r="W501" s="19" t="n"/>
      <c r="X501" s="19" t="n"/>
      <c r="Y501" s="20" t="n"/>
    </row>
    <row r="502" ht="22" customHeight="1"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21" t="n"/>
      <c r="O502" s="15" t="n"/>
      <c r="P502" s="21" t="n"/>
      <c r="Q502" s="21" t="n"/>
      <c r="R502" s="22" t="n"/>
      <c r="S502" s="22" t="n"/>
      <c r="T502" s="21" t="n"/>
      <c r="U502" s="21" t="n"/>
      <c r="V502" s="21" t="n"/>
      <c r="W502" s="21" t="n"/>
      <c r="X502" s="21" t="n"/>
      <c r="Y502" s="22" t="n"/>
    </row>
    <row r="503" ht="22" customHeight="1"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3" t="n"/>
      <c r="P503" s="19" t="n"/>
      <c r="Q503" s="19" t="n"/>
      <c r="R503" s="20" t="n"/>
      <c r="S503" s="20" t="n"/>
      <c r="T503" s="19" t="n"/>
      <c r="U503" s="19" t="n"/>
      <c r="V503" s="19" t="n"/>
      <c r="W503" s="19" t="n"/>
      <c r="X503" s="19" t="n"/>
      <c r="Y503" s="20" t="n"/>
    </row>
    <row r="504" ht="22" customHeight="1"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21" t="n"/>
      <c r="O504" s="15" t="n"/>
      <c r="P504" s="21" t="n"/>
      <c r="Q504" s="21" t="n"/>
      <c r="R504" s="22" t="n"/>
      <c r="S504" s="22" t="n"/>
      <c r="T504" s="21" t="n"/>
      <c r="U504" s="21" t="n"/>
      <c r="V504" s="21" t="n"/>
      <c r="W504" s="21" t="n"/>
      <c r="X504" s="21" t="n"/>
      <c r="Y504" s="22" t="n"/>
    </row>
    <row r="505">
      <c r="O505" s="23" t="n"/>
      <c r="R505" s="24" t="n"/>
      <c r="S505" s="24" t="n"/>
      <c r="Y505" s="24" t="n"/>
    </row>
    <row r="506">
      <c r="O506" s="23" t="n"/>
      <c r="R506" s="24" t="n"/>
      <c r="S506" s="24" t="n"/>
      <c r="Y506" s="24" t="n"/>
    </row>
    <row r="507">
      <c r="O507" s="23" t="n"/>
      <c r="R507" s="24" t="n"/>
      <c r="S507" s="24" t="n"/>
      <c r="Y507" s="24" t="n"/>
    </row>
    <row r="508">
      <c r="O508" s="23" t="n"/>
      <c r="R508" s="24" t="n"/>
      <c r="S508" s="24" t="n"/>
      <c r="Y508" s="24" t="n"/>
    </row>
    <row r="509">
      <c r="O509" s="23" t="n"/>
      <c r="R509" s="24" t="n"/>
      <c r="S509" s="24" t="n"/>
      <c r="Y509" s="24" t="n"/>
    </row>
    <row r="510">
      <c r="O510" s="23" t="n"/>
      <c r="R510" s="24" t="n"/>
      <c r="S510" s="24" t="n"/>
      <c r="Y510" s="24" t="n"/>
    </row>
    <row r="511">
      <c r="O511" s="23" t="n"/>
      <c r="R511" s="24" t="n"/>
      <c r="S511" s="24" t="n"/>
      <c r="Y511" s="24" t="n"/>
    </row>
    <row r="512">
      <c r="O512" s="23" t="n"/>
      <c r="R512" s="24" t="n"/>
      <c r="S512" s="24" t="n"/>
      <c r="Y512" s="24" t="n"/>
    </row>
    <row r="513">
      <c r="O513" s="23" t="n"/>
      <c r="R513" s="24" t="n"/>
      <c r="S513" s="24" t="n"/>
      <c r="Y513" s="24" t="n"/>
    </row>
    <row r="514">
      <c r="O514" s="23" t="n"/>
      <c r="R514" s="24" t="n"/>
      <c r="S514" s="24" t="n"/>
      <c r="Y514" s="24" t="n"/>
    </row>
    <row r="515">
      <c r="O515" s="23" t="n"/>
      <c r="R515" s="24" t="n"/>
      <c r="S515" s="24" t="n"/>
      <c r="Y515" s="24" t="n"/>
    </row>
    <row r="516">
      <c r="O516" s="23" t="n"/>
      <c r="R516" s="24" t="n"/>
      <c r="S516" s="24" t="n"/>
      <c r="Y516" s="24" t="n"/>
    </row>
    <row r="517">
      <c r="O517" s="23" t="n"/>
      <c r="R517" s="24" t="n"/>
      <c r="S517" s="24" t="n"/>
      <c r="Y517" s="24" t="n"/>
    </row>
    <row r="518">
      <c r="O518" s="23" t="n"/>
      <c r="R518" s="24" t="n"/>
      <c r="S518" s="24" t="n"/>
      <c r="Y518" s="24" t="n"/>
    </row>
    <row r="519">
      <c r="O519" s="23" t="n"/>
      <c r="R519" s="24" t="n"/>
      <c r="S519" s="24" t="n"/>
      <c r="Y519" s="24" t="n"/>
    </row>
    <row r="520">
      <c r="O520" s="23" t="n"/>
      <c r="R520" s="24" t="n"/>
      <c r="S520" s="24" t="n"/>
      <c r="Y520" s="24" t="n"/>
    </row>
    <row r="521">
      <c r="O521" s="23" t="n"/>
      <c r="R521" s="24" t="n"/>
      <c r="S521" s="24" t="n"/>
      <c r="Y521" s="24" t="n"/>
    </row>
    <row r="522">
      <c r="O522" s="23" t="n"/>
      <c r="R522" s="24" t="n"/>
      <c r="S522" s="24" t="n"/>
      <c r="Y522" s="24" t="n"/>
    </row>
    <row r="523">
      <c r="O523" s="23" t="n"/>
      <c r="R523" s="24" t="n"/>
      <c r="S523" s="24" t="n"/>
      <c r="Y523" s="24" t="n"/>
    </row>
    <row r="524">
      <c r="O524" s="23" t="n"/>
      <c r="R524" s="24" t="n"/>
      <c r="S524" s="24" t="n"/>
      <c r="Y524" s="24" t="n"/>
    </row>
    <row r="525">
      <c r="O525" s="23" t="n"/>
      <c r="R525" s="24" t="n"/>
      <c r="S525" s="24" t="n"/>
      <c r="Y525" s="24" t="n"/>
    </row>
    <row r="526">
      <c r="O526" s="23" t="n"/>
      <c r="R526" s="24" t="n"/>
      <c r="S526" s="24" t="n"/>
      <c r="Y526" s="24" t="n"/>
    </row>
    <row r="527">
      <c r="O527" s="23" t="n"/>
      <c r="R527" s="24" t="n"/>
      <c r="S527" s="24" t="n"/>
      <c r="Y527" s="24" t="n"/>
    </row>
    <row r="528">
      <c r="O528" s="23" t="n"/>
      <c r="R528" s="24" t="n"/>
      <c r="S528" s="24" t="n"/>
      <c r="Y528" s="24" t="n"/>
    </row>
    <row r="529">
      <c r="O529" s="23" t="n"/>
      <c r="R529" s="24" t="n"/>
      <c r="S529" s="24" t="n"/>
      <c r="Y529" s="24" t="n"/>
    </row>
    <row r="530">
      <c r="O530" s="23" t="n"/>
      <c r="R530" s="24" t="n"/>
      <c r="S530" s="24" t="n"/>
      <c r="Y530" s="24" t="n"/>
    </row>
    <row r="531">
      <c r="O531" s="23" t="n"/>
      <c r="R531" s="24" t="n"/>
      <c r="S531" s="24" t="n"/>
      <c r="Y531" s="24" t="n"/>
    </row>
    <row r="532">
      <c r="O532" s="23" t="n"/>
      <c r="R532" s="24" t="n"/>
      <c r="S532" s="24" t="n"/>
      <c r="Y532" s="24" t="n"/>
    </row>
    <row r="533">
      <c r="O533" s="23" t="n"/>
      <c r="R533" s="24" t="n"/>
      <c r="S533" s="24" t="n"/>
      <c r="Y533" s="24" t="n"/>
    </row>
    <row r="534">
      <c r="O534" s="23" t="n"/>
      <c r="R534" s="24" t="n"/>
      <c r="S534" s="24" t="n"/>
      <c r="Y534" s="24" t="n"/>
    </row>
    <row r="535">
      <c r="O535" s="23" t="n"/>
      <c r="R535" s="24" t="n"/>
      <c r="S535" s="24" t="n"/>
      <c r="Y535" s="24" t="n"/>
    </row>
    <row r="536">
      <c r="O536" s="23" t="n"/>
      <c r="R536" s="24" t="n"/>
      <c r="S536" s="24" t="n"/>
      <c r="Y536" s="24" t="n"/>
    </row>
    <row r="537">
      <c r="O537" s="23" t="n"/>
      <c r="R537" s="24" t="n"/>
      <c r="S537" s="24" t="n"/>
      <c r="Y537" s="24" t="n"/>
    </row>
    <row r="538">
      <c r="O538" s="23" t="n"/>
      <c r="R538" s="24" t="n"/>
      <c r="S538" s="24" t="n"/>
      <c r="Y538" s="24" t="n"/>
    </row>
    <row r="539">
      <c r="O539" s="23" t="n"/>
      <c r="R539" s="24" t="n"/>
      <c r="S539" s="24" t="n"/>
      <c r="Y539" s="24" t="n"/>
    </row>
    <row r="540">
      <c r="O540" s="23" t="n"/>
      <c r="R540" s="24" t="n"/>
      <c r="S540" s="24" t="n"/>
      <c r="Y540" s="24" t="n"/>
    </row>
    <row r="541">
      <c r="O541" s="23" t="n"/>
      <c r="R541" s="24" t="n"/>
      <c r="S541" s="24" t="n"/>
      <c r="Y541" s="24" t="n"/>
    </row>
    <row r="542">
      <c r="O542" s="23" t="n"/>
      <c r="R542" s="24" t="n"/>
      <c r="S542" s="24" t="n"/>
      <c r="Y542" s="24" t="n"/>
    </row>
    <row r="543">
      <c r="O543" s="23" t="n"/>
      <c r="R543" s="24" t="n"/>
      <c r="S543" s="24" t="n"/>
      <c r="Y543" s="24" t="n"/>
    </row>
    <row r="544">
      <c r="O544" s="23" t="n"/>
      <c r="R544" s="24" t="n"/>
      <c r="S544" s="24" t="n"/>
      <c r="Y544" s="24" t="n"/>
    </row>
    <row r="545">
      <c r="O545" s="23" t="n"/>
      <c r="R545" s="24" t="n"/>
      <c r="S545" s="24" t="n"/>
      <c r="Y545" s="24" t="n"/>
    </row>
    <row r="546">
      <c r="O546" s="23" t="n"/>
      <c r="R546" s="24" t="n"/>
      <c r="S546" s="24" t="n"/>
      <c r="Y546" s="24" t="n"/>
    </row>
    <row r="547">
      <c r="O547" s="23" t="n"/>
      <c r="R547" s="24" t="n"/>
      <c r="S547" s="24" t="n"/>
      <c r="Y547" s="24" t="n"/>
    </row>
    <row r="548">
      <c r="O548" s="23" t="n"/>
      <c r="R548" s="24" t="n"/>
      <c r="S548" s="24" t="n"/>
      <c r="Y548" s="24" t="n"/>
    </row>
    <row r="549">
      <c r="O549" s="23" t="n"/>
      <c r="R549" s="24" t="n"/>
      <c r="S549" s="24" t="n"/>
      <c r="Y549" s="24" t="n"/>
    </row>
    <row r="550">
      <c r="O550" s="23" t="n"/>
      <c r="R550" s="24" t="n"/>
      <c r="S550" s="24" t="n"/>
      <c r="Y550" s="24" t="n"/>
    </row>
    <row r="551">
      <c r="O551" s="23" t="n"/>
      <c r="R551" s="24" t="n"/>
      <c r="S551" s="24" t="n"/>
      <c r="Y551" s="24" t="n"/>
    </row>
    <row r="552">
      <c r="O552" s="23" t="n"/>
      <c r="R552" s="24" t="n"/>
      <c r="S552" s="24" t="n"/>
      <c r="Y552" s="24" t="n"/>
    </row>
    <row r="553">
      <c r="O553" s="23" t="n"/>
      <c r="R553" s="24" t="n"/>
      <c r="S553" s="24" t="n"/>
      <c r="Y553" s="24" t="n"/>
    </row>
    <row r="554">
      <c r="O554" s="23" t="n"/>
      <c r="R554" s="24" t="n"/>
      <c r="S554" s="24" t="n"/>
      <c r="Y554" s="24" t="n"/>
    </row>
    <row r="555">
      <c r="O555" s="23" t="n"/>
      <c r="R555" s="24" t="n"/>
      <c r="S555" s="24" t="n"/>
      <c r="Y555" s="24" t="n"/>
    </row>
    <row r="556">
      <c r="O556" s="23" t="n"/>
      <c r="R556" s="24" t="n"/>
      <c r="S556" s="24" t="n"/>
      <c r="Y556" s="24" t="n"/>
    </row>
    <row r="557">
      <c r="O557" s="23" t="n"/>
      <c r="R557" s="24" t="n"/>
      <c r="S557" s="24" t="n"/>
      <c r="Y557" s="24" t="n"/>
    </row>
    <row r="558">
      <c r="O558" s="23" t="n"/>
      <c r="R558" s="24" t="n"/>
      <c r="S558" s="24" t="n"/>
      <c r="Y558" s="24" t="n"/>
    </row>
    <row r="559">
      <c r="O559" s="23" t="n"/>
      <c r="R559" s="24" t="n"/>
      <c r="S559" s="24" t="n"/>
      <c r="Y559" s="24" t="n"/>
    </row>
    <row r="560">
      <c r="O560" s="23" t="n"/>
      <c r="R560" s="24" t="n"/>
      <c r="S560" s="24" t="n"/>
      <c r="Y560" s="24" t="n"/>
    </row>
    <row r="561">
      <c r="O561" s="23" t="n"/>
      <c r="R561" s="24" t="n"/>
      <c r="S561" s="24" t="n"/>
      <c r="Y561" s="24" t="n"/>
    </row>
    <row r="562">
      <c r="O562" s="23" t="n"/>
      <c r="R562" s="24" t="n"/>
      <c r="S562" s="24" t="n"/>
      <c r="Y562" s="24" t="n"/>
    </row>
    <row r="563">
      <c r="O563" s="23" t="n"/>
      <c r="R563" s="24" t="n"/>
      <c r="S563" s="24" t="n"/>
      <c r="Y563" s="24" t="n"/>
    </row>
    <row r="564">
      <c r="O564" s="23" t="n"/>
      <c r="R564" s="24" t="n"/>
      <c r="S564" s="24" t="n"/>
      <c r="Y564" s="24" t="n"/>
    </row>
    <row r="565">
      <c r="O565" s="23" t="n"/>
      <c r="R565" s="24" t="n"/>
      <c r="S565" s="24" t="n"/>
      <c r="Y565" s="24" t="n"/>
    </row>
    <row r="566">
      <c r="O566" s="23" t="n"/>
      <c r="R566" s="24" t="n"/>
      <c r="S566" s="24" t="n"/>
      <c r="Y566" s="24" t="n"/>
    </row>
    <row r="567">
      <c r="O567" s="23" t="n"/>
      <c r="R567" s="24" t="n"/>
      <c r="S567" s="24" t="n"/>
      <c r="Y567" s="24" t="n"/>
    </row>
    <row r="568">
      <c r="O568" s="23" t="n"/>
      <c r="R568" s="24" t="n"/>
      <c r="S568" s="24" t="n"/>
      <c r="Y568" s="24" t="n"/>
    </row>
    <row r="569">
      <c r="O569" s="23" t="n"/>
      <c r="R569" s="24" t="n"/>
      <c r="S569" s="24" t="n"/>
      <c r="Y569" s="24" t="n"/>
    </row>
    <row r="570">
      <c r="O570" s="23" t="n"/>
      <c r="R570" s="24" t="n"/>
      <c r="S570" s="24" t="n"/>
      <c r="Y570" s="24" t="n"/>
    </row>
    <row r="571">
      <c r="O571" s="23" t="n"/>
      <c r="R571" s="24" t="n"/>
      <c r="S571" s="24" t="n"/>
      <c r="Y571" s="24" t="n"/>
    </row>
    <row r="572">
      <c r="O572" s="23" t="n"/>
      <c r="R572" s="24" t="n"/>
      <c r="S572" s="24" t="n"/>
      <c r="Y572" s="24" t="n"/>
    </row>
    <row r="573">
      <c r="O573" s="23" t="n"/>
      <c r="R573" s="24" t="n"/>
      <c r="S573" s="24" t="n"/>
      <c r="Y573" s="24" t="n"/>
    </row>
    <row r="574">
      <c r="O574" s="23" t="n"/>
      <c r="R574" s="24" t="n"/>
      <c r="S574" s="24" t="n"/>
      <c r="Y574" s="24" t="n"/>
    </row>
    <row r="575">
      <c r="O575" s="23" t="n"/>
      <c r="R575" s="24" t="n"/>
      <c r="S575" s="24" t="n"/>
      <c r="Y575" s="24" t="n"/>
    </row>
    <row r="576">
      <c r="O576" s="23" t="n"/>
      <c r="R576" s="24" t="n"/>
      <c r="S576" s="24" t="n"/>
      <c r="Y576" s="24" t="n"/>
    </row>
    <row r="577">
      <c r="O577" s="23" t="n"/>
      <c r="R577" s="24" t="n"/>
      <c r="S577" s="24" t="n"/>
      <c r="Y577" s="24" t="n"/>
    </row>
    <row r="578">
      <c r="O578" s="23" t="n"/>
      <c r="R578" s="24" t="n"/>
      <c r="S578" s="24" t="n"/>
      <c r="Y578" s="24" t="n"/>
    </row>
    <row r="579">
      <c r="O579" s="23" t="n"/>
      <c r="R579" s="24" t="n"/>
      <c r="S579" s="24" t="n"/>
      <c r="Y579" s="24" t="n"/>
    </row>
    <row r="580">
      <c r="O580" s="23" t="n"/>
      <c r="R580" s="24" t="n"/>
      <c r="S580" s="24" t="n"/>
      <c r="Y580" s="24" t="n"/>
    </row>
    <row r="581">
      <c r="O581" s="23" t="n"/>
      <c r="R581" s="24" t="n"/>
      <c r="S581" s="24" t="n"/>
      <c r="Y581" s="24" t="n"/>
    </row>
    <row r="582">
      <c r="O582" s="23" t="n"/>
      <c r="R582" s="24" t="n"/>
      <c r="S582" s="24" t="n"/>
      <c r="Y582" s="24" t="n"/>
    </row>
    <row r="583">
      <c r="O583" s="23" t="n"/>
      <c r="R583" s="24" t="n"/>
      <c r="S583" s="24" t="n"/>
      <c r="Y583" s="24" t="n"/>
    </row>
    <row r="584">
      <c r="O584" s="23" t="n"/>
      <c r="R584" s="24" t="n"/>
      <c r="S584" s="24" t="n"/>
      <c r="Y584" s="24" t="n"/>
    </row>
    <row r="585">
      <c r="O585" s="23" t="n"/>
      <c r="R585" s="24" t="n"/>
      <c r="S585" s="24" t="n"/>
      <c r="Y585" s="24" t="n"/>
    </row>
    <row r="586">
      <c r="O586" s="23" t="n"/>
      <c r="R586" s="24" t="n"/>
      <c r="S586" s="24" t="n"/>
      <c r="Y586" s="24" t="n"/>
    </row>
    <row r="587">
      <c r="O587" s="23" t="n"/>
      <c r="R587" s="24" t="n"/>
      <c r="S587" s="24" t="n"/>
      <c r="Y587" s="24" t="n"/>
    </row>
    <row r="588">
      <c r="O588" s="23" t="n"/>
      <c r="R588" s="24" t="n"/>
      <c r="S588" s="24" t="n"/>
      <c r="Y588" s="24" t="n"/>
    </row>
    <row r="589">
      <c r="O589" s="23" t="n"/>
      <c r="R589" s="24" t="n"/>
      <c r="S589" s="24" t="n"/>
      <c r="Y589" s="24" t="n"/>
    </row>
    <row r="590">
      <c r="O590" s="23" t="n"/>
      <c r="R590" s="24" t="n"/>
      <c r="S590" s="24" t="n"/>
      <c r="Y590" s="24" t="n"/>
    </row>
    <row r="591">
      <c r="O591" s="23" t="n"/>
      <c r="R591" s="24" t="n"/>
      <c r="S591" s="24" t="n"/>
      <c r="Y591" s="24" t="n"/>
    </row>
    <row r="592">
      <c r="O592" s="23" t="n"/>
      <c r="R592" s="24" t="n"/>
      <c r="S592" s="24" t="n"/>
      <c r="Y592" s="24" t="n"/>
    </row>
    <row r="593">
      <c r="O593" s="23" t="n"/>
      <c r="R593" s="24" t="n"/>
      <c r="S593" s="24" t="n"/>
      <c r="Y593" s="24" t="n"/>
    </row>
    <row r="594">
      <c r="O594" s="23" t="n"/>
      <c r="R594" s="24" t="n"/>
      <c r="S594" s="24" t="n"/>
      <c r="Y594" s="24" t="n"/>
    </row>
    <row r="595">
      <c r="O595" s="23" t="n"/>
      <c r="R595" s="24" t="n"/>
      <c r="S595" s="24" t="n"/>
      <c r="Y595" s="24" t="n"/>
    </row>
    <row r="596">
      <c r="O596" s="23" t="n"/>
      <c r="R596" s="24" t="n"/>
      <c r="S596" s="24" t="n"/>
      <c r="Y596" s="24" t="n"/>
    </row>
    <row r="597">
      <c r="O597" s="23" t="n"/>
      <c r="R597" s="24" t="n"/>
      <c r="S597" s="24" t="n"/>
      <c r="Y597" s="24" t="n"/>
    </row>
    <row r="598">
      <c r="O598" s="23" t="n"/>
      <c r="R598" s="24" t="n"/>
      <c r="S598" s="24" t="n"/>
      <c r="Y598" s="24" t="n"/>
    </row>
    <row r="599">
      <c r="O599" s="23" t="n"/>
      <c r="R599" s="24" t="n"/>
      <c r="S599" s="24" t="n"/>
      <c r="Y599" s="24" t="n"/>
    </row>
    <row r="600">
      <c r="O600" s="23" t="n"/>
      <c r="R600" s="24" t="n"/>
      <c r="S600" s="24" t="n"/>
      <c r="Y600" s="24" t="n"/>
    </row>
    <row r="601">
      <c r="O601" s="23" t="n"/>
      <c r="R601" s="24" t="n"/>
      <c r="S601" s="24" t="n"/>
      <c r="Y601" s="24" t="n"/>
    </row>
    <row r="602">
      <c r="O602" s="23" t="n"/>
      <c r="R602" s="24" t="n"/>
      <c r="S602" s="24" t="n"/>
      <c r="Y602" s="24" t="n"/>
    </row>
    <row r="603">
      <c r="O603" s="23" t="n"/>
      <c r="R603" s="24" t="n"/>
      <c r="S603" s="24" t="n"/>
      <c r="Y603" s="24" t="n"/>
    </row>
    <row r="604">
      <c r="O604" s="23" t="n"/>
      <c r="R604" s="24" t="n"/>
      <c r="S604" s="24" t="n"/>
      <c r="Y604" s="24" t="n"/>
    </row>
    <row r="605">
      <c r="O605" s="23" t="n"/>
      <c r="R605" s="24" t="n"/>
      <c r="S605" s="24" t="n"/>
      <c r="Y605" s="24" t="n"/>
    </row>
    <row r="606">
      <c r="O606" s="23" t="n"/>
      <c r="R606" s="24" t="n"/>
      <c r="S606" s="24" t="n"/>
      <c r="Y606" s="24" t="n"/>
    </row>
    <row r="607">
      <c r="O607" s="23" t="n"/>
      <c r="R607" s="24" t="n"/>
      <c r="S607" s="24" t="n"/>
      <c r="Y607" s="24" t="n"/>
    </row>
    <row r="608">
      <c r="O608" s="23" t="n"/>
      <c r="R608" s="24" t="n"/>
      <c r="S608" s="24" t="n"/>
      <c r="Y608" s="24" t="n"/>
    </row>
    <row r="609">
      <c r="O609" s="23" t="n"/>
      <c r="R609" s="24" t="n"/>
      <c r="S609" s="24" t="n"/>
      <c r="Y609" s="24" t="n"/>
    </row>
    <row r="610">
      <c r="O610" s="23" t="n"/>
      <c r="R610" s="24" t="n"/>
      <c r="S610" s="24" t="n"/>
      <c r="Y610" s="24" t="n"/>
    </row>
    <row r="611">
      <c r="O611" s="23" t="n"/>
      <c r="R611" s="24" t="n"/>
      <c r="S611" s="24" t="n"/>
      <c r="Y611" s="24" t="n"/>
    </row>
    <row r="612">
      <c r="O612" s="23" t="n"/>
      <c r="R612" s="24" t="n"/>
      <c r="S612" s="24" t="n"/>
      <c r="Y612" s="24" t="n"/>
    </row>
    <row r="613">
      <c r="O613" s="23" t="n"/>
      <c r="R613" s="24" t="n"/>
      <c r="S613" s="24" t="n"/>
      <c r="Y613" s="24" t="n"/>
    </row>
    <row r="614">
      <c r="O614" s="23" t="n"/>
      <c r="R614" s="24" t="n"/>
      <c r="S614" s="24" t="n"/>
      <c r="Y614" s="24" t="n"/>
    </row>
    <row r="615">
      <c r="O615" s="23" t="n"/>
      <c r="R615" s="24" t="n"/>
      <c r="S615" s="24" t="n"/>
      <c r="Y615" s="24" t="n"/>
    </row>
    <row r="616">
      <c r="O616" s="23" t="n"/>
      <c r="R616" s="24" t="n"/>
      <c r="S616" s="24" t="n"/>
      <c r="Y616" s="24" t="n"/>
    </row>
    <row r="617">
      <c r="O617" s="23" t="n"/>
      <c r="R617" s="24" t="n"/>
      <c r="S617" s="24" t="n"/>
      <c r="Y617" s="24" t="n"/>
    </row>
    <row r="618">
      <c r="O618" s="23" t="n"/>
      <c r="R618" s="24" t="n"/>
      <c r="S618" s="24" t="n"/>
      <c r="Y618" s="24" t="n"/>
    </row>
    <row r="619">
      <c r="O619" s="23" t="n"/>
      <c r="R619" s="24" t="n"/>
      <c r="S619" s="24" t="n"/>
      <c r="Y619" s="24" t="n"/>
    </row>
    <row r="620">
      <c r="O620" s="23" t="n"/>
      <c r="R620" s="24" t="n"/>
      <c r="S620" s="24" t="n"/>
      <c r="Y620" s="24" t="n"/>
    </row>
    <row r="621">
      <c r="O621" s="23" t="n"/>
      <c r="R621" s="24" t="n"/>
      <c r="S621" s="24" t="n"/>
      <c r="Y621" s="24" t="n"/>
    </row>
    <row r="622">
      <c r="O622" s="23" t="n"/>
      <c r="R622" s="24" t="n"/>
      <c r="S622" s="24" t="n"/>
      <c r="Y622" s="24" t="n"/>
    </row>
    <row r="623">
      <c r="O623" s="23" t="n"/>
      <c r="R623" s="24" t="n"/>
      <c r="S623" s="24" t="n"/>
      <c r="Y623" s="24" t="n"/>
    </row>
    <row r="624">
      <c r="O624" s="23" t="n"/>
      <c r="R624" s="24" t="n"/>
      <c r="S624" s="24" t="n"/>
      <c r="Y624" s="24" t="n"/>
    </row>
    <row r="625">
      <c r="O625" s="23" t="n"/>
      <c r="R625" s="24" t="n"/>
      <c r="S625" s="24" t="n"/>
      <c r="Y625" s="24" t="n"/>
    </row>
    <row r="626">
      <c r="O626" s="23" t="n"/>
      <c r="R626" s="24" t="n"/>
      <c r="S626" s="24" t="n"/>
      <c r="Y626" s="24" t="n"/>
    </row>
    <row r="627">
      <c r="O627" s="23" t="n"/>
      <c r="R627" s="24" t="n"/>
      <c r="S627" s="24" t="n"/>
      <c r="Y627" s="24" t="n"/>
    </row>
    <row r="628">
      <c r="O628" s="23" t="n"/>
      <c r="R628" s="24" t="n"/>
      <c r="S628" s="24" t="n"/>
      <c r="Y628" s="24" t="n"/>
    </row>
    <row r="629">
      <c r="O629" s="23" t="n"/>
      <c r="R629" s="24" t="n"/>
      <c r="S629" s="24" t="n"/>
      <c r="Y629" s="24" t="n"/>
    </row>
    <row r="630">
      <c r="O630" s="23" t="n"/>
      <c r="R630" s="24" t="n"/>
      <c r="S630" s="24" t="n"/>
      <c r="Y630" s="24" t="n"/>
    </row>
    <row r="631">
      <c r="O631" s="23" t="n"/>
      <c r="R631" s="24" t="n"/>
      <c r="S631" s="24" t="n"/>
      <c r="Y631" s="24" t="n"/>
    </row>
    <row r="632">
      <c r="O632" s="23" t="n"/>
      <c r="R632" s="24" t="n"/>
      <c r="S632" s="24" t="n"/>
      <c r="Y632" s="24" t="n"/>
    </row>
    <row r="633">
      <c r="O633" s="23" t="n"/>
      <c r="R633" s="24" t="n"/>
      <c r="S633" s="24" t="n"/>
      <c r="Y633" s="24" t="n"/>
    </row>
    <row r="634">
      <c r="O634" s="23" t="n"/>
      <c r="R634" s="24" t="n"/>
      <c r="S634" s="24" t="n"/>
      <c r="Y634" s="24" t="n"/>
    </row>
    <row r="635">
      <c r="O635" s="23" t="n"/>
      <c r="R635" s="24" t="n"/>
      <c r="S635" s="24" t="n"/>
      <c r="Y635" s="24" t="n"/>
    </row>
    <row r="636">
      <c r="O636" s="23" t="n"/>
      <c r="R636" s="24" t="n"/>
      <c r="S636" s="24" t="n"/>
      <c r="Y636" s="24" t="n"/>
    </row>
    <row r="637">
      <c r="O637" s="23" t="n"/>
      <c r="R637" s="24" t="n"/>
      <c r="S637" s="24" t="n"/>
      <c r="Y637" s="24" t="n"/>
    </row>
    <row r="638">
      <c r="O638" s="23" t="n"/>
      <c r="R638" s="24" t="n"/>
      <c r="S638" s="24" t="n"/>
      <c r="Y638" s="24" t="n"/>
    </row>
    <row r="639">
      <c r="O639" s="23" t="n"/>
      <c r="R639" s="24" t="n"/>
      <c r="S639" s="24" t="n"/>
      <c r="Y639" s="24" t="n"/>
    </row>
    <row r="640">
      <c r="O640" s="23" t="n"/>
      <c r="R640" s="24" t="n"/>
      <c r="S640" s="24" t="n"/>
      <c r="Y640" s="24" t="n"/>
    </row>
    <row r="641">
      <c r="O641" s="23" t="n"/>
      <c r="R641" s="24" t="n"/>
      <c r="S641" s="24" t="n"/>
      <c r="Y641" s="24" t="n"/>
    </row>
    <row r="642">
      <c r="O642" s="23" t="n"/>
      <c r="R642" s="24" t="n"/>
      <c r="S642" s="24" t="n"/>
      <c r="Y642" s="24" t="n"/>
    </row>
    <row r="643">
      <c r="O643" s="23" t="n"/>
      <c r="R643" s="24" t="n"/>
      <c r="S643" s="24" t="n"/>
      <c r="Y643" s="24" t="n"/>
    </row>
    <row r="644">
      <c r="O644" s="23" t="n"/>
      <c r="R644" s="24" t="n"/>
      <c r="S644" s="24" t="n"/>
      <c r="Y644" s="24" t="n"/>
    </row>
    <row r="645">
      <c r="O645" s="23" t="n"/>
      <c r="R645" s="24" t="n"/>
      <c r="S645" s="24" t="n"/>
      <c r="Y645" s="24" t="n"/>
    </row>
    <row r="646">
      <c r="O646" s="23" t="n"/>
      <c r="R646" s="24" t="n"/>
      <c r="S646" s="24" t="n"/>
      <c r="Y646" s="24" t="n"/>
    </row>
    <row r="647">
      <c r="O647" s="23" t="n"/>
      <c r="R647" s="24" t="n"/>
      <c r="S647" s="24" t="n"/>
      <c r="Y647" s="24" t="n"/>
    </row>
    <row r="648">
      <c r="O648" s="23" t="n"/>
      <c r="R648" s="24" t="n"/>
      <c r="S648" s="24" t="n"/>
      <c r="Y648" s="24" t="n"/>
    </row>
    <row r="649">
      <c r="O649" s="23" t="n"/>
      <c r="R649" s="24" t="n"/>
      <c r="S649" s="24" t="n"/>
      <c r="Y649" s="24" t="n"/>
    </row>
    <row r="650">
      <c r="O650" s="23" t="n"/>
      <c r="R650" s="24" t="n"/>
      <c r="S650" s="24" t="n"/>
      <c r="Y650" s="24" t="n"/>
    </row>
    <row r="651">
      <c r="O651" s="23" t="n"/>
      <c r="R651" s="24" t="n"/>
      <c r="S651" s="24" t="n"/>
      <c r="Y651" s="24" t="n"/>
    </row>
    <row r="652">
      <c r="O652" s="23" t="n"/>
      <c r="R652" s="24" t="n"/>
      <c r="S652" s="24" t="n"/>
      <c r="Y652" s="24" t="n"/>
    </row>
    <row r="653">
      <c r="O653" s="23" t="n"/>
      <c r="R653" s="24" t="n"/>
      <c r="S653" s="24" t="n"/>
      <c r="Y653" s="24" t="n"/>
    </row>
    <row r="654">
      <c r="O654" s="23" t="n"/>
      <c r="R654" s="24" t="n"/>
      <c r="S654" s="24" t="n"/>
      <c r="Y654" s="24" t="n"/>
    </row>
    <row r="655">
      <c r="O655" s="23" t="n"/>
      <c r="R655" s="24" t="n"/>
      <c r="S655" s="24" t="n"/>
      <c r="Y655" s="24" t="n"/>
    </row>
    <row r="656">
      <c r="O656" s="23" t="n"/>
      <c r="R656" s="24" t="n"/>
      <c r="S656" s="24" t="n"/>
      <c r="Y656" s="24" t="n"/>
    </row>
    <row r="657">
      <c r="O657" s="23" t="n"/>
      <c r="R657" s="24" t="n"/>
      <c r="S657" s="24" t="n"/>
      <c r="Y657" s="24" t="n"/>
    </row>
    <row r="658">
      <c r="O658" s="23" t="n"/>
      <c r="R658" s="24" t="n"/>
      <c r="S658" s="24" t="n"/>
      <c r="Y658" s="24" t="n"/>
    </row>
    <row r="659">
      <c r="O659" s="23" t="n"/>
      <c r="R659" s="24" t="n"/>
      <c r="S659" s="24" t="n"/>
      <c r="Y659" s="24" t="n"/>
    </row>
    <row r="660">
      <c r="O660" s="23" t="n"/>
      <c r="R660" s="24" t="n"/>
      <c r="S660" s="24" t="n"/>
      <c r="Y660" s="24" t="n"/>
    </row>
    <row r="661">
      <c r="O661" s="23" t="n"/>
      <c r="R661" s="24" t="n"/>
      <c r="S661" s="24" t="n"/>
      <c r="Y661" s="24" t="n"/>
    </row>
    <row r="662">
      <c r="O662" s="23" t="n"/>
      <c r="R662" s="24" t="n"/>
      <c r="S662" s="24" t="n"/>
      <c r="Y662" s="24" t="n"/>
    </row>
    <row r="663">
      <c r="O663" s="23" t="n"/>
      <c r="R663" s="24" t="n"/>
      <c r="S663" s="24" t="n"/>
      <c r="Y663" s="24" t="n"/>
    </row>
    <row r="664">
      <c r="O664" s="23" t="n"/>
      <c r="R664" s="24" t="n"/>
      <c r="S664" s="24" t="n"/>
      <c r="Y664" s="24" t="n"/>
    </row>
    <row r="665">
      <c r="O665" s="23" t="n"/>
      <c r="R665" s="24" t="n"/>
      <c r="S665" s="24" t="n"/>
      <c r="Y665" s="24" t="n"/>
    </row>
    <row r="666">
      <c r="O666" s="23" t="n"/>
      <c r="R666" s="24" t="n"/>
      <c r="S666" s="24" t="n"/>
      <c r="Y666" s="24" t="n"/>
    </row>
    <row r="667">
      <c r="O667" s="23" t="n"/>
      <c r="R667" s="24" t="n"/>
      <c r="S667" s="24" t="n"/>
      <c r="Y667" s="24" t="n"/>
    </row>
    <row r="668">
      <c r="O668" s="23" t="n"/>
      <c r="R668" s="24" t="n"/>
      <c r="S668" s="24" t="n"/>
      <c r="Y668" s="24" t="n"/>
    </row>
    <row r="669">
      <c r="O669" s="23" t="n"/>
      <c r="R669" s="24" t="n"/>
      <c r="S669" s="24" t="n"/>
      <c r="Y669" s="24" t="n"/>
    </row>
    <row r="670">
      <c r="O670" s="23" t="n"/>
      <c r="R670" s="24" t="n"/>
      <c r="S670" s="24" t="n"/>
      <c r="Y670" s="24" t="n"/>
    </row>
    <row r="671">
      <c r="O671" s="23" t="n"/>
      <c r="R671" s="24" t="n"/>
      <c r="S671" s="24" t="n"/>
      <c r="Y671" s="24" t="n"/>
    </row>
    <row r="672">
      <c r="O672" s="23" t="n"/>
      <c r="R672" s="24" t="n"/>
      <c r="S672" s="24" t="n"/>
      <c r="Y672" s="24" t="n"/>
    </row>
    <row r="673">
      <c r="O673" s="23" t="n"/>
      <c r="R673" s="24" t="n"/>
      <c r="S673" s="24" t="n"/>
      <c r="Y673" s="24" t="n"/>
    </row>
    <row r="674">
      <c r="O674" s="23" t="n"/>
      <c r="R674" s="24" t="n"/>
      <c r="S674" s="24" t="n"/>
      <c r="Y674" s="24" t="n"/>
    </row>
    <row r="675">
      <c r="O675" s="23" t="n"/>
      <c r="R675" s="24" t="n"/>
      <c r="S675" s="24" t="n"/>
      <c r="Y675" s="24" t="n"/>
    </row>
    <row r="676">
      <c r="O676" s="23" t="n"/>
      <c r="R676" s="24" t="n"/>
      <c r="S676" s="24" t="n"/>
      <c r="Y676" s="24" t="n"/>
    </row>
    <row r="677">
      <c r="O677" s="23" t="n"/>
      <c r="R677" s="24" t="n"/>
      <c r="S677" s="24" t="n"/>
      <c r="Y677" s="24" t="n"/>
    </row>
    <row r="678">
      <c r="O678" s="23" t="n"/>
      <c r="R678" s="24" t="n"/>
      <c r="S678" s="24" t="n"/>
      <c r="Y678" s="24" t="n"/>
    </row>
    <row r="679">
      <c r="O679" s="23" t="n"/>
      <c r="R679" s="24" t="n"/>
      <c r="S679" s="24" t="n"/>
      <c r="Y679" s="24" t="n"/>
    </row>
    <row r="680">
      <c r="O680" s="23" t="n"/>
      <c r="R680" s="24" t="n"/>
      <c r="S680" s="24" t="n"/>
      <c r="Y680" s="24" t="n"/>
    </row>
    <row r="681">
      <c r="O681" s="23" t="n"/>
      <c r="R681" s="24" t="n"/>
      <c r="S681" s="24" t="n"/>
      <c r="Y681" s="24" t="n"/>
    </row>
    <row r="682">
      <c r="O682" s="23" t="n"/>
      <c r="R682" s="24" t="n"/>
      <c r="S682" s="24" t="n"/>
      <c r="Y682" s="24" t="n"/>
    </row>
    <row r="683">
      <c r="O683" s="23" t="n"/>
      <c r="R683" s="24" t="n"/>
      <c r="S683" s="24" t="n"/>
      <c r="Y683" s="24" t="n"/>
    </row>
    <row r="684">
      <c r="O684" s="23" t="n"/>
      <c r="R684" s="24" t="n"/>
      <c r="S684" s="24" t="n"/>
      <c r="Y684" s="24" t="n"/>
    </row>
    <row r="685">
      <c r="O685" s="23" t="n"/>
      <c r="R685" s="24" t="n"/>
      <c r="S685" s="24" t="n"/>
      <c r="Y685" s="24" t="n"/>
    </row>
    <row r="686">
      <c r="O686" s="23" t="n"/>
      <c r="R686" s="24" t="n"/>
      <c r="S686" s="24" t="n"/>
      <c r="Y686" s="24" t="n"/>
    </row>
    <row r="687">
      <c r="O687" s="23" t="n"/>
      <c r="R687" s="24" t="n"/>
      <c r="S687" s="24" t="n"/>
      <c r="Y687" s="24" t="n"/>
    </row>
    <row r="688">
      <c r="O688" s="23" t="n"/>
      <c r="R688" s="24" t="n"/>
      <c r="S688" s="24" t="n"/>
      <c r="Y688" s="24" t="n"/>
    </row>
    <row r="689">
      <c r="O689" s="23" t="n"/>
      <c r="R689" s="24" t="n"/>
      <c r="S689" s="24" t="n"/>
      <c r="Y689" s="24" t="n"/>
    </row>
    <row r="690">
      <c r="O690" s="23" t="n"/>
      <c r="R690" s="24" t="n"/>
      <c r="S690" s="24" t="n"/>
      <c r="Y690" s="24" t="n"/>
    </row>
    <row r="691">
      <c r="O691" s="23" t="n"/>
      <c r="R691" s="24" t="n"/>
      <c r="S691" s="24" t="n"/>
      <c r="Y691" s="24" t="n"/>
    </row>
    <row r="692">
      <c r="O692" s="23" t="n"/>
      <c r="R692" s="24" t="n"/>
      <c r="S692" s="24" t="n"/>
      <c r="Y692" s="24" t="n"/>
    </row>
    <row r="693">
      <c r="O693" s="23" t="n"/>
      <c r="R693" s="24" t="n"/>
      <c r="S693" s="24" t="n"/>
      <c r="Y693" s="24" t="n"/>
    </row>
    <row r="694">
      <c r="O694" s="23" t="n"/>
      <c r="R694" s="24" t="n"/>
      <c r="S694" s="24" t="n"/>
      <c r="Y694" s="24" t="n"/>
    </row>
    <row r="695">
      <c r="O695" s="23" t="n"/>
      <c r="R695" s="24" t="n"/>
      <c r="S695" s="24" t="n"/>
      <c r="Y695" s="24" t="n"/>
    </row>
    <row r="696">
      <c r="O696" s="23" t="n"/>
      <c r="R696" s="24" t="n"/>
      <c r="S696" s="24" t="n"/>
      <c r="Y696" s="24" t="n"/>
    </row>
    <row r="697">
      <c r="O697" s="23" t="n"/>
      <c r="R697" s="24" t="n"/>
      <c r="S697" s="24" t="n"/>
      <c r="Y697" s="24" t="n"/>
    </row>
    <row r="698">
      <c r="O698" s="23" t="n"/>
      <c r="R698" s="24" t="n"/>
      <c r="S698" s="24" t="n"/>
      <c r="Y698" s="24" t="n"/>
    </row>
    <row r="699">
      <c r="O699" s="23" t="n"/>
      <c r="R699" s="24" t="n"/>
      <c r="S699" s="24" t="n"/>
      <c r="Y699" s="24" t="n"/>
    </row>
    <row r="700">
      <c r="O700" s="23" t="n"/>
      <c r="R700" s="24" t="n"/>
      <c r="S700" s="24" t="n"/>
      <c r="Y700" s="24" t="n"/>
    </row>
    <row r="701">
      <c r="O701" s="23" t="n"/>
      <c r="R701" s="24" t="n"/>
      <c r="S701" s="24" t="n"/>
      <c r="Y701" s="24" t="n"/>
    </row>
    <row r="702">
      <c r="O702" s="23" t="n"/>
      <c r="R702" s="24" t="n"/>
      <c r="S702" s="24" t="n"/>
      <c r="Y702" s="24" t="n"/>
    </row>
    <row r="703">
      <c r="O703" s="23" t="n"/>
      <c r="R703" s="24" t="n"/>
      <c r="S703" s="24" t="n"/>
      <c r="Y703" s="24" t="n"/>
    </row>
    <row r="704">
      <c r="O704" s="23" t="n"/>
      <c r="R704" s="24" t="n"/>
      <c r="S704" s="24" t="n"/>
      <c r="Y704" s="24" t="n"/>
    </row>
    <row r="705">
      <c r="O705" s="23" t="n"/>
      <c r="R705" s="24" t="n"/>
      <c r="S705" s="24" t="n"/>
      <c r="Y705" s="24" t="n"/>
    </row>
    <row r="706">
      <c r="O706" s="23" t="n"/>
      <c r="R706" s="24" t="n"/>
      <c r="S706" s="24" t="n"/>
      <c r="Y706" s="24" t="n"/>
    </row>
    <row r="707">
      <c r="O707" s="23" t="n"/>
      <c r="R707" s="24" t="n"/>
      <c r="S707" s="24" t="n"/>
      <c r="Y707" s="24" t="n"/>
    </row>
    <row r="708">
      <c r="O708" s="23" t="n"/>
      <c r="R708" s="24" t="n"/>
      <c r="S708" s="24" t="n"/>
      <c r="Y708" s="24" t="n"/>
    </row>
    <row r="709">
      <c r="O709" s="23" t="n"/>
      <c r="R709" s="24" t="n"/>
      <c r="S709" s="24" t="n"/>
      <c r="Y709" s="24" t="n"/>
    </row>
    <row r="710">
      <c r="O710" s="23" t="n"/>
      <c r="R710" s="24" t="n"/>
      <c r="S710" s="24" t="n"/>
      <c r="Y710" s="24" t="n"/>
    </row>
    <row r="711">
      <c r="O711" s="23" t="n"/>
      <c r="R711" s="24" t="n"/>
      <c r="S711" s="24" t="n"/>
      <c r="Y711" s="24" t="n"/>
    </row>
    <row r="712">
      <c r="O712" s="23" t="n"/>
      <c r="R712" s="24" t="n"/>
      <c r="S712" s="24" t="n"/>
      <c r="Y712" s="24" t="n"/>
    </row>
    <row r="713">
      <c r="O713" s="23" t="n"/>
      <c r="R713" s="24" t="n"/>
      <c r="S713" s="24" t="n"/>
      <c r="Y713" s="24" t="n"/>
    </row>
    <row r="714">
      <c r="O714" s="23" t="n"/>
      <c r="R714" s="24" t="n"/>
      <c r="S714" s="24" t="n"/>
      <c r="Y714" s="24" t="n"/>
    </row>
    <row r="715">
      <c r="O715" s="23" t="n"/>
      <c r="R715" s="24" t="n"/>
      <c r="S715" s="24" t="n"/>
      <c r="Y715" s="24" t="n"/>
    </row>
    <row r="716">
      <c r="O716" s="23" t="n"/>
      <c r="R716" s="24" t="n"/>
      <c r="S716" s="24" t="n"/>
      <c r="Y716" s="24" t="n"/>
    </row>
    <row r="717">
      <c r="O717" s="23" t="n"/>
      <c r="R717" s="24" t="n"/>
      <c r="S717" s="24" t="n"/>
      <c r="Y717" s="24" t="n"/>
    </row>
    <row r="718">
      <c r="O718" s="23" t="n"/>
      <c r="R718" s="24" t="n"/>
      <c r="S718" s="24" t="n"/>
      <c r="Y718" s="24" t="n"/>
    </row>
    <row r="719">
      <c r="O719" s="23" t="n"/>
      <c r="R719" s="24" t="n"/>
      <c r="S719" s="24" t="n"/>
      <c r="Y719" s="24" t="n"/>
    </row>
    <row r="720">
      <c r="O720" s="23" t="n"/>
      <c r="R720" s="24" t="n"/>
      <c r="S720" s="24" t="n"/>
      <c r="Y720" s="24" t="n"/>
    </row>
    <row r="721">
      <c r="O721" s="23" t="n"/>
      <c r="R721" s="24" t="n"/>
      <c r="S721" s="24" t="n"/>
      <c r="Y721" s="24" t="n"/>
    </row>
    <row r="722">
      <c r="O722" s="23" t="n"/>
      <c r="R722" s="24" t="n"/>
      <c r="S722" s="24" t="n"/>
      <c r="Y722" s="24" t="n"/>
    </row>
    <row r="723">
      <c r="O723" s="23" t="n"/>
      <c r="R723" s="24" t="n"/>
      <c r="S723" s="24" t="n"/>
      <c r="Y723" s="24" t="n"/>
    </row>
    <row r="724">
      <c r="O724" s="23" t="n"/>
      <c r="R724" s="24" t="n"/>
      <c r="S724" s="24" t="n"/>
      <c r="Y724" s="24" t="n"/>
    </row>
    <row r="725">
      <c r="O725" s="23" t="n"/>
      <c r="R725" s="24" t="n"/>
      <c r="S725" s="24" t="n"/>
      <c r="Y725" s="24" t="n"/>
    </row>
    <row r="726">
      <c r="O726" s="23" t="n"/>
      <c r="R726" s="24" t="n"/>
      <c r="S726" s="24" t="n"/>
      <c r="Y726" s="24" t="n"/>
    </row>
    <row r="727">
      <c r="O727" s="23" t="n"/>
      <c r="R727" s="24" t="n"/>
      <c r="S727" s="24" t="n"/>
      <c r="Y727" s="24" t="n"/>
    </row>
    <row r="728">
      <c r="O728" s="23" t="n"/>
      <c r="R728" s="24" t="n"/>
      <c r="S728" s="24" t="n"/>
      <c r="Y728" s="24" t="n"/>
    </row>
    <row r="729">
      <c r="O729" s="23" t="n"/>
      <c r="R729" s="24" t="n"/>
      <c r="S729" s="24" t="n"/>
      <c r="Y729" s="24" t="n"/>
    </row>
    <row r="730">
      <c r="O730" s="23" t="n"/>
      <c r="R730" s="24" t="n"/>
      <c r="S730" s="24" t="n"/>
      <c r="Y730" s="24" t="n"/>
    </row>
    <row r="731">
      <c r="O731" s="23" t="n"/>
      <c r="R731" s="24" t="n"/>
      <c r="S731" s="24" t="n"/>
      <c r="Y731" s="24" t="n"/>
    </row>
    <row r="732">
      <c r="O732" s="23" t="n"/>
      <c r="R732" s="24" t="n"/>
      <c r="S732" s="24" t="n"/>
      <c r="Y732" s="24" t="n"/>
    </row>
    <row r="733">
      <c r="O733" s="23" t="n"/>
      <c r="R733" s="24" t="n"/>
      <c r="S733" s="24" t="n"/>
      <c r="Y733" s="24" t="n"/>
    </row>
    <row r="734">
      <c r="O734" s="23" t="n"/>
      <c r="R734" s="24" t="n"/>
      <c r="S734" s="24" t="n"/>
      <c r="Y734" s="24" t="n"/>
    </row>
    <row r="735">
      <c r="O735" s="23" t="n"/>
      <c r="R735" s="24" t="n"/>
      <c r="S735" s="24" t="n"/>
      <c r="Y735" s="24" t="n"/>
    </row>
    <row r="736">
      <c r="O736" s="23" t="n"/>
      <c r="R736" s="24" t="n"/>
      <c r="S736" s="24" t="n"/>
      <c r="Y736" s="24" t="n"/>
    </row>
    <row r="737">
      <c r="O737" s="23" t="n"/>
      <c r="R737" s="24" t="n"/>
      <c r="S737" s="24" t="n"/>
      <c r="Y737" s="24" t="n"/>
    </row>
    <row r="738">
      <c r="O738" s="23" t="n"/>
      <c r="R738" s="24" t="n"/>
      <c r="S738" s="24" t="n"/>
      <c r="Y738" s="24" t="n"/>
    </row>
    <row r="739">
      <c r="O739" s="23" t="n"/>
      <c r="R739" s="24" t="n"/>
      <c r="S739" s="24" t="n"/>
      <c r="Y739" s="24" t="n"/>
    </row>
    <row r="740">
      <c r="O740" s="23" t="n"/>
      <c r="R740" s="24" t="n"/>
      <c r="S740" s="24" t="n"/>
      <c r="Y740" s="24" t="n"/>
    </row>
    <row r="741">
      <c r="O741" s="23" t="n"/>
      <c r="R741" s="24" t="n"/>
      <c r="S741" s="24" t="n"/>
      <c r="Y741" s="24" t="n"/>
    </row>
    <row r="742">
      <c r="O742" s="23" t="n"/>
      <c r="R742" s="24" t="n"/>
      <c r="S742" s="24" t="n"/>
      <c r="Y742" s="24" t="n"/>
    </row>
    <row r="743">
      <c r="O743" s="23" t="n"/>
      <c r="R743" s="24" t="n"/>
      <c r="S743" s="24" t="n"/>
      <c r="Y743" s="24" t="n"/>
    </row>
    <row r="744">
      <c r="O744" s="23" t="n"/>
      <c r="R744" s="24" t="n"/>
      <c r="S744" s="24" t="n"/>
      <c r="Y744" s="24" t="n"/>
    </row>
    <row r="745">
      <c r="O745" s="23" t="n"/>
      <c r="R745" s="24" t="n"/>
      <c r="S745" s="24" t="n"/>
      <c r="Y745" s="24" t="n"/>
    </row>
    <row r="746">
      <c r="O746" s="23" t="n"/>
      <c r="R746" s="24" t="n"/>
      <c r="S746" s="24" t="n"/>
      <c r="Y746" s="24" t="n"/>
    </row>
    <row r="747">
      <c r="O747" s="23" t="n"/>
      <c r="R747" s="24" t="n"/>
      <c r="S747" s="24" t="n"/>
      <c r="Y747" s="24" t="n"/>
    </row>
    <row r="748">
      <c r="O748" s="23" t="n"/>
      <c r="R748" s="24" t="n"/>
      <c r="S748" s="24" t="n"/>
      <c r="Y748" s="24" t="n"/>
    </row>
    <row r="749">
      <c r="O749" s="23" t="n"/>
      <c r="R749" s="24" t="n"/>
      <c r="S749" s="24" t="n"/>
      <c r="Y749" s="24" t="n"/>
    </row>
    <row r="750">
      <c r="O750" s="23" t="n"/>
      <c r="R750" s="24" t="n"/>
      <c r="S750" s="24" t="n"/>
      <c r="Y750" s="24" t="n"/>
    </row>
    <row r="751">
      <c r="O751" s="23" t="n"/>
      <c r="R751" s="24" t="n"/>
      <c r="S751" s="24" t="n"/>
      <c r="Y751" s="24" t="n"/>
    </row>
    <row r="752">
      <c r="O752" s="23" t="n"/>
      <c r="R752" s="24" t="n"/>
      <c r="S752" s="24" t="n"/>
      <c r="Y752" s="24" t="n"/>
    </row>
    <row r="753">
      <c r="O753" s="23" t="n"/>
      <c r="R753" s="24" t="n"/>
      <c r="S753" s="24" t="n"/>
      <c r="Y753" s="24" t="n"/>
    </row>
    <row r="754">
      <c r="O754" s="23" t="n"/>
      <c r="R754" s="24" t="n"/>
      <c r="S754" s="24" t="n"/>
      <c r="Y754" s="24" t="n"/>
    </row>
    <row r="755">
      <c r="O755" s="23" t="n"/>
      <c r="R755" s="24" t="n"/>
      <c r="S755" s="24" t="n"/>
      <c r="Y755" s="24" t="n"/>
    </row>
    <row r="756">
      <c r="O756" s="23" t="n"/>
      <c r="R756" s="24" t="n"/>
      <c r="S756" s="24" t="n"/>
      <c r="Y756" s="24" t="n"/>
    </row>
    <row r="757">
      <c r="O757" s="23" t="n"/>
      <c r="R757" s="24" t="n"/>
      <c r="S757" s="24" t="n"/>
      <c r="Y757" s="24" t="n"/>
    </row>
    <row r="758">
      <c r="O758" s="23" t="n"/>
      <c r="R758" s="24" t="n"/>
      <c r="S758" s="24" t="n"/>
      <c r="Y758" s="24" t="n"/>
    </row>
    <row r="759">
      <c r="O759" s="23" t="n"/>
      <c r="R759" s="24" t="n"/>
      <c r="S759" s="24" t="n"/>
      <c r="Y759" s="24" t="n"/>
    </row>
    <row r="760">
      <c r="O760" s="23" t="n"/>
      <c r="R760" s="24" t="n"/>
      <c r="S760" s="24" t="n"/>
      <c r="Y760" s="24" t="n"/>
    </row>
    <row r="761">
      <c r="O761" s="23" t="n"/>
      <c r="R761" s="24" t="n"/>
      <c r="S761" s="24" t="n"/>
      <c r="Y761" s="24" t="n"/>
    </row>
    <row r="762">
      <c r="O762" s="23" t="n"/>
      <c r="R762" s="24" t="n"/>
      <c r="S762" s="24" t="n"/>
      <c r="Y762" s="24" t="n"/>
    </row>
    <row r="763">
      <c r="O763" s="23" t="n"/>
      <c r="R763" s="24" t="n"/>
      <c r="S763" s="24" t="n"/>
      <c r="Y763" s="24" t="n"/>
    </row>
    <row r="764">
      <c r="O764" s="23" t="n"/>
      <c r="R764" s="24" t="n"/>
      <c r="S764" s="24" t="n"/>
      <c r="Y764" s="24" t="n"/>
    </row>
    <row r="765">
      <c r="O765" s="23" t="n"/>
      <c r="R765" s="24" t="n"/>
      <c r="S765" s="24" t="n"/>
      <c r="Y765" s="24" t="n"/>
    </row>
    <row r="766">
      <c r="O766" s="23" t="n"/>
      <c r="R766" s="24" t="n"/>
      <c r="S766" s="24" t="n"/>
      <c r="Y766" s="24" t="n"/>
    </row>
    <row r="767">
      <c r="O767" s="23" t="n"/>
      <c r="R767" s="24" t="n"/>
      <c r="S767" s="24" t="n"/>
      <c r="Y767" s="24" t="n"/>
    </row>
    <row r="768">
      <c r="O768" s="23" t="n"/>
      <c r="R768" s="24" t="n"/>
      <c r="S768" s="24" t="n"/>
      <c r="Y768" s="24" t="n"/>
    </row>
    <row r="769">
      <c r="O769" s="23" t="n"/>
      <c r="R769" s="24" t="n"/>
      <c r="S769" s="24" t="n"/>
      <c r="Y769" s="24" t="n"/>
    </row>
    <row r="770">
      <c r="O770" s="23" t="n"/>
      <c r="R770" s="24" t="n"/>
      <c r="S770" s="24" t="n"/>
      <c r="Y770" s="24" t="n"/>
    </row>
    <row r="771">
      <c r="O771" s="23" t="n"/>
      <c r="R771" s="24" t="n"/>
      <c r="S771" s="24" t="n"/>
      <c r="Y771" s="24" t="n"/>
    </row>
    <row r="772">
      <c r="O772" s="23" t="n"/>
      <c r="R772" s="24" t="n"/>
      <c r="S772" s="24" t="n"/>
      <c r="Y772" s="24" t="n"/>
    </row>
    <row r="773">
      <c r="O773" s="23" t="n"/>
      <c r="R773" s="24" t="n"/>
      <c r="S773" s="24" t="n"/>
      <c r="Y773" s="24" t="n"/>
    </row>
    <row r="774">
      <c r="O774" s="23" t="n"/>
      <c r="R774" s="24" t="n"/>
      <c r="S774" s="24" t="n"/>
      <c r="Y774" s="24" t="n"/>
    </row>
    <row r="775">
      <c r="O775" s="23" t="n"/>
      <c r="R775" s="24" t="n"/>
      <c r="S775" s="24" t="n"/>
      <c r="Y775" s="24" t="n"/>
    </row>
    <row r="776">
      <c r="O776" s="23" t="n"/>
      <c r="R776" s="24" t="n"/>
      <c r="S776" s="24" t="n"/>
      <c r="Y776" s="24" t="n"/>
    </row>
    <row r="777">
      <c r="O777" s="23" t="n"/>
      <c r="R777" s="24" t="n"/>
      <c r="S777" s="24" t="n"/>
      <c r="Y777" s="24" t="n"/>
    </row>
    <row r="778">
      <c r="O778" s="23" t="n"/>
      <c r="R778" s="24" t="n"/>
      <c r="S778" s="24" t="n"/>
      <c r="Y778" s="24" t="n"/>
    </row>
    <row r="779">
      <c r="O779" s="23" t="n"/>
      <c r="R779" s="24" t="n"/>
      <c r="S779" s="24" t="n"/>
      <c r="Y779" s="24" t="n"/>
    </row>
    <row r="780">
      <c r="O780" s="23" t="n"/>
      <c r="R780" s="24" t="n"/>
      <c r="S780" s="24" t="n"/>
      <c r="Y780" s="24" t="n"/>
    </row>
    <row r="781">
      <c r="O781" s="23" t="n"/>
      <c r="R781" s="24" t="n"/>
      <c r="S781" s="24" t="n"/>
      <c r="Y781" s="24" t="n"/>
    </row>
    <row r="782">
      <c r="O782" s="23" t="n"/>
      <c r="R782" s="24" t="n"/>
      <c r="S782" s="24" t="n"/>
      <c r="Y782" s="24" t="n"/>
    </row>
    <row r="783">
      <c r="O783" s="23" t="n"/>
      <c r="R783" s="24" t="n"/>
      <c r="S783" s="24" t="n"/>
      <c r="Y783" s="24" t="n"/>
    </row>
    <row r="784">
      <c r="O784" s="23" t="n"/>
      <c r="R784" s="24" t="n"/>
      <c r="S784" s="24" t="n"/>
      <c r="Y784" s="24" t="n"/>
    </row>
    <row r="785">
      <c r="O785" s="23" t="n"/>
      <c r="R785" s="24" t="n"/>
      <c r="S785" s="24" t="n"/>
      <c r="Y785" s="24" t="n"/>
    </row>
    <row r="786">
      <c r="O786" s="23" t="n"/>
      <c r="R786" s="24" t="n"/>
      <c r="S786" s="24" t="n"/>
      <c r="Y786" s="24" t="n"/>
    </row>
    <row r="787">
      <c r="O787" s="23" t="n"/>
      <c r="R787" s="24" t="n"/>
      <c r="S787" s="24" t="n"/>
      <c r="Y787" s="24" t="n"/>
    </row>
    <row r="788">
      <c r="O788" s="23" t="n"/>
      <c r="R788" s="24" t="n"/>
      <c r="S788" s="24" t="n"/>
      <c r="Y788" s="24" t="n"/>
    </row>
    <row r="789">
      <c r="O789" s="23" t="n"/>
      <c r="R789" s="24" t="n"/>
      <c r="S789" s="24" t="n"/>
      <c r="Y789" s="24" t="n"/>
    </row>
    <row r="790">
      <c r="O790" s="23" t="n"/>
      <c r="R790" s="24" t="n"/>
      <c r="S790" s="24" t="n"/>
      <c r="Y790" s="24" t="n"/>
    </row>
    <row r="791">
      <c r="O791" s="23" t="n"/>
      <c r="R791" s="24" t="n"/>
      <c r="S791" s="24" t="n"/>
      <c r="Y791" s="24" t="n"/>
    </row>
    <row r="792">
      <c r="O792" s="23" t="n"/>
      <c r="R792" s="24" t="n"/>
      <c r="S792" s="24" t="n"/>
      <c r="Y792" s="24" t="n"/>
    </row>
    <row r="793">
      <c r="O793" s="23" t="n"/>
      <c r="R793" s="24" t="n"/>
      <c r="S793" s="24" t="n"/>
      <c r="Y793" s="24" t="n"/>
    </row>
    <row r="794">
      <c r="O794" s="23" t="n"/>
      <c r="R794" s="24" t="n"/>
      <c r="S794" s="24" t="n"/>
      <c r="Y794" s="24" t="n"/>
    </row>
    <row r="795">
      <c r="O795" s="23" t="n"/>
      <c r="R795" s="24" t="n"/>
      <c r="S795" s="24" t="n"/>
      <c r="Y795" s="24" t="n"/>
    </row>
    <row r="796">
      <c r="O796" s="23" t="n"/>
      <c r="R796" s="24" t="n"/>
      <c r="S796" s="24" t="n"/>
      <c r="Y796" s="24" t="n"/>
    </row>
    <row r="797">
      <c r="O797" s="23" t="n"/>
      <c r="R797" s="24" t="n"/>
      <c r="S797" s="24" t="n"/>
      <c r="Y797" s="24" t="n"/>
    </row>
    <row r="798">
      <c r="O798" s="23" t="n"/>
      <c r="R798" s="24" t="n"/>
      <c r="S798" s="24" t="n"/>
      <c r="Y798" s="24" t="n"/>
    </row>
    <row r="799">
      <c r="O799" s="23" t="n"/>
      <c r="R799" s="24" t="n"/>
      <c r="S799" s="24" t="n"/>
      <c r="Y799" s="24" t="n"/>
    </row>
    <row r="800">
      <c r="O800" s="23" t="n"/>
      <c r="R800" s="24" t="n"/>
      <c r="S800" s="24" t="n"/>
      <c r="Y800" s="24" t="n"/>
    </row>
    <row r="801">
      <c r="O801" s="23" t="n"/>
      <c r="R801" s="24" t="n"/>
      <c r="S801" s="24" t="n"/>
      <c r="Y801" s="24" t="n"/>
    </row>
    <row r="802">
      <c r="O802" s="23" t="n"/>
      <c r="R802" s="24" t="n"/>
      <c r="S802" s="24" t="n"/>
      <c r="Y802" s="24" t="n"/>
    </row>
    <row r="803">
      <c r="O803" s="23" t="n"/>
      <c r="R803" s="24" t="n"/>
      <c r="S803" s="24" t="n"/>
      <c r="Y803" s="24" t="n"/>
    </row>
    <row r="804">
      <c r="O804" s="23" t="n"/>
      <c r="R804" s="24" t="n"/>
      <c r="S804" s="24" t="n"/>
      <c r="Y804" s="24" t="n"/>
    </row>
    <row r="805">
      <c r="O805" s="23" t="n"/>
      <c r="R805" s="24" t="n"/>
      <c r="S805" s="24" t="n"/>
      <c r="Y805" s="24" t="n"/>
    </row>
    <row r="806">
      <c r="O806" s="23" t="n"/>
      <c r="R806" s="24" t="n"/>
      <c r="S806" s="24" t="n"/>
      <c r="Y806" s="24" t="n"/>
    </row>
    <row r="807">
      <c r="O807" s="23" t="n"/>
      <c r="R807" s="24" t="n"/>
      <c r="S807" s="24" t="n"/>
      <c r="Y807" s="24" t="n"/>
    </row>
    <row r="808">
      <c r="O808" s="23" t="n"/>
      <c r="R808" s="24" t="n"/>
      <c r="S808" s="24" t="n"/>
      <c r="Y808" s="24" t="n"/>
    </row>
    <row r="809">
      <c r="O809" s="23" t="n"/>
      <c r="R809" s="24" t="n"/>
      <c r="S809" s="24" t="n"/>
      <c r="Y809" s="24" t="n"/>
    </row>
    <row r="810">
      <c r="O810" s="23" t="n"/>
      <c r="R810" s="24" t="n"/>
      <c r="S810" s="24" t="n"/>
      <c r="Y810" s="24" t="n"/>
    </row>
    <row r="811">
      <c r="O811" s="23" t="n"/>
      <c r="R811" s="24" t="n"/>
      <c r="S811" s="24" t="n"/>
      <c r="Y811" s="24" t="n"/>
    </row>
    <row r="812">
      <c r="O812" s="23" t="n"/>
      <c r="R812" s="24" t="n"/>
      <c r="S812" s="24" t="n"/>
      <c r="Y812" s="24" t="n"/>
    </row>
    <row r="813">
      <c r="O813" s="23" t="n"/>
      <c r="R813" s="24" t="n"/>
      <c r="S813" s="24" t="n"/>
      <c r="Y813" s="24" t="n"/>
    </row>
    <row r="814">
      <c r="O814" s="23" t="n"/>
      <c r="R814" s="24" t="n"/>
      <c r="S814" s="24" t="n"/>
      <c r="Y814" s="24" t="n"/>
    </row>
    <row r="815">
      <c r="O815" s="23" t="n"/>
      <c r="R815" s="24" t="n"/>
      <c r="S815" s="24" t="n"/>
      <c r="Y815" s="24" t="n"/>
    </row>
    <row r="816">
      <c r="O816" s="23" t="n"/>
      <c r="R816" s="24" t="n"/>
      <c r="S816" s="24" t="n"/>
      <c r="Y816" s="24" t="n"/>
    </row>
    <row r="817">
      <c r="O817" s="23" t="n"/>
      <c r="R817" s="24" t="n"/>
      <c r="S817" s="24" t="n"/>
      <c r="Y817" s="24" t="n"/>
    </row>
    <row r="818">
      <c r="O818" s="23" t="n"/>
      <c r="R818" s="24" t="n"/>
      <c r="S818" s="24" t="n"/>
      <c r="Y818" s="24" t="n"/>
    </row>
    <row r="819">
      <c r="O819" s="23" t="n"/>
      <c r="R819" s="24" t="n"/>
      <c r="S819" s="24" t="n"/>
      <c r="Y819" s="24" t="n"/>
    </row>
    <row r="820">
      <c r="O820" s="23" t="n"/>
      <c r="R820" s="24" t="n"/>
      <c r="S820" s="24" t="n"/>
      <c r="Y820" s="24" t="n"/>
    </row>
    <row r="821">
      <c r="O821" s="23" t="n"/>
      <c r="R821" s="24" t="n"/>
      <c r="S821" s="24" t="n"/>
      <c r="Y821" s="24" t="n"/>
    </row>
    <row r="822">
      <c r="O822" s="23" t="n"/>
      <c r="R822" s="24" t="n"/>
      <c r="S822" s="24" t="n"/>
      <c r="Y822" s="24" t="n"/>
    </row>
    <row r="823">
      <c r="O823" s="23" t="n"/>
      <c r="R823" s="24" t="n"/>
      <c r="S823" s="24" t="n"/>
      <c r="Y823" s="24" t="n"/>
    </row>
    <row r="824">
      <c r="O824" s="23" t="n"/>
      <c r="R824" s="24" t="n"/>
      <c r="S824" s="24" t="n"/>
      <c r="Y824" s="24" t="n"/>
    </row>
    <row r="825">
      <c r="O825" s="23" t="n"/>
      <c r="R825" s="24" t="n"/>
      <c r="S825" s="24" t="n"/>
      <c r="Y825" s="24" t="n"/>
    </row>
    <row r="826">
      <c r="O826" s="23" t="n"/>
      <c r="R826" s="24" t="n"/>
      <c r="S826" s="24" t="n"/>
      <c r="Y826" s="24" t="n"/>
    </row>
    <row r="827">
      <c r="O827" s="23" t="n"/>
      <c r="R827" s="24" t="n"/>
      <c r="S827" s="24" t="n"/>
      <c r="Y827" s="24" t="n"/>
    </row>
    <row r="828">
      <c r="O828" s="23" t="n"/>
      <c r="R828" s="24" t="n"/>
      <c r="S828" s="24" t="n"/>
      <c r="Y828" s="24" t="n"/>
    </row>
    <row r="829">
      <c r="O829" s="23" t="n"/>
      <c r="R829" s="24" t="n"/>
      <c r="S829" s="24" t="n"/>
      <c r="Y829" s="24" t="n"/>
    </row>
    <row r="830">
      <c r="O830" s="23" t="n"/>
      <c r="R830" s="24" t="n"/>
      <c r="S830" s="24" t="n"/>
      <c r="Y830" s="24" t="n"/>
    </row>
    <row r="831">
      <c r="O831" s="23" t="n"/>
      <c r="R831" s="24" t="n"/>
      <c r="S831" s="24" t="n"/>
      <c r="Y831" s="24" t="n"/>
    </row>
    <row r="832">
      <c r="O832" s="23" t="n"/>
      <c r="R832" s="24" t="n"/>
      <c r="S832" s="24" t="n"/>
      <c r="Y832" s="24" t="n"/>
    </row>
    <row r="833">
      <c r="O833" s="23" t="n"/>
      <c r="R833" s="24" t="n"/>
      <c r="S833" s="24" t="n"/>
      <c r="Y833" s="24" t="n"/>
    </row>
    <row r="834">
      <c r="O834" s="23" t="n"/>
      <c r="R834" s="24" t="n"/>
      <c r="S834" s="24" t="n"/>
      <c r="Y834" s="24" t="n"/>
    </row>
    <row r="835">
      <c r="O835" s="23" t="n"/>
      <c r="R835" s="24" t="n"/>
      <c r="S835" s="24" t="n"/>
      <c r="Y835" s="24" t="n"/>
    </row>
    <row r="836">
      <c r="O836" s="23" t="n"/>
      <c r="R836" s="24" t="n"/>
      <c r="S836" s="24" t="n"/>
      <c r="Y836" s="24" t="n"/>
    </row>
    <row r="837">
      <c r="O837" s="23" t="n"/>
      <c r="R837" s="24" t="n"/>
      <c r="S837" s="24" t="n"/>
      <c r="Y837" s="24" t="n"/>
    </row>
    <row r="838">
      <c r="O838" s="23" t="n"/>
      <c r="R838" s="24" t="n"/>
      <c r="S838" s="24" t="n"/>
      <c r="Y838" s="24" t="n"/>
    </row>
    <row r="839">
      <c r="O839" s="23" t="n"/>
      <c r="R839" s="24" t="n"/>
      <c r="S839" s="24" t="n"/>
      <c r="Y839" s="24" t="n"/>
    </row>
    <row r="840">
      <c r="O840" s="23" t="n"/>
      <c r="R840" s="24" t="n"/>
      <c r="S840" s="24" t="n"/>
      <c r="Y840" s="24" t="n"/>
    </row>
    <row r="841">
      <c r="O841" s="23" t="n"/>
      <c r="R841" s="24" t="n"/>
      <c r="S841" s="24" t="n"/>
      <c r="Y841" s="24" t="n"/>
    </row>
    <row r="842">
      <c r="O842" s="23" t="n"/>
      <c r="R842" s="24" t="n"/>
      <c r="S842" s="24" t="n"/>
      <c r="Y842" s="24" t="n"/>
    </row>
    <row r="843">
      <c r="O843" s="23" t="n"/>
      <c r="R843" s="24" t="n"/>
      <c r="S843" s="24" t="n"/>
      <c r="Y843" s="24" t="n"/>
    </row>
    <row r="844">
      <c r="O844" s="23" t="n"/>
      <c r="R844" s="24" t="n"/>
      <c r="S844" s="24" t="n"/>
      <c r="Y844" s="24" t="n"/>
    </row>
    <row r="845">
      <c r="O845" s="23" t="n"/>
      <c r="R845" s="24" t="n"/>
      <c r="S845" s="24" t="n"/>
      <c r="Y845" s="24" t="n"/>
    </row>
    <row r="846">
      <c r="O846" s="23" t="n"/>
      <c r="R846" s="24" t="n"/>
      <c r="S846" s="24" t="n"/>
      <c r="Y846" s="24" t="n"/>
    </row>
    <row r="847">
      <c r="O847" s="23" t="n"/>
      <c r="R847" s="24" t="n"/>
      <c r="S847" s="24" t="n"/>
      <c r="Y847" s="24" t="n"/>
    </row>
    <row r="848">
      <c r="O848" s="23" t="n"/>
      <c r="R848" s="24" t="n"/>
      <c r="S848" s="24" t="n"/>
      <c r="Y848" s="24" t="n"/>
    </row>
    <row r="849">
      <c r="O849" s="23" t="n"/>
      <c r="R849" s="24" t="n"/>
      <c r="S849" s="24" t="n"/>
      <c r="Y849" s="24" t="n"/>
    </row>
    <row r="850">
      <c r="O850" s="23" t="n"/>
      <c r="R850" s="24" t="n"/>
      <c r="S850" s="24" t="n"/>
      <c r="Y850" s="24" t="n"/>
    </row>
    <row r="851">
      <c r="O851" s="23" t="n"/>
      <c r="R851" s="24" t="n"/>
      <c r="S851" s="24" t="n"/>
      <c r="Y851" s="24" t="n"/>
    </row>
    <row r="852">
      <c r="O852" s="23" t="n"/>
      <c r="R852" s="24" t="n"/>
      <c r="S852" s="24" t="n"/>
      <c r="Y852" s="24" t="n"/>
    </row>
    <row r="853">
      <c r="O853" s="23" t="n"/>
      <c r="R853" s="24" t="n"/>
      <c r="S853" s="24" t="n"/>
      <c r="Y853" s="24" t="n"/>
    </row>
    <row r="854">
      <c r="O854" s="23" t="n"/>
      <c r="R854" s="24" t="n"/>
      <c r="S854" s="24" t="n"/>
      <c r="Y854" s="24" t="n"/>
    </row>
    <row r="855">
      <c r="O855" s="23" t="n"/>
      <c r="R855" s="24" t="n"/>
      <c r="S855" s="24" t="n"/>
      <c r="Y855" s="24" t="n"/>
    </row>
    <row r="856">
      <c r="O856" s="23" t="n"/>
      <c r="R856" s="24" t="n"/>
      <c r="S856" s="24" t="n"/>
      <c r="Y856" s="24" t="n"/>
    </row>
    <row r="857">
      <c r="O857" s="23" t="n"/>
      <c r="R857" s="24" t="n"/>
      <c r="S857" s="24" t="n"/>
      <c r="Y857" s="24" t="n"/>
    </row>
    <row r="858">
      <c r="O858" s="23" t="n"/>
      <c r="R858" s="24" t="n"/>
      <c r="S858" s="24" t="n"/>
      <c r="Y858" s="24" t="n"/>
    </row>
    <row r="859">
      <c r="O859" s="23" t="n"/>
      <c r="R859" s="24" t="n"/>
      <c r="S859" s="24" t="n"/>
      <c r="Y859" s="24" t="n"/>
    </row>
    <row r="860">
      <c r="O860" s="23" t="n"/>
      <c r="R860" s="24" t="n"/>
      <c r="S860" s="24" t="n"/>
      <c r="Y860" s="24" t="n"/>
    </row>
    <row r="861">
      <c r="O861" s="23" t="n"/>
      <c r="R861" s="24" t="n"/>
      <c r="S861" s="24" t="n"/>
      <c r="Y861" s="24" t="n"/>
    </row>
    <row r="862">
      <c r="O862" s="23" t="n"/>
      <c r="R862" s="24" t="n"/>
      <c r="S862" s="24" t="n"/>
      <c r="Y862" s="24" t="n"/>
    </row>
    <row r="863">
      <c r="O863" s="23" t="n"/>
      <c r="R863" s="24" t="n"/>
      <c r="S863" s="24" t="n"/>
      <c r="Y863" s="24" t="n"/>
    </row>
    <row r="864">
      <c r="O864" s="23" t="n"/>
      <c r="R864" s="24" t="n"/>
      <c r="S864" s="24" t="n"/>
      <c r="Y864" s="24" t="n"/>
    </row>
    <row r="865">
      <c r="O865" s="23" t="n"/>
      <c r="R865" s="24" t="n"/>
      <c r="S865" s="24" t="n"/>
      <c r="Y865" s="24" t="n"/>
    </row>
    <row r="866">
      <c r="O866" s="23" t="n"/>
      <c r="R866" s="24" t="n"/>
      <c r="S866" s="24" t="n"/>
      <c r="Y866" s="24" t="n"/>
    </row>
    <row r="867">
      <c r="O867" s="23" t="n"/>
      <c r="R867" s="24" t="n"/>
      <c r="S867" s="24" t="n"/>
      <c r="Y867" s="24" t="n"/>
    </row>
    <row r="868">
      <c r="O868" s="23" t="n"/>
      <c r="R868" s="24" t="n"/>
      <c r="S868" s="24" t="n"/>
      <c r="Y868" s="24" t="n"/>
    </row>
    <row r="869">
      <c r="O869" s="23" t="n"/>
      <c r="R869" s="24" t="n"/>
      <c r="S869" s="24" t="n"/>
      <c r="Y869" s="24" t="n"/>
    </row>
    <row r="870">
      <c r="O870" s="23" t="n"/>
      <c r="R870" s="24" t="n"/>
      <c r="S870" s="24" t="n"/>
      <c r="Y870" s="24" t="n"/>
    </row>
    <row r="871">
      <c r="O871" s="23" t="n"/>
      <c r="R871" s="24" t="n"/>
      <c r="S871" s="24" t="n"/>
      <c r="Y871" s="24" t="n"/>
    </row>
    <row r="872">
      <c r="O872" s="23" t="n"/>
      <c r="R872" s="24" t="n"/>
      <c r="S872" s="24" t="n"/>
      <c r="Y872" s="24" t="n"/>
    </row>
    <row r="873">
      <c r="O873" s="23" t="n"/>
      <c r="R873" s="24" t="n"/>
      <c r="S873" s="24" t="n"/>
      <c r="Y873" s="24" t="n"/>
    </row>
    <row r="874">
      <c r="O874" s="23" t="n"/>
      <c r="R874" s="24" t="n"/>
      <c r="S874" s="24" t="n"/>
      <c r="Y874" s="24" t="n"/>
    </row>
    <row r="875">
      <c r="O875" s="23" t="n"/>
      <c r="R875" s="24" t="n"/>
      <c r="S875" s="24" t="n"/>
      <c r="Y875" s="24" t="n"/>
    </row>
    <row r="876">
      <c r="O876" s="23" t="n"/>
      <c r="R876" s="24" t="n"/>
      <c r="S876" s="24" t="n"/>
      <c r="Y876" s="24" t="n"/>
    </row>
    <row r="877">
      <c r="O877" s="23" t="n"/>
      <c r="R877" s="24" t="n"/>
      <c r="S877" s="24" t="n"/>
      <c r="Y877" s="24" t="n"/>
    </row>
    <row r="878">
      <c r="O878" s="23" t="n"/>
      <c r="R878" s="24" t="n"/>
      <c r="S878" s="24" t="n"/>
      <c r="Y878" s="24" t="n"/>
    </row>
    <row r="879">
      <c r="O879" s="23" t="n"/>
      <c r="R879" s="24" t="n"/>
      <c r="S879" s="24" t="n"/>
      <c r="Y879" s="24" t="n"/>
    </row>
    <row r="880">
      <c r="O880" s="23" t="n"/>
      <c r="R880" s="24" t="n"/>
      <c r="S880" s="24" t="n"/>
      <c r="Y880" s="24" t="n"/>
    </row>
    <row r="881">
      <c r="O881" s="23" t="n"/>
      <c r="R881" s="24" t="n"/>
      <c r="S881" s="24" t="n"/>
      <c r="Y881" s="24" t="n"/>
    </row>
    <row r="882">
      <c r="O882" s="23" t="n"/>
      <c r="R882" s="24" t="n"/>
      <c r="S882" s="24" t="n"/>
      <c r="Y882" s="24" t="n"/>
    </row>
    <row r="883">
      <c r="O883" s="23" t="n"/>
      <c r="R883" s="24" t="n"/>
      <c r="S883" s="24" t="n"/>
      <c r="Y883" s="24" t="n"/>
    </row>
    <row r="884">
      <c r="O884" s="23" t="n"/>
      <c r="R884" s="24" t="n"/>
      <c r="S884" s="24" t="n"/>
      <c r="Y884" s="24" t="n"/>
    </row>
    <row r="885">
      <c r="O885" s="23" t="n"/>
      <c r="R885" s="24" t="n"/>
      <c r="S885" s="24" t="n"/>
      <c r="Y885" s="24" t="n"/>
    </row>
    <row r="886">
      <c r="O886" s="23" t="n"/>
      <c r="R886" s="24" t="n"/>
      <c r="S886" s="24" t="n"/>
      <c r="Y886" s="24" t="n"/>
    </row>
    <row r="887">
      <c r="O887" s="23" t="n"/>
      <c r="R887" s="24" t="n"/>
      <c r="S887" s="24" t="n"/>
      <c r="Y887" s="24" t="n"/>
    </row>
    <row r="888">
      <c r="O888" s="23" t="n"/>
      <c r="R888" s="24" t="n"/>
      <c r="S888" s="24" t="n"/>
      <c r="Y888" s="24" t="n"/>
    </row>
    <row r="889">
      <c r="O889" s="23" t="n"/>
      <c r="R889" s="24" t="n"/>
      <c r="S889" s="24" t="n"/>
      <c r="Y889" s="24" t="n"/>
    </row>
    <row r="890">
      <c r="O890" s="23" t="n"/>
      <c r="R890" s="24" t="n"/>
      <c r="S890" s="24" t="n"/>
      <c r="Y890" s="24" t="n"/>
    </row>
    <row r="891">
      <c r="O891" s="23" t="n"/>
      <c r="R891" s="24" t="n"/>
      <c r="S891" s="24" t="n"/>
      <c r="Y891" s="24" t="n"/>
    </row>
    <row r="892">
      <c r="O892" s="23" t="n"/>
      <c r="R892" s="24" t="n"/>
      <c r="S892" s="24" t="n"/>
      <c r="Y892" s="24" t="n"/>
    </row>
    <row r="893">
      <c r="O893" s="23" t="n"/>
      <c r="R893" s="24" t="n"/>
      <c r="S893" s="24" t="n"/>
      <c r="Y893" s="24" t="n"/>
    </row>
    <row r="894">
      <c r="O894" s="23" t="n"/>
      <c r="R894" s="24" t="n"/>
      <c r="S894" s="24" t="n"/>
      <c r="Y894" s="24" t="n"/>
    </row>
    <row r="895">
      <c r="O895" s="23" t="n"/>
      <c r="R895" s="24" t="n"/>
      <c r="S895" s="24" t="n"/>
      <c r="Y895" s="24" t="n"/>
    </row>
    <row r="896">
      <c r="O896" s="23" t="n"/>
      <c r="R896" s="24" t="n"/>
      <c r="S896" s="24" t="n"/>
      <c r="Y896" s="24" t="n"/>
    </row>
    <row r="897">
      <c r="O897" s="23" t="n"/>
      <c r="R897" s="24" t="n"/>
      <c r="S897" s="24" t="n"/>
      <c r="Y897" s="24" t="n"/>
    </row>
    <row r="898">
      <c r="O898" s="23" t="n"/>
      <c r="R898" s="24" t="n"/>
      <c r="S898" s="24" t="n"/>
      <c r="Y898" s="24" t="n"/>
    </row>
    <row r="899">
      <c r="O899" s="23" t="n"/>
      <c r="R899" s="24" t="n"/>
      <c r="S899" s="24" t="n"/>
      <c r="Y899" s="24" t="n"/>
    </row>
    <row r="900">
      <c r="O900" s="23" t="n"/>
      <c r="R900" s="24" t="n"/>
      <c r="S900" s="24" t="n"/>
      <c r="Y900" s="24" t="n"/>
    </row>
    <row r="901">
      <c r="O901" s="23" t="n"/>
      <c r="R901" s="24" t="n"/>
      <c r="S901" s="24" t="n"/>
      <c r="Y901" s="24" t="n"/>
    </row>
    <row r="902">
      <c r="O902" s="23" t="n"/>
      <c r="R902" s="24" t="n"/>
      <c r="S902" s="24" t="n"/>
      <c r="Y902" s="24" t="n"/>
    </row>
    <row r="903">
      <c r="O903" s="23" t="n"/>
      <c r="R903" s="24" t="n"/>
      <c r="S903" s="24" t="n"/>
      <c r="Y903" s="24" t="n"/>
    </row>
    <row r="904">
      <c r="O904" s="23" t="n"/>
      <c r="R904" s="24" t="n"/>
      <c r="S904" s="24" t="n"/>
      <c r="Y904" s="24" t="n"/>
    </row>
    <row r="905">
      <c r="O905" s="23" t="n"/>
      <c r="R905" s="24" t="n"/>
      <c r="S905" s="24" t="n"/>
      <c r="Y905" s="24" t="n"/>
    </row>
    <row r="906">
      <c r="O906" s="23" t="n"/>
      <c r="R906" s="24" t="n"/>
      <c r="S906" s="24" t="n"/>
      <c r="Y906" s="24" t="n"/>
    </row>
    <row r="907">
      <c r="O907" s="23" t="n"/>
      <c r="R907" s="24" t="n"/>
      <c r="S907" s="24" t="n"/>
      <c r="Y907" s="24" t="n"/>
    </row>
    <row r="908">
      <c r="O908" s="23" t="n"/>
      <c r="R908" s="24" t="n"/>
      <c r="S908" s="24" t="n"/>
      <c r="Y908" s="24" t="n"/>
    </row>
    <row r="909">
      <c r="O909" s="23" t="n"/>
      <c r="R909" s="24" t="n"/>
      <c r="S909" s="24" t="n"/>
      <c r="Y909" s="24" t="n"/>
    </row>
    <row r="910">
      <c r="O910" s="23" t="n"/>
      <c r="R910" s="24" t="n"/>
      <c r="S910" s="24" t="n"/>
      <c r="Y910" s="24" t="n"/>
    </row>
    <row r="911">
      <c r="O911" s="23" t="n"/>
      <c r="R911" s="24" t="n"/>
      <c r="S911" s="24" t="n"/>
      <c r="Y911" s="24" t="n"/>
    </row>
    <row r="912">
      <c r="O912" s="23" t="n"/>
      <c r="R912" s="24" t="n"/>
      <c r="S912" s="24" t="n"/>
      <c r="Y912" s="24" t="n"/>
    </row>
    <row r="913">
      <c r="O913" s="23" t="n"/>
      <c r="R913" s="24" t="n"/>
      <c r="S913" s="24" t="n"/>
      <c r="Y913" s="24" t="n"/>
    </row>
    <row r="914">
      <c r="O914" s="23" t="n"/>
      <c r="R914" s="24" t="n"/>
      <c r="S914" s="24" t="n"/>
      <c r="Y914" s="24" t="n"/>
    </row>
    <row r="915">
      <c r="O915" s="23" t="n"/>
      <c r="R915" s="24" t="n"/>
      <c r="S915" s="24" t="n"/>
      <c r="Y915" s="24" t="n"/>
    </row>
    <row r="916">
      <c r="O916" s="23" t="n"/>
      <c r="R916" s="24" t="n"/>
      <c r="S916" s="24" t="n"/>
      <c r="Y916" s="24" t="n"/>
    </row>
    <row r="917">
      <c r="O917" s="23" t="n"/>
      <c r="R917" s="24" t="n"/>
      <c r="S917" s="24" t="n"/>
      <c r="Y917" s="24" t="n"/>
    </row>
    <row r="918">
      <c r="O918" s="23" t="n"/>
      <c r="R918" s="24" t="n"/>
      <c r="S918" s="24" t="n"/>
      <c r="Y918" s="24" t="n"/>
    </row>
    <row r="919">
      <c r="O919" s="23" t="n"/>
      <c r="R919" s="24" t="n"/>
      <c r="S919" s="24" t="n"/>
      <c r="Y919" s="24" t="n"/>
    </row>
    <row r="920">
      <c r="O920" s="23" t="n"/>
      <c r="R920" s="24" t="n"/>
      <c r="S920" s="24" t="n"/>
      <c r="Y920" s="24" t="n"/>
    </row>
    <row r="921">
      <c r="O921" s="23" t="n"/>
      <c r="R921" s="24" t="n"/>
      <c r="S921" s="24" t="n"/>
      <c r="Y921" s="24" t="n"/>
    </row>
    <row r="922">
      <c r="O922" s="23" t="n"/>
      <c r="R922" s="24" t="n"/>
      <c r="S922" s="24" t="n"/>
      <c r="Y922" s="24" t="n"/>
    </row>
    <row r="923">
      <c r="O923" s="23" t="n"/>
      <c r="R923" s="24" t="n"/>
      <c r="S923" s="24" t="n"/>
      <c r="Y923" s="24" t="n"/>
    </row>
    <row r="924">
      <c r="O924" s="23" t="n"/>
      <c r="R924" s="24" t="n"/>
      <c r="S924" s="24" t="n"/>
      <c r="Y924" s="24" t="n"/>
    </row>
    <row r="925">
      <c r="O925" s="23" t="n"/>
      <c r="R925" s="24" t="n"/>
      <c r="S925" s="24" t="n"/>
      <c r="Y925" s="24" t="n"/>
    </row>
    <row r="926">
      <c r="O926" s="23" t="n"/>
      <c r="R926" s="24" t="n"/>
      <c r="S926" s="24" t="n"/>
      <c r="Y926" s="24" t="n"/>
    </row>
    <row r="927">
      <c r="O927" s="23" t="n"/>
      <c r="R927" s="24" t="n"/>
      <c r="S927" s="24" t="n"/>
      <c r="Y927" s="24" t="n"/>
    </row>
    <row r="928">
      <c r="O928" s="23" t="n"/>
      <c r="R928" s="24" t="n"/>
      <c r="S928" s="24" t="n"/>
      <c r="Y928" s="24" t="n"/>
    </row>
    <row r="929">
      <c r="O929" s="23" t="n"/>
      <c r="R929" s="24" t="n"/>
      <c r="S929" s="24" t="n"/>
      <c r="Y929" s="24" t="n"/>
    </row>
    <row r="930">
      <c r="O930" s="23" t="n"/>
      <c r="R930" s="24" t="n"/>
      <c r="S930" s="24" t="n"/>
      <c r="Y930" s="24" t="n"/>
    </row>
    <row r="931">
      <c r="O931" s="23" t="n"/>
      <c r="R931" s="24" t="n"/>
      <c r="S931" s="24" t="n"/>
      <c r="Y931" s="24" t="n"/>
    </row>
    <row r="932">
      <c r="O932" s="23" t="n"/>
      <c r="R932" s="24" t="n"/>
      <c r="S932" s="24" t="n"/>
      <c r="Y932" s="24" t="n"/>
    </row>
    <row r="933">
      <c r="O933" s="23" t="n"/>
      <c r="R933" s="24" t="n"/>
      <c r="S933" s="24" t="n"/>
      <c r="Y933" s="24" t="n"/>
    </row>
    <row r="934">
      <c r="O934" s="23" t="n"/>
      <c r="R934" s="24" t="n"/>
      <c r="S934" s="24" t="n"/>
      <c r="Y934" s="24" t="n"/>
    </row>
    <row r="935">
      <c r="O935" s="23" t="n"/>
      <c r="R935" s="24" t="n"/>
      <c r="S935" s="24" t="n"/>
      <c r="Y935" s="24" t="n"/>
    </row>
    <row r="936">
      <c r="O936" s="23" t="n"/>
      <c r="R936" s="24" t="n"/>
      <c r="S936" s="24" t="n"/>
      <c r="Y936" s="24" t="n"/>
    </row>
    <row r="937">
      <c r="O937" s="23" t="n"/>
      <c r="R937" s="24" t="n"/>
      <c r="S937" s="24" t="n"/>
      <c r="Y937" s="24" t="n"/>
    </row>
    <row r="938">
      <c r="O938" s="23" t="n"/>
      <c r="R938" s="24" t="n"/>
      <c r="S938" s="24" t="n"/>
      <c r="Y938" s="24" t="n"/>
    </row>
    <row r="939">
      <c r="O939" s="23" t="n"/>
      <c r="R939" s="24" t="n"/>
      <c r="S939" s="24" t="n"/>
      <c r="Y939" s="24" t="n"/>
    </row>
    <row r="940">
      <c r="O940" s="23" t="n"/>
      <c r="R940" s="24" t="n"/>
      <c r="S940" s="24" t="n"/>
      <c r="Y940" s="24" t="n"/>
    </row>
    <row r="941">
      <c r="O941" s="23" t="n"/>
      <c r="R941" s="24" t="n"/>
      <c r="S941" s="24" t="n"/>
      <c r="Y941" s="24" t="n"/>
    </row>
    <row r="942">
      <c r="O942" s="23" t="n"/>
      <c r="R942" s="24" t="n"/>
      <c r="S942" s="24" t="n"/>
      <c r="Y942" s="24" t="n"/>
    </row>
    <row r="943">
      <c r="O943" s="23" t="n"/>
      <c r="R943" s="24" t="n"/>
      <c r="S943" s="24" t="n"/>
      <c r="Y943" s="24" t="n"/>
    </row>
    <row r="944">
      <c r="O944" s="23" t="n"/>
      <c r="R944" s="24" t="n"/>
      <c r="S944" s="24" t="n"/>
      <c r="Y944" s="24" t="n"/>
    </row>
    <row r="945">
      <c r="O945" s="23" t="n"/>
      <c r="R945" s="24" t="n"/>
      <c r="S945" s="24" t="n"/>
      <c r="Y945" s="24" t="n"/>
    </row>
    <row r="946">
      <c r="O946" s="23" t="n"/>
      <c r="R946" s="24" t="n"/>
      <c r="S946" s="24" t="n"/>
      <c r="Y946" s="24" t="n"/>
    </row>
    <row r="947">
      <c r="O947" s="23" t="n"/>
      <c r="R947" s="24" t="n"/>
      <c r="S947" s="24" t="n"/>
      <c r="Y947" s="24" t="n"/>
    </row>
    <row r="948">
      <c r="O948" s="23" t="n"/>
      <c r="R948" s="24" t="n"/>
      <c r="S948" s="24" t="n"/>
      <c r="Y948" s="24" t="n"/>
    </row>
    <row r="949">
      <c r="O949" s="23" t="n"/>
      <c r="R949" s="24" t="n"/>
      <c r="S949" s="24" t="n"/>
      <c r="Y949" s="24" t="n"/>
    </row>
    <row r="950">
      <c r="O950" s="23" t="n"/>
      <c r="R950" s="24" t="n"/>
      <c r="S950" s="24" t="n"/>
      <c r="Y950" s="24" t="n"/>
    </row>
    <row r="951">
      <c r="O951" s="23" t="n"/>
      <c r="R951" s="24" t="n"/>
      <c r="S951" s="24" t="n"/>
      <c r="Y951" s="24" t="n"/>
    </row>
    <row r="952">
      <c r="O952" s="23" t="n"/>
      <c r="R952" s="24" t="n"/>
      <c r="S952" s="24" t="n"/>
      <c r="Y952" s="24" t="n"/>
    </row>
    <row r="953">
      <c r="O953" s="23" t="n"/>
      <c r="R953" s="24" t="n"/>
      <c r="S953" s="24" t="n"/>
      <c r="Y953" s="24" t="n"/>
    </row>
    <row r="954">
      <c r="O954" s="23" t="n"/>
      <c r="R954" s="24" t="n"/>
      <c r="S954" s="24" t="n"/>
      <c r="Y954" s="24" t="n"/>
    </row>
    <row r="955">
      <c r="O955" s="23" t="n"/>
      <c r="R955" s="24" t="n"/>
      <c r="S955" s="24" t="n"/>
      <c r="Y955" s="24" t="n"/>
    </row>
    <row r="956">
      <c r="O956" s="23" t="n"/>
      <c r="R956" s="24" t="n"/>
      <c r="S956" s="24" t="n"/>
      <c r="Y956" s="24" t="n"/>
    </row>
    <row r="957">
      <c r="O957" s="23" t="n"/>
      <c r="R957" s="24" t="n"/>
      <c r="S957" s="24" t="n"/>
      <c r="Y957" s="24" t="n"/>
    </row>
    <row r="958">
      <c r="O958" s="23" t="n"/>
      <c r="R958" s="24" t="n"/>
      <c r="S958" s="24" t="n"/>
      <c r="Y958" s="24" t="n"/>
    </row>
    <row r="959">
      <c r="O959" s="23" t="n"/>
      <c r="R959" s="24" t="n"/>
      <c r="S959" s="24" t="n"/>
      <c r="Y959" s="24" t="n"/>
    </row>
    <row r="960">
      <c r="O960" s="23" t="n"/>
      <c r="R960" s="24" t="n"/>
      <c r="S960" s="24" t="n"/>
      <c r="Y960" s="24" t="n"/>
    </row>
    <row r="961">
      <c r="O961" s="23" t="n"/>
      <c r="R961" s="24" t="n"/>
      <c r="S961" s="24" t="n"/>
      <c r="Y961" s="24" t="n"/>
    </row>
    <row r="962">
      <c r="O962" s="23" t="n"/>
      <c r="R962" s="24" t="n"/>
      <c r="S962" s="24" t="n"/>
      <c r="Y962" s="24" t="n"/>
    </row>
    <row r="963">
      <c r="O963" s="23" t="n"/>
      <c r="R963" s="24" t="n"/>
      <c r="S963" s="24" t="n"/>
      <c r="Y963" s="24" t="n"/>
    </row>
    <row r="964">
      <c r="O964" s="23" t="n"/>
      <c r="R964" s="24" t="n"/>
      <c r="S964" s="24" t="n"/>
      <c r="Y964" s="24" t="n"/>
    </row>
    <row r="965">
      <c r="O965" s="23" t="n"/>
      <c r="R965" s="24" t="n"/>
      <c r="S965" s="24" t="n"/>
      <c r="Y965" s="24" t="n"/>
    </row>
    <row r="966">
      <c r="O966" s="23" t="n"/>
      <c r="R966" s="24" t="n"/>
      <c r="S966" s="24" t="n"/>
      <c r="Y966" s="24" t="n"/>
    </row>
    <row r="967">
      <c r="O967" s="23" t="n"/>
      <c r="R967" s="24" t="n"/>
      <c r="S967" s="24" t="n"/>
      <c r="Y967" s="24" t="n"/>
    </row>
    <row r="968">
      <c r="O968" s="23" t="n"/>
      <c r="R968" s="24" t="n"/>
      <c r="S968" s="24" t="n"/>
      <c r="Y968" s="24" t="n"/>
    </row>
    <row r="969">
      <c r="O969" s="23" t="n"/>
      <c r="R969" s="24" t="n"/>
      <c r="S969" s="24" t="n"/>
      <c r="Y969" s="24" t="n"/>
    </row>
    <row r="970">
      <c r="O970" s="23" t="n"/>
      <c r="R970" s="24" t="n"/>
      <c r="S970" s="24" t="n"/>
      <c r="Y970" s="24" t="n"/>
    </row>
    <row r="971">
      <c r="O971" s="23" t="n"/>
      <c r="R971" s="24" t="n"/>
      <c r="S971" s="24" t="n"/>
      <c r="Y971" s="24" t="n"/>
    </row>
    <row r="972">
      <c r="O972" s="23" t="n"/>
      <c r="R972" s="24" t="n"/>
      <c r="S972" s="24" t="n"/>
      <c r="Y972" s="24" t="n"/>
    </row>
    <row r="973">
      <c r="O973" s="23" t="n"/>
      <c r="R973" s="24" t="n"/>
      <c r="S973" s="24" t="n"/>
      <c r="Y973" s="24" t="n"/>
    </row>
    <row r="974">
      <c r="O974" s="23" t="n"/>
      <c r="R974" s="24" t="n"/>
      <c r="S974" s="24" t="n"/>
      <c r="Y974" s="24" t="n"/>
    </row>
    <row r="975">
      <c r="O975" s="23" t="n"/>
      <c r="R975" s="24" t="n"/>
      <c r="S975" s="24" t="n"/>
      <c r="Y975" s="24" t="n"/>
    </row>
    <row r="976">
      <c r="O976" s="23" t="n"/>
      <c r="R976" s="24" t="n"/>
      <c r="S976" s="24" t="n"/>
      <c r="Y976" s="24" t="n"/>
    </row>
    <row r="977">
      <c r="O977" s="23" t="n"/>
      <c r="R977" s="24" t="n"/>
      <c r="S977" s="24" t="n"/>
      <c r="Y977" s="24" t="n"/>
    </row>
    <row r="978">
      <c r="O978" s="23" t="n"/>
      <c r="R978" s="24" t="n"/>
      <c r="S978" s="24" t="n"/>
      <c r="Y978" s="24" t="n"/>
    </row>
    <row r="979">
      <c r="O979" s="23" t="n"/>
      <c r="R979" s="24" t="n"/>
      <c r="S979" s="24" t="n"/>
      <c r="Y979" s="24" t="n"/>
    </row>
    <row r="980">
      <c r="O980" s="23" t="n"/>
      <c r="R980" s="24" t="n"/>
      <c r="S980" s="24" t="n"/>
      <c r="Y980" s="24" t="n"/>
    </row>
    <row r="981">
      <c r="O981" s="23" t="n"/>
      <c r="R981" s="24" t="n"/>
      <c r="S981" s="24" t="n"/>
      <c r="Y981" s="24" t="n"/>
    </row>
    <row r="982">
      <c r="O982" s="23" t="n"/>
      <c r="R982" s="24" t="n"/>
      <c r="S982" s="24" t="n"/>
      <c r="Y982" s="24" t="n"/>
    </row>
    <row r="983">
      <c r="O983" s="23" t="n"/>
      <c r="R983" s="24" t="n"/>
      <c r="S983" s="24" t="n"/>
      <c r="Y983" s="24" t="n"/>
    </row>
    <row r="984">
      <c r="O984" s="23" t="n"/>
      <c r="R984" s="24" t="n"/>
      <c r="S984" s="24" t="n"/>
      <c r="Y984" s="24" t="n"/>
    </row>
    <row r="985">
      <c r="O985" s="23" t="n"/>
      <c r="R985" s="24" t="n"/>
      <c r="S985" s="24" t="n"/>
      <c r="Y985" s="24" t="n"/>
    </row>
    <row r="986">
      <c r="O986" s="23" t="n"/>
      <c r="R986" s="24" t="n"/>
      <c r="S986" s="24" t="n"/>
      <c r="Y986" s="24" t="n"/>
    </row>
    <row r="987">
      <c r="O987" s="23" t="n"/>
      <c r="R987" s="24" t="n"/>
      <c r="S987" s="24" t="n"/>
      <c r="Y987" s="24" t="n"/>
    </row>
    <row r="988">
      <c r="O988" s="23" t="n"/>
      <c r="R988" s="24" t="n"/>
      <c r="S988" s="24" t="n"/>
      <c r="Y988" s="24" t="n"/>
    </row>
    <row r="989">
      <c r="O989" s="23" t="n"/>
      <c r="R989" s="24" t="n"/>
      <c r="S989" s="24" t="n"/>
      <c r="Y989" s="24" t="n"/>
    </row>
    <row r="990">
      <c r="O990" s="23" t="n"/>
      <c r="R990" s="24" t="n"/>
      <c r="S990" s="24" t="n"/>
      <c r="Y990" s="24" t="n"/>
    </row>
    <row r="991">
      <c r="O991" s="23" t="n"/>
      <c r="R991" s="24" t="n"/>
      <c r="S991" s="24" t="n"/>
      <c r="Y991" s="24" t="n"/>
    </row>
    <row r="992">
      <c r="O992" s="23" t="n"/>
      <c r="R992" s="24" t="n"/>
      <c r="S992" s="24" t="n"/>
      <c r="Y992" s="24" t="n"/>
    </row>
    <row r="993">
      <c r="O993" s="23" t="n"/>
      <c r="R993" s="24" t="n"/>
      <c r="S993" s="24" t="n"/>
      <c r="Y993" s="24" t="n"/>
    </row>
    <row r="994">
      <c r="O994" s="23" t="n"/>
      <c r="R994" s="24" t="n"/>
      <c r="S994" s="24" t="n"/>
      <c r="Y994" s="24" t="n"/>
    </row>
    <row r="995">
      <c r="O995" s="23" t="n"/>
      <c r="R995" s="24" t="n"/>
      <c r="S995" s="24" t="n"/>
      <c r="Y995" s="24" t="n"/>
    </row>
    <row r="996">
      <c r="O996" s="23" t="n"/>
      <c r="R996" s="24" t="n"/>
      <c r="S996" s="24" t="n"/>
      <c r="Y996" s="24" t="n"/>
    </row>
    <row r="997">
      <c r="O997" s="23" t="n"/>
      <c r="R997" s="24" t="n"/>
      <c r="S997" s="24" t="n"/>
      <c r="Y997" s="24" t="n"/>
    </row>
    <row r="998">
      <c r="O998" s="23" t="n"/>
      <c r="R998" s="24" t="n"/>
      <c r="S998" s="24" t="n"/>
      <c r="Y998" s="24" t="n"/>
    </row>
    <row r="999">
      <c r="O999" s="23" t="n"/>
      <c r="R999" s="24" t="n"/>
      <c r="S999" s="24" t="n"/>
      <c r="Y999" s="24" t="n"/>
    </row>
    <row r="1000">
      <c r="O1000" s="23" t="n"/>
      <c r="R1000" s="24" t="n"/>
      <c r="S1000" s="24" t="n"/>
      <c r="Y1000" s="24" t="n"/>
    </row>
    <row r="1001">
      <c r="O1001" s="23" t="n"/>
      <c r="R1001" s="24" t="n"/>
      <c r="S1001" s="24" t="n"/>
      <c r="Y1001" s="24" t="n"/>
    </row>
    <row r="1002">
      <c r="O1002" s="23" t="n"/>
      <c r="R1002" s="24" t="n"/>
      <c r="S1002" s="24" t="n"/>
      <c r="Y1002" s="24" t="n"/>
    </row>
    <row r="1003">
      <c r="O1003" s="23" t="n"/>
      <c r="R1003" s="24" t="n"/>
      <c r="S1003" s="24" t="n"/>
      <c r="Y1003" s="24" t="n"/>
    </row>
    <row r="1004">
      <c r="O1004" s="23" t="n"/>
      <c r="R1004" s="24" t="n"/>
      <c r="S1004" s="24" t="n"/>
      <c r="Y1004" s="24" t="n"/>
    </row>
    <row r="1005">
      <c r="O1005" s="23" t="n"/>
      <c r="R1005" s="24" t="n"/>
      <c r="S1005" s="24" t="n"/>
      <c r="Y1005" s="24" t="n"/>
    </row>
    <row r="1006">
      <c r="O1006" s="23" t="n"/>
      <c r="R1006" s="24" t="n"/>
      <c r="S1006" s="24" t="n"/>
      <c r="Y1006" s="24" t="n"/>
    </row>
    <row r="1007">
      <c r="O1007" s="23" t="n"/>
      <c r="R1007" s="24" t="n"/>
      <c r="S1007" s="24" t="n"/>
      <c r="Y1007" s="24" t="n"/>
    </row>
    <row r="1008">
      <c r="O1008" s="23" t="n"/>
      <c r="R1008" s="24" t="n"/>
      <c r="S1008" s="24" t="n"/>
      <c r="Y1008" s="24" t="n"/>
    </row>
    <row r="1009">
      <c r="O1009" s="23" t="n"/>
      <c r="R1009" s="24" t="n"/>
      <c r="S1009" s="24" t="n"/>
      <c r="Y1009" s="24" t="n"/>
    </row>
    <row r="1010">
      <c r="O1010" s="23" t="n"/>
      <c r="R1010" s="24" t="n"/>
      <c r="S1010" s="24" t="n"/>
      <c r="Y1010" s="24" t="n"/>
    </row>
    <row r="1011">
      <c r="O1011" s="23" t="n"/>
      <c r="R1011" s="24" t="n"/>
      <c r="S1011" s="24" t="n"/>
      <c r="Y1011" s="24" t="n"/>
    </row>
    <row r="1012">
      <c r="O1012" s="23" t="n"/>
      <c r="R1012" s="24" t="n"/>
      <c r="S1012" s="24" t="n"/>
      <c r="Y1012" s="24" t="n"/>
    </row>
    <row r="1013">
      <c r="O1013" s="23" t="n"/>
      <c r="R1013" s="24" t="n"/>
      <c r="S1013" s="24" t="n"/>
      <c r="Y1013" s="24" t="n"/>
    </row>
    <row r="1014">
      <c r="O1014" s="23" t="n"/>
      <c r="R1014" s="24" t="n"/>
      <c r="S1014" s="24" t="n"/>
      <c r="Y1014" s="24" t="n"/>
    </row>
    <row r="1015">
      <c r="O1015" s="23" t="n"/>
      <c r="R1015" s="24" t="n"/>
      <c r="S1015" s="24" t="n"/>
      <c r="Y1015" s="24" t="n"/>
    </row>
    <row r="1016">
      <c r="O1016" s="23" t="n"/>
      <c r="R1016" s="24" t="n"/>
      <c r="S1016" s="24" t="n"/>
      <c r="Y1016" s="24" t="n"/>
    </row>
    <row r="1017">
      <c r="O1017" s="23" t="n"/>
      <c r="R1017" s="24" t="n"/>
      <c r="S1017" s="24" t="n"/>
      <c r="Y1017" s="24" t="n"/>
    </row>
    <row r="1018">
      <c r="O1018" s="23" t="n"/>
      <c r="R1018" s="24" t="n"/>
      <c r="S1018" s="24" t="n"/>
      <c r="Y1018" s="24" t="n"/>
    </row>
    <row r="1019">
      <c r="O1019" s="23" t="n"/>
      <c r="R1019" s="24" t="n"/>
      <c r="S1019" s="24" t="n"/>
      <c r="Y1019" s="24" t="n"/>
    </row>
    <row r="1020">
      <c r="O1020" s="23" t="n"/>
      <c r="R1020" s="24" t="n"/>
      <c r="S1020" s="24" t="n"/>
      <c r="Y1020" s="24" t="n"/>
    </row>
    <row r="1021">
      <c r="O1021" s="23" t="n"/>
      <c r="R1021" s="24" t="n"/>
      <c r="S1021" s="24" t="n"/>
      <c r="Y1021" s="24" t="n"/>
    </row>
    <row r="1022">
      <c r="O1022" s="23" t="n"/>
      <c r="R1022" s="24" t="n"/>
      <c r="S1022" s="24" t="n"/>
      <c r="Y1022" s="24" t="n"/>
    </row>
    <row r="1023">
      <c r="O1023" s="23" t="n"/>
      <c r="R1023" s="24" t="n"/>
      <c r="S1023" s="24" t="n"/>
      <c r="Y1023" s="24" t="n"/>
    </row>
    <row r="1024">
      <c r="O1024" s="23" t="n"/>
      <c r="R1024" s="24" t="n"/>
      <c r="S1024" s="24" t="n"/>
      <c r="Y1024" s="24" t="n"/>
    </row>
    <row r="1025">
      <c r="O1025" s="23" t="n"/>
      <c r="R1025" s="24" t="n"/>
      <c r="S1025" s="24" t="n"/>
      <c r="Y1025" s="24" t="n"/>
    </row>
    <row r="1026">
      <c r="O1026" s="23" t="n"/>
      <c r="R1026" s="24" t="n"/>
      <c r="S1026" s="24" t="n"/>
      <c r="Y1026" s="24" t="n"/>
    </row>
    <row r="1027">
      <c r="O1027" s="23" t="n"/>
      <c r="R1027" s="24" t="n"/>
      <c r="S1027" s="24" t="n"/>
      <c r="Y1027" s="24" t="n"/>
    </row>
    <row r="1028">
      <c r="O1028" s="23" t="n"/>
      <c r="R1028" s="24" t="n"/>
      <c r="S1028" s="24" t="n"/>
      <c r="Y1028" s="24" t="n"/>
    </row>
    <row r="1029">
      <c r="O1029" s="23" t="n"/>
      <c r="R1029" s="24" t="n"/>
      <c r="S1029" s="24" t="n"/>
      <c r="Y1029" s="24" t="n"/>
    </row>
    <row r="1030">
      <c r="O1030" s="23" t="n"/>
      <c r="R1030" s="24" t="n"/>
      <c r="S1030" s="24" t="n"/>
      <c r="Y1030" s="24" t="n"/>
    </row>
    <row r="1031">
      <c r="O1031" s="23" t="n"/>
      <c r="R1031" s="24" t="n"/>
      <c r="S1031" s="24" t="n"/>
      <c r="Y1031" s="24" t="n"/>
    </row>
    <row r="1032">
      <c r="O1032" s="23" t="n"/>
      <c r="R1032" s="24" t="n"/>
      <c r="S1032" s="24" t="n"/>
      <c r="Y1032" s="24" t="n"/>
    </row>
    <row r="1033">
      <c r="O1033" s="23" t="n"/>
      <c r="R1033" s="24" t="n"/>
      <c r="S1033" s="24" t="n"/>
      <c r="Y1033" s="24" t="n"/>
    </row>
    <row r="1034">
      <c r="O1034" s="23" t="n"/>
      <c r="R1034" s="24" t="n"/>
      <c r="S1034" s="24" t="n"/>
      <c r="Y1034" s="24" t="n"/>
    </row>
    <row r="1035">
      <c r="O1035" s="23" t="n"/>
      <c r="R1035" s="24" t="n"/>
      <c r="S1035" s="24" t="n"/>
      <c r="Y1035" s="24" t="n"/>
    </row>
    <row r="1036">
      <c r="O1036" s="23" t="n"/>
      <c r="R1036" s="24" t="n"/>
      <c r="S1036" s="24" t="n"/>
      <c r="Y1036" s="24" t="n"/>
    </row>
    <row r="1037">
      <c r="O1037" s="23" t="n"/>
      <c r="R1037" s="24" t="n"/>
      <c r="S1037" s="24" t="n"/>
      <c r="Y1037" s="24" t="n"/>
    </row>
    <row r="1038">
      <c r="O1038" s="23" t="n"/>
      <c r="R1038" s="24" t="n"/>
      <c r="S1038" s="24" t="n"/>
      <c r="Y1038" s="24" t="n"/>
    </row>
    <row r="1039">
      <c r="O1039" s="23" t="n"/>
      <c r="R1039" s="24" t="n"/>
      <c r="S1039" s="24" t="n"/>
      <c r="Y1039" s="24" t="n"/>
    </row>
    <row r="1040">
      <c r="O1040" s="23" t="n"/>
      <c r="R1040" s="24" t="n"/>
      <c r="S1040" s="24" t="n"/>
      <c r="Y1040" s="24" t="n"/>
    </row>
    <row r="1041">
      <c r="O1041" s="23" t="n"/>
      <c r="R1041" s="24" t="n"/>
      <c r="S1041" s="24" t="n"/>
      <c r="Y1041" s="24" t="n"/>
    </row>
    <row r="1042">
      <c r="O1042" s="23" t="n"/>
      <c r="R1042" s="24" t="n"/>
      <c r="S1042" s="24" t="n"/>
      <c r="Y1042" s="24" t="n"/>
    </row>
    <row r="1043">
      <c r="O1043" s="23" t="n"/>
      <c r="R1043" s="24" t="n"/>
      <c r="S1043" s="24" t="n"/>
      <c r="Y1043" s="24" t="n"/>
    </row>
    <row r="1044">
      <c r="O1044" s="23" t="n"/>
      <c r="R1044" s="24" t="n"/>
      <c r="S1044" s="24" t="n"/>
      <c r="Y1044" s="24" t="n"/>
    </row>
    <row r="1045">
      <c r="O1045" s="23" t="n"/>
      <c r="R1045" s="24" t="n"/>
      <c r="S1045" s="24" t="n"/>
      <c r="Y1045" s="24" t="n"/>
    </row>
    <row r="1046">
      <c r="O1046" s="23" t="n"/>
      <c r="R1046" s="24" t="n"/>
      <c r="S1046" s="24" t="n"/>
      <c r="Y1046" s="24" t="n"/>
    </row>
    <row r="1047">
      <c r="O1047" s="23" t="n"/>
      <c r="R1047" s="24" t="n"/>
      <c r="S1047" s="24" t="n"/>
      <c r="Y1047" s="24" t="n"/>
    </row>
    <row r="1048">
      <c r="O1048" s="23" t="n"/>
      <c r="R1048" s="24" t="n"/>
      <c r="S1048" s="24" t="n"/>
      <c r="Y1048" s="24" t="n"/>
    </row>
    <row r="1049">
      <c r="O1049" s="23" t="n"/>
      <c r="R1049" s="24" t="n"/>
      <c r="S1049" s="24" t="n"/>
      <c r="Y1049" s="24" t="n"/>
    </row>
    <row r="1050">
      <c r="O1050" s="23" t="n"/>
      <c r="R1050" s="24" t="n"/>
      <c r="S1050" s="24" t="n"/>
      <c r="Y1050" s="24" t="n"/>
    </row>
    <row r="1051">
      <c r="O1051" s="23" t="n"/>
      <c r="R1051" s="24" t="n"/>
      <c r="S1051" s="24" t="n"/>
      <c r="Y1051" s="24" t="n"/>
    </row>
    <row r="1052">
      <c r="O1052" s="23" t="n"/>
      <c r="R1052" s="24" t="n"/>
      <c r="S1052" s="24" t="n"/>
      <c r="Y1052" s="24" t="n"/>
    </row>
    <row r="1053">
      <c r="O1053" s="23" t="n"/>
      <c r="R1053" s="24" t="n"/>
      <c r="S1053" s="24" t="n"/>
      <c r="Y1053" s="24" t="n"/>
    </row>
    <row r="1054">
      <c r="O1054" s="23" t="n"/>
      <c r="R1054" s="24" t="n"/>
      <c r="S1054" s="24" t="n"/>
      <c r="Y1054" s="24" t="n"/>
    </row>
    <row r="1055">
      <c r="O1055" s="23" t="n"/>
      <c r="R1055" s="24" t="n"/>
      <c r="S1055" s="24" t="n"/>
      <c r="Y1055" s="24" t="n"/>
    </row>
    <row r="1056">
      <c r="O1056" s="23" t="n"/>
      <c r="R1056" s="24" t="n"/>
      <c r="S1056" s="24" t="n"/>
      <c r="Y1056" s="24" t="n"/>
    </row>
    <row r="1057">
      <c r="O1057" s="23" t="n"/>
      <c r="R1057" s="24" t="n"/>
      <c r="S1057" s="24" t="n"/>
      <c r="Y1057" s="24" t="n"/>
    </row>
    <row r="1058">
      <c r="O1058" s="23" t="n"/>
      <c r="R1058" s="24" t="n"/>
      <c r="S1058" s="24" t="n"/>
      <c r="Y1058" s="24" t="n"/>
    </row>
    <row r="1059">
      <c r="O1059" s="23" t="n"/>
      <c r="R1059" s="24" t="n"/>
      <c r="S1059" s="24" t="n"/>
      <c r="Y1059" s="24" t="n"/>
    </row>
    <row r="1060">
      <c r="O1060" s="23" t="n"/>
      <c r="R1060" s="24" t="n"/>
      <c r="S1060" s="24" t="n"/>
      <c r="Y1060" s="24" t="n"/>
    </row>
    <row r="1061">
      <c r="O1061" s="23" t="n"/>
      <c r="R1061" s="24" t="n"/>
      <c r="S1061" s="24" t="n"/>
      <c r="Y1061" s="24" t="n"/>
    </row>
    <row r="1062">
      <c r="O1062" s="23" t="n"/>
      <c r="R1062" s="24" t="n"/>
      <c r="S1062" s="24" t="n"/>
      <c r="Y1062" s="24" t="n"/>
    </row>
    <row r="1063">
      <c r="O1063" s="23" t="n"/>
      <c r="R1063" s="24" t="n"/>
      <c r="S1063" s="24" t="n"/>
      <c r="Y1063" s="24" t="n"/>
    </row>
    <row r="1064">
      <c r="O1064" s="23" t="n"/>
      <c r="R1064" s="24" t="n"/>
      <c r="S1064" s="24" t="n"/>
      <c r="Y1064" s="24" t="n"/>
    </row>
    <row r="1065">
      <c r="O1065" s="23" t="n"/>
      <c r="R1065" s="24" t="n"/>
      <c r="S1065" s="24" t="n"/>
      <c r="Y1065" s="24" t="n"/>
    </row>
    <row r="1066">
      <c r="O1066" s="23" t="n"/>
      <c r="R1066" s="24" t="n"/>
      <c r="S1066" s="24" t="n"/>
      <c r="Y1066" s="24" t="n"/>
    </row>
    <row r="1067">
      <c r="O1067" s="23" t="n"/>
      <c r="R1067" s="24" t="n"/>
      <c r="S1067" s="24" t="n"/>
      <c r="Y1067" s="24" t="n"/>
    </row>
    <row r="1068">
      <c r="O1068" s="23" t="n"/>
      <c r="R1068" s="24" t="n"/>
      <c r="S1068" s="24" t="n"/>
      <c r="Y1068" s="24" t="n"/>
    </row>
    <row r="1069">
      <c r="O1069" s="23" t="n"/>
      <c r="R1069" s="24" t="n"/>
      <c r="S1069" s="24" t="n"/>
      <c r="Y1069" s="24" t="n"/>
    </row>
    <row r="1070">
      <c r="O1070" s="23" t="n"/>
      <c r="R1070" s="24" t="n"/>
      <c r="S1070" s="24" t="n"/>
      <c r="Y1070" s="24" t="n"/>
    </row>
    <row r="1071">
      <c r="O1071" s="23" t="n"/>
      <c r="R1071" s="24" t="n"/>
      <c r="S1071" s="24" t="n"/>
      <c r="Y1071" s="24" t="n"/>
    </row>
    <row r="1072">
      <c r="O1072" s="23" t="n"/>
      <c r="R1072" s="24" t="n"/>
      <c r="S1072" s="24" t="n"/>
      <c r="Y1072" s="24" t="n"/>
    </row>
    <row r="1073">
      <c r="O1073" s="23" t="n"/>
      <c r="R1073" s="24" t="n"/>
      <c r="S1073" s="24" t="n"/>
      <c r="Y1073" s="24" t="n"/>
    </row>
    <row r="1074">
      <c r="O1074" s="23" t="n"/>
      <c r="R1074" s="24" t="n"/>
      <c r="S1074" s="24" t="n"/>
      <c r="Y1074" s="24" t="n"/>
    </row>
    <row r="1075">
      <c r="O1075" s="23" t="n"/>
      <c r="R1075" s="24" t="n"/>
      <c r="S1075" s="24" t="n"/>
      <c r="Y1075" s="24" t="n"/>
    </row>
    <row r="1076">
      <c r="O1076" s="23" t="n"/>
      <c r="R1076" s="24" t="n"/>
      <c r="S1076" s="24" t="n"/>
      <c r="Y1076" s="24" t="n"/>
    </row>
    <row r="1077">
      <c r="O1077" s="23" t="n"/>
      <c r="R1077" s="24" t="n"/>
      <c r="S1077" s="24" t="n"/>
      <c r="Y1077" s="24" t="n"/>
    </row>
    <row r="1078">
      <c r="O1078" s="23" t="n"/>
      <c r="R1078" s="24" t="n"/>
      <c r="S1078" s="24" t="n"/>
      <c r="Y1078" s="24" t="n"/>
    </row>
    <row r="1079">
      <c r="O1079" s="23" t="n"/>
      <c r="R1079" s="24" t="n"/>
      <c r="S1079" s="24" t="n"/>
      <c r="Y1079" s="24" t="n"/>
    </row>
    <row r="1080">
      <c r="O1080" s="23" t="n"/>
      <c r="R1080" s="24" t="n"/>
      <c r="S1080" s="24" t="n"/>
      <c r="Y1080" s="24" t="n"/>
    </row>
    <row r="1081">
      <c r="O1081" s="23" t="n"/>
      <c r="R1081" s="24" t="n"/>
      <c r="S1081" s="24" t="n"/>
      <c r="Y1081" s="24" t="n"/>
    </row>
    <row r="1082">
      <c r="O1082" s="23" t="n"/>
      <c r="R1082" s="24" t="n"/>
      <c r="S1082" s="24" t="n"/>
      <c r="Y1082" s="24" t="n"/>
    </row>
    <row r="1083">
      <c r="O1083" s="23" t="n"/>
      <c r="R1083" s="24" t="n"/>
      <c r="S1083" s="24" t="n"/>
      <c r="Y1083" s="24" t="n"/>
    </row>
    <row r="1084">
      <c r="O1084" s="23" t="n"/>
      <c r="R1084" s="24" t="n"/>
      <c r="S1084" s="24" t="n"/>
      <c r="Y1084" s="24" t="n"/>
    </row>
    <row r="1085">
      <c r="O1085" s="23" t="n"/>
      <c r="R1085" s="24" t="n"/>
      <c r="S1085" s="24" t="n"/>
      <c r="Y1085" s="24" t="n"/>
    </row>
    <row r="1086">
      <c r="O1086" s="23" t="n"/>
      <c r="R1086" s="24" t="n"/>
      <c r="S1086" s="24" t="n"/>
      <c r="Y1086" s="24" t="n"/>
    </row>
    <row r="1087">
      <c r="O1087" s="23" t="n"/>
      <c r="R1087" s="24" t="n"/>
      <c r="S1087" s="24" t="n"/>
      <c r="Y1087" s="24" t="n"/>
    </row>
    <row r="1088">
      <c r="O1088" s="23" t="n"/>
      <c r="R1088" s="24" t="n"/>
      <c r="S1088" s="24" t="n"/>
      <c r="Y1088" s="24" t="n"/>
    </row>
    <row r="1089">
      <c r="O1089" s="23" t="n"/>
      <c r="R1089" s="24" t="n"/>
      <c r="S1089" s="24" t="n"/>
      <c r="Y1089" s="24" t="n"/>
    </row>
    <row r="1090">
      <c r="O1090" s="23" t="n"/>
      <c r="R1090" s="24" t="n"/>
      <c r="S1090" s="24" t="n"/>
      <c r="Y1090" s="24" t="n"/>
    </row>
    <row r="1091">
      <c r="O1091" s="23" t="n"/>
      <c r="R1091" s="24" t="n"/>
      <c r="S1091" s="24" t="n"/>
      <c r="Y1091" s="24" t="n"/>
    </row>
    <row r="1092">
      <c r="O1092" s="23" t="n"/>
      <c r="R1092" s="24" t="n"/>
      <c r="S1092" s="24" t="n"/>
      <c r="Y1092" s="24" t="n"/>
    </row>
    <row r="1093">
      <c r="O1093" s="23" t="n"/>
      <c r="R1093" s="24" t="n"/>
      <c r="S1093" s="24" t="n"/>
      <c r="Y1093" s="24" t="n"/>
    </row>
    <row r="1094">
      <c r="O1094" s="23" t="n"/>
      <c r="R1094" s="24" t="n"/>
      <c r="S1094" s="24" t="n"/>
      <c r="Y1094" s="24" t="n"/>
    </row>
    <row r="1095">
      <c r="O1095" s="23" t="n"/>
      <c r="R1095" s="24" t="n"/>
      <c r="S1095" s="24" t="n"/>
      <c r="Y1095" s="24" t="n"/>
    </row>
    <row r="1096">
      <c r="O1096" s="23" t="n"/>
      <c r="R1096" s="24" t="n"/>
      <c r="S1096" s="24" t="n"/>
      <c r="Y1096" s="24" t="n"/>
    </row>
    <row r="1097">
      <c r="O1097" s="23" t="n"/>
      <c r="R1097" s="24" t="n"/>
      <c r="S1097" s="24" t="n"/>
      <c r="Y1097" s="24" t="n"/>
    </row>
    <row r="1098">
      <c r="O1098" s="23" t="n"/>
      <c r="R1098" s="24" t="n"/>
      <c r="S1098" s="24" t="n"/>
      <c r="Y1098" s="24" t="n"/>
    </row>
    <row r="1099">
      <c r="O1099" s="23" t="n"/>
      <c r="R1099" s="24" t="n"/>
      <c r="S1099" s="24" t="n"/>
      <c r="Y1099" s="24" t="n"/>
    </row>
    <row r="1100">
      <c r="O1100" s="23" t="n"/>
      <c r="R1100" s="24" t="n"/>
      <c r="S1100" s="24" t="n"/>
      <c r="Y1100" s="24" t="n"/>
    </row>
    <row r="1101">
      <c r="O1101" s="23" t="n"/>
      <c r="R1101" s="24" t="n"/>
      <c r="S1101" s="24" t="n"/>
      <c r="Y1101" s="24" t="n"/>
    </row>
    <row r="1102">
      <c r="O1102" s="23" t="n"/>
      <c r="R1102" s="24" t="n"/>
      <c r="S1102" s="24" t="n"/>
      <c r="Y1102" s="24" t="n"/>
    </row>
    <row r="1103">
      <c r="O1103" s="23" t="n"/>
      <c r="R1103" s="24" t="n"/>
      <c r="S1103" s="24" t="n"/>
      <c r="Y1103" s="24" t="n"/>
    </row>
    <row r="1104">
      <c r="O1104" s="23" t="n"/>
      <c r="R1104" s="24" t="n"/>
      <c r="S1104" s="24" t="n"/>
      <c r="Y1104" s="24" t="n"/>
    </row>
    <row r="1105">
      <c r="O1105" s="23" t="n"/>
      <c r="R1105" s="24" t="n"/>
      <c r="S1105" s="24" t="n"/>
      <c r="Y1105" s="24" t="n"/>
    </row>
    <row r="1106">
      <c r="O1106" s="23" t="n"/>
      <c r="R1106" s="24" t="n"/>
      <c r="S1106" s="24" t="n"/>
      <c r="Y1106" s="24" t="n"/>
    </row>
    <row r="1107">
      <c r="O1107" s="23" t="n"/>
      <c r="R1107" s="24" t="n"/>
      <c r="S1107" s="24" t="n"/>
      <c r="Y1107" s="24" t="n"/>
    </row>
    <row r="1108">
      <c r="O1108" s="23" t="n"/>
      <c r="R1108" s="24" t="n"/>
      <c r="S1108" s="24" t="n"/>
      <c r="Y1108" s="24" t="n"/>
    </row>
    <row r="1109">
      <c r="O1109" s="23" t="n"/>
      <c r="R1109" s="24" t="n"/>
      <c r="S1109" s="24" t="n"/>
      <c r="Y1109" s="24" t="n"/>
    </row>
    <row r="1110">
      <c r="O1110" s="23" t="n"/>
      <c r="R1110" s="24" t="n"/>
      <c r="S1110" s="24" t="n"/>
      <c r="Y1110" s="24" t="n"/>
    </row>
    <row r="1111">
      <c r="O1111" s="23" t="n"/>
      <c r="R1111" s="24" t="n"/>
      <c r="S1111" s="24" t="n"/>
      <c r="Y1111" s="24" t="n"/>
    </row>
    <row r="1112">
      <c r="O1112" s="23" t="n"/>
      <c r="R1112" s="24" t="n"/>
      <c r="S1112" s="24" t="n"/>
      <c r="Y1112" s="24" t="n"/>
    </row>
    <row r="1113">
      <c r="O1113" s="23" t="n"/>
      <c r="R1113" s="24" t="n"/>
      <c r="S1113" s="24" t="n"/>
      <c r="Y1113" s="24" t="n"/>
    </row>
    <row r="1114">
      <c r="O1114" s="23" t="n"/>
      <c r="R1114" s="24" t="n"/>
      <c r="S1114" s="24" t="n"/>
      <c r="Y1114" s="24" t="n"/>
    </row>
    <row r="1115">
      <c r="O1115" s="23" t="n"/>
      <c r="R1115" s="24" t="n"/>
      <c r="S1115" s="24" t="n"/>
      <c r="Y1115" s="24" t="n"/>
    </row>
    <row r="1116">
      <c r="O1116" s="23" t="n"/>
      <c r="R1116" s="24" t="n"/>
      <c r="S1116" s="24" t="n"/>
      <c r="Y1116" s="24" t="n"/>
    </row>
    <row r="1117">
      <c r="O1117" s="23" t="n"/>
      <c r="R1117" s="24" t="n"/>
      <c r="S1117" s="24" t="n"/>
      <c r="Y1117" s="24" t="n"/>
    </row>
    <row r="1118">
      <c r="O1118" s="23" t="n"/>
      <c r="R1118" s="24" t="n"/>
      <c r="S1118" s="24" t="n"/>
      <c r="Y1118" s="24" t="n"/>
    </row>
    <row r="1119">
      <c r="O1119" s="23" t="n"/>
      <c r="R1119" s="24" t="n"/>
      <c r="S1119" s="24" t="n"/>
      <c r="Y1119" s="24" t="n"/>
    </row>
    <row r="1120">
      <c r="O1120" s="23" t="n"/>
      <c r="R1120" s="24" t="n"/>
      <c r="S1120" s="24" t="n"/>
      <c r="Y1120" s="24" t="n"/>
    </row>
    <row r="1121">
      <c r="O1121" s="23" t="n"/>
      <c r="R1121" s="24" t="n"/>
      <c r="S1121" s="24" t="n"/>
      <c r="Y1121" s="24" t="n"/>
    </row>
    <row r="1122">
      <c r="O1122" s="23" t="n"/>
      <c r="R1122" s="24" t="n"/>
      <c r="S1122" s="24" t="n"/>
      <c r="Y1122" s="24" t="n"/>
    </row>
    <row r="1123">
      <c r="O1123" s="23" t="n"/>
      <c r="R1123" s="24" t="n"/>
      <c r="S1123" s="24" t="n"/>
      <c r="Y1123" s="24" t="n"/>
    </row>
    <row r="1124">
      <c r="O1124" s="23" t="n"/>
      <c r="R1124" s="24" t="n"/>
      <c r="S1124" s="24" t="n"/>
      <c r="Y1124" s="24" t="n"/>
    </row>
    <row r="1125">
      <c r="O1125" s="23" t="n"/>
      <c r="R1125" s="24" t="n"/>
      <c r="S1125" s="24" t="n"/>
      <c r="Y1125" s="24" t="n"/>
    </row>
    <row r="1126">
      <c r="O1126" s="23" t="n"/>
      <c r="R1126" s="24" t="n"/>
      <c r="S1126" s="24" t="n"/>
      <c r="Y1126" s="24" t="n"/>
    </row>
    <row r="1127">
      <c r="O1127" s="23" t="n"/>
      <c r="R1127" s="24" t="n"/>
      <c r="S1127" s="24" t="n"/>
      <c r="Y1127" s="24" t="n"/>
    </row>
    <row r="1128">
      <c r="O1128" s="23" t="n"/>
      <c r="R1128" s="24" t="n"/>
      <c r="S1128" s="24" t="n"/>
      <c r="Y1128" s="24" t="n"/>
    </row>
    <row r="1129">
      <c r="O1129" s="23" t="n"/>
      <c r="R1129" s="24" t="n"/>
      <c r="S1129" s="24" t="n"/>
      <c r="Y1129" s="24" t="n"/>
    </row>
    <row r="1130">
      <c r="O1130" s="23" t="n"/>
      <c r="R1130" s="24" t="n"/>
      <c r="S1130" s="24" t="n"/>
      <c r="Y1130" s="24" t="n"/>
    </row>
    <row r="1131">
      <c r="O1131" s="23" t="n"/>
      <c r="R1131" s="24" t="n"/>
      <c r="S1131" s="24" t="n"/>
      <c r="Y1131" s="24" t="n"/>
    </row>
    <row r="1132">
      <c r="O1132" s="23" t="n"/>
      <c r="R1132" s="24" t="n"/>
      <c r="S1132" s="24" t="n"/>
      <c r="Y1132" s="24" t="n"/>
    </row>
    <row r="1133">
      <c r="O1133" s="23" t="n"/>
      <c r="R1133" s="24" t="n"/>
      <c r="S1133" s="24" t="n"/>
      <c r="Y1133" s="24" t="n"/>
    </row>
    <row r="1134">
      <c r="O1134" s="23" t="n"/>
      <c r="R1134" s="24" t="n"/>
      <c r="S1134" s="24" t="n"/>
      <c r="Y1134" s="24" t="n"/>
    </row>
    <row r="1135">
      <c r="O1135" s="23" t="n"/>
      <c r="R1135" s="24" t="n"/>
      <c r="S1135" s="24" t="n"/>
      <c r="Y1135" s="24" t="n"/>
    </row>
    <row r="1136">
      <c r="O1136" s="23" t="n"/>
      <c r="R1136" s="24" t="n"/>
      <c r="S1136" s="24" t="n"/>
      <c r="Y1136" s="24" t="n"/>
    </row>
    <row r="1137">
      <c r="O1137" s="23" t="n"/>
      <c r="R1137" s="24" t="n"/>
      <c r="S1137" s="24" t="n"/>
      <c r="Y1137" s="24" t="n"/>
    </row>
    <row r="1138">
      <c r="O1138" s="23" t="n"/>
      <c r="R1138" s="24" t="n"/>
      <c r="S1138" s="24" t="n"/>
      <c r="Y1138" s="24" t="n"/>
    </row>
    <row r="1139">
      <c r="O1139" s="23" t="n"/>
      <c r="R1139" s="24" t="n"/>
      <c r="S1139" s="24" t="n"/>
      <c r="Y1139" s="24" t="n"/>
    </row>
    <row r="1140">
      <c r="O1140" s="23" t="n"/>
      <c r="R1140" s="24" t="n"/>
      <c r="S1140" s="24" t="n"/>
      <c r="Y1140" s="24" t="n"/>
    </row>
    <row r="1141">
      <c r="O1141" s="23" t="n"/>
      <c r="R1141" s="24" t="n"/>
      <c r="S1141" s="24" t="n"/>
      <c r="Y1141" s="24" t="n"/>
    </row>
    <row r="1142">
      <c r="O1142" s="23" t="n"/>
      <c r="R1142" s="24" t="n"/>
      <c r="S1142" s="24" t="n"/>
      <c r="Y1142" s="24" t="n"/>
    </row>
    <row r="1143">
      <c r="O1143" s="23" t="n"/>
      <c r="R1143" s="24" t="n"/>
      <c r="S1143" s="24" t="n"/>
      <c r="Y1143" s="24" t="n"/>
    </row>
    <row r="1144">
      <c r="O1144" s="23" t="n"/>
      <c r="R1144" s="24" t="n"/>
      <c r="S1144" s="24" t="n"/>
      <c r="Y1144" s="24" t="n"/>
    </row>
    <row r="1145">
      <c r="O1145" s="23" t="n"/>
      <c r="R1145" s="24" t="n"/>
      <c r="S1145" s="24" t="n"/>
      <c r="Y1145" s="24" t="n"/>
    </row>
    <row r="1146">
      <c r="O1146" s="23" t="n"/>
      <c r="R1146" s="24" t="n"/>
      <c r="S1146" s="24" t="n"/>
      <c r="Y1146" s="24" t="n"/>
    </row>
    <row r="1147">
      <c r="O1147" s="23" t="n"/>
      <c r="R1147" s="24" t="n"/>
      <c r="S1147" s="24" t="n"/>
      <c r="Y1147" s="24" t="n"/>
    </row>
    <row r="1148">
      <c r="O1148" s="23" t="n"/>
      <c r="R1148" s="24" t="n"/>
      <c r="S1148" s="24" t="n"/>
      <c r="Y1148" s="24" t="n"/>
    </row>
    <row r="1149">
      <c r="O1149" s="23" t="n"/>
      <c r="R1149" s="24" t="n"/>
      <c r="S1149" s="24" t="n"/>
      <c r="Y1149" s="24" t="n"/>
    </row>
    <row r="1150">
      <c r="O1150" s="23" t="n"/>
      <c r="R1150" s="24" t="n"/>
      <c r="S1150" s="24" t="n"/>
      <c r="Y1150" s="24" t="n"/>
    </row>
    <row r="1151">
      <c r="O1151" s="23" t="n"/>
      <c r="R1151" s="24" t="n"/>
      <c r="S1151" s="24" t="n"/>
      <c r="Y1151" s="24" t="n"/>
    </row>
    <row r="1152">
      <c r="O1152" s="23" t="n"/>
      <c r="R1152" s="24" t="n"/>
      <c r="S1152" s="24" t="n"/>
      <c r="Y1152" s="24" t="n"/>
    </row>
    <row r="1153">
      <c r="O1153" s="23" t="n"/>
      <c r="R1153" s="24" t="n"/>
      <c r="S1153" s="24" t="n"/>
      <c r="Y1153" s="24" t="n"/>
    </row>
    <row r="1154">
      <c r="O1154" s="23" t="n"/>
      <c r="R1154" s="24" t="n"/>
      <c r="S1154" s="24" t="n"/>
      <c r="Y1154" s="24" t="n"/>
    </row>
    <row r="1155">
      <c r="O1155" s="23" t="n"/>
      <c r="R1155" s="24" t="n"/>
      <c r="S1155" s="24" t="n"/>
      <c r="Y1155" s="24" t="n"/>
    </row>
    <row r="1156">
      <c r="O1156" s="23" t="n"/>
      <c r="R1156" s="24" t="n"/>
      <c r="S1156" s="24" t="n"/>
      <c r="Y1156" s="24" t="n"/>
    </row>
    <row r="1157">
      <c r="O1157" s="23" t="n"/>
      <c r="R1157" s="24" t="n"/>
      <c r="S1157" s="24" t="n"/>
      <c r="Y1157" s="24" t="n"/>
    </row>
    <row r="1158">
      <c r="O1158" s="23" t="n"/>
      <c r="R1158" s="24" t="n"/>
      <c r="S1158" s="24" t="n"/>
      <c r="Y1158" s="24" t="n"/>
    </row>
    <row r="1159">
      <c r="O1159" s="23" t="n"/>
      <c r="R1159" s="24" t="n"/>
      <c r="S1159" s="24" t="n"/>
      <c r="Y1159" s="24" t="n"/>
    </row>
    <row r="1160">
      <c r="O1160" s="23" t="n"/>
      <c r="R1160" s="24" t="n"/>
      <c r="S1160" s="24" t="n"/>
      <c r="Y1160" s="24" t="n"/>
    </row>
    <row r="1161">
      <c r="O1161" s="23" t="n"/>
      <c r="R1161" s="24" t="n"/>
      <c r="S1161" s="24" t="n"/>
      <c r="Y1161" s="24" t="n"/>
    </row>
    <row r="1162">
      <c r="O1162" s="23" t="n"/>
      <c r="R1162" s="24" t="n"/>
      <c r="S1162" s="24" t="n"/>
      <c r="Y1162" s="24" t="n"/>
    </row>
    <row r="1163">
      <c r="O1163" s="23" t="n"/>
      <c r="R1163" s="24" t="n"/>
      <c r="S1163" s="24" t="n"/>
      <c r="Y1163" s="24" t="n"/>
    </row>
    <row r="1164">
      <c r="O1164" s="23" t="n"/>
      <c r="R1164" s="24" t="n"/>
      <c r="S1164" s="24" t="n"/>
      <c r="Y1164" s="24" t="n"/>
    </row>
    <row r="1165">
      <c r="O1165" s="23" t="n"/>
      <c r="R1165" s="24" t="n"/>
      <c r="S1165" s="24" t="n"/>
      <c r="Y1165" s="24" t="n"/>
    </row>
    <row r="1166">
      <c r="O1166" s="23" t="n"/>
      <c r="R1166" s="24" t="n"/>
      <c r="S1166" s="24" t="n"/>
      <c r="Y1166" s="24" t="n"/>
    </row>
    <row r="1167">
      <c r="O1167" s="23" t="n"/>
      <c r="R1167" s="24" t="n"/>
      <c r="S1167" s="24" t="n"/>
      <c r="Y1167" s="24" t="n"/>
    </row>
    <row r="1168">
      <c r="O1168" s="23" t="n"/>
      <c r="R1168" s="24" t="n"/>
      <c r="S1168" s="24" t="n"/>
      <c r="Y1168" s="24" t="n"/>
    </row>
    <row r="1169">
      <c r="O1169" s="23" t="n"/>
      <c r="R1169" s="24" t="n"/>
      <c r="S1169" s="24" t="n"/>
      <c r="Y1169" s="24" t="n"/>
    </row>
    <row r="1170">
      <c r="O1170" s="23" t="n"/>
      <c r="R1170" s="24" t="n"/>
      <c r="S1170" s="24" t="n"/>
      <c r="Y1170" s="24" t="n"/>
    </row>
    <row r="1171">
      <c r="O1171" s="23" t="n"/>
      <c r="R1171" s="24" t="n"/>
      <c r="S1171" s="24" t="n"/>
      <c r="Y1171" s="24" t="n"/>
    </row>
    <row r="1172">
      <c r="O1172" s="23" t="n"/>
      <c r="R1172" s="24" t="n"/>
      <c r="S1172" s="24" t="n"/>
      <c r="Y1172" s="24" t="n"/>
    </row>
    <row r="1173">
      <c r="O1173" s="23" t="n"/>
      <c r="R1173" s="24" t="n"/>
      <c r="S1173" s="24" t="n"/>
      <c r="Y1173" s="24" t="n"/>
    </row>
    <row r="1174">
      <c r="O1174" s="23" t="n"/>
      <c r="R1174" s="24" t="n"/>
      <c r="S1174" s="24" t="n"/>
      <c r="Y1174" s="24" t="n"/>
    </row>
    <row r="1175">
      <c r="O1175" s="23" t="n"/>
      <c r="R1175" s="24" t="n"/>
      <c r="S1175" s="24" t="n"/>
      <c r="Y1175" s="24" t="n"/>
    </row>
    <row r="1176">
      <c r="O1176" s="23" t="n"/>
      <c r="R1176" s="24" t="n"/>
      <c r="S1176" s="24" t="n"/>
      <c r="Y1176" s="24" t="n"/>
    </row>
    <row r="1177">
      <c r="O1177" s="23" t="n"/>
      <c r="R1177" s="24" t="n"/>
      <c r="S1177" s="24" t="n"/>
      <c r="Y1177" s="24" t="n"/>
    </row>
    <row r="1178">
      <c r="O1178" s="23" t="n"/>
      <c r="R1178" s="24" t="n"/>
      <c r="S1178" s="24" t="n"/>
      <c r="Y1178" s="24" t="n"/>
    </row>
    <row r="1179">
      <c r="O1179" s="23" t="n"/>
      <c r="R1179" s="24" t="n"/>
      <c r="S1179" s="24" t="n"/>
      <c r="Y1179" s="24" t="n"/>
    </row>
    <row r="1180">
      <c r="O1180" s="23" t="n"/>
      <c r="R1180" s="24" t="n"/>
      <c r="S1180" s="24" t="n"/>
      <c r="Y1180" s="24" t="n"/>
    </row>
    <row r="1181">
      <c r="O1181" s="23" t="n"/>
      <c r="R1181" s="24" t="n"/>
      <c r="S1181" s="24" t="n"/>
      <c r="Y1181" s="24" t="n"/>
    </row>
    <row r="1182">
      <c r="O1182" s="23" t="n"/>
      <c r="R1182" s="24" t="n"/>
      <c r="S1182" s="24" t="n"/>
      <c r="Y1182" s="24" t="n"/>
    </row>
    <row r="1183">
      <c r="O1183" s="23" t="n"/>
      <c r="R1183" s="24" t="n"/>
      <c r="S1183" s="24" t="n"/>
      <c r="Y1183" s="24" t="n"/>
    </row>
    <row r="1184">
      <c r="O1184" s="23" t="n"/>
      <c r="R1184" s="24" t="n"/>
      <c r="S1184" s="24" t="n"/>
      <c r="Y1184" s="24" t="n"/>
    </row>
    <row r="1185">
      <c r="O1185" s="23" t="n"/>
      <c r="R1185" s="24" t="n"/>
      <c r="S1185" s="24" t="n"/>
      <c r="Y1185" s="24" t="n"/>
    </row>
    <row r="1186">
      <c r="O1186" s="23" t="n"/>
      <c r="R1186" s="24" t="n"/>
      <c r="S1186" s="24" t="n"/>
      <c r="Y1186" s="24" t="n"/>
    </row>
    <row r="1187">
      <c r="O1187" s="23" t="n"/>
      <c r="R1187" s="24" t="n"/>
      <c r="S1187" s="24" t="n"/>
      <c r="Y1187" s="24" t="n"/>
    </row>
    <row r="1188">
      <c r="O1188" s="23" t="n"/>
      <c r="R1188" s="24" t="n"/>
      <c r="S1188" s="24" t="n"/>
      <c r="Y1188" s="24" t="n"/>
    </row>
    <row r="1189">
      <c r="O1189" s="23" t="n"/>
      <c r="R1189" s="24" t="n"/>
      <c r="S1189" s="24" t="n"/>
      <c r="Y1189" s="24" t="n"/>
    </row>
    <row r="1190">
      <c r="O1190" s="23" t="n"/>
      <c r="R1190" s="24" t="n"/>
      <c r="S1190" s="24" t="n"/>
      <c r="Y1190" s="24" t="n"/>
    </row>
    <row r="1191">
      <c r="O1191" s="23" t="n"/>
      <c r="R1191" s="24" t="n"/>
      <c r="S1191" s="24" t="n"/>
      <c r="Y1191" s="24" t="n"/>
    </row>
    <row r="1192">
      <c r="O1192" s="23" t="n"/>
      <c r="R1192" s="24" t="n"/>
      <c r="S1192" s="24" t="n"/>
      <c r="Y1192" s="24" t="n"/>
    </row>
    <row r="1193">
      <c r="O1193" s="23" t="n"/>
      <c r="R1193" s="24" t="n"/>
      <c r="S1193" s="24" t="n"/>
      <c r="Y1193" s="24" t="n"/>
    </row>
    <row r="1194">
      <c r="O1194" s="23" t="n"/>
      <c r="R1194" s="24" t="n"/>
      <c r="S1194" s="24" t="n"/>
      <c r="Y1194" s="24" t="n"/>
    </row>
    <row r="1195">
      <c r="O1195" s="23" t="n"/>
      <c r="R1195" s="24" t="n"/>
      <c r="S1195" s="24" t="n"/>
      <c r="Y1195" s="24" t="n"/>
    </row>
    <row r="1196">
      <c r="O1196" s="23" t="n"/>
      <c r="R1196" s="24" t="n"/>
      <c r="S1196" s="24" t="n"/>
      <c r="Y1196" s="24" t="n"/>
    </row>
    <row r="1197">
      <c r="O1197" s="23" t="n"/>
      <c r="R1197" s="24" t="n"/>
      <c r="S1197" s="24" t="n"/>
      <c r="Y1197" s="24" t="n"/>
    </row>
    <row r="1198">
      <c r="O1198" s="23" t="n"/>
      <c r="R1198" s="24" t="n"/>
      <c r="S1198" s="24" t="n"/>
      <c r="Y1198" s="24" t="n"/>
    </row>
    <row r="1199">
      <c r="O1199" s="23" t="n"/>
      <c r="R1199" s="24" t="n"/>
      <c r="S1199" s="24" t="n"/>
      <c r="Y1199" s="24" t="n"/>
    </row>
    <row r="1200">
      <c r="O1200" s="23" t="n"/>
      <c r="R1200" s="24" t="n"/>
      <c r="S1200" s="24" t="n"/>
      <c r="Y1200" s="24" t="n"/>
    </row>
    <row r="1201">
      <c r="O1201" s="23" t="n"/>
      <c r="R1201" s="24" t="n"/>
      <c r="S1201" s="24" t="n"/>
      <c r="Y1201" s="24" t="n"/>
    </row>
    <row r="1202">
      <c r="O1202" s="23" t="n"/>
      <c r="R1202" s="24" t="n"/>
      <c r="S1202" s="24" t="n"/>
      <c r="Y1202" s="24" t="n"/>
    </row>
    <row r="1203">
      <c r="O1203" s="23" t="n"/>
      <c r="R1203" s="24" t="n"/>
      <c r="S1203" s="24" t="n"/>
      <c r="Y1203" s="24" t="n"/>
    </row>
    <row r="1204">
      <c r="O1204" s="23" t="n"/>
      <c r="R1204" s="24" t="n"/>
      <c r="S1204" s="24" t="n"/>
      <c r="Y1204" s="24" t="n"/>
    </row>
    <row r="1205">
      <c r="O1205" s="23" t="n"/>
      <c r="R1205" s="24" t="n"/>
      <c r="S1205" s="24" t="n"/>
      <c r="Y1205" s="24" t="n"/>
    </row>
    <row r="1206">
      <c r="O1206" s="23" t="n"/>
      <c r="R1206" s="24" t="n"/>
      <c r="S1206" s="24" t="n"/>
      <c r="Y1206" s="24" t="n"/>
    </row>
    <row r="1207">
      <c r="O1207" s="23" t="n"/>
      <c r="R1207" s="24" t="n"/>
      <c r="S1207" s="24" t="n"/>
      <c r="Y1207" s="24" t="n"/>
    </row>
    <row r="1208">
      <c r="O1208" s="23" t="n"/>
      <c r="R1208" s="24" t="n"/>
      <c r="S1208" s="24" t="n"/>
      <c r="Y1208" s="24" t="n"/>
    </row>
    <row r="1209">
      <c r="O1209" s="23" t="n"/>
      <c r="R1209" s="24" t="n"/>
      <c r="S1209" s="24" t="n"/>
      <c r="Y1209" s="24" t="n"/>
    </row>
    <row r="1210">
      <c r="O1210" s="23" t="n"/>
      <c r="R1210" s="24" t="n"/>
      <c r="S1210" s="24" t="n"/>
      <c r="Y1210" s="24" t="n"/>
    </row>
    <row r="1211">
      <c r="O1211" s="23" t="n"/>
      <c r="R1211" s="24" t="n"/>
      <c r="S1211" s="24" t="n"/>
      <c r="Y1211" s="24" t="n"/>
    </row>
    <row r="1212">
      <c r="O1212" s="23" t="n"/>
      <c r="R1212" s="24" t="n"/>
      <c r="S1212" s="24" t="n"/>
      <c r="Y1212" s="24" t="n"/>
    </row>
    <row r="1213">
      <c r="O1213" s="23" t="n"/>
      <c r="R1213" s="24" t="n"/>
      <c r="S1213" s="24" t="n"/>
      <c r="Y1213" s="24" t="n"/>
    </row>
    <row r="1214">
      <c r="O1214" s="23" t="n"/>
      <c r="R1214" s="24" t="n"/>
      <c r="S1214" s="24" t="n"/>
      <c r="Y1214" s="24" t="n"/>
    </row>
    <row r="1215">
      <c r="O1215" s="23" t="n"/>
      <c r="R1215" s="24" t="n"/>
      <c r="S1215" s="24" t="n"/>
      <c r="Y1215" s="24" t="n"/>
    </row>
    <row r="1216">
      <c r="O1216" s="23" t="n"/>
      <c r="R1216" s="24" t="n"/>
      <c r="S1216" s="24" t="n"/>
      <c r="Y1216" s="24" t="n"/>
    </row>
    <row r="1217">
      <c r="O1217" s="23" t="n"/>
      <c r="R1217" s="24" t="n"/>
      <c r="S1217" s="24" t="n"/>
      <c r="Y1217" s="24" t="n"/>
    </row>
    <row r="1218">
      <c r="O1218" s="23" t="n"/>
      <c r="R1218" s="24" t="n"/>
      <c r="S1218" s="24" t="n"/>
      <c r="Y1218" s="24" t="n"/>
    </row>
    <row r="1219">
      <c r="O1219" s="23" t="n"/>
      <c r="R1219" s="24" t="n"/>
      <c r="S1219" s="24" t="n"/>
      <c r="Y1219" s="24" t="n"/>
    </row>
    <row r="1220">
      <c r="O1220" s="23" t="n"/>
      <c r="R1220" s="24" t="n"/>
      <c r="S1220" s="24" t="n"/>
      <c r="Y1220" s="24" t="n"/>
    </row>
    <row r="1221">
      <c r="O1221" s="23" t="n"/>
      <c r="R1221" s="24" t="n"/>
      <c r="S1221" s="24" t="n"/>
      <c r="Y1221" s="24" t="n"/>
    </row>
    <row r="1222">
      <c r="O1222" s="23" t="n"/>
      <c r="R1222" s="24" t="n"/>
      <c r="S1222" s="24" t="n"/>
      <c r="Y1222" s="24" t="n"/>
    </row>
    <row r="1223">
      <c r="O1223" s="23" t="n"/>
      <c r="R1223" s="24" t="n"/>
      <c r="S1223" s="24" t="n"/>
      <c r="Y1223" s="24" t="n"/>
    </row>
    <row r="1224">
      <c r="O1224" s="23" t="n"/>
      <c r="R1224" s="24" t="n"/>
      <c r="S1224" s="24" t="n"/>
      <c r="Y1224" s="24" t="n"/>
    </row>
    <row r="1225">
      <c r="O1225" s="23" t="n"/>
      <c r="R1225" s="24" t="n"/>
      <c r="S1225" s="24" t="n"/>
      <c r="Y1225" s="24" t="n"/>
    </row>
    <row r="1226">
      <c r="O1226" s="23" t="n"/>
      <c r="R1226" s="24" t="n"/>
      <c r="S1226" s="24" t="n"/>
      <c r="Y1226" s="24" t="n"/>
    </row>
    <row r="1227">
      <c r="O1227" s="23" t="n"/>
      <c r="R1227" s="24" t="n"/>
      <c r="S1227" s="24" t="n"/>
      <c r="Y1227" s="24" t="n"/>
    </row>
    <row r="1228">
      <c r="O1228" s="23" t="n"/>
      <c r="R1228" s="24" t="n"/>
      <c r="S1228" s="24" t="n"/>
      <c r="Y1228" s="24" t="n"/>
    </row>
    <row r="1229">
      <c r="O1229" s="23" t="n"/>
      <c r="R1229" s="24" t="n"/>
      <c r="S1229" s="24" t="n"/>
      <c r="Y1229" s="24" t="n"/>
    </row>
    <row r="1230">
      <c r="O1230" s="23" t="n"/>
      <c r="R1230" s="24" t="n"/>
      <c r="S1230" s="24" t="n"/>
      <c r="Y1230" s="24" t="n"/>
    </row>
    <row r="1231">
      <c r="O1231" s="23" t="n"/>
      <c r="R1231" s="24" t="n"/>
      <c r="S1231" s="24" t="n"/>
      <c r="Y1231" s="24" t="n"/>
    </row>
    <row r="1232">
      <c r="O1232" s="23" t="n"/>
      <c r="R1232" s="24" t="n"/>
      <c r="S1232" s="24" t="n"/>
      <c r="Y1232" s="24" t="n"/>
    </row>
    <row r="1233">
      <c r="O1233" s="23" t="n"/>
      <c r="R1233" s="24" t="n"/>
      <c r="S1233" s="24" t="n"/>
      <c r="Y1233" s="24" t="n"/>
    </row>
    <row r="1234">
      <c r="O1234" s="23" t="n"/>
      <c r="R1234" s="24" t="n"/>
      <c r="S1234" s="24" t="n"/>
      <c r="Y1234" s="24" t="n"/>
    </row>
    <row r="1235">
      <c r="O1235" s="23" t="n"/>
      <c r="R1235" s="24" t="n"/>
      <c r="S1235" s="24" t="n"/>
      <c r="Y1235" s="24" t="n"/>
    </row>
    <row r="1236">
      <c r="O1236" s="23" t="n"/>
      <c r="R1236" s="24" t="n"/>
      <c r="S1236" s="24" t="n"/>
      <c r="Y1236" s="24" t="n"/>
    </row>
    <row r="1237">
      <c r="O1237" s="23" t="n"/>
      <c r="R1237" s="24" t="n"/>
      <c r="S1237" s="24" t="n"/>
      <c r="Y1237" s="24" t="n"/>
    </row>
    <row r="1238">
      <c r="O1238" s="23" t="n"/>
      <c r="R1238" s="24" t="n"/>
      <c r="S1238" s="24" t="n"/>
      <c r="Y1238" s="24" t="n"/>
    </row>
    <row r="1239">
      <c r="O1239" s="23" t="n"/>
      <c r="R1239" s="24" t="n"/>
      <c r="S1239" s="24" t="n"/>
      <c r="Y1239" s="24" t="n"/>
    </row>
    <row r="1240">
      <c r="O1240" s="23" t="n"/>
      <c r="R1240" s="24" t="n"/>
      <c r="S1240" s="24" t="n"/>
      <c r="Y1240" s="24" t="n"/>
    </row>
    <row r="1241">
      <c r="O1241" s="23" t="n"/>
      <c r="R1241" s="24" t="n"/>
      <c r="S1241" s="24" t="n"/>
      <c r="Y1241" s="24" t="n"/>
    </row>
    <row r="1242">
      <c r="O1242" s="23" t="n"/>
      <c r="R1242" s="24" t="n"/>
      <c r="S1242" s="24" t="n"/>
      <c r="Y1242" s="24" t="n"/>
    </row>
    <row r="1243">
      <c r="O1243" s="23" t="n"/>
      <c r="R1243" s="24" t="n"/>
      <c r="S1243" s="24" t="n"/>
      <c r="Y1243" s="24" t="n"/>
    </row>
    <row r="1244">
      <c r="O1244" s="23" t="n"/>
      <c r="R1244" s="24" t="n"/>
      <c r="S1244" s="24" t="n"/>
      <c r="Y1244" s="24" t="n"/>
    </row>
    <row r="1245">
      <c r="O1245" s="23" t="n"/>
      <c r="R1245" s="24" t="n"/>
      <c r="S1245" s="24" t="n"/>
      <c r="Y1245" s="24" t="n"/>
    </row>
    <row r="1246">
      <c r="O1246" s="23" t="n"/>
      <c r="R1246" s="24" t="n"/>
      <c r="S1246" s="24" t="n"/>
      <c r="Y1246" s="24" t="n"/>
    </row>
    <row r="1247">
      <c r="O1247" s="23" t="n"/>
      <c r="R1247" s="24" t="n"/>
      <c r="S1247" s="24" t="n"/>
      <c r="Y1247" s="24" t="n"/>
    </row>
    <row r="1248">
      <c r="O1248" s="23" t="n"/>
      <c r="R1248" s="24" t="n"/>
      <c r="S1248" s="24" t="n"/>
      <c r="Y1248" s="24" t="n"/>
    </row>
    <row r="1249">
      <c r="O1249" s="23" t="n"/>
      <c r="R1249" s="24" t="n"/>
      <c r="S1249" s="24" t="n"/>
      <c r="Y1249" s="24" t="n"/>
    </row>
    <row r="1250">
      <c r="O1250" s="23" t="n"/>
      <c r="R1250" s="24" t="n"/>
      <c r="S1250" s="24" t="n"/>
      <c r="Y1250" s="24" t="n"/>
    </row>
    <row r="1251">
      <c r="O1251" s="23" t="n"/>
      <c r="R1251" s="24" t="n"/>
      <c r="S1251" s="24" t="n"/>
      <c r="Y1251" s="24" t="n"/>
    </row>
    <row r="1252">
      <c r="O1252" s="23" t="n"/>
      <c r="R1252" s="24" t="n"/>
      <c r="S1252" s="24" t="n"/>
      <c r="Y1252" s="24" t="n"/>
    </row>
    <row r="1253">
      <c r="O1253" s="23" t="n"/>
      <c r="R1253" s="24" t="n"/>
      <c r="S1253" s="24" t="n"/>
      <c r="Y1253" s="24" t="n"/>
    </row>
    <row r="1254">
      <c r="O1254" s="23" t="n"/>
      <c r="R1254" s="24" t="n"/>
      <c r="S1254" s="24" t="n"/>
      <c r="Y1254" s="24" t="n"/>
    </row>
    <row r="1255">
      <c r="O1255" s="23" t="n"/>
      <c r="R1255" s="24" t="n"/>
      <c r="S1255" s="24" t="n"/>
      <c r="Y1255" s="24" t="n"/>
    </row>
    <row r="1256">
      <c r="O1256" s="23" t="n"/>
      <c r="R1256" s="24" t="n"/>
      <c r="S1256" s="24" t="n"/>
      <c r="Y1256" s="24" t="n"/>
    </row>
    <row r="1257">
      <c r="O1257" s="23" t="n"/>
      <c r="R1257" s="24" t="n"/>
      <c r="S1257" s="24" t="n"/>
      <c r="Y1257" s="24" t="n"/>
    </row>
    <row r="1258">
      <c r="O1258" s="23" t="n"/>
      <c r="R1258" s="24" t="n"/>
      <c r="S1258" s="24" t="n"/>
      <c r="Y1258" s="24" t="n"/>
    </row>
    <row r="1259">
      <c r="O1259" s="23" t="n"/>
      <c r="R1259" s="24" t="n"/>
      <c r="S1259" s="24" t="n"/>
      <c r="Y1259" s="24" t="n"/>
    </row>
    <row r="1260">
      <c r="O1260" s="23" t="n"/>
      <c r="R1260" s="24" t="n"/>
      <c r="S1260" s="24" t="n"/>
      <c r="Y1260" s="24" t="n"/>
    </row>
    <row r="1261">
      <c r="O1261" s="23" t="n"/>
      <c r="R1261" s="24" t="n"/>
      <c r="S1261" s="24" t="n"/>
      <c r="Y1261" s="24" t="n"/>
    </row>
    <row r="1262">
      <c r="O1262" s="23" t="n"/>
      <c r="R1262" s="24" t="n"/>
      <c r="S1262" s="24" t="n"/>
      <c r="Y1262" s="24" t="n"/>
    </row>
    <row r="1263">
      <c r="O1263" s="23" t="n"/>
      <c r="R1263" s="24" t="n"/>
      <c r="S1263" s="24" t="n"/>
      <c r="Y1263" s="24" t="n"/>
    </row>
    <row r="1264">
      <c r="O1264" s="23" t="n"/>
      <c r="R1264" s="24" t="n"/>
      <c r="S1264" s="24" t="n"/>
      <c r="Y1264" s="24" t="n"/>
    </row>
    <row r="1265">
      <c r="O1265" s="23" t="n"/>
      <c r="R1265" s="24" t="n"/>
      <c r="S1265" s="24" t="n"/>
      <c r="Y1265" s="24" t="n"/>
    </row>
    <row r="1266">
      <c r="O1266" s="23" t="n"/>
      <c r="R1266" s="24" t="n"/>
      <c r="S1266" s="24" t="n"/>
      <c r="Y1266" s="24" t="n"/>
    </row>
    <row r="1267">
      <c r="O1267" s="23" t="n"/>
      <c r="R1267" s="24" t="n"/>
      <c r="S1267" s="24" t="n"/>
      <c r="Y1267" s="24" t="n"/>
    </row>
    <row r="1268">
      <c r="O1268" s="23" t="n"/>
      <c r="R1268" s="24" t="n"/>
      <c r="S1268" s="24" t="n"/>
      <c r="Y1268" s="24" t="n"/>
    </row>
    <row r="1269">
      <c r="O1269" s="23" t="n"/>
      <c r="R1269" s="24" t="n"/>
      <c r="S1269" s="24" t="n"/>
      <c r="Y1269" s="24" t="n"/>
    </row>
    <row r="1270">
      <c r="O1270" s="23" t="n"/>
      <c r="R1270" s="24" t="n"/>
      <c r="S1270" s="24" t="n"/>
      <c r="Y1270" s="24" t="n"/>
    </row>
    <row r="1271">
      <c r="O1271" s="23" t="n"/>
      <c r="R1271" s="24" t="n"/>
      <c r="S1271" s="24" t="n"/>
      <c r="Y1271" s="24" t="n"/>
    </row>
    <row r="1272">
      <c r="O1272" s="23" t="n"/>
      <c r="R1272" s="24" t="n"/>
      <c r="S1272" s="24" t="n"/>
      <c r="Y1272" s="24" t="n"/>
    </row>
    <row r="1273">
      <c r="O1273" s="23" t="n"/>
      <c r="R1273" s="24" t="n"/>
      <c r="S1273" s="24" t="n"/>
      <c r="Y1273" s="24" t="n"/>
    </row>
    <row r="1274">
      <c r="O1274" s="23" t="n"/>
      <c r="R1274" s="24" t="n"/>
      <c r="S1274" s="24" t="n"/>
      <c r="Y1274" s="24" t="n"/>
    </row>
    <row r="1275">
      <c r="O1275" s="23" t="n"/>
      <c r="R1275" s="24" t="n"/>
      <c r="S1275" s="24" t="n"/>
      <c r="Y1275" s="24" t="n"/>
    </row>
    <row r="1276">
      <c r="O1276" s="23" t="n"/>
      <c r="R1276" s="24" t="n"/>
      <c r="S1276" s="24" t="n"/>
      <c r="Y1276" s="24" t="n"/>
    </row>
    <row r="1277">
      <c r="O1277" s="23" t="n"/>
      <c r="R1277" s="24" t="n"/>
      <c r="S1277" s="24" t="n"/>
      <c r="Y1277" s="24" t="n"/>
    </row>
    <row r="1278">
      <c r="O1278" s="23" t="n"/>
      <c r="R1278" s="24" t="n"/>
      <c r="S1278" s="24" t="n"/>
      <c r="Y1278" s="24" t="n"/>
    </row>
    <row r="1279">
      <c r="O1279" s="23" t="n"/>
      <c r="R1279" s="24" t="n"/>
      <c r="S1279" s="24" t="n"/>
      <c r="Y1279" s="24" t="n"/>
    </row>
    <row r="1280">
      <c r="O1280" s="23" t="n"/>
      <c r="R1280" s="24" t="n"/>
      <c r="S1280" s="24" t="n"/>
      <c r="Y1280" s="24" t="n"/>
    </row>
    <row r="1281">
      <c r="O1281" s="23" t="n"/>
      <c r="R1281" s="24" t="n"/>
      <c r="S1281" s="24" t="n"/>
      <c r="Y1281" s="24" t="n"/>
    </row>
    <row r="1282">
      <c r="O1282" s="23" t="n"/>
      <c r="R1282" s="24" t="n"/>
      <c r="S1282" s="24" t="n"/>
      <c r="Y1282" s="24" t="n"/>
    </row>
    <row r="1283">
      <c r="O1283" s="23" t="n"/>
      <c r="R1283" s="24" t="n"/>
      <c r="S1283" s="24" t="n"/>
      <c r="Y1283" s="24" t="n"/>
    </row>
    <row r="1284">
      <c r="O1284" s="23" t="n"/>
      <c r="R1284" s="24" t="n"/>
      <c r="S1284" s="24" t="n"/>
      <c r="Y1284" s="24" t="n"/>
    </row>
    <row r="1285">
      <c r="O1285" s="23" t="n"/>
      <c r="R1285" s="24" t="n"/>
      <c r="S1285" s="24" t="n"/>
      <c r="Y1285" s="24" t="n"/>
    </row>
    <row r="1286">
      <c r="O1286" s="23" t="n"/>
      <c r="R1286" s="24" t="n"/>
      <c r="S1286" s="24" t="n"/>
      <c r="Y1286" s="24" t="n"/>
    </row>
    <row r="1287">
      <c r="O1287" s="23" t="n"/>
      <c r="R1287" s="24" t="n"/>
      <c r="S1287" s="24" t="n"/>
      <c r="Y1287" s="24" t="n"/>
    </row>
    <row r="1288">
      <c r="O1288" s="23" t="n"/>
      <c r="R1288" s="24" t="n"/>
      <c r="S1288" s="24" t="n"/>
      <c r="Y1288" s="24" t="n"/>
    </row>
    <row r="1289">
      <c r="O1289" s="23" t="n"/>
      <c r="R1289" s="24" t="n"/>
      <c r="S1289" s="24" t="n"/>
      <c r="Y1289" s="24" t="n"/>
    </row>
    <row r="1290">
      <c r="O1290" s="23" t="n"/>
      <c r="R1290" s="24" t="n"/>
      <c r="S1290" s="24" t="n"/>
      <c r="Y1290" s="24" t="n"/>
    </row>
    <row r="1291">
      <c r="O1291" s="23" t="n"/>
      <c r="R1291" s="24" t="n"/>
      <c r="S1291" s="24" t="n"/>
      <c r="Y1291" s="24" t="n"/>
    </row>
    <row r="1292">
      <c r="O1292" s="23" t="n"/>
      <c r="R1292" s="24" t="n"/>
      <c r="S1292" s="24" t="n"/>
      <c r="Y1292" s="24" t="n"/>
    </row>
    <row r="1293">
      <c r="O1293" s="23" t="n"/>
      <c r="R1293" s="24" t="n"/>
      <c r="S1293" s="24" t="n"/>
      <c r="Y1293" s="24" t="n"/>
    </row>
    <row r="1294">
      <c r="O1294" s="23" t="n"/>
      <c r="R1294" s="24" t="n"/>
      <c r="S1294" s="24" t="n"/>
      <c r="Y1294" s="24" t="n"/>
    </row>
    <row r="1295">
      <c r="O1295" s="23" t="n"/>
      <c r="R1295" s="24" t="n"/>
      <c r="S1295" s="24" t="n"/>
      <c r="Y1295" s="24" t="n"/>
    </row>
    <row r="1296">
      <c r="O1296" s="23" t="n"/>
      <c r="R1296" s="24" t="n"/>
      <c r="S1296" s="24" t="n"/>
      <c r="Y1296" s="24" t="n"/>
    </row>
    <row r="1297">
      <c r="O1297" s="23" t="n"/>
      <c r="R1297" s="24" t="n"/>
      <c r="S1297" s="24" t="n"/>
      <c r="Y1297" s="24" t="n"/>
    </row>
    <row r="1298">
      <c r="O1298" s="23" t="n"/>
      <c r="R1298" s="24" t="n"/>
      <c r="S1298" s="24" t="n"/>
      <c r="Y1298" s="24" t="n"/>
    </row>
    <row r="1299">
      <c r="O1299" s="23" t="n"/>
      <c r="R1299" s="24" t="n"/>
      <c r="S1299" s="24" t="n"/>
      <c r="Y1299" s="24" t="n"/>
    </row>
    <row r="1300">
      <c r="O1300" s="23" t="n"/>
      <c r="R1300" s="24" t="n"/>
      <c r="S1300" s="24" t="n"/>
      <c r="Y1300" s="24" t="n"/>
    </row>
    <row r="1301">
      <c r="O1301" s="23" t="n"/>
      <c r="R1301" s="24" t="n"/>
      <c r="S1301" s="24" t="n"/>
      <c r="Y1301" s="24" t="n"/>
    </row>
    <row r="1302">
      <c r="O1302" s="23" t="n"/>
      <c r="R1302" s="24" t="n"/>
      <c r="S1302" s="24" t="n"/>
      <c r="Y1302" s="24" t="n"/>
    </row>
    <row r="1303">
      <c r="O1303" s="23" t="n"/>
      <c r="R1303" s="24" t="n"/>
      <c r="S1303" s="24" t="n"/>
      <c r="Y1303" s="24" t="n"/>
    </row>
    <row r="1304">
      <c r="O1304" s="23" t="n"/>
      <c r="R1304" s="24" t="n"/>
      <c r="S1304" s="24" t="n"/>
      <c r="Y1304" s="24" t="n"/>
    </row>
    <row r="1305">
      <c r="O1305" s="23" t="n"/>
      <c r="R1305" s="24" t="n"/>
      <c r="S1305" s="24" t="n"/>
      <c r="Y1305" s="24" t="n"/>
    </row>
    <row r="1306">
      <c r="O1306" s="23" t="n"/>
      <c r="R1306" s="24" t="n"/>
      <c r="S1306" s="24" t="n"/>
      <c r="Y1306" s="24" t="n"/>
    </row>
    <row r="1307">
      <c r="O1307" s="23" t="n"/>
      <c r="R1307" s="24" t="n"/>
      <c r="S1307" s="24" t="n"/>
      <c r="Y1307" s="24" t="n"/>
    </row>
    <row r="1308">
      <c r="O1308" s="23" t="n"/>
      <c r="R1308" s="24" t="n"/>
      <c r="S1308" s="24" t="n"/>
      <c r="Y1308" s="24" t="n"/>
    </row>
    <row r="1309">
      <c r="O1309" s="23" t="n"/>
      <c r="R1309" s="24" t="n"/>
      <c r="S1309" s="24" t="n"/>
      <c r="Y1309" s="24" t="n"/>
    </row>
    <row r="1310">
      <c r="O1310" s="23" t="n"/>
      <c r="R1310" s="24" t="n"/>
      <c r="S1310" s="24" t="n"/>
      <c r="Y1310" s="24" t="n"/>
    </row>
    <row r="1311">
      <c r="O1311" s="23" t="n"/>
      <c r="R1311" s="24" t="n"/>
      <c r="S1311" s="24" t="n"/>
      <c r="Y1311" s="24" t="n"/>
    </row>
    <row r="1312">
      <c r="O1312" s="23" t="n"/>
      <c r="R1312" s="24" t="n"/>
      <c r="S1312" s="24" t="n"/>
      <c r="Y1312" s="24" t="n"/>
    </row>
    <row r="1313">
      <c r="O1313" s="23" t="n"/>
      <c r="R1313" s="24" t="n"/>
      <c r="S1313" s="24" t="n"/>
      <c r="Y1313" s="24" t="n"/>
    </row>
    <row r="1314">
      <c r="O1314" s="23" t="n"/>
      <c r="R1314" s="24" t="n"/>
      <c r="S1314" s="24" t="n"/>
      <c r="Y1314" s="24" t="n"/>
    </row>
    <row r="1315">
      <c r="O1315" s="23" t="n"/>
      <c r="R1315" s="24" t="n"/>
      <c r="S1315" s="24" t="n"/>
      <c r="Y1315" s="24" t="n"/>
    </row>
    <row r="1316">
      <c r="O1316" s="23" t="n"/>
      <c r="R1316" s="24" t="n"/>
      <c r="S1316" s="24" t="n"/>
      <c r="Y1316" s="24" t="n"/>
    </row>
    <row r="1317">
      <c r="O1317" s="23" t="n"/>
      <c r="R1317" s="24" t="n"/>
      <c r="S1317" s="24" t="n"/>
      <c r="Y1317" s="24" t="n"/>
    </row>
    <row r="1318">
      <c r="O1318" s="23" t="n"/>
      <c r="R1318" s="24" t="n"/>
      <c r="S1318" s="24" t="n"/>
      <c r="Y1318" s="24" t="n"/>
    </row>
    <row r="1319">
      <c r="O1319" s="23" t="n"/>
      <c r="R1319" s="24" t="n"/>
      <c r="S1319" s="24" t="n"/>
      <c r="Y1319" s="24" t="n"/>
    </row>
    <row r="1320">
      <c r="O1320" s="23" t="n"/>
      <c r="R1320" s="24" t="n"/>
      <c r="S1320" s="24" t="n"/>
      <c r="Y1320" s="24" t="n"/>
    </row>
    <row r="1321">
      <c r="O1321" s="23" t="n"/>
      <c r="R1321" s="24" t="n"/>
      <c r="S1321" s="24" t="n"/>
      <c r="Y1321" s="24" t="n"/>
    </row>
    <row r="1322">
      <c r="O1322" s="23" t="n"/>
      <c r="R1322" s="24" t="n"/>
      <c r="S1322" s="24" t="n"/>
      <c r="Y1322" s="24" t="n"/>
    </row>
    <row r="1323">
      <c r="O1323" s="23" t="n"/>
      <c r="R1323" s="24" t="n"/>
      <c r="S1323" s="24" t="n"/>
      <c r="Y1323" s="24" t="n"/>
    </row>
    <row r="1324">
      <c r="O1324" s="23" t="n"/>
      <c r="R1324" s="24" t="n"/>
      <c r="S1324" s="24" t="n"/>
      <c r="Y1324" s="24" t="n"/>
    </row>
    <row r="1325">
      <c r="O1325" s="23" t="n"/>
      <c r="R1325" s="24" t="n"/>
      <c r="S1325" s="24" t="n"/>
      <c r="Y1325" s="24" t="n"/>
    </row>
    <row r="1326">
      <c r="O1326" s="23" t="n"/>
      <c r="R1326" s="24" t="n"/>
      <c r="S1326" s="24" t="n"/>
      <c r="Y1326" s="24" t="n"/>
    </row>
    <row r="1327">
      <c r="O1327" s="23" t="n"/>
      <c r="R1327" s="24" t="n"/>
      <c r="S1327" s="24" t="n"/>
      <c r="Y1327" s="24" t="n"/>
    </row>
    <row r="1328">
      <c r="O1328" s="23" t="n"/>
      <c r="R1328" s="24" t="n"/>
      <c r="S1328" s="24" t="n"/>
      <c r="Y1328" s="24" t="n"/>
    </row>
    <row r="1329">
      <c r="O1329" s="23" t="n"/>
      <c r="R1329" s="24" t="n"/>
      <c r="S1329" s="24" t="n"/>
      <c r="Y1329" s="24" t="n"/>
    </row>
    <row r="1330">
      <c r="O1330" s="23" t="n"/>
      <c r="R1330" s="24" t="n"/>
      <c r="S1330" s="24" t="n"/>
      <c r="Y1330" s="24" t="n"/>
    </row>
    <row r="1331">
      <c r="O1331" s="23" t="n"/>
      <c r="R1331" s="24" t="n"/>
      <c r="S1331" s="24" t="n"/>
      <c r="Y1331" s="24" t="n"/>
    </row>
    <row r="1332">
      <c r="O1332" s="23" t="n"/>
      <c r="R1332" s="24" t="n"/>
      <c r="S1332" s="24" t="n"/>
      <c r="Y1332" s="24" t="n"/>
    </row>
    <row r="1333">
      <c r="O1333" s="23" t="n"/>
      <c r="R1333" s="24" t="n"/>
      <c r="S1333" s="24" t="n"/>
      <c r="Y1333" s="24" t="n"/>
    </row>
    <row r="1334">
      <c r="O1334" s="23" t="n"/>
      <c r="R1334" s="24" t="n"/>
      <c r="S1334" s="24" t="n"/>
      <c r="Y1334" s="24" t="n"/>
    </row>
    <row r="1335">
      <c r="O1335" s="23" t="n"/>
      <c r="R1335" s="24" t="n"/>
      <c r="S1335" s="24" t="n"/>
      <c r="Y1335" s="24" t="n"/>
    </row>
    <row r="1336">
      <c r="O1336" s="23" t="n"/>
      <c r="R1336" s="24" t="n"/>
      <c r="S1336" s="24" t="n"/>
      <c r="Y1336" s="24" t="n"/>
    </row>
    <row r="1337">
      <c r="O1337" s="23" t="n"/>
      <c r="R1337" s="24" t="n"/>
      <c r="S1337" s="24" t="n"/>
      <c r="Y1337" s="24" t="n"/>
    </row>
    <row r="1338">
      <c r="O1338" s="23" t="n"/>
      <c r="R1338" s="24" t="n"/>
      <c r="S1338" s="24" t="n"/>
      <c r="Y1338" s="24" t="n"/>
    </row>
    <row r="1339">
      <c r="O1339" s="23" t="n"/>
      <c r="R1339" s="24" t="n"/>
      <c r="S1339" s="24" t="n"/>
      <c r="Y1339" s="24" t="n"/>
    </row>
    <row r="1340">
      <c r="O1340" s="23" t="n"/>
      <c r="R1340" s="24" t="n"/>
      <c r="S1340" s="24" t="n"/>
      <c r="Y1340" s="24" t="n"/>
    </row>
    <row r="1341">
      <c r="O1341" s="23" t="n"/>
      <c r="R1341" s="24" t="n"/>
      <c r="S1341" s="24" t="n"/>
      <c r="Y1341" s="24" t="n"/>
    </row>
    <row r="1342">
      <c r="O1342" s="23" t="n"/>
      <c r="R1342" s="24" t="n"/>
      <c r="S1342" s="24" t="n"/>
      <c r="Y1342" s="24" t="n"/>
    </row>
    <row r="1343">
      <c r="O1343" s="23" t="n"/>
      <c r="R1343" s="24" t="n"/>
      <c r="S1343" s="24" t="n"/>
      <c r="Y1343" s="24" t="n"/>
    </row>
    <row r="1344">
      <c r="O1344" s="23" t="n"/>
      <c r="R1344" s="24" t="n"/>
      <c r="S1344" s="24" t="n"/>
      <c r="Y1344" s="24" t="n"/>
    </row>
    <row r="1345">
      <c r="O1345" s="23" t="n"/>
      <c r="R1345" s="24" t="n"/>
      <c r="S1345" s="24" t="n"/>
      <c r="Y1345" s="24" t="n"/>
    </row>
    <row r="1346">
      <c r="O1346" s="23" t="n"/>
      <c r="R1346" s="24" t="n"/>
      <c r="S1346" s="24" t="n"/>
      <c r="Y1346" s="24" t="n"/>
    </row>
    <row r="1347">
      <c r="O1347" s="23" t="n"/>
      <c r="R1347" s="24" t="n"/>
      <c r="S1347" s="24" t="n"/>
      <c r="Y1347" s="24" t="n"/>
    </row>
    <row r="1348">
      <c r="O1348" s="23" t="n"/>
      <c r="R1348" s="24" t="n"/>
      <c r="S1348" s="24" t="n"/>
      <c r="Y1348" s="24" t="n"/>
    </row>
    <row r="1349">
      <c r="O1349" s="23" t="n"/>
      <c r="R1349" s="24" t="n"/>
      <c r="S1349" s="24" t="n"/>
      <c r="Y1349" s="24" t="n"/>
    </row>
    <row r="1350">
      <c r="O1350" s="23" t="n"/>
      <c r="R1350" s="24" t="n"/>
      <c r="S1350" s="24" t="n"/>
      <c r="Y1350" s="24" t="n"/>
    </row>
    <row r="1351">
      <c r="O1351" s="23" t="n"/>
      <c r="R1351" s="24" t="n"/>
      <c r="S1351" s="24" t="n"/>
      <c r="Y1351" s="24" t="n"/>
    </row>
    <row r="1352">
      <c r="O1352" s="23" t="n"/>
      <c r="R1352" s="24" t="n"/>
      <c r="S1352" s="24" t="n"/>
      <c r="Y1352" s="24" t="n"/>
    </row>
    <row r="1353">
      <c r="O1353" s="23" t="n"/>
      <c r="R1353" s="24" t="n"/>
      <c r="S1353" s="24" t="n"/>
      <c r="Y1353" s="24" t="n"/>
    </row>
    <row r="1354">
      <c r="O1354" s="23" t="n"/>
      <c r="R1354" s="24" t="n"/>
      <c r="S1354" s="24" t="n"/>
      <c r="Y1354" s="24" t="n"/>
    </row>
    <row r="1355">
      <c r="O1355" s="23" t="n"/>
      <c r="R1355" s="24" t="n"/>
      <c r="S1355" s="24" t="n"/>
      <c r="Y1355" s="24" t="n"/>
    </row>
    <row r="1356">
      <c r="O1356" s="23" t="n"/>
      <c r="R1356" s="24" t="n"/>
      <c r="S1356" s="24" t="n"/>
      <c r="Y1356" s="24" t="n"/>
    </row>
    <row r="1357">
      <c r="O1357" s="23" t="n"/>
      <c r="R1357" s="24" t="n"/>
      <c r="S1357" s="24" t="n"/>
      <c r="Y1357" s="24" t="n"/>
    </row>
    <row r="1358">
      <c r="O1358" s="23" t="n"/>
      <c r="R1358" s="24" t="n"/>
      <c r="S1358" s="24" t="n"/>
      <c r="Y1358" s="24" t="n"/>
    </row>
    <row r="1359">
      <c r="O1359" s="23" t="n"/>
      <c r="R1359" s="24" t="n"/>
      <c r="S1359" s="24" t="n"/>
      <c r="Y1359" s="24" t="n"/>
    </row>
    <row r="1360">
      <c r="O1360" s="23" t="n"/>
      <c r="R1360" s="24" t="n"/>
      <c r="S1360" s="24" t="n"/>
      <c r="Y1360" s="24" t="n"/>
    </row>
    <row r="1361">
      <c r="O1361" s="23" t="n"/>
      <c r="R1361" s="24" t="n"/>
      <c r="S1361" s="24" t="n"/>
      <c r="Y1361" s="24" t="n"/>
    </row>
    <row r="1362">
      <c r="O1362" s="23" t="n"/>
      <c r="R1362" s="24" t="n"/>
      <c r="S1362" s="24" t="n"/>
      <c r="Y1362" s="24" t="n"/>
    </row>
    <row r="1363">
      <c r="O1363" s="23" t="n"/>
      <c r="R1363" s="24" t="n"/>
      <c r="S1363" s="24" t="n"/>
      <c r="Y1363" s="24" t="n"/>
    </row>
    <row r="1364">
      <c r="O1364" s="23" t="n"/>
      <c r="R1364" s="24" t="n"/>
      <c r="S1364" s="24" t="n"/>
      <c r="Y1364" s="24" t="n"/>
    </row>
    <row r="1365">
      <c r="O1365" s="23" t="n"/>
      <c r="R1365" s="24" t="n"/>
      <c r="S1365" s="24" t="n"/>
      <c r="Y1365" s="24" t="n"/>
    </row>
    <row r="1366">
      <c r="O1366" s="23" t="n"/>
      <c r="R1366" s="24" t="n"/>
      <c r="S1366" s="24" t="n"/>
      <c r="Y1366" s="24" t="n"/>
    </row>
    <row r="1367">
      <c r="O1367" s="23" t="n"/>
      <c r="R1367" s="24" t="n"/>
      <c r="S1367" s="24" t="n"/>
      <c r="Y1367" s="24" t="n"/>
    </row>
    <row r="1368">
      <c r="O1368" s="23" t="n"/>
      <c r="R1368" s="24" t="n"/>
      <c r="S1368" s="24" t="n"/>
      <c r="Y1368" s="24" t="n"/>
    </row>
    <row r="1369">
      <c r="O1369" s="23" t="n"/>
      <c r="R1369" s="24" t="n"/>
      <c r="S1369" s="24" t="n"/>
      <c r="Y1369" s="24" t="n"/>
    </row>
    <row r="1370">
      <c r="O1370" s="23" t="n"/>
      <c r="R1370" s="24" t="n"/>
      <c r="S1370" s="24" t="n"/>
      <c r="Y1370" s="24" t="n"/>
    </row>
    <row r="1371">
      <c r="O1371" s="23" t="n"/>
      <c r="R1371" s="24" t="n"/>
      <c r="S1371" s="24" t="n"/>
      <c r="Y1371" s="24" t="n"/>
    </row>
    <row r="1372">
      <c r="O1372" s="23" t="n"/>
      <c r="R1372" s="24" t="n"/>
      <c r="S1372" s="24" t="n"/>
      <c r="Y1372" s="24" t="n"/>
    </row>
    <row r="1373">
      <c r="O1373" s="23" t="n"/>
      <c r="R1373" s="24" t="n"/>
      <c r="S1373" s="24" t="n"/>
      <c r="Y1373" s="24" t="n"/>
    </row>
    <row r="1374">
      <c r="O1374" s="23" t="n"/>
      <c r="R1374" s="24" t="n"/>
      <c r="S1374" s="24" t="n"/>
      <c r="Y1374" s="24" t="n"/>
    </row>
    <row r="1375">
      <c r="O1375" s="23" t="n"/>
      <c r="R1375" s="24" t="n"/>
      <c r="S1375" s="24" t="n"/>
      <c r="Y1375" s="24" t="n"/>
    </row>
    <row r="1376">
      <c r="O1376" s="23" t="n"/>
      <c r="R1376" s="24" t="n"/>
      <c r="S1376" s="24" t="n"/>
      <c r="Y1376" s="24" t="n"/>
    </row>
    <row r="1377">
      <c r="O1377" s="23" t="n"/>
      <c r="R1377" s="24" t="n"/>
      <c r="S1377" s="24" t="n"/>
      <c r="Y1377" s="24" t="n"/>
    </row>
    <row r="1378">
      <c r="O1378" s="23" t="n"/>
      <c r="R1378" s="24" t="n"/>
      <c r="S1378" s="24" t="n"/>
      <c r="Y1378" s="24" t="n"/>
    </row>
    <row r="1379">
      <c r="O1379" s="23" t="n"/>
      <c r="R1379" s="24" t="n"/>
      <c r="S1379" s="24" t="n"/>
      <c r="Y1379" s="24" t="n"/>
    </row>
    <row r="1380">
      <c r="O1380" s="23" t="n"/>
      <c r="R1380" s="24" t="n"/>
      <c r="S1380" s="24" t="n"/>
      <c r="Y1380" s="24" t="n"/>
    </row>
    <row r="1381">
      <c r="O1381" s="23" t="n"/>
      <c r="R1381" s="24" t="n"/>
      <c r="S1381" s="24" t="n"/>
      <c r="Y1381" s="24" t="n"/>
    </row>
    <row r="1382">
      <c r="O1382" s="23" t="n"/>
      <c r="R1382" s="24" t="n"/>
      <c r="S1382" s="24" t="n"/>
      <c r="Y1382" s="24" t="n"/>
    </row>
    <row r="1383">
      <c r="O1383" s="23" t="n"/>
      <c r="R1383" s="24" t="n"/>
      <c r="S1383" s="24" t="n"/>
      <c r="Y1383" s="24" t="n"/>
    </row>
    <row r="1384">
      <c r="O1384" s="23" t="n"/>
      <c r="R1384" s="24" t="n"/>
      <c r="S1384" s="24" t="n"/>
      <c r="Y1384" s="24" t="n"/>
    </row>
    <row r="1385">
      <c r="O1385" s="23" t="n"/>
      <c r="R1385" s="24" t="n"/>
      <c r="S1385" s="24" t="n"/>
      <c r="Y1385" s="24" t="n"/>
    </row>
    <row r="1386">
      <c r="O1386" s="23" t="n"/>
      <c r="R1386" s="24" t="n"/>
      <c r="S1386" s="24" t="n"/>
      <c r="Y1386" s="24" t="n"/>
    </row>
    <row r="1387">
      <c r="O1387" s="23" t="n"/>
      <c r="R1387" s="24" t="n"/>
      <c r="S1387" s="24" t="n"/>
      <c r="Y1387" s="24" t="n"/>
    </row>
    <row r="1388">
      <c r="O1388" s="23" t="n"/>
      <c r="R1388" s="24" t="n"/>
      <c r="S1388" s="24" t="n"/>
      <c r="Y1388" s="24" t="n"/>
    </row>
    <row r="1389">
      <c r="O1389" s="23" t="n"/>
      <c r="R1389" s="24" t="n"/>
      <c r="S1389" s="24" t="n"/>
      <c r="Y1389" s="24" t="n"/>
    </row>
    <row r="1390">
      <c r="O1390" s="23" t="n"/>
      <c r="R1390" s="24" t="n"/>
      <c r="S1390" s="24" t="n"/>
      <c r="Y1390" s="24" t="n"/>
    </row>
    <row r="1391">
      <c r="O1391" s="23" t="n"/>
      <c r="R1391" s="24" t="n"/>
      <c r="S1391" s="24" t="n"/>
      <c r="Y1391" s="24" t="n"/>
    </row>
    <row r="1392">
      <c r="O1392" s="23" t="n"/>
      <c r="R1392" s="24" t="n"/>
      <c r="S1392" s="24" t="n"/>
      <c r="Y1392" s="24" t="n"/>
    </row>
    <row r="1393">
      <c r="O1393" s="23" t="n"/>
      <c r="R1393" s="24" t="n"/>
      <c r="S1393" s="24" t="n"/>
      <c r="Y1393" s="24" t="n"/>
    </row>
    <row r="1394">
      <c r="O1394" s="23" t="n"/>
      <c r="R1394" s="24" t="n"/>
      <c r="S1394" s="24" t="n"/>
      <c r="Y1394" s="24" t="n"/>
    </row>
    <row r="1395">
      <c r="O1395" s="23" t="n"/>
      <c r="R1395" s="24" t="n"/>
      <c r="S1395" s="24" t="n"/>
      <c r="Y1395" s="24" t="n"/>
    </row>
    <row r="1396">
      <c r="O1396" s="23" t="n"/>
      <c r="R1396" s="24" t="n"/>
      <c r="S1396" s="24" t="n"/>
      <c r="Y1396" s="24" t="n"/>
    </row>
    <row r="1397">
      <c r="O1397" s="23" t="n"/>
      <c r="R1397" s="24" t="n"/>
      <c r="S1397" s="24" t="n"/>
      <c r="Y1397" s="24" t="n"/>
    </row>
    <row r="1398">
      <c r="O1398" s="23" t="n"/>
      <c r="R1398" s="24" t="n"/>
      <c r="S1398" s="24" t="n"/>
      <c r="Y1398" s="24" t="n"/>
    </row>
    <row r="1399">
      <c r="O1399" s="23" t="n"/>
      <c r="R1399" s="24" t="n"/>
      <c r="S1399" s="24" t="n"/>
      <c r="Y1399" s="24" t="n"/>
    </row>
    <row r="1400">
      <c r="O1400" s="23" t="n"/>
      <c r="R1400" s="24" t="n"/>
      <c r="S1400" s="24" t="n"/>
      <c r="Y1400" s="24" t="n"/>
    </row>
    <row r="1401">
      <c r="O1401" s="23" t="n"/>
      <c r="R1401" s="24" t="n"/>
      <c r="S1401" s="24" t="n"/>
      <c r="Y1401" s="24" t="n"/>
    </row>
    <row r="1402">
      <c r="O1402" s="23" t="n"/>
      <c r="R1402" s="24" t="n"/>
      <c r="S1402" s="24" t="n"/>
      <c r="Y1402" s="24" t="n"/>
    </row>
    <row r="1403">
      <c r="O1403" s="23" t="n"/>
      <c r="R1403" s="24" t="n"/>
      <c r="S1403" s="24" t="n"/>
      <c r="Y1403" s="24" t="n"/>
    </row>
    <row r="1404">
      <c r="O1404" s="23" t="n"/>
      <c r="R1404" s="24" t="n"/>
      <c r="S1404" s="24" t="n"/>
      <c r="Y1404" s="24" t="n"/>
    </row>
    <row r="1405">
      <c r="O1405" s="23" t="n"/>
      <c r="R1405" s="24" t="n"/>
      <c r="S1405" s="24" t="n"/>
      <c r="Y1405" s="24" t="n"/>
    </row>
    <row r="1406">
      <c r="O1406" s="23" t="n"/>
      <c r="R1406" s="24" t="n"/>
      <c r="S1406" s="24" t="n"/>
      <c r="Y1406" s="24" t="n"/>
    </row>
    <row r="1407">
      <c r="O1407" s="23" t="n"/>
      <c r="R1407" s="24" t="n"/>
      <c r="S1407" s="24" t="n"/>
      <c r="Y1407" s="24" t="n"/>
    </row>
    <row r="1408">
      <c r="O1408" s="23" t="n"/>
      <c r="R1408" s="24" t="n"/>
      <c r="S1408" s="24" t="n"/>
      <c r="Y1408" s="24" t="n"/>
    </row>
    <row r="1409">
      <c r="O1409" s="23" t="n"/>
      <c r="R1409" s="24" t="n"/>
      <c r="S1409" s="24" t="n"/>
      <c r="Y1409" s="24" t="n"/>
    </row>
    <row r="1410">
      <c r="O1410" s="23" t="n"/>
      <c r="R1410" s="24" t="n"/>
      <c r="S1410" s="24" t="n"/>
      <c r="Y1410" s="24" t="n"/>
    </row>
    <row r="1411">
      <c r="O1411" s="23" t="n"/>
      <c r="R1411" s="24" t="n"/>
      <c r="S1411" s="24" t="n"/>
      <c r="Y1411" s="24" t="n"/>
    </row>
    <row r="1412">
      <c r="O1412" s="23" t="n"/>
      <c r="R1412" s="24" t="n"/>
      <c r="S1412" s="24" t="n"/>
      <c r="Y1412" s="24" t="n"/>
    </row>
    <row r="1413">
      <c r="O1413" s="23" t="n"/>
      <c r="R1413" s="24" t="n"/>
      <c r="S1413" s="24" t="n"/>
      <c r="Y1413" s="24" t="n"/>
    </row>
    <row r="1414">
      <c r="O1414" s="23" t="n"/>
      <c r="R1414" s="24" t="n"/>
      <c r="S1414" s="24" t="n"/>
      <c r="Y1414" s="24" t="n"/>
    </row>
    <row r="1415">
      <c r="O1415" s="23" t="n"/>
      <c r="R1415" s="24" t="n"/>
      <c r="S1415" s="24" t="n"/>
      <c r="Y1415" s="24" t="n"/>
    </row>
    <row r="1416">
      <c r="O1416" s="23" t="n"/>
      <c r="R1416" s="24" t="n"/>
      <c r="S1416" s="24" t="n"/>
      <c r="Y1416" s="24" t="n"/>
    </row>
    <row r="1417">
      <c r="O1417" s="23" t="n"/>
      <c r="R1417" s="24" t="n"/>
      <c r="S1417" s="24" t="n"/>
      <c r="Y1417" s="24" t="n"/>
    </row>
    <row r="1418">
      <c r="O1418" s="23" t="n"/>
      <c r="R1418" s="24" t="n"/>
      <c r="S1418" s="24" t="n"/>
      <c r="Y1418" s="24" t="n"/>
    </row>
    <row r="1419">
      <c r="O1419" s="23" t="n"/>
      <c r="R1419" s="24" t="n"/>
      <c r="S1419" s="24" t="n"/>
      <c r="Y1419" s="24" t="n"/>
    </row>
    <row r="1420">
      <c r="O1420" s="23" t="n"/>
      <c r="R1420" s="24" t="n"/>
      <c r="S1420" s="24" t="n"/>
      <c r="Y1420" s="24" t="n"/>
    </row>
    <row r="1421">
      <c r="O1421" s="23" t="n"/>
      <c r="R1421" s="24" t="n"/>
      <c r="S1421" s="24" t="n"/>
      <c r="Y1421" s="24" t="n"/>
    </row>
    <row r="1422">
      <c r="O1422" s="23" t="n"/>
      <c r="R1422" s="24" t="n"/>
      <c r="S1422" s="24" t="n"/>
      <c r="Y1422" s="24" t="n"/>
    </row>
    <row r="1423">
      <c r="O1423" s="23" t="n"/>
      <c r="R1423" s="24" t="n"/>
      <c r="S1423" s="24" t="n"/>
      <c r="Y1423" s="24" t="n"/>
    </row>
    <row r="1424">
      <c r="O1424" s="23" t="n"/>
      <c r="R1424" s="24" t="n"/>
      <c r="S1424" s="24" t="n"/>
      <c r="Y1424" s="24" t="n"/>
    </row>
    <row r="1425">
      <c r="O1425" s="23" t="n"/>
      <c r="R1425" s="24" t="n"/>
      <c r="S1425" s="24" t="n"/>
      <c r="Y1425" s="24" t="n"/>
    </row>
    <row r="1426">
      <c r="O1426" s="23" t="n"/>
      <c r="R1426" s="24" t="n"/>
      <c r="S1426" s="24" t="n"/>
      <c r="Y1426" s="24" t="n"/>
    </row>
    <row r="1427">
      <c r="O1427" s="23" t="n"/>
      <c r="R1427" s="24" t="n"/>
      <c r="S1427" s="24" t="n"/>
      <c r="Y1427" s="24" t="n"/>
    </row>
    <row r="1428">
      <c r="O1428" s="23" t="n"/>
      <c r="R1428" s="24" t="n"/>
      <c r="S1428" s="24" t="n"/>
      <c r="Y1428" s="24" t="n"/>
    </row>
    <row r="1429">
      <c r="O1429" s="23" t="n"/>
      <c r="R1429" s="24" t="n"/>
      <c r="S1429" s="24" t="n"/>
      <c r="Y1429" s="24" t="n"/>
    </row>
    <row r="1430">
      <c r="O1430" s="23" t="n"/>
      <c r="R1430" s="24" t="n"/>
      <c r="S1430" s="24" t="n"/>
      <c r="Y1430" s="24" t="n"/>
    </row>
    <row r="1431">
      <c r="O1431" s="23" t="n"/>
      <c r="R1431" s="24" t="n"/>
      <c r="S1431" s="24" t="n"/>
      <c r="Y1431" s="24" t="n"/>
    </row>
    <row r="1432">
      <c r="O1432" s="23" t="n"/>
      <c r="R1432" s="24" t="n"/>
      <c r="S1432" s="24" t="n"/>
      <c r="Y1432" s="24" t="n"/>
    </row>
    <row r="1433">
      <c r="O1433" s="23" t="n"/>
      <c r="R1433" s="24" t="n"/>
      <c r="S1433" s="24" t="n"/>
      <c r="Y1433" s="24" t="n"/>
    </row>
    <row r="1434">
      <c r="O1434" s="23" t="n"/>
      <c r="R1434" s="24" t="n"/>
      <c r="S1434" s="24" t="n"/>
      <c r="Y1434" s="24" t="n"/>
    </row>
    <row r="1435">
      <c r="O1435" s="23" t="n"/>
      <c r="R1435" s="24" t="n"/>
      <c r="S1435" s="24" t="n"/>
      <c r="Y1435" s="24" t="n"/>
    </row>
    <row r="1436">
      <c r="O1436" s="23" t="n"/>
      <c r="R1436" s="24" t="n"/>
      <c r="S1436" s="24" t="n"/>
      <c r="Y1436" s="24" t="n"/>
    </row>
    <row r="1437">
      <c r="O1437" s="23" t="n"/>
      <c r="R1437" s="24" t="n"/>
      <c r="S1437" s="24" t="n"/>
      <c r="Y1437" s="24" t="n"/>
    </row>
    <row r="1438">
      <c r="O1438" s="23" t="n"/>
      <c r="R1438" s="24" t="n"/>
      <c r="S1438" s="24" t="n"/>
      <c r="Y1438" s="24" t="n"/>
    </row>
    <row r="1439">
      <c r="O1439" s="23" t="n"/>
      <c r="R1439" s="24" t="n"/>
      <c r="S1439" s="24" t="n"/>
      <c r="Y1439" s="24" t="n"/>
    </row>
    <row r="1440">
      <c r="O1440" s="23" t="n"/>
      <c r="R1440" s="24" t="n"/>
      <c r="S1440" s="24" t="n"/>
      <c r="Y1440" s="24" t="n"/>
    </row>
    <row r="1441">
      <c r="O1441" s="23" t="n"/>
      <c r="R1441" s="24" t="n"/>
      <c r="S1441" s="24" t="n"/>
      <c r="Y1441" s="24" t="n"/>
    </row>
    <row r="1442">
      <c r="O1442" s="23" t="n"/>
      <c r="R1442" s="24" t="n"/>
      <c r="S1442" s="24" t="n"/>
      <c r="Y1442" s="24" t="n"/>
    </row>
    <row r="1443">
      <c r="O1443" s="23" t="n"/>
      <c r="R1443" s="24" t="n"/>
      <c r="S1443" s="24" t="n"/>
      <c r="Y1443" s="24" t="n"/>
    </row>
    <row r="1444">
      <c r="O1444" s="23" t="n"/>
      <c r="R1444" s="24" t="n"/>
      <c r="S1444" s="24" t="n"/>
      <c r="Y1444" s="24" t="n"/>
    </row>
    <row r="1445">
      <c r="O1445" s="23" t="n"/>
      <c r="R1445" s="24" t="n"/>
      <c r="S1445" s="24" t="n"/>
      <c r="Y1445" s="24" t="n"/>
    </row>
    <row r="1446">
      <c r="O1446" s="23" t="n"/>
      <c r="R1446" s="24" t="n"/>
      <c r="S1446" s="24" t="n"/>
      <c r="Y1446" s="24" t="n"/>
    </row>
    <row r="1447">
      <c r="O1447" s="23" t="n"/>
      <c r="R1447" s="24" t="n"/>
      <c r="S1447" s="24" t="n"/>
      <c r="Y1447" s="24" t="n"/>
    </row>
    <row r="1448">
      <c r="O1448" s="23" t="n"/>
      <c r="R1448" s="24" t="n"/>
      <c r="S1448" s="24" t="n"/>
      <c r="Y1448" s="24" t="n"/>
    </row>
    <row r="1449">
      <c r="O1449" s="23" t="n"/>
      <c r="R1449" s="24" t="n"/>
      <c r="S1449" s="24" t="n"/>
      <c r="Y1449" s="24" t="n"/>
    </row>
    <row r="1450">
      <c r="O1450" s="23" t="n"/>
      <c r="R1450" s="24" t="n"/>
      <c r="S1450" s="24" t="n"/>
      <c r="Y1450" s="24" t="n"/>
    </row>
    <row r="1451">
      <c r="O1451" s="23" t="n"/>
      <c r="R1451" s="24" t="n"/>
      <c r="S1451" s="24" t="n"/>
      <c r="Y1451" s="24" t="n"/>
    </row>
    <row r="1452">
      <c r="O1452" s="23" t="n"/>
      <c r="R1452" s="24" t="n"/>
      <c r="S1452" s="24" t="n"/>
      <c r="Y1452" s="24" t="n"/>
    </row>
    <row r="1453">
      <c r="O1453" s="23" t="n"/>
      <c r="R1453" s="24" t="n"/>
      <c r="S1453" s="24" t="n"/>
      <c r="Y1453" s="24" t="n"/>
    </row>
    <row r="1454">
      <c r="O1454" s="23" t="n"/>
      <c r="R1454" s="24" t="n"/>
      <c r="S1454" s="24" t="n"/>
      <c r="Y1454" s="24" t="n"/>
    </row>
    <row r="1455">
      <c r="O1455" s="23" t="n"/>
      <c r="R1455" s="24" t="n"/>
      <c r="S1455" s="24" t="n"/>
      <c r="Y1455" s="24" t="n"/>
    </row>
    <row r="1456">
      <c r="O1456" s="23" t="n"/>
      <c r="R1456" s="24" t="n"/>
      <c r="S1456" s="24" t="n"/>
      <c r="Y1456" s="24" t="n"/>
    </row>
    <row r="1457">
      <c r="O1457" s="23" t="n"/>
      <c r="R1457" s="24" t="n"/>
      <c r="S1457" s="24" t="n"/>
      <c r="Y1457" s="24" t="n"/>
    </row>
    <row r="1458">
      <c r="O1458" s="23" t="n"/>
      <c r="R1458" s="24" t="n"/>
      <c r="S1458" s="24" t="n"/>
      <c r="Y1458" s="24" t="n"/>
    </row>
    <row r="1459">
      <c r="O1459" s="23" t="n"/>
      <c r="R1459" s="24" t="n"/>
      <c r="S1459" s="24" t="n"/>
      <c r="Y1459" s="24" t="n"/>
    </row>
    <row r="1460">
      <c r="O1460" s="23" t="n"/>
      <c r="R1460" s="24" t="n"/>
      <c r="S1460" s="24" t="n"/>
      <c r="Y1460" s="24" t="n"/>
    </row>
    <row r="1461">
      <c r="O1461" s="23" t="n"/>
      <c r="R1461" s="24" t="n"/>
      <c r="S1461" s="24" t="n"/>
      <c r="Y1461" s="24" t="n"/>
    </row>
    <row r="1462">
      <c r="O1462" s="23" t="n"/>
      <c r="R1462" s="24" t="n"/>
      <c r="S1462" s="24" t="n"/>
      <c r="Y1462" s="24" t="n"/>
    </row>
    <row r="1463">
      <c r="O1463" s="23" t="n"/>
      <c r="R1463" s="24" t="n"/>
      <c r="S1463" s="24" t="n"/>
      <c r="Y1463" s="24" t="n"/>
    </row>
    <row r="1464">
      <c r="O1464" s="23" t="n"/>
      <c r="R1464" s="24" t="n"/>
      <c r="S1464" s="24" t="n"/>
      <c r="Y1464" s="24" t="n"/>
    </row>
    <row r="1465">
      <c r="O1465" s="23" t="n"/>
      <c r="R1465" s="24" t="n"/>
      <c r="S1465" s="24" t="n"/>
      <c r="Y1465" s="24" t="n"/>
    </row>
    <row r="1466">
      <c r="O1466" s="23" t="n"/>
      <c r="R1466" s="24" t="n"/>
      <c r="S1466" s="24" t="n"/>
      <c r="Y1466" s="24" t="n"/>
    </row>
    <row r="1467">
      <c r="O1467" s="23" t="n"/>
      <c r="R1467" s="24" t="n"/>
      <c r="S1467" s="24" t="n"/>
      <c r="Y1467" s="24" t="n"/>
    </row>
    <row r="1468">
      <c r="O1468" s="23" t="n"/>
      <c r="R1468" s="24" t="n"/>
      <c r="S1468" s="24" t="n"/>
      <c r="Y1468" s="24" t="n"/>
    </row>
    <row r="1469">
      <c r="O1469" s="23" t="n"/>
      <c r="R1469" s="24" t="n"/>
      <c r="S1469" s="24" t="n"/>
      <c r="Y1469" s="24" t="n"/>
    </row>
    <row r="1470">
      <c r="O1470" s="23" t="n"/>
      <c r="R1470" s="24" t="n"/>
      <c r="S1470" s="24" t="n"/>
      <c r="Y1470" s="24" t="n"/>
    </row>
    <row r="1471">
      <c r="O1471" s="23" t="n"/>
      <c r="R1471" s="24" t="n"/>
      <c r="S1471" s="24" t="n"/>
      <c r="Y1471" s="24" t="n"/>
    </row>
    <row r="1472">
      <c r="O1472" s="23" t="n"/>
      <c r="R1472" s="24" t="n"/>
      <c r="S1472" s="24" t="n"/>
      <c r="Y1472" s="24" t="n"/>
    </row>
    <row r="1473">
      <c r="O1473" s="23" t="n"/>
      <c r="R1473" s="24" t="n"/>
      <c r="S1473" s="24" t="n"/>
      <c r="Y1473" s="24" t="n"/>
    </row>
    <row r="1474">
      <c r="O1474" s="23" t="n"/>
      <c r="R1474" s="24" t="n"/>
      <c r="S1474" s="24" t="n"/>
      <c r="Y1474" s="24" t="n"/>
    </row>
    <row r="1475">
      <c r="O1475" s="23" t="n"/>
      <c r="R1475" s="24" t="n"/>
      <c r="S1475" s="24" t="n"/>
      <c r="Y1475" s="24" t="n"/>
    </row>
    <row r="1476">
      <c r="O1476" s="23" t="n"/>
      <c r="R1476" s="24" t="n"/>
      <c r="S1476" s="24" t="n"/>
      <c r="Y1476" s="24" t="n"/>
    </row>
    <row r="1477">
      <c r="O1477" s="23" t="n"/>
      <c r="R1477" s="24" t="n"/>
      <c r="S1477" s="24" t="n"/>
      <c r="Y1477" s="24" t="n"/>
    </row>
    <row r="1478">
      <c r="O1478" s="23" t="n"/>
      <c r="R1478" s="24" t="n"/>
      <c r="S1478" s="24" t="n"/>
      <c r="Y1478" s="24" t="n"/>
    </row>
    <row r="1479">
      <c r="O1479" s="23" t="n"/>
      <c r="R1479" s="24" t="n"/>
      <c r="S1479" s="24" t="n"/>
      <c r="Y1479" s="24" t="n"/>
    </row>
    <row r="1480">
      <c r="O1480" s="23" t="n"/>
      <c r="R1480" s="24" t="n"/>
      <c r="S1480" s="24" t="n"/>
      <c r="Y1480" s="24" t="n"/>
    </row>
    <row r="1481">
      <c r="O1481" s="23" t="n"/>
      <c r="R1481" s="24" t="n"/>
      <c r="S1481" s="24" t="n"/>
      <c r="Y1481" s="24" t="n"/>
    </row>
    <row r="1482">
      <c r="O1482" s="23" t="n"/>
      <c r="R1482" s="24" t="n"/>
      <c r="S1482" s="24" t="n"/>
      <c r="Y1482" s="24" t="n"/>
    </row>
    <row r="1483">
      <c r="O1483" s="23" t="n"/>
      <c r="R1483" s="24" t="n"/>
      <c r="S1483" s="24" t="n"/>
      <c r="Y1483" s="24" t="n"/>
    </row>
    <row r="1484">
      <c r="O1484" s="23" t="n"/>
      <c r="R1484" s="24" t="n"/>
      <c r="S1484" s="24" t="n"/>
      <c r="Y1484" s="24" t="n"/>
    </row>
    <row r="1485">
      <c r="O1485" s="23" t="n"/>
      <c r="R1485" s="24" t="n"/>
      <c r="S1485" s="24" t="n"/>
      <c r="Y1485" s="24" t="n"/>
    </row>
    <row r="1486">
      <c r="O1486" s="23" t="n"/>
      <c r="R1486" s="24" t="n"/>
      <c r="S1486" s="24" t="n"/>
      <c r="Y1486" s="24" t="n"/>
    </row>
    <row r="1487">
      <c r="O1487" s="23" t="n"/>
      <c r="R1487" s="24" t="n"/>
      <c r="S1487" s="24" t="n"/>
      <c r="Y1487" s="24" t="n"/>
    </row>
    <row r="1488">
      <c r="O1488" s="23" t="n"/>
      <c r="R1488" s="24" t="n"/>
      <c r="S1488" s="24" t="n"/>
      <c r="Y1488" s="24" t="n"/>
    </row>
    <row r="1489">
      <c r="O1489" s="23" t="n"/>
      <c r="R1489" s="24" t="n"/>
      <c r="S1489" s="24" t="n"/>
      <c r="Y1489" s="24" t="n"/>
    </row>
    <row r="1490">
      <c r="O1490" s="23" t="n"/>
      <c r="R1490" s="24" t="n"/>
      <c r="S1490" s="24" t="n"/>
      <c r="Y1490" s="24" t="n"/>
    </row>
    <row r="1491">
      <c r="O1491" s="23" t="n"/>
      <c r="R1491" s="24" t="n"/>
      <c r="S1491" s="24" t="n"/>
      <c r="Y1491" s="24" t="n"/>
    </row>
    <row r="1492">
      <c r="O1492" s="23" t="n"/>
      <c r="R1492" s="24" t="n"/>
      <c r="S1492" s="24" t="n"/>
      <c r="Y1492" s="24" t="n"/>
    </row>
    <row r="1493">
      <c r="O1493" s="23" t="n"/>
      <c r="R1493" s="24" t="n"/>
      <c r="S1493" s="24" t="n"/>
      <c r="Y1493" s="24" t="n"/>
    </row>
    <row r="1494">
      <c r="O1494" s="23" t="n"/>
      <c r="R1494" s="24" t="n"/>
      <c r="S1494" s="24" t="n"/>
      <c r="Y1494" s="24" t="n"/>
    </row>
    <row r="1495">
      <c r="O1495" s="23" t="n"/>
      <c r="R1495" s="24" t="n"/>
      <c r="S1495" s="24" t="n"/>
      <c r="Y1495" s="24" t="n"/>
    </row>
    <row r="1496">
      <c r="O1496" s="23" t="n"/>
      <c r="R1496" s="24" t="n"/>
      <c r="S1496" s="24" t="n"/>
      <c r="Y1496" s="24" t="n"/>
    </row>
    <row r="1497">
      <c r="O1497" s="23" t="n"/>
      <c r="R1497" s="24" t="n"/>
      <c r="S1497" s="24" t="n"/>
      <c r="Y1497" s="24" t="n"/>
    </row>
    <row r="1498">
      <c r="O1498" s="23" t="n"/>
      <c r="R1498" s="24" t="n"/>
      <c r="S1498" s="24" t="n"/>
      <c r="Y1498" s="24" t="n"/>
    </row>
    <row r="1499">
      <c r="O1499" s="23" t="n"/>
      <c r="R1499" s="24" t="n"/>
      <c r="S1499" s="24" t="n"/>
      <c r="Y1499" s="24" t="n"/>
    </row>
    <row r="1500">
      <c r="O1500" s="23" t="n"/>
      <c r="R1500" s="24" t="n"/>
      <c r="S1500" s="24" t="n"/>
      <c r="Y1500" s="24" t="n"/>
    </row>
    <row r="1501">
      <c r="O1501" s="23" t="n"/>
      <c r="R1501" s="24" t="n"/>
      <c r="S1501" s="24" t="n"/>
      <c r="Y1501" s="24" t="n"/>
    </row>
    <row r="1502">
      <c r="O1502" s="23" t="n"/>
      <c r="R1502" s="24" t="n"/>
      <c r="S1502" s="24" t="n"/>
      <c r="Y1502" s="24" t="n"/>
    </row>
    <row r="1503">
      <c r="O1503" s="23" t="n"/>
      <c r="R1503" s="24" t="n"/>
      <c r="S1503" s="24" t="n"/>
      <c r="Y1503" s="24" t="n"/>
    </row>
    <row r="1504">
      <c r="O1504" s="23" t="n"/>
      <c r="R1504" s="24" t="n"/>
      <c r="S1504" s="24" t="n"/>
      <c r="Y1504" s="24" t="n"/>
    </row>
    <row r="1505">
      <c r="O1505" s="23" t="n"/>
      <c r="R1505" s="24" t="n"/>
      <c r="S1505" s="24" t="n"/>
      <c r="Y1505" s="24" t="n"/>
    </row>
    <row r="1506">
      <c r="O1506" s="23" t="n"/>
      <c r="R1506" s="24" t="n"/>
      <c r="S1506" s="24" t="n"/>
      <c r="Y1506" s="24" t="n"/>
    </row>
    <row r="1507">
      <c r="O1507" s="23" t="n"/>
      <c r="R1507" s="24" t="n"/>
      <c r="S1507" s="24" t="n"/>
      <c r="Y1507" s="24" t="n"/>
    </row>
    <row r="1508">
      <c r="O1508" s="23" t="n"/>
      <c r="R1508" s="24" t="n"/>
      <c r="S1508" s="24" t="n"/>
      <c r="Y1508" s="24" t="n"/>
    </row>
    <row r="1509">
      <c r="O1509" s="23" t="n"/>
      <c r="R1509" s="24" t="n"/>
      <c r="S1509" s="24" t="n"/>
      <c r="Y1509" s="24" t="n"/>
    </row>
    <row r="1510">
      <c r="O1510" s="23" t="n"/>
      <c r="R1510" s="24" t="n"/>
      <c r="S1510" s="24" t="n"/>
      <c r="Y1510" s="24" t="n"/>
    </row>
    <row r="1511">
      <c r="O1511" s="23" t="n"/>
      <c r="R1511" s="24" t="n"/>
      <c r="S1511" s="24" t="n"/>
      <c r="Y1511" s="24" t="n"/>
    </row>
    <row r="1512">
      <c r="O1512" s="23" t="n"/>
      <c r="R1512" s="24" t="n"/>
      <c r="S1512" s="24" t="n"/>
      <c r="Y1512" s="24" t="n"/>
    </row>
    <row r="1513">
      <c r="O1513" s="23" t="n"/>
      <c r="R1513" s="24" t="n"/>
      <c r="S1513" s="24" t="n"/>
      <c r="Y1513" s="24" t="n"/>
    </row>
    <row r="1514">
      <c r="O1514" s="23" t="n"/>
      <c r="R1514" s="24" t="n"/>
      <c r="S1514" s="24" t="n"/>
      <c r="Y1514" s="24" t="n"/>
    </row>
    <row r="1515">
      <c r="O1515" s="23" t="n"/>
      <c r="R1515" s="24" t="n"/>
      <c r="S1515" s="24" t="n"/>
      <c r="Y1515" s="24" t="n"/>
    </row>
    <row r="1516">
      <c r="O1516" s="23" t="n"/>
      <c r="R1516" s="24" t="n"/>
      <c r="S1516" s="24" t="n"/>
      <c r="Y1516" s="24" t="n"/>
    </row>
    <row r="1517">
      <c r="O1517" s="23" t="n"/>
      <c r="R1517" s="24" t="n"/>
      <c r="S1517" s="24" t="n"/>
      <c r="Y1517" s="24" t="n"/>
    </row>
    <row r="1518">
      <c r="O1518" s="23" t="n"/>
      <c r="R1518" s="24" t="n"/>
      <c r="S1518" s="24" t="n"/>
      <c r="Y1518" s="24" t="n"/>
    </row>
    <row r="1519">
      <c r="O1519" s="23" t="n"/>
      <c r="R1519" s="24" t="n"/>
      <c r="S1519" s="24" t="n"/>
      <c r="Y1519" s="24" t="n"/>
    </row>
    <row r="1520">
      <c r="O1520" s="23" t="n"/>
      <c r="R1520" s="24" t="n"/>
      <c r="S1520" s="24" t="n"/>
      <c r="Y1520" s="24" t="n"/>
    </row>
    <row r="1521">
      <c r="O1521" s="23" t="n"/>
      <c r="R1521" s="24" t="n"/>
      <c r="S1521" s="24" t="n"/>
      <c r="Y1521" s="24" t="n"/>
    </row>
    <row r="1522">
      <c r="O1522" s="23" t="n"/>
      <c r="R1522" s="24" t="n"/>
      <c r="S1522" s="24" t="n"/>
      <c r="Y1522" s="24" t="n"/>
    </row>
    <row r="1523">
      <c r="O1523" s="23" t="n"/>
      <c r="R1523" s="24" t="n"/>
      <c r="S1523" s="24" t="n"/>
      <c r="Y1523" s="24" t="n"/>
    </row>
    <row r="1524">
      <c r="O1524" s="23" t="n"/>
      <c r="R1524" s="24" t="n"/>
      <c r="S1524" s="24" t="n"/>
      <c r="Y1524" s="24" t="n"/>
    </row>
    <row r="1525">
      <c r="O1525" s="23" t="n"/>
      <c r="R1525" s="24" t="n"/>
      <c r="S1525" s="24" t="n"/>
      <c r="Y1525" s="24" t="n"/>
    </row>
    <row r="1526">
      <c r="O1526" s="23" t="n"/>
      <c r="R1526" s="24" t="n"/>
      <c r="S1526" s="24" t="n"/>
      <c r="Y1526" s="24" t="n"/>
    </row>
    <row r="1527">
      <c r="O1527" s="23" t="n"/>
      <c r="R1527" s="24" t="n"/>
      <c r="S1527" s="24" t="n"/>
      <c r="Y1527" s="24" t="n"/>
    </row>
    <row r="1528">
      <c r="O1528" s="23" t="n"/>
      <c r="R1528" s="24" t="n"/>
      <c r="S1528" s="24" t="n"/>
      <c r="Y1528" s="24" t="n"/>
    </row>
    <row r="1529">
      <c r="O1529" s="23" t="n"/>
      <c r="R1529" s="24" t="n"/>
      <c r="S1529" s="24" t="n"/>
      <c r="Y1529" s="24" t="n"/>
    </row>
    <row r="1530">
      <c r="O1530" s="23" t="n"/>
      <c r="R1530" s="24" t="n"/>
      <c r="S1530" s="24" t="n"/>
      <c r="Y1530" s="24" t="n"/>
    </row>
    <row r="1531">
      <c r="O1531" s="23" t="n"/>
      <c r="R1531" s="24" t="n"/>
      <c r="S1531" s="24" t="n"/>
      <c r="Y1531" s="24" t="n"/>
    </row>
    <row r="1532">
      <c r="O1532" s="23" t="n"/>
      <c r="R1532" s="24" t="n"/>
      <c r="S1532" s="24" t="n"/>
      <c r="Y1532" s="24" t="n"/>
    </row>
    <row r="1533">
      <c r="O1533" s="23" t="n"/>
      <c r="R1533" s="24" t="n"/>
      <c r="S1533" s="24" t="n"/>
      <c r="Y1533" s="24" t="n"/>
    </row>
    <row r="1534">
      <c r="O1534" s="23" t="n"/>
      <c r="R1534" s="24" t="n"/>
      <c r="S1534" s="24" t="n"/>
      <c r="Y1534" s="24" t="n"/>
    </row>
    <row r="1535">
      <c r="O1535" s="23" t="n"/>
      <c r="R1535" s="24" t="n"/>
      <c r="S1535" s="24" t="n"/>
      <c r="Y1535" s="24" t="n"/>
    </row>
    <row r="1536">
      <c r="O1536" s="23" t="n"/>
      <c r="R1536" s="24" t="n"/>
      <c r="S1536" s="24" t="n"/>
      <c r="Y1536" s="24" t="n"/>
    </row>
    <row r="1537">
      <c r="O1537" s="23" t="n"/>
      <c r="R1537" s="24" t="n"/>
      <c r="S1537" s="24" t="n"/>
      <c r="Y1537" s="24" t="n"/>
    </row>
    <row r="1538">
      <c r="O1538" s="23" t="n"/>
      <c r="R1538" s="24" t="n"/>
      <c r="S1538" s="24" t="n"/>
      <c r="Y1538" s="24" t="n"/>
    </row>
    <row r="1539">
      <c r="O1539" s="23" t="n"/>
      <c r="R1539" s="24" t="n"/>
      <c r="S1539" s="24" t="n"/>
      <c r="Y1539" s="24" t="n"/>
    </row>
    <row r="1540">
      <c r="O1540" s="23" t="n"/>
      <c r="R1540" s="24" t="n"/>
      <c r="S1540" s="24" t="n"/>
      <c r="Y1540" s="24" t="n"/>
    </row>
    <row r="1541">
      <c r="O1541" s="23" t="n"/>
      <c r="R1541" s="24" t="n"/>
      <c r="S1541" s="24" t="n"/>
      <c r="Y1541" s="24" t="n"/>
    </row>
    <row r="1542">
      <c r="O1542" s="23" t="n"/>
      <c r="R1542" s="24" t="n"/>
      <c r="S1542" s="24" t="n"/>
      <c r="Y1542" s="24" t="n"/>
    </row>
    <row r="1543">
      <c r="O1543" s="23" t="n"/>
      <c r="R1543" s="24" t="n"/>
      <c r="S1543" s="24" t="n"/>
      <c r="Y1543" s="24" t="n"/>
    </row>
    <row r="1544">
      <c r="O1544" s="23" t="n"/>
      <c r="R1544" s="24" t="n"/>
      <c r="S1544" s="24" t="n"/>
      <c r="Y1544" s="24" t="n"/>
    </row>
    <row r="1545">
      <c r="O1545" s="23" t="n"/>
      <c r="R1545" s="24" t="n"/>
      <c r="S1545" s="24" t="n"/>
      <c r="Y1545" s="24" t="n"/>
    </row>
    <row r="1546">
      <c r="O1546" s="23" t="n"/>
      <c r="R1546" s="24" t="n"/>
      <c r="S1546" s="24" t="n"/>
      <c r="Y1546" s="24" t="n"/>
    </row>
    <row r="1547">
      <c r="O1547" s="23" t="n"/>
      <c r="R1547" s="24" t="n"/>
      <c r="S1547" s="24" t="n"/>
      <c r="Y1547" s="24" t="n"/>
    </row>
    <row r="1548">
      <c r="O1548" s="23" t="n"/>
      <c r="R1548" s="24" t="n"/>
      <c r="S1548" s="24" t="n"/>
      <c r="Y1548" s="24" t="n"/>
    </row>
    <row r="1549">
      <c r="O1549" s="23" t="n"/>
      <c r="R1549" s="24" t="n"/>
      <c r="S1549" s="24" t="n"/>
      <c r="Y1549" s="24" t="n"/>
    </row>
    <row r="1550">
      <c r="O1550" s="23" t="n"/>
      <c r="R1550" s="24" t="n"/>
      <c r="S1550" s="24" t="n"/>
      <c r="Y1550" s="24" t="n"/>
    </row>
    <row r="1551">
      <c r="O1551" s="23" t="n"/>
      <c r="R1551" s="24" t="n"/>
      <c r="S1551" s="24" t="n"/>
      <c r="Y1551" s="24" t="n"/>
    </row>
    <row r="1552">
      <c r="O1552" s="23" t="n"/>
      <c r="R1552" s="24" t="n"/>
      <c r="S1552" s="24" t="n"/>
      <c r="Y1552" s="24" t="n"/>
    </row>
    <row r="1553">
      <c r="O1553" s="23" t="n"/>
      <c r="R1553" s="24" t="n"/>
      <c r="S1553" s="24" t="n"/>
      <c r="Y1553" s="24" t="n"/>
    </row>
    <row r="1554">
      <c r="O1554" s="23" t="n"/>
      <c r="R1554" s="24" t="n"/>
      <c r="S1554" s="24" t="n"/>
      <c r="Y1554" s="24" t="n"/>
    </row>
    <row r="1555">
      <c r="O1555" s="23" t="n"/>
      <c r="R1555" s="24" t="n"/>
      <c r="S1555" s="24" t="n"/>
      <c r="Y1555" s="24" t="n"/>
    </row>
    <row r="1556">
      <c r="O1556" s="23" t="n"/>
      <c r="R1556" s="24" t="n"/>
      <c r="S1556" s="24" t="n"/>
      <c r="Y1556" s="24" t="n"/>
    </row>
    <row r="1557">
      <c r="O1557" s="23" t="n"/>
      <c r="R1557" s="24" t="n"/>
      <c r="S1557" s="24" t="n"/>
      <c r="Y1557" s="24" t="n"/>
    </row>
    <row r="1558">
      <c r="O1558" s="23" t="n"/>
      <c r="R1558" s="24" t="n"/>
      <c r="S1558" s="24" t="n"/>
      <c r="Y1558" s="24" t="n"/>
    </row>
    <row r="1559">
      <c r="O1559" s="23" t="n"/>
      <c r="R1559" s="24" t="n"/>
      <c r="S1559" s="24" t="n"/>
      <c r="Y1559" s="24" t="n"/>
    </row>
    <row r="1560">
      <c r="O1560" s="23" t="n"/>
      <c r="R1560" s="24" t="n"/>
      <c r="S1560" s="24" t="n"/>
      <c r="Y1560" s="24" t="n"/>
    </row>
    <row r="1561">
      <c r="O1561" s="23" t="n"/>
      <c r="R1561" s="24" t="n"/>
      <c r="S1561" s="24" t="n"/>
      <c r="Y1561" s="24" t="n"/>
    </row>
    <row r="1562">
      <c r="O1562" s="23" t="n"/>
      <c r="R1562" s="24" t="n"/>
      <c r="S1562" s="24" t="n"/>
      <c r="Y1562" s="24" t="n"/>
    </row>
    <row r="1563">
      <c r="O1563" s="23" t="n"/>
      <c r="R1563" s="24" t="n"/>
      <c r="S1563" s="24" t="n"/>
      <c r="Y1563" s="24" t="n"/>
    </row>
    <row r="1564">
      <c r="O1564" s="23" t="n"/>
      <c r="R1564" s="24" t="n"/>
      <c r="S1564" s="24" t="n"/>
      <c r="Y1564" s="24" t="n"/>
    </row>
    <row r="1565">
      <c r="O1565" s="23" t="n"/>
      <c r="R1565" s="24" t="n"/>
      <c r="S1565" s="24" t="n"/>
      <c r="Y1565" s="24" t="n"/>
    </row>
    <row r="1566">
      <c r="O1566" s="23" t="n"/>
      <c r="R1566" s="24" t="n"/>
      <c r="S1566" s="24" t="n"/>
      <c r="Y1566" s="24" t="n"/>
    </row>
    <row r="1567">
      <c r="O1567" s="23" t="n"/>
      <c r="R1567" s="24" t="n"/>
      <c r="S1567" s="24" t="n"/>
      <c r="Y1567" s="24" t="n"/>
    </row>
    <row r="1568">
      <c r="O1568" s="23" t="n"/>
      <c r="R1568" s="24" t="n"/>
      <c r="S1568" s="24" t="n"/>
      <c r="Y1568" s="24" t="n"/>
    </row>
    <row r="1569">
      <c r="O1569" s="23" t="n"/>
      <c r="R1569" s="24" t="n"/>
      <c r="S1569" s="24" t="n"/>
      <c r="Y1569" s="24" t="n"/>
    </row>
    <row r="1570">
      <c r="O1570" s="23" t="n"/>
      <c r="R1570" s="24" t="n"/>
      <c r="S1570" s="24" t="n"/>
      <c r="Y1570" s="24" t="n"/>
    </row>
    <row r="1571">
      <c r="O1571" s="23" t="n"/>
      <c r="R1571" s="24" t="n"/>
      <c r="S1571" s="24" t="n"/>
      <c r="Y1571" s="24" t="n"/>
    </row>
    <row r="1572">
      <c r="O1572" s="23" t="n"/>
      <c r="R1572" s="24" t="n"/>
      <c r="S1572" s="24" t="n"/>
      <c r="Y1572" s="24" t="n"/>
    </row>
    <row r="1573">
      <c r="O1573" s="23" t="n"/>
      <c r="R1573" s="24" t="n"/>
      <c r="S1573" s="24" t="n"/>
      <c r="Y1573" s="24" t="n"/>
    </row>
    <row r="1574">
      <c r="O1574" s="23" t="n"/>
      <c r="R1574" s="24" t="n"/>
      <c r="S1574" s="24" t="n"/>
      <c r="Y1574" s="24" t="n"/>
    </row>
    <row r="1575">
      <c r="O1575" s="23" t="n"/>
      <c r="R1575" s="24" t="n"/>
      <c r="S1575" s="24" t="n"/>
      <c r="Y1575" s="24" t="n"/>
    </row>
    <row r="1576">
      <c r="O1576" s="23" t="n"/>
      <c r="R1576" s="24" t="n"/>
      <c r="S1576" s="24" t="n"/>
      <c r="Y1576" s="24" t="n"/>
    </row>
    <row r="1577">
      <c r="O1577" s="23" t="n"/>
      <c r="R1577" s="24" t="n"/>
      <c r="S1577" s="24" t="n"/>
      <c r="Y1577" s="24" t="n"/>
    </row>
    <row r="1578">
      <c r="O1578" s="23" t="n"/>
      <c r="R1578" s="24" t="n"/>
      <c r="S1578" s="24" t="n"/>
      <c r="Y1578" s="24" t="n"/>
    </row>
    <row r="1579">
      <c r="O1579" s="23" t="n"/>
      <c r="R1579" s="24" t="n"/>
      <c r="S1579" s="24" t="n"/>
      <c r="Y1579" s="24" t="n"/>
    </row>
    <row r="1580">
      <c r="O1580" s="23" t="n"/>
      <c r="R1580" s="24" t="n"/>
      <c r="S1580" s="24" t="n"/>
      <c r="Y1580" s="24" t="n"/>
    </row>
    <row r="1581">
      <c r="O1581" s="23" t="n"/>
      <c r="R1581" s="24" t="n"/>
      <c r="S1581" s="24" t="n"/>
      <c r="Y1581" s="24" t="n"/>
    </row>
    <row r="1582">
      <c r="O1582" s="23" t="n"/>
      <c r="R1582" s="24" t="n"/>
      <c r="S1582" s="24" t="n"/>
      <c r="Y1582" s="24" t="n"/>
    </row>
    <row r="1583">
      <c r="O1583" s="23" t="n"/>
      <c r="R1583" s="24" t="n"/>
      <c r="S1583" s="24" t="n"/>
      <c r="Y1583" s="24" t="n"/>
    </row>
    <row r="1584">
      <c r="O1584" s="23" t="n"/>
      <c r="R1584" s="24" t="n"/>
      <c r="S1584" s="24" t="n"/>
      <c r="Y1584" s="24" t="n"/>
    </row>
    <row r="1585">
      <c r="O1585" s="23" t="n"/>
      <c r="R1585" s="24" t="n"/>
      <c r="S1585" s="24" t="n"/>
      <c r="Y1585" s="24" t="n"/>
    </row>
    <row r="1586">
      <c r="O1586" s="23" t="n"/>
      <c r="R1586" s="24" t="n"/>
      <c r="S1586" s="24" t="n"/>
      <c r="Y1586" s="24" t="n"/>
    </row>
    <row r="1587">
      <c r="O1587" s="23" t="n"/>
      <c r="R1587" s="24" t="n"/>
      <c r="S1587" s="24" t="n"/>
      <c r="Y1587" s="24" t="n"/>
    </row>
    <row r="1588">
      <c r="O1588" s="23" t="n"/>
      <c r="R1588" s="24" t="n"/>
      <c r="S1588" s="24" t="n"/>
      <c r="Y1588" s="24" t="n"/>
    </row>
    <row r="1589">
      <c r="O1589" s="23" t="n"/>
      <c r="R1589" s="24" t="n"/>
      <c r="S1589" s="24" t="n"/>
      <c r="Y1589" s="24" t="n"/>
    </row>
    <row r="1590">
      <c r="O1590" s="23" t="n"/>
      <c r="R1590" s="24" t="n"/>
      <c r="S1590" s="24" t="n"/>
      <c r="Y1590" s="24" t="n"/>
    </row>
    <row r="1591">
      <c r="O1591" s="23" t="n"/>
      <c r="R1591" s="24" t="n"/>
      <c r="S1591" s="24" t="n"/>
      <c r="Y1591" s="24" t="n"/>
    </row>
    <row r="1592">
      <c r="O1592" s="23" t="n"/>
      <c r="R1592" s="24" t="n"/>
      <c r="S1592" s="24" t="n"/>
      <c r="Y1592" s="24" t="n"/>
    </row>
    <row r="1593">
      <c r="O1593" s="23" t="n"/>
      <c r="R1593" s="24" t="n"/>
      <c r="S1593" s="24" t="n"/>
      <c r="Y1593" s="24" t="n"/>
    </row>
    <row r="1594">
      <c r="O1594" s="23" t="n"/>
      <c r="R1594" s="24" t="n"/>
      <c r="S1594" s="24" t="n"/>
      <c r="Y1594" s="24" t="n"/>
    </row>
    <row r="1595">
      <c r="O1595" s="23" t="n"/>
      <c r="R1595" s="24" t="n"/>
      <c r="S1595" s="24" t="n"/>
      <c r="Y1595" s="24" t="n"/>
    </row>
    <row r="1596">
      <c r="O1596" s="23" t="n"/>
      <c r="R1596" s="24" t="n"/>
      <c r="S1596" s="24" t="n"/>
      <c r="Y1596" s="24" t="n"/>
    </row>
    <row r="1597">
      <c r="O1597" s="23" t="n"/>
      <c r="R1597" s="24" t="n"/>
      <c r="S1597" s="24" t="n"/>
      <c r="Y1597" s="24" t="n"/>
    </row>
    <row r="1598">
      <c r="O1598" s="23" t="n"/>
      <c r="R1598" s="24" t="n"/>
      <c r="S1598" s="24" t="n"/>
      <c r="Y1598" s="24" t="n"/>
    </row>
    <row r="1599">
      <c r="O1599" s="23" t="n"/>
      <c r="R1599" s="24" t="n"/>
      <c r="S1599" s="24" t="n"/>
      <c r="Y1599" s="24" t="n"/>
    </row>
    <row r="1600">
      <c r="O1600" s="23" t="n"/>
      <c r="R1600" s="24" t="n"/>
      <c r="S1600" s="24" t="n"/>
      <c r="Y1600" s="24" t="n"/>
    </row>
    <row r="1601">
      <c r="O1601" s="23" t="n"/>
      <c r="R1601" s="24" t="n"/>
      <c r="S1601" s="24" t="n"/>
      <c r="Y1601" s="24" t="n"/>
    </row>
    <row r="1602">
      <c r="O1602" s="23" t="n"/>
      <c r="R1602" s="24" t="n"/>
      <c r="S1602" s="24" t="n"/>
      <c r="Y1602" s="24" t="n"/>
    </row>
    <row r="1603">
      <c r="O1603" s="23" t="n"/>
      <c r="R1603" s="24" t="n"/>
      <c r="S1603" s="24" t="n"/>
      <c r="Y1603" s="24" t="n"/>
    </row>
    <row r="1604">
      <c r="O1604" s="23" t="n"/>
      <c r="R1604" s="24" t="n"/>
      <c r="S1604" s="24" t="n"/>
      <c r="Y1604" s="24" t="n"/>
    </row>
    <row r="1605">
      <c r="O1605" s="23" t="n"/>
      <c r="R1605" s="24" t="n"/>
      <c r="S1605" s="24" t="n"/>
      <c r="Y1605" s="24" t="n"/>
    </row>
    <row r="1606">
      <c r="O1606" s="23" t="n"/>
      <c r="R1606" s="24" t="n"/>
      <c r="S1606" s="24" t="n"/>
      <c r="Y1606" s="24" t="n"/>
    </row>
    <row r="1607">
      <c r="O1607" s="23" t="n"/>
      <c r="R1607" s="24" t="n"/>
      <c r="S1607" s="24" t="n"/>
      <c r="Y1607" s="24" t="n"/>
    </row>
    <row r="1608">
      <c r="O1608" s="23" t="n"/>
      <c r="R1608" s="24" t="n"/>
      <c r="S1608" s="24" t="n"/>
      <c r="Y1608" s="24" t="n"/>
    </row>
    <row r="1609">
      <c r="O1609" s="23" t="n"/>
      <c r="R1609" s="24" t="n"/>
      <c r="S1609" s="24" t="n"/>
      <c r="Y1609" s="24" t="n"/>
    </row>
    <row r="1610">
      <c r="O1610" s="23" t="n"/>
      <c r="R1610" s="24" t="n"/>
      <c r="S1610" s="24" t="n"/>
      <c r="Y1610" s="24" t="n"/>
    </row>
    <row r="1611">
      <c r="O1611" s="23" t="n"/>
      <c r="R1611" s="24" t="n"/>
      <c r="S1611" s="24" t="n"/>
      <c r="Y1611" s="24" t="n"/>
    </row>
    <row r="1612">
      <c r="O1612" s="23" t="n"/>
      <c r="R1612" s="24" t="n"/>
      <c r="S1612" s="24" t="n"/>
      <c r="Y1612" s="24" t="n"/>
    </row>
    <row r="1613">
      <c r="O1613" s="23" t="n"/>
      <c r="R1613" s="24" t="n"/>
      <c r="S1613" s="24" t="n"/>
      <c r="Y1613" s="24" t="n"/>
    </row>
    <row r="1614">
      <c r="O1614" s="23" t="n"/>
      <c r="R1614" s="24" t="n"/>
      <c r="S1614" s="24" t="n"/>
      <c r="Y1614" s="24" t="n"/>
    </row>
    <row r="1615">
      <c r="O1615" s="23" t="n"/>
      <c r="R1615" s="24" t="n"/>
      <c r="S1615" s="24" t="n"/>
      <c r="Y1615" s="24" t="n"/>
    </row>
    <row r="1616">
      <c r="O1616" s="23" t="n"/>
      <c r="R1616" s="24" t="n"/>
      <c r="S1616" s="24" t="n"/>
      <c r="Y1616" s="24" t="n"/>
    </row>
    <row r="1617">
      <c r="O1617" s="23" t="n"/>
      <c r="R1617" s="24" t="n"/>
      <c r="S1617" s="24" t="n"/>
      <c r="Y1617" s="24" t="n"/>
    </row>
    <row r="1618">
      <c r="O1618" s="23" t="n"/>
      <c r="R1618" s="24" t="n"/>
      <c r="S1618" s="24" t="n"/>
      <c r="Y1618" s="24" t="n"/>
    </row>
    <row r="1619">
      <c r="O1619" s="23" t="n"/>
      <c r="R1619" s="24" t="n"/>
      <c r="S1619" s="24" t="n"/>
      <c r="Y1619" s="24" t="n"/>
    </row>
    <row r="1620">
      <c r="O1620" s="23" t="n"/>
      <c r="R1620" s="24" t="n"/>
      <c r="S1620" s="24" t="n"/>
      <c r="Y1620" s="24" t="n"/>
    </row>
    <row r="1621">
      <c r="O1621" s="23" t="n"/>
      <c r="R1621" s="24" t="n"/>
      <c r="S1621" s="24" t="n"/>
      <c r="Y1621" s="24" t="n"/>
    </row>
    <row r="1622">
      <c r="O1622" s="23" t="n"/>
      <c r="R1622" s="24" t="n"/>
      <c r="S1622" s="24" t="n"/>
      <c r="Y1622" s="24" t="n"/>
    </row>
    <row r="1623">
      <c r="O1623" s="23" t="n"/>
      <c r="R1623" s="24" t="n"/>
      <c r="S1623" s="24" t="n"/>
      <c r="Y1623" s="24" t="n"/>
    </row>
    <row r="1624">
      <c r="O1624" s="23" t="n"/>
      <c r="R1624" s="24" t="n"/>
      <c r="S1624" s="24" t="n"/>
      <c r="Y1624" s="24" t="n"/>
    </row>
    <row r="1625">
      <c r="O1625" s="23" t="n"/>
      <c r="R1625" s="24" t="n"/>
      <c r="S1625" s="24" t="n"/>
      <c r="Y1625" s="24" t="n"/>
    </row>
    <row r="1626">
      <c r="O1626" s="23" t="n"/>
      <c r="R1626" s="24" t="n"/>
      <c r="S1626" s="24" t="n"/>
      <c r="Y1626" s="24" t="n"/>
    </row>
    <row r="1627">
      <c r="O1627" s="23" t="n"/>
      <c r="R1627" s="24" t="n"/>
      <c r="S1627" s="24" t="n"/>
      <c r="Y1627" s="24" t="n"/>
    </row>
    <row r="1628">
      <c r="O1628" s="23" t="n"/>
      <c r="R1628" s="24" t="n"/>
      <c r="S1628" s="24" t="n"/>
      <c r="Y1628" s="24" t="n"/>
    </row>
    <row r="1629">
      <c r="O1629" s="23" t="n"/>
      <c r="R1629" s="24" t="n"/>
      <c r="S1629" s="24" t="n"/>
      <c r="Y1629" s="24" t="n"/>
    </row>
    <row r="1630">
      <c r="O1630" s="23" t="n"/>
      <c r="R1630" s="24" t="n"/>
      <c r="S1630" s="24" t="n"/>
      <c r="Y1630" s="24" t="n"/>
    </row>
    <row r="1631">
      <c r="O1631" s="23" t="n"/>
      <c r="R1631" s="24" t="n"/>
      <c r="S1631" s="24" t="n"/>
      <c r="Y1631" s="24" t="n"/>
    </row>
    <row r="1632">
      <c r="O1632" s="23" t="n"/>
      <c r="R1632" s="24" t="n"/>
      <c r="S1632" s="24" t="n"/>
      <c r="Y1632" s="24" t="n"/>
    </row>
    <row r="1633">
      <c r="O1633" s="23" t="n"/>
      <c r="R1633" s="24" t="n"/>
      <c r="S1633" s="24" t="n"/>
      <c r="Y1633" s="24" t="n"/>
    </row>
    <row r="1634">
      <c r="O1634" s="23" t="n"/>
      <c r="R1634" s="24" t="n"/>
      <c r="S1634" s="24" t="n"/>
      <c r="Y1634" s="24" t="n"/>
    </row>
    <row r="1635">
      <c r="O1635" s="23" t="n"/>
      <c r="R1635" s="24" t="n"/>
      <c r="S1635" s="24" t="n"/>
      <c r="Y1635" s="24" t="n"/>
    </row>
    <row r="1636">
      <c r="O1636" s="23" t="n"/>
      <c r="R1636" s="24" t="n"/>
      <c r="S1636" s="24" t="n"/>
      <c r="Y1636" s="24" t="n"/>
    </row>
    <row r="1637">
      <c r="O1637" s="23" t="n"/>
      <c r="R1637" s="24" t="n"/>
      <c r="S1637" s="24" t="n"/>
      <c r="Y1637" s="24" t="n"/>
    </row>
    <row r="1638">
      <c r="O1638" s="23" t="n"/>
      <c r="R1638" s="24" t="n"/>
      <c r="S1638" s="24" t="n"/>
      <c r="Y1638" s="24" t="n"/>
    </row>
    <row r="1639">
      <c r="O1639" s="23" t="n"/>
      <c r="R1639" s="24" t="n"/>
      <c r="S1639" s="24" t="n"/>
      <c r="Y1639" s="24" t="n"/>
    </row>
    <row r="1640">
      <c r="O1640" s="23" t="n"/>
      <c r="R1640" s="24" t="n"/>
      <c r="S1640" s="24" t="n"/>
      <c r="Y1640" s="24" t="n"/>
    </row>
    <row r="1641">
      <c r="O1641" s="23" t="n"/>
      <c r="R1641" s="24" t="n"/>
      <c r="S1641" s="24" t="n"/>
      <c r="Y1641" s="24" t="n"/>
    </row>
    <row r="1642">
      <c r="O1642" s="23" t="n"/>
      <c r="R1642" s="24" t="n"/>
      <c r="S1642" s="24" t="n"/>
      <c r="Y1642" s="24" t="n"/>
    </row>
    <row r="1643">
      <c r="O1643" s="23" t="n"/>
      <c r="R1643" s="24" t="n"/>
      <c r="S1643" s="24" t="n"/>
      <c r="Y1643" s="24" t="n"/>
    </row>
    <row r="1644">
      <c r="O1644" s="23" t="n"/>
      <c r="R1644" s="24" t="n"/>
      <c r="S1644" s="24" t="n"/>
      <c r="Y1644" s="24" t="n"/>
    </row>
    <row r="1645">
      <c r="O1645" s="23" t="n"/>
      <c r="R1645" s="24" t="n"/>
      <c r="S1645" s="24" t="n"/>
      <c r="Y1645" s="24" t="n"/>
    </row>
    <row r="1646">
      <c r="O1646" s="23" t="n"/>
      <c r="R1646" s="24" t="n"/>
      <c r="S1646" s="24" t="n"/>
      <c r="Y1646" s="24" t="n"/>
    </row>
    <row r="1647">
      <c r="O1647" s="23" t="n"/>
      <c r="R1647" s="24" t="n"/>
      <c r="S1647" s="24" t="n"/>
      <c r="Y1647" s="24" t="n"/>
    </row>
    <row r="1648">
      <c r="O1648" s="23" t="n"/>
      <c r="R1648" s="24" t="n"/>
      <c r="S1648" s="24" t="n"/>
      <c r="Y1648" s="24" t="n"/>
    </row>
    <row r="1649">
      <c r="O1649" s="23" t="n"/>
      <c r="R1649" s="24" t="n"/>
      <c r="S1649" s="24" t="n"/>
      <c r="Y1649" s="24" t="n"/>
    </row>
    <row r="1650">
      <c r="O1650" s="23" t="n"/>
      <c r="R1650" s="24" t="n"/>
      <c r="S1650" s="24" t="n"/>
      <c r="Y1650" s="24" t="n"/>
    </row>
    <row r="1651">
      <c r="O1651" s="23" t="n"/>
      <c r="R1651" s="24" t="n"/>
      <c r="S1651" s="24" t="n"/>
      <c r="Y1651" s="24" t="n"/>
    </row>
    <row r="1652">
      <c r="O1652" s="23" t="n"/>
      <c r="R1652" s="24" t="n"/>
      <c r="S1652" s="24" t="n"/>
      <c r="Y1652" s="24" t="n"/>
    </row>
    <row r="1653">
      <c r="O1653" s="23" t="n"/>
      <c r="R1653" s="24" t="n"/>
      <c r="S1653" s="24" t="n"/>
      <c r="Y1653" s="24" t="n"/>
    </row>
    <row r="1654">
      <c r="O1654" s="23" t="n"/>
      <c r="R1654" s="24" t="n"/>
      <c r="S1654" s="24" t="n"/>
      <c r="Y1654" s="24" t="n"/>
    </row>
    <row r="1655">
      <c r="O1655" s="23" t="n"/>
      <c r="R1655" s="24" t="n"/>
      <c r="S1655" s="24" t="n"/>
      <c r="Y1655" s="24" t="n"/>
    </row>
    <row r="1656">
      <c r="O1656" s="23" t="n"/>
      <c r="R1656" s="24" t="n"/>
      <c r="S1656" s="24" t="n"/>
      <c r="Y1656" s="24" t="n"/>
    </row>
    <row r="1657">
      <c r="O1657" s="23" t="n"/>
      <c r="R1657" s="24" t="n"/>
      <c r="S1657" s="24" t="n"/>
      <c r="Y1657" s="24" t="n"/>
    </row>
    <row r="1658">
      <c r="O1658" s="23" t="n"/>
      <c r="R1658" s="24" t="n"/>
      <c r="S1658" s="24" t="n"/>
      <c r="Y1658" s="24" t="n"/>
    </row>
    <row r="1659">
      <c r="O1659" s="23" t="n"/>
      <c r="R1659" s="24" t="n"/>
      <c r="S1659" s="24" t="n"/>
      <c r="Y1659" s="24" t="n"/>
    </row>
    <row r="1660">
      <c r="O1660" s="23" t="n"/>
      <c r="R1660" s="24" t="n"/>
      <c r="S1660" s="24" t="n"/>
      <c r="Y1660" s="24" t="n"/>
    </row>
    <row r="1661">
      <c r="O1661" s="23" t="n"/>
      <c r="R1661" s="24" t="n"/>
      <c r="S1661" s="24" t="n"/>
      <c r="Y1661" s="24" t="n"/>
    </row>
    <row r="1662">
      <c r="O1662" s="23" t="n"/>
      <c r="R1662" s="24" t="n"/>
      <c r="S1662" s="24" t="n"/>
      <c r="Y1662" s="24" t="n"/>
    </row>
    <row r="1663">
      <c r="O1663" s="23" t="n"/>
      <c r="R1663" s="24" t="n"/>
      <c r="S1663" s="24" t="n"/>
      <c r="Y1663" s="24" t="n"/>
    </row>
    <row r="1664">
      <c r="O1664" s="23" t="n"/>
      <c r="R1664" s="24" t="n"/>
      <c r="S1664" s="24" t="n"/>
      <c r="Y1664" s="24" t="n"/>
    </row>
    <row r="1665">
      <c r="O1665" s="23" t="n"/>
      <c r="R1665" s="24" t="n"/>
      <c r="S1665" s="24" t="n"/>
      <c r="Y1665" s="24" t="n"/>
    </row>
    <row r="1666">
      <c r="O1666" s="23" t="n"/>
      <c r="R1666" s="24" t="n"/>
      <c r="S1666" s="24" t="n"/>
      <c r="Y1666" s="24" t="n"/>
    </row>
    <row r="1667">
      <c r="O1667" s="23" t="n"/>
      <c r="R1667" s="24" t="n"/>
      <c r="S1667" s="24" t="n"/>
      <c r="Y1667" s="24" t="n"/>
    </row>
    <row r="1668">
      <c r="O1668" s="23" t="n"/>
      <c r="R1668" s="24" t="n"/>
      <c r="S1668" s="24" t="n"/>
      <c r="Y1668" s="24" t="n"/>
    </row>
    <row r="1669">
      <c r="O1669" s="23" t="n"/>
      <c r="R1669" s="24" t="n"/>
      <c r="S1669" s="24" t="n"/>
      <c r="Y1669" s="24" t="n"/>
    </row>
    <row r="1670">
      <c r="O1670" s="23" t="n"/>
      <c r="R1670" s="24" t="n"/>
      <c r="S1670" s="24" t="n"/>
      <c r="Y1670" s="24" t="n"/>
    </row>
    <row r="1671">
      <c r="O1671" s="23" t="n"/>
      <c r="R1671" s="24" t="n"/>
      <c r="S1671" s="24" t="n"/>
      <c r="Y1671" s="24" t="n"/>
    </row>
    <row r="1672">
      <c r="O1672" s="23" t="n"/>
      <c r="R1672" s="24" t="n"/>
      <c r="S1672" s="24" t="n"/>
      <c r="Y1672" s="24" t="n"/>
    </row>
    <row r="1673">
      <c r="O1673" s="23" t="n"/>
      <c r="R1673" s="24" t="n"/>
      <c r="S1673" s="24" t="n"/>
      <c r="Y1673" s="24" t="n"/>
    </row>
    <row r="1674">
      <c r="O1674" s="23" t="n"/>
      <c r="R1674" s="24" t="n"/>
      <c r="S1674" s="24" t="n"/>
      <c r="Y1674" s="24" t="n"/>
    </row>
    <row r="1675">
      <c r="O1675" s="23" t="n"/>
      <c r="R1675" s="24" t="n"/>
      <c r="S1675" s="24" t="n"/>
      <c r="Y1675" s="24" t="n"/>
    </row>
    <row r="1676">
      <c r="O1676" s="23" t="n"/>
      <c r="R1676" s="24" t="n"/>
      <c r="S1676" s="24" t="n"/>
      <c r="Y1676" s="24" t="n"/>
    </row>
    <row r="1677">
      <c r="O1677" s="23" t="n"/>
      <c r="R1677" s="24" t="n"/>
      <c r="S1677" s="24" t="n"/>
      <c r="Y1677" s="24" t="n"/>
    </row>
    <row r="1678">
      <c r="O1678" s="23" t="n"/>
      <c r="R1678" s="24" t="n"/>
      <c r="S1678" s="24" t="n"/>
      <c r="Y1678" s="24" t="n"/>
    </row>
    <row r="1679">
      <c r="O1679" s="23" t="n"/>
      <c r="R1679" s="24" t="n"/>
      <c r="S1679" s="24" t="n"/>
      <c r="Y1679" s="24" t="n"/>
    </row>
    <row r="1680">
      <c r="O1680" s="23" t="n"/>
      <c r="R1680" s="24" t="n"/>
      <c r="S1680" s="24" t="n"/>
      <c r="Y1680" s="24" t="n"/>
    </row>
    <row r="1681">
      <c r="O1681" s="23" t="n"/>
      <c r="R1681" s="24" t="n"/>
      <c r="S1681" s="24" t="n"/>
      <c r="Y1681" s="24" t="n"/>
    </row>
    <row r="1682">
      <c r="O1682" s="23" t="n"/>
      <c r="R1682" s="24" t="n"/>
      <c r="S1682" s="24" t="n"/>
      <c r="Y1682" s="24" t="n"/>
    </row>
    <row r="1683">
      <c r="O1683" s="23" t="n"/>
      <c r="R1683" s="24" t="n"/>
      <c r="S1683" s="24" t="n"/>
      <c r="Y1683" s="24" t="n"/>
    </row>
    <row r="1684">
      <c r="O1684" s="23" t="n"/>
      <c r="R1684" s="24" t="n"/>
      <c r="S1684" s="24" t="n"/>
      <c r="Y1684" s="24" t="n"/>
    </row>
    <row r="1685">
      <c r="O1685" s="23" t="n"/>
      <c r="R1685" s="24" t="n"/>
      <c r="S1685" s="24" t="n"/>
      <c r="Y1685" s="24" t="n"/>
    </row>
    <row r="1686">
      <c r="O1686" s="23" t="n"/>
      <c r="R1686" s="24" t="n"/>
      <c r="S1686" s="24" t="n"/>
      <c r="Y1686" s="24" t="n"/>
    </row>
    <row r="1687">
      <c r="O1687" s="23" t="n"/>
      <c r="R1687" s="24" t="n"/>
      <c r="S1687" s="24" t="n"/>
      <c r="Y1687" s="24" t="n"/>
    </row>
    <row r="1688">
      <c r="O1688" s="23" t="n"/>
      <c r="R1688" s="24" t="n"/>
      <c r="S1688" s="24" t="n"/>
      <c r="Y1688" s="24" t="n"/>
    </row>
    <row r="1689">
      <c r="O1689" s="23" t="n"/>
      <c r="R1689" s="24" t="n"/>
      <c r="S1689" s="24" t="n"/>
      <c r="Y1689" s="24" t="n"/>
    </row>
    <row r="1690">
      <c r="O1690" s="23" t="n"/>
      <c r="R1690" s="24" t="n"/>
      <c r="S1690" s="24" t="n"/>
      <c r="Y1690" s="24" t="n"/>
    </row>
    <row r="1691">
      <c r="O1691" s="23" t="n"/>
      <c r="R1691" s="24" t="n"/>
      <c r="S1691" s="24" t="n"/>
      <c r="Y1691" s="24" t="n"/>
    </row>
    <row r="1692">
      <c r="O1692" s="23" t="n"/>
      <c r="R1692" s="24" t="n"/>
      <c r="S1692" s="24" t="n"/>
      <c r="Y1692" s="24" t="n"/>
    </row>
    <row r="1693">
      <c r="O1693" s="23" t="n"/>
      <c r="R1693" s="24" t="n"/>
      <c r="S1693" s="24" t="n"/>
      <c r="Y1693" s="24" t="n"/>
    </row>
    <row r="1694">
      <c r="O1694" s="23" t="n"/>
      <c r="R1694" s="24" t="n"/>
      <c r="S1694" s="24" t="n"/>
      <c r="Y1694" s="24" t="n"/>
    </row>
    <row r="1695">
      <c r="O1695" s="23" t="n"/>
      <c r="R1695" s="24" t="n"/>
      <c r="S1695" s="24" t="n"/>
      <c r="Y1695" s="24" t="n"/>
    </row>
    <row r="1696">
      <c r="O1696" s="23" t="n"/>
      <c r="R1696" s="24" t="n"/>
      <c r="S1696" s="24" t="n"/>
      <c r="Y1696" s="24" t="n"/>
    </row>
    <row r="1697">
      <c r="O1697" s="23" t="n"/>
      <c r="R1697" s="24" t="n"/>
      <c r="S1697" s="24" t="n"/>
      <c r="Y1697" s="24" t="n"/>
    </row>
    <row r="1698">
      <c r="O1698" s="23" t="n"/>
      <c r="R1698" s="24" t="n"/>
      <c r="S1698" s="24" t="n"/>
      <c r="Y1698" s="24" t="n"/>
    </row>
    <row r="1699">
      <c r="O1699" s="23" t="n"/>
      <c r="R1699" s="24" t="n"/>
      <c r="S1699" s="24" t="n"/>
      <c r="Y1699" s="24" t="n"/>
    </row>
    <row r="1700">
      <c r="O1700" s="23" t="n"/>
      <c r="R1700" s="24" t="n"/>
      <c r="S1700" s="24" t="n"/>
      <c r="Y1700" s="24" t="n"/>
    </row>
    <row r="1701">
      <c r="O1701" s="23" t="n"/>
      <c r="R1701" s="24" t="n"/>
      <c r="S1701" s="24" t="n"/>
      <c r="Y1701" s="24" t="n"/>
    </row>
    <row r="1702">
      <c r="O1702" s="23" t="n"/>
      <c r="R1702" s="24" t="n"/>
      <c r="S1702" s="24" t="n"/>
      <c r="Y1702" s="24" t="n"/>
    </row>
    <row r="1703">
      <c r="O1703" s="23" t="n"/>
      <c r="R1703" s="24" t="n"/>
      <c r="S1703" s="24" t="n"/>
      <c r="Y1703" s="24" t="n"/>
    </row>
    <row r="1704">
      <c r="O1704" s="23" t="n"/>
      <c r="R1704" s="24" t="n"/>
      <c r="S1704" s="24" t="n"/>
      <c r="Y1704" s="24" t="n"/>
    </row>
    <row r="1705">
      <c r="O1705" s="23" t="n"/>
      <c r="R1705" s="24" t="n"/>
      <c r="S1705" s="24" t="n"/>
      <c r="Y1705" s="24" t="n"/>
    </row>
    <row r="1706">
      <c r="O1706" s="23" t="n"/>
      <c r="R1706" s="24" t="n"/>
      <c r="S1706" s="24" t="n"/>
      <c r="Y1706" s="24" t="n"/>
    </row>
    <row r="1707">
      <c r="O1707" s="23" t="n"/>
      <c r="R1707" s="24" t="n"/>
      <c r="S1707" s="24" t="n"/>
      <c r="Y1707" s="24" t="n"/>
    </row>
    <row r="1708">
      <c r="O1708" s="23" t="n"/>
      <c r="R1708" s="24" t="n"/>
      <c r="S1708" s="24" t="n"/>
      <c r="Y1708" s="24" t="n"/>
    </row>
    <row r="1709">
      <c r="O1709" s="23" t="n"/>
      <c r="R1709" s="24" t="n"/>
      <c r="S1709" s="24" t="n"/>
      <c r="Y1709" s="24" t="n"/>
    </row>
    <row r="1710">
      <c r="O1710" s="23" t="n"/>
      <c r="R1710" s="24" t="n"/>
      <c r="S1710" s="24" t="n"/>
      <c r="Y1710" s="24" t="n"/>
    </row>
    <row r="1711">
      <c r="O1711" s="23" t="n"/>
      <c r="R1711" s="24" t="n"/>
      <c r="S1711" s="24" t="n"/>
      <c r="Y1711" s="24" t="n"/>
    </row>
    <row r="1712">
      <c r="O1712" s="23" t="n"/>
      <c r="R1712" s="24" t="n"/>
      <c r="S1712" s="24" t="n"/>
      <c r="Y1712" s="24" t="n"/>
    </row>
    <row r="1713">
      <c r="O1713" s="23" t="n"/>
      <c r="R1713" s="24" t="n"/>
      <c r="S1713" s="24" t="n"/>
      <c r="Y1713" s="24" t="n"/>
    </row>
    <row r="1714">
      <c r="O1714" s="23" t="n"/>
      <c r="R1714" s="24" t="n"/>
      <c r="S1714" s="24" t="n"/>
      <c r="Y1714" s="24" t="n"/>
    </row>
    <row r="1715">
      <c r="O1715" s="23" t="n"/>
      <c r="R1715" s="24" t="n"/>
      <c r="S1715" s="24" t="n"/>
      <c r="Y1715" s="24" t="n"/>
    </row>
    <row r="1716">
      <c r="O1716" s="23" t="n"/>
      <c r="R1716" s="24" t="n"/>
      <c r="S1716" s="24" t="n"/>
      <c r="Y1716" s="24" t="n"/>
    </row>
    <row r="1717">
      <c r="O1717" s="23" t="n"/>
      <c r="R1717" s="24" t="n"/>
      <c r="S1717" s="24" t="n"/>
      <c r="Y1717" s="24" t="n"/>
    </row>
    <row r="1718">
      <c r="O1718" s="23" t="n"/>
      <c r="R1718" s="24" t="n"/>
      <c r="S1718" s="24" t="n"/>
      <c r="Y1718" s="24" t="n"/>
    </row>
    <row r="1719">
      <c r="O1719" s="23" t="n"/>
      <c r="R1719" s="24" t="n"/>
      <c r="S1719" s="24" t="n"/>
      <c r="Y1719" s="24" t="n"/>
    </row>
    <row r="1720">
      <c r="O1720" s="23" t="n"/>
      <c r="R1720" s="24" t="n"/>
      <c r="S1720" s="24" t="n"/>
      <c r="Y1720" s="24" t="n"/>
    </row>
    <row r="1721">
      <c r="O1721" s="23" t="n"/>
      <c r="R1721" s="24" t="n"/>
      <c r="S1721" s="24" t="n"/>
      <c r="Y1721" s="24" t="n"/>
    </row>
    <row r="1722">
      <c r="O1722" s="23" t="n"/>
      <c r="R1722" s="24" t="n"/>
      <c r="S1722" s="24" t="n"/>
      <c r="Y1722" s="24" t="n"/>
    </row>
    <row r="1723">
      <c r="O1723" s="23" t="n"/>
      <c r="R1723" s="24" t="n"/>
      <c r="S1723" s="24" t="n"/>
      <c r="Y1723" s="24" t="n"/>
    </row>
    <row r="1724">
      <c r="O1724" s="23" t="n"/>
      <c r="R1724" s="24" t="n"/>
      <c r="S1724" s="24" t="n"/>
      <c r="Y1724" s="24" t="n"/>
    </row>
    <row r="1725">
      <c r="O1725" s="23" t="n"/>
      <c r="R1725" s="24" t="n"/>
      <c r="S1725" s="24" t="n"/>
      <c r="Y1725" s="24" t="n"/>
    </row>
    <row r="1726">
      <c r="O1726" s="23" t="n"/>
      <c r="R1726" s="24" t="n"/>
      <c r="S1726" s="24" t="n"/>
      <c r="Y1726" s="24" t="n"/>
    </row>
    <row r="1727">
      <c r="O1727" s="23" t="n"/>
      <c r="R1727" s="24" t="n"/>
      <c r="S1727" s="24" t="n"/>
      <c r="Y1727" s="24" t="n"/>
    </row>
    <row r="1728">
      <c r="O1728" s="23" t="n"/>
      <c r="R1728" s="24" t="n"/>
      <c r="S1728" s="24" t="n"/>
      <c r="Y1728" s="24" t="n"/>
    </row>
    <row r="1729">
      <c r="O1729" s="23" t="n"/>
      <c r="R1729" s="24" t="n"/>
      <c r="S1729" s="24" t="n"/>
      <c r="Y1729" s="24" t="n"/>
    </row>
    <row r="1730">
      <c r="O1730" s="23" t="n"/>
      <c r="R1730" s="24" t="n"/>
      <c r="S1730" s="24" t="n"/>
      <c r="Y1730" s="24" t="n"/>
    </row>
    <row r="1731">
      <c r="O1731" s="23" t="n"/>
      <c r="R1731" s="24" t="n"/>
      <c r="S1731" s="24" t="n"/>
      <c r="Y1731" s="24" t="n"/>
    </row>
    <row r="1732">
      <c r="O1732" s="23" t="n"/>
      <c r="R1732" s="24" t="n"/>
      <c r="S1732" s="24" t="n"/>
      <c r="Y1732" s="24" t="n"/>
    </row>
    <row r="1733">
      <c r="O1733" s="23" t="n"/>
      <c r="R1733" s="24" t="n"/>
      <c r="S1733" s="24" t="n"/>
      <c r="Y1733" s="24" t="n"/>
    </row>
    <row r="1734">
      <c r="O1734" s="23" t="n"/>
      <c r="R1734" s="24" t="n"/>
      <c r="S1734" s="24" t="n"/>
      <c r="Y1734" s="24" t="n"/>
    </row>
    <row r="1735">
      <c r="O1735" s="23" t="n"/>
      <c r="R1735" s="24" t="n"/>
      <c r="S1735" s="24" t="n"/>
      <c r="Y1735" s="24" t="n"/>
    </row>
    <row r="1736">
      <c r="O1736" s="23" t="n"/>
      <c r="R1736" s="24" t="n"/>
      <c r="S1736" s="24" t="n"/>
      <c r="Y1736" s="24" t="n"/>
    </row>
    <row r="1737">
      <c r="O1737" s="23" t="n"/>
      <c r="R1737" s="24" t="n"/>
      <c r="S1737" s="24" t="n"/>
      <c r="Y1737" s="24" t="n"/>
    </row>
    <row r="1738">
      <c r="O1738" s="23" t="n"/>
      <c r="R1738" s="24" t="n"/>
      <c r="S1738" s="24" t="n"/>
      <c r="Y1738" s="24" t="n"/>
    </row>
    <row r="1739">
      <c r="O1739" s="23" t="n"/>
      <c r="R1739" s="24" t="n"/>
      <c r="S1739" s="24" t="n"/>
      <c r="Y1739" s="24" t="n"/>
    </row>
    <row r="1740">
      <c r="O1740" s="23" t="n"/>
      <c r="R1740" s="24" t="n"/>
      <c r="S1740" s="24" t="n"/>
      <c r="Y1740" s="24" t="n"/>
    </row>
    <row r="1741">
      <c r="O1741" s="23" t="n"/>
      <c r="R1741" s="24" t="n"/>
      <c r="S1741" s="24" t="n"/>
      <c r="Y1741" s="24" t="n"/>
    </row>
    <row r="1742">
      <c r="O1742" s="23" t="n"/>
      <c r="R1742" s="24" t="n"/>
      <c r="S1742" s="24" t="n"/>
      <c r="Y1742" s="24" t="n"/>
    </row>
    <row r="1743">
      <c r="O1743" s="23" t="n"/>
      <c r="R1743" s="24" t="n"/>
      <c r="S1743" s="24" t="n"/>
      <c r="Y1743" s="24" t="n"/>
    </row>
    <row r="1744">
      <c r="O1744" s="23" t="n"/>
      <c r="R1744" s="24" t="n"/>
      <c r="S1744" s="24" t="n"/>
      <c r="Y1744" s="24" t="n"/>
    </row>
    <row r="1745">
      <c r="O1745" s="23" t="n"/>
      <c r="R1745" s="24" t="n"/>
      <c r="S1745" s="24" t="n"/>
      <c r="Y1745" s="24" t="n"/>
    </row>
    <row r="1746">
      <c r="O1746" s="23" t="n"/>
      <c r="R1746" s="24" t="n"/>
      <c r="S1746" s="24" t="n"/>
      <c r="Y1746" s="24" t="n"/>
    </row>
    <row r="1747">
      <c r="O1747" s="23" t="n"/>
      <c r="R1747" s="24" t="n"/>
      <c r="S1747" s="24" t="n"/>
      <c r="Y1747" s="24" t="n"/>
    </row>
    <row r="1748">
      <c r="O1748" s="23" t="n"/>
      <c r="R1748" s="24" t="n"/>
      <c r="S1748" s="24" t="n"/>
      <c r="Y1748" s="24" t="n"/>
    </row>
    <row r="1749">
      <c r="O1749" s="23" t="n"/>
      <c r="R1749" s="24" t="n"/>
      <c r="S1749" s="24" t="n"/>
      <c r="Y1749" s="24" t="n"/>
    </row>
    <row r="1750">
      <c r="O1750" s="23" t="n"/>
      <c r="R1750" s="24" t="n"/>
      <c r="S1750" s="24" t="n"/>
      <c r="Y1750" s="24" t="n"/>
    </row>
    <row r="1751">
      <c r="O1751" s="23" t="n"/>
      <c r="R1751" s="24" t="n"/>
      <c r="S1751" s="24" t="n"/>
      <c r="Y1751" s="24" t="n"/>
    </row>
    <row r="1752">
      <c r="O1752" s="23" t="n"/>
      <c r="R1752" s="24" t="n"/>
      <c r="S1752" s="24" t="n"/>
      <c r="Y1752" s="24" t="n"/>
    </row>
    <row r="1753">
      <c r="O1753" s="23" t="n"/>
      <c r="R1753" s="24" t="n"/>
      <c r="S1753" s="24" t="n"/>
      <c r="Y1753" s="24" t="n"/>
    </row>
    <row r="1754">
      <c r="O1754" s="23" t="n"/>
      <c r="R1754" s="24" t="n"/>
      <c r="S1754" s="24" t="n"/>
      <c r="Y1754" s="24" t="n"/>
    </row>
    <row r="1755">
      <c r="O1755" s="23" t="n"/>
      <c r="R1755" s="24" t="n"/>
      <c r="S1755" s="24" t="n"/>
      <c r="Y1755" s="24" t="n"/>
    </row>
    <row r="1756">
      <c r="O1756" s="23" t="n"/>
      <c r="R1756" s="24" t="n"/>
      <c r="S1756" s="24" t="n"/>
      <c r="Y1756" s="24" t="n"/>
    </row>
    <row r="1757">
      <c r="O1757" s="23" t="n"/>
      <c r="R1757" s="24" t="n"/>
      <c r="S1757" s="24" t="n"/>
      <c r="Y1757" s="24" t="n"/>
    </row>
    <row r="1758">
      <c r="O1758" s="23" t="n"/>
      <c r="R1758" s="24" t="n"/>
      <c r="S1758" s="24" t="n"/>
      <c r="Y1758" s="24" t="n"/>
    </row>
    <row r="1759">
      <c r="O1759" s="23" t="n"/>
      <c r="R1759" s="24" t="n"/>
      <c r="S1759" s="24" t="n"/>
      <c r="Y1759" s="24" t="n"/>
    </row>
    <row r="1760">
      <c r="O1760" s="23" t="n"/>
      <c r="R1760" s="24" t="n"/>
      <c r="S1760" s="24" t="n"/>
      <c r="Y1760" s="24" t="n"/>
    </row>
    <row r="1761">
      <c r="O1761" s="23" t="n"/>
      <c r="R1761" s="24" t="n"/>
      <c r="S1761" s="24" t="n"/>
      <c r="Y1761" s="24" t="n"/>
    </row>
    <row r="1762">
      <c r="O1762" s="23" t="n"/>
      <c r="R1762" s="24" t="n"/>
      <c r="S1762" s="24" t="n"/>
      <c r="Y1762" s="24" t="n"/>
    </row>
    <row r="1763">
      <c r="O1763" s="23" t="n"/>
      <c r="R1763" s="24" t="n"/>
      <c r="S1763" s="24" t="n"/>
      <c r="Y1763" s="24" t="n"/>
    </row>
    <row r="1764">
      <c r="O1764" s="23" t="n"/>
      <c r="R1764" s="24" t="n"/>
      <c r="S1764" s="24" t="n"/>
      <c r="Y1764" s="24" t="n"/>
    </row>
    <row r="1765">
      <c r="O1765" s="23" t="n"/>
      <c r="R1765" s="24" t="n"/>
      <c r="S1765" s="24" t="n"/>
      <c r="Y1765" s="24" t="n"/>
    </row>
    <row r="1766">
      <c r="O1766" s="23" t="n"/>
      <c r="R1766" s="24" t="n"/>
      <c r="S1766" s="24" t="n"/>
      <c r="Y1766" s="24" t="n"/>
    </row>
    <row r="1767">
      <c r="O1767" s="23" t="n"/>
      <c r="R1767" s="24" t="n"/>
      <c r="S1767" s="24" t="n"/>
      <c r="Y1767" s="24" t="n"/>
    </row>
    <row r="1768">
      <c r="O1768" s="23" t="n"/>
      <c r="R1768" s="24" t="n"/>
      <c r="S1768" s="24" t="n"/>
      <c r="Y1768" s="24" t="n"/>
    </row>
    <row r="1769">
      <c r="O1769" s="23" t="n"/>
      <c r="R1769" s="24" t="n"/>
      <c r="S1769" s="24" t="n"/>
      <c r="Y1769" s="24" t="n"/>
    </row>
    <row r="1770">
      <c r="O1770" s="23" t="n"/>
      <c r="R1770" s="24" t="n"/>
      <c r="S1770" s="24" t="n"/>
      <c r="Y1770" s="24" t="n"/>
    </row>
    <row r="1771">
      <c r="O1771" s="23" t="n"/>
      <c r="R1771" s="24" t="n"/>
      <c r="S1771" s="24" t="n"/>
      <c r="Y1771" s="24" t="n"/>
    </row>
    <row r="1772">
      <c r="O1772" s="23" t="n"/>
      <c r="R1772" s="24" t="n"/>
      <c r="S1772" s="24" t="n"/>
      <c r="Y1772" s="24" t="n"/>
    </row>
    <row r="1773">
      <c r="O1773" s="23" t="n"/>
      <c r="R1773" s="24" t="n"/>
      <c r="S1773" s="24" t="n"/>
      <c r="Y1773" s="24" t="n"/>
    </row>
    <row r="1774">
      <c r="O1774" s="23" t="n"/>
      <c r="R1774" s="24" t="n"/>
      <c r="S1774" s="24" t="n"/>
      <c r="Y1774" s="24" t="n"/>
    </row>
    <row r="1775">
      <c r="O1775" s="23" t="n"/>
      <c r="R1775" s="24" t="n"/>
      <c r="S1775" s="24" t="n"/>
      <c r="Y1775" s="24" t="n"/>
    </row>
    <row r="1776">
      <c r="O1776" s="23" t="n"/>
      <c r="R1776" s="24" t="n"/>
      <c r="S1776" s="24" t="n"/>
      <c r="Y1776" s="24" t="n"/>
    </row>
    <row r="1777">
      <c r="O1777" s="23" t="n"/>
      <c r="R1777" s="24" t="n"/>
      <c r="S1777" s="24" t="n"/>
      <c r="Y1777" s="24" t="n"/>
    </row>
    <row r="1778">
      <c r="O1778" s="23" t="n"/>
      <c r="R1778" s="24" t="n"/>
      <c r="S1778" s="24" t="n"/>
      <c r="Y1778" s="24" t="n"/>
    </row>
    <row r="1779">
      <c r="O1779" s="23" t="n"/>
      <c r="R1779" s="24" t="n"/>
      <c r="S1779" s="24" t="n"/>
      <c r="Y1779" s="24" t="n"/>
    </row>
    <row r="1780">
      <c r="O1780" s="23" t="n"/>
      <c r="R1780" s="24" t="n"/>
      <c r="S1780" s="24" t="n"/>
      <c r="Y1780" s="24" t="n"/>
    </row>
    <row r="1781">
      <c r="O1781" s="23" t="n"/>
      <c r="R1781" s="24" t="n"/>
      <c r="S1781" s="24" t="n"/>
      <c r="Y1781" s="24" t="n"/>
    </row>
    <row r="1782">
      <c r="O1782" s="23" t="n"/>
      <c r="R1782" s="24" t="n"/>
      <c r="S1782" s="24" t="n"/>
      <c r="Y1782" s="24" t="n"/>
    </row>
    <row r="1783">
      <c r="O1783" s="23" t="n"/>
      <c r="R1783" s="24" t="n"/>
      <c r="S1783" s="24" t="n"/>
      <c r="Y1783" s="24" t="n"/>
    </row>
    <row r="1784">
      <c r="O1784" s="23" t="n"/>
      <c r="R1784" s="24" t="n"/>
      <c r="S1784" s="24" t="n"/>
      <c r="Y1784" s="24" t="n"/>
    </row>
    <row r="1785">
      <c r="O1785" s="23" t="n"/>
      <c r="R1785" s="24" t="n"/>
      <c r="S1785" s="24" t="n"/>
      <c r="Y1785" s="24" t="n"/>
    </row>
    <row r="1786">
      <c r="O1786" s="23" t="n"/>
      <c r="R1786" s="24" t="n"/>
      <c r="S1786" s="24" t="n"/>
      <c r="Y1786" s="24" t="n"/>
    </row>
    <row r="1787">
      <c r="O1787" s="23" t="n"/>
      <c r="R1787" s="24" t="n"/>
      <c r="S1787" s="24" t="n"/>
      <c r="Y1787" s="24" t="n"/>
    </row>
    <row r="1788">
      <c r="O1788" s="23" t="n"/>
      <c r="R1788" s="24" t="n"/>
      <c r="S1788" s="24" t="n"/>
      <c r="Y1788" s="24" t="n"/>
    </row>
    <row r="1789">
      <c r="O1789" s="23" t="n"/>
      <c r="R1789" s="24" t="n"/>
      <c r="S1789" s="24" t="n"/>
      <c r="Y1789" s="24" t="n"/>
    </row>
    <row r="1790">
      <c r="O1790" s="23" t="n"/>
      <c r="R1790" s="24" t="n"/>
      <c r="S1790" s="24" t="n"/>
      <c r="Y1790" s="24" t="n"/>
    </row>
    <row r="1791">
      <c r="O1791" s="23" t="n"/>
      <c r="R1791" s="24" t="n"/>
      <c r="S1791" s="24" t="n"/>
      <c r="Y1791" s="24" t="n"/>
    </row>
    <row r="1792">
      <c r="O1792" s="23" t="n"/>
      <c r="R1792" s="24" t="n"/>
      <c r="S1792" s="24" t="n"/>
      <c r="Y1792" s="24" t="n"/>
    </row>
    <row r="1793">
      <c r="O1793" s="23" t="n"/>
      <c r="R1793" s="24" t="n"/>
      <c r="S1793" s="24" t="n"/>
      <c r="Y1793" s="24" t="n"/>
    </row>
    <row r="1794">
      <c r="O1794" s="23" t="n"/>
      <c r="R1794" s="24" t="n"/>
      <c r="S1794" s="24" t="n"/>
      <c r="Y1794" s="24" t="n"/>
    </row>
    <row r="1795">
      <c r="O1795" s="23" t="n"/>
      <c r="R1795" s="24" t="n"/>
      <c r="S1795" s="24" t="n"/>
      <c r="Y1795" s="24" t="n"/>
    </row>
    <row r="1796">
      <c r="O1796" s="23" t="n"/>
      <c r="R1796" s="24" t="n"/>
      <c r="S1796" s="24" t="n"/>
      <c r="Y1796" s="24" t="n"/>
    </row>
    <row r="1797">
      <c r="O1797" s="23" t="n"/>
      <c r="R1797" s="24" t="n"/>
      <c r="S1797" s="24" t="n"/>
      <c r="Y1797" s="24" t="n"/>
    </row>
    <row r="1798">
      <c r="O1798" s="23" t="n"/>
      <c r="R1798" s="24" t="n"/>
      <c r="S1798" s="24" t="n"/>
      <c r="Y1798" s="24" t="n"/>
    </row>
    <row r="1799">
      <c r="O1799" s="23" t="n"/>
      <c r="R1799" s="24" t="n"/>
      <c r="S1799" s="24" t="n"/>
      <c r="Y1799" s="24" t="n"/>
    </row>
    <row r="1800">
      <c r="O1800" s="23" t="n"/>
      <c r="R1800" s="24" t="n"/>
      <c r="S1800" s="24" t="n"/>
      <c r="Y1800" s="24" t="n"/>
    </row>
    <row r="1801">
      <c r="O1801" s="23" t="n"/>
      <c r="R1801" s="24" t="n"/>
      <c r="S1801" s="24" t="n"/>
      <c r="Y1801" s="24" t="n"/>
    </row>
    <row r="1802">
      <c r="O1802" s="23" t="n"/>
      <c r="R1802" s="24" t="n"/>
      <c r="S1802" s="24" t="n"/>
      <c r="Y1802" s="24" t="n"/>
    </row>
    <row r="1803">
      <c r="O1803" s="23" t="n"/>
      <c r="R1803" s="24" t="n"/>
      <c r="S1803" s="24" t="n"/>
      <c r="Y1803" s="24" t="n"/>
    </row>
    <row r="1804">
      <c r="O1804" s="23" t="n"/>
      <c r="R1804" s="24" t="n"/>
      <c r="S1804" s="24" t="n"/>
      <c r="Y1804" s="24" t="n"/>
    </row>
    <row r="1805">
      <c r="O1805" s="23" t="n"/>
      <c r="R1805" s="24" t="n"/>
      <c r="S1805" s="24" t="n"/>
      <c r="Y1805" s="24" t="n"/>
    </row>
    <row r="1806">
      <c r="O1806" s="23" t="n"/>
      <c r="R1806" s="24" t="n"/>
      <c r="S1806" s="24" t="n"/>
      <c r="Y1806" s="24" t="n"/>
    </row>
    <row r="1807">
      <c r="O1807" s="23" t="n"/>
      <c r="R1807" s="24" t="n"/>
      <c r="S1807" s="24" t="n"/>
      <c r="Y1807" s="24" t="n"/>
    </row>
    <row r="1808">
      <c r="O1808" s="23" t="n"/>
      <c r="R1808" s="24" t="n"/>
      <c r="S1808" s="24" t="n"/>
      <c r="Y1808" s="24" t="n"/>
    </row>
    <row r="1809">
      <c r="O1809" s="23" t="n"/>
      <c r="R1809" s="24" t="n"/>
      <c r="S1809" s="24" t="n"/>
      <c r="Y1809" s="24" t="n"/>
    </row>
    <row r="1810">
      <c r="O1810" s="23" t="n"/>
      <c r="R1810" s="24" t="n"/>
      <c r="S1810" s="24" t="n"/>
      <c r="Y1810" s="24" t="n"/>
    </row>
    <row r="1811">
      <c r="O1811" s="23" t="n"/>
      <c r="R1811" s="24" t="n"/>
      <c r="S1811" s="24" t="n"/>
      <c r="Y1811" s="24" t="n"/>
    </row>
    <row r="1812">
      <c r="O1812" s="23" t="n"/>
      <c r="R1812" s="24" t="n"/>
      <c r="S1812" s="24" t="n"/>
      <c r="Y1812" s="24" t="n"/>
    </row>
    <row r="1813">
      <c r="O1813" s="23" t="n"/>
      <c r="R1813" s="24" t="n"/>
      <c r="S1813" s="24" t="n"/>
      <c r="Y1813" s="24" t="n"/>
    </row>
    <row r="1814">
      <c r="O1814" s="23" t="n"/>
      <c r="R1814" s="24" t="n"/>
      <c r="S1814" s="24" t="n"/>
      <c r="Y1814" s="24" t="n"/>
    </row>
    <row r="1815">
      <c r="O1815" s="23" t="n"/>
      <c r="R1815" s="24" t="n"/>
      <c r="S1815" s="24" t="n"/>
      <c r="Y1815" s="24" t="n"/>
    </row>
    <row r="1816">
      <c r="O1816" s="23" t="n"/>
      <c r="R1816" s="24" t="n"/>
      <c r="S1816" s="24" t="n"/>
      <c r="Y1816" s="24" t="n"/>
    </row>
    <row r="1817">
      <c r="O1817" s="23" t="n"/>
      <c r="R1817" s="24" t="n"/>
      <c r="S1817" s="24" t="n"/>
      <c r="Y1817" s="24" t="n"/>
    </row>
    <row r="1818">
      <c r="O1818" s="23" t="n"/>
      <c r="R1818" s="24" t="n"/>
      <c r="S1818" s="24" t="n"/>
      <c r="Y1818" s="24" t="n"/>
    </row>
    <row r="1819">
      <c r="O1819" s="23" t="n"/>
      <c r="R1819" s="24" t="n"/>
      <c r="S1819" s="24" t="n"/>
      <c r="Y1819" s="24" t="n"/>
    </row>
    <row r="1820">
      <c r="O1820" s="23" t="n"/>
      <c r="R1820" s="24" t="n"/>
      <c r="S1820" s="24" t="n"/>
      <c r="Y1820" s="24" t="n"/>
    </row>
    <row r="1821">
      <c r="O1821" s="23" t="n"/>
      <c r="R1821" s="24" t="n"/>
      <c r="S1821" s="24" t="n"/>
      <c r="Y1821" s="24" t="n"/>
    </row>
    <row r="1822">
      <c r="O1822" s="23" t="n"/>
      <c r="R1822" s="24" t="n"/>
      <c r="S1822" s="24" t="n"/>
      <c r="Y1822" s="24" t="n"/>
    </row>
    <row r="1823">
      <c r="O1823" s="23" t="n"/>
      <c r="R1823" s="24" t="n"/>
      <c r="S1823" s="24" t="n"/>
      <c r="Y1823" s="24" t="n"/>
    </row>
    <row r="1824">
      <c r="O1824" s="23" t="n"/>
      <c r="R1824" s="24" t="n"/>
      <c r="S1824" s="24" t="n"/>
      <c r="Y1824" s="24" t="n"/>
    </row>
    <row r="1825">
      <c r="O1825" s="23" t="n"/>
      <c r="R1825" s="24" t="n"/>
      <c r="S1825" s="24" t="n"/>
      <c r="Y1825" s="24" t="n"/>
    </row>
    <row r="1826">
      <c r="O1826" s="23" t="n"/>
      <c r="R1826" s="24" t="n"/>
      <c r="S1826" s="24" t="n"/>
      <c r="Y1826" s="24" t="n"/>
    </row>
    <row r="1827">
      <c r="O1827" s="23" t="n"/>
      <c r="R1827" s="24" t="n"/>
      <c r="S1827" s="24" t="n"/>
      <c r="Y1827" s="24" t="n"/>
    </row>
    <row r="1828">
      <c r="O1828" s="23" t="n"/>
      <c r="R1828" s="24" t="n"/>
      <c r="S1828" s="24" t="n"/>
      <c r="Y1828" s="24" t="n"/>
    </row>
    <row r="1829">
      <c r="O1829" s="23" t="n"/>
      <c r="R1829" s="24" t="n"/>
      <c r="S1829" s="24" t="n"/>
      <c r="Y1829" s="24" t="n"/>
    </row>
    <row r="1830">
      <c r="O1830" s="23" t="n"/>
      <c r="R1830" s="24" t="n"/>
      <c r="S1830" s="24" t="n"/>
      <c r="Y1830" s="24" t="n"/>
    </row>
    <row r="1831">
      <c r="O1831" s="23" t="n"/>
      <c r="R1831" s="24" t="n"/>
      <c r="S1831" s="24" t="n"/>
      <c r="Y1831" s="24" t="n"/>
    </row>
    <row r="1832">
      <c r="O1832" s="23" t="n"/>
      <c r="R1832" s="24" t="n"/>
      <c r="S1832" s="24" t="n"/>
      <c r="Y1832" s="24" t="n"/>
    </row>
    <row r="1833">
      <c r="O1833" s="23" t="n"/>
      <c r="R1833" s="24" t="n"/>
      <c r="S1833" s="24" t="n"/>
      <c r="Y1833" s="24" t="n"/>
    </row>
    <row r="1834">
      <c r="O1834" s="23" t="n"/>
      <c r="R1834" s="24" t="n"/>
      <c r="S1834" s="24" t="n"/>
      <c r="Y1834" s="24" t="n"/>
    </row>
    <row r="1835">
      <c r="O1835" s="23" t="n"/>
      <c r="R1835" s="24" t="n"/>
      <c r="S1835" s="24" t="n"/>
      <c r="Y1835" s="24" t="n"/>
    </row>
    <row r="1836">
      <c r="O1836" s="23" t="n"/>
      <c r="R1836" s="24" t="n"/>
      <c r="S1836" s="24" t="n"/>
      <c r="Y1836" s="24" t="n"/>
    </row>
    <row r="1837">
      <c r="O1837" s="23" t="n"/>
      <c r="R1837" s="24" t="n"/>
      <c r="S1837" s="24" t="n"/>
      <c r="Y1837" s="24" t="n"/>
    </row>
    <row r="1838">
      <c r="O1838" s="23" t="n"/>
      <c r="R1838" s="24" t="n"/>
      <c r="S1838" s="24" t="n"/>
      <c r="Y1838" s="24" t="n"/>
    </row>
    <row r="1839">
      <c r="O1839" s="23" t="n"/>
      <c r="R1839" s="24" t="n"/>
      <c r="S1839" s="24" t="n"/>
      <c r="Y1839" s="24" t="n"/>
    </row>
    <row r="1840">
      <c r="O1840" s="23" t="n"/>
      <c r="R1840" s="24" t="n"/>
      <c r="S1840" s="24" t="n"/>
      <c r="Y1840" s="24" t="n"/>
    </row>
    <row r="1841">
      <c r="O1841" s="23" t="n"/>
      <c r="R1841" s="24" t="n"/>
      <c r="S1841" s="24" t="n"/>
      <c r="Y1841" s="24" t="n"/>
    </row>
    <row r="1842">
      <c r="O1842" s="23" t="n"/>
      <c r="R1842" s="24" t="n"/>
      <c r="S1842" s="24" t="n"/>
      <c r="Y1842" s="24" t="n"/>
    </row>
    <row r="1843">
      <c r="O1843" s="23" t="n"/>
      <c r="R1843" s="24" t="n"/>
      <c r="S1843" s="24" t="n"/>
      <c r="Y1843" s="24" t="n"/>
    </row>
    <row r="1844">
      <c r="O1844" s="23" t="n"/>
      <c r="R1844" s="24" t="n"/>
      <c r="S1844" s="24" t="n"/>
      <c r="Y1844" s="24" t="n"/>
    </row>
    <row r="1845">
      <c r="O1845" s="23" t="n"/>
      <c r="R1845" s="24" t="n"/>
      <c r="S1845" s="24" t="n"/>
      <c r="Y1845" s="24" t="n"/>
    </row>
    <row r="1846">
      <c r="O1846" s="23" t="n"/>
      <c r="R1846" s="24" t="n"/>
      <c r="S1846" s="24" t="n"/>
      <c r="Y1846" s="24" t="n"/>
    </row>
    <row r="1847">
      <c r="O1847" s="23" t="n"/>
      <c r="R1847" s="24" t="n"/>
      <c r="S1847" s="24" t="n"/>
      <c r="Y1847" s="24" t="n"/>
    </row>
    <row r="1848">
      <c r="O1848" s="23" t="n"/>
      <c r="R1848" s="24" t="n"/>
      <c r="S1848" s="24" t="n"/>
      <c r="Y1848" s="24" t="n"/>
    </row>
    <row r="1849">
      <c r="O1849" s="23" t="n"/>
      <c r="R1849" s="24" t="n"/>
      <c r="S1849" s="24" t="n"/>
      <c r="Y1849" s="24" t="n"/>
    </row>
    <row r="1850">
      <c r="O1850" s="23" t="n"/>
      <c r="R1850" s="24" t="n"/>
      <c r="S1850" s="24" t="n"/>
      <c r="Y1850" s="24" t="n"/>
    </row>
    <row r="1851">
      <c r="O1851" s="23" t="n"/>
      <c r="R1851" s="24" t="n"/>
      <c r="S1851" s="24" t="n"/>
      <c r="Y1851" s="24" t="n"/>
    </row>
    <row r="1852">
      <c r="O1852" s="23" t="n"/>
      <c r="R1852" s="24" t="n"/>
      <c r="S1852" s="24" t="n"/>
      <c r="Y1852" s="24" t="n"/>
    </row>
    <row r="1853">
      <c r="O1853" s="23" t="n"/>
      <c r="R1853" s="24" t="n"/>
      <c r="S1853" s="24" t="n"/>
      <c r="Y1853" s="24" t="n"/>
    </row>
    <row r="1854">
      <c r="O1854" s="23" t="n"/>
      <c r="R1854" s="24" t="n"/>
      <c r="S1854" s="24" t="n"/>
      <c r="Y1854" s="24" t="n"/>
    </row>
    <row r="1855">
      <c r="O1855" s="23" t="n"/>
      <c r="R1855" s="24" t="n"/>
      <c r="S1855" s="24" t="n"/>
      <c r="Y1855" s="24" t="n"/>
    </row>
    <row r="1856">
      <c r="O1856" s="23" t="n"/>
      <c r="R1856" s="24" t="n"/>
      <c r="S1856" s="24" t="n"/>
      <c r="Y1856" s="24" t="n"/>
    </row>
    <row r="1857">
      <c r="O1857" s="23" t="n"/>
      <c r="R1857" s="24" t="n"/>
      <c r="S1857" s="24" t="n"/>
      <c r="Y1857" s="24" t="n"/>
    </row>
    <row r="1858">
      <c r="O1858" s="23" t="n"/>
      <c r="R1858" s="24" t="n"/>
      <c r="S1858" s="24" t="n"/>
      <c r="Y1858" s="24" t="n"/>
    </row>
    <row r="1859">
      <c r="O1859" s="23" t="n"/>
      <c r="R1859" s="24" t="n"/>
      <c r="S1859" s="24" t="n"/>
      <c r="Y1859" s="24" t="n"/>
    </row>
    <row r="1860">
      <c r="O1860" s="23" t="n"/>
      <c r="R1860" s="24" t="n"/>
      <c r="S1860" s="24" t="n"/>
      <c r="Y1860" s="24" t="n"/>
    </row>
    <row r="1861">
      <c r="O1861" s="23" t="n"/>
      <c r="R1861" s="24" t="n"/>
      <c r="S1861" s="24" t="n"/>
      <c r="Y1861" s="24" t="n"/>
    </row>
    <row r="1862">
      <c r="O1862" s="23" t="n"/>
      <c r="R1862" s="24" t="n"/>
      <c r="S1862" s="24" t="n"/>
      <c r="Y1862" s="24" t="n"/>
    </row>
    <row r="1863">
      <c r="O1863" s="23" t="n"/>
      <c r="R1863" s="24" t="n"/>
      <c r="S1863" s="24" t="n"/>
      <c r="Y1863" s="24" t="n"/>
    </row>
    <row r="1864">
      <c r="O1864" s="23" t="n"/>
      <c r="R1864" s="24" t="n"/>
      <c r="S1864" s="24" t="n"/>
      <c r="Y1864" s="24" t="n"/>
    </row>
    <row r="1865">
      <c r="O1865" s="23" t="n"/>
      <c r="R1865" s="24" t="n"/>
      <c r="S1865" s="24" t="n"/>
      <c r="Y1865" s="24" t="n"/>
    </row>
    <row r="1866">
      <c r="O1866" s="23" t="n"/>
      <c r="R1866" s="24" t="n"/>
      <c r="S1866" s="24" t="n"/>
      <c r="Y1866" s="24" t="n"/>
    </row>
    <row r="1867">
      <c r="O1867" s="23" t="n"/>
      <c r="R1867" s="24" t="n"/>
      <c r="S1867" s="24" t="n"/>
      <c r="Y1867" s="24" t="n"/>
    </row>
    <row r="1868">
      <c r="O1868" s="23" t="n"/>
      <c r="R1868" s="24" t="n"/>
      <c r="S1868" s="24" t="n"/>
      <c r="Y1868" s="24" t="n"/>
    </row>
    <row r="1869">
      <c r="O1869" s="23" t="n"/>
      <c r="R1869" s="24" t="n"/>
      <c r="S1869" s="24" t="n"/>
      <c r="Y1869" s="24" t="n"/>
    </row>
    <row r="1870">
      <c r="O1870" s="23" t="n"/>
      <c r="R1870" s="24" t="n"/>
      <c r="S1870" s="24" t="n"/>
      <c r="Y1870" s="24" t="n"/>
    </row>
    <row r="1871">
      <c r="O1871" s="23" t="n"/>
      <c r="R1871" s="24" t="n"/>
      <c r="S1871" s="24" t="n"/>
      <c r="Y1871" s="24" t="n"/>
    </row>
    <row r="1872">
      <c r="O1872" s="23" t="n"/>
      <c r="R1872" s="24" t="n"/>
      <c r="S1872" s="24" t="n"/>
      <c r="Y1872" s="24" t="n"/>
    </row>
    <row r="1873">
      <c r="O1873" s="23" t="n"/>
      <c r="R1873" s="24" t="n"/>
      <c r="S1873" s="24" t="n"/>
      <c r="Y1873" s="24" t="n"/>
    </row>
    <row r="1874">
      <c r="O1874" s="23" t="n"/>
      <c r="R1874" s="24" t="n"/>
      <c r="S1874" s="24" t="n"/>
      <c r="Y1874" s="24" t="n"/>
    </row>
    <row r="1875">
      <c r="O1875" s="23" t="n"/>
      <c r="R1875" s="24" t="n"/>
      <c r="S1875" s="24" t="n"/>
      <c r="Y1875" s="24" t="n"/>
    </row>
    <row r="1876">
      <c r="O1876" s="23" t="n"/>
      <c r="R1876" s="24" t="n"/>
      <c r="S1876" s="24" t="n"/>
      <c r="Y1876" s="24" t="n"/>
    </row>
    <row r="1877">
      <c r="O1877" s="23" t="n"/>
      <c r="R1877" s="24" t="n"/>
      <c r="S1877" s="24" t="n"/>
      <c r="Y1877" s="24" t="n"/>
    </row>
    <row r="1878">
      <c r="O1878" s="23" t="n"/>
      <c r="R1878" s="24" t="n"/>
      <c r="S1878" s="24" t="n"/>
      <c r="Y1878" s="24" t="n"/>
    </row>
    <row r="1879">
      <c r="O1879" s="23" t="n"/>
      <c r="R1879" s="24" t="n"/>
      <c r="S1879" s="24" t="n"/>
      <c r="Y1879" s="24" t="n"/>
    </row>
    <row r="1880">
      <c r="O1880" s="23" t="n"/>
      <c r="R1880" s="24" t="n"/>
      <c r="S1880" s="24" t="n"/>
      <c r="Y1880" s="24" t="n"/>
    </row>
    <row r="1881">
      <c r="O1881" s="23" t="n"/>
      <c r="R1881" s="24" t="n"/>
      <c r="S1881" s="24" t="n"/>
      <c r="Y1881" s="24" t="n"/>
    </row>
    <row r="1882">
      <c r="O1882" s="23" t="n"/>
      <c r="R1882" s="24" t="n"/>
      <c r="S1882" s="24" t="n"/>
      <c r="Y1882" s="24" t="n"/>
    </row>
    <row r="1883">
      <c r="O1883" s="23" t="n"/>
      <c r="R1883" s="24" t="n"/>
      <c r="S1883" s="24" t="n"/>
      <c r="Y1883" s="24" t="n"/>
    </row>
    <row r="1884">
      <c r="O1884" s="23" t="n"/>
      <c r="R1884" s="24" t="n"/>
      <c r="S1884" s="24" t="n"/>
      <c r="Y1884" s="24" t="n"/>
    </row>
    <row r="1885">
      <c r="O1885" s="23" t="n"/>
      <c r="R1885" s="24" t="n"/>
      <c r="S1885" s="24" t="n"/>
      <c r="Y1885" s="24" t="n"/>
    </row>
    <row r="1886">
      <c r="O1886" s="23" t="n"/>
      <c r="R1886" s="24" t="n"/>
      <c r="S1886" s="24" t="n"/>
      <c r="Y1886" s="24" t="n"/>
    </row>
    <row r="1887">
      <c r="O1887" s="23" t="n"/>
      <c r="R1887" s="24" t="n"/>
      <c r="S1887" s="24" t="n"/>
      <c r="Y1887" s="24" t="n"/>
    </row>
    <row r="1888">
      <c r="O1888" s="23" t="n"/>
      <c r="R1888" s="24" t="n"/>
      <c r="S1888" s="24" t="n"/>
      <c r="Y1888" s="24" t="n"/>
    </row>
    <row r="1889">
      <c r="O1889" s="23" t="n"/>
      <c r="R1889" s="24" t="n"/>
      <c r="S1889" s="24" t="n"/>
      <c r="Y1889" s="24" t="n"/>
    </row>
    <row r="1890">
      <c r="O1890" s="23" t="n"/>
      <c r="R1890" s="24" t="n"/>
      <c r="S1890" s="24" t="n"/>
      <c r="Y1890" s="24" t="n"/>
    </row>
    <row r="1891">
      <c r="O1891" s="23" t="n"/>
      <c r="R1891" s="24" t="n"/>
      <c r="S1891" s="24" t="n"/>
      <c r="Y1891" s="24" t="n"/>
    </row>
    <row r="1892">
      <c r="O1892" s="23" t="n"/>
      <c r="R1892" s="24" t="n"/>
      <c r="S1892" s="24" t="n"/>
      <c r="Y1892" s="24" t="n"/>
    </row>
    <row r="1893">
      <c r="O1893" s="23" t="n"/>
      <c r="R1893" s="24" t="n"/>
      <c r="S1893" s="24" t="n"/>
      <c r="Y1893" s="24" t="n"/>
    </row>
    <row r="1894">
      <c r="O1894" s="23" t="n"/>
      <c r="R1894" s="24" t="n"/>
      <c r="S1894" s="24" t="n"/>
      <c r="Y1894" s="24" t="n"/>
    </row>
    <row r="1895">
      <c r="O1895" s="23" t="n"/>
      <c r="R1895" s="24" t="n"/>
      <c r="S1895" s="24" t="n"/>
      <c r="Y1895" s="24" t="n"/>
    </row>
    <row r="1896">
      <c r="O1896" s="23" t="n"/>
      <c r="R1896" s="24" t="n"/>
      <c r="S1896" s="24" t="n"/>
      <c r="Y1896" s="24" t="n"/>
    </row>
    <row r="1897">
      <c r="O1897" s="23" t="n"/>
      <c r="R1897" s="24" t="n"/>
      <c r="S1897" s="24" t="n"/>
      <c r="Y1897" s="24" t="n"/>
    </row>
    <row r="1898">
      <c r="O1898" s="23" t="n"/>
      <c r="R1898" s="24" t="n"/>
      <c r="S1898" s="24" t="n"/>
      <c r="Y1898" s="24" t="n"/>
    </row>
    <row r="1899">
      <c r="O1899" s="23" t="n"/>
      <c r="R1899" s="24" t="n"/>
      <c r="S1899" s="24" t="n"/>
      <c r="Y1899" s="24" t="n"/>
    </row>
    <row r="1900">
      <c r="O1900" s="23" t="n"/>
      <c r="R1900" s="24" t="n"/>
      <c r="S1900" s="24" t="n"/>
      <c r="Y1900" s="24" t="n"/>
    </row>
    <row r="1901">
      <c r="O1901" s="23" t="n"/>
      <c r="R1901" s="24" t="n"/>
      <c r="S1901" s="24" t="n"/>
      <c r="Y1901" s="24" t="n"/>
    </row>
    <row r="1902">
      <c r="O1902" s="23" t="n"/>
      <c r="R1902" s="24" t="n"/>
      <c r="S1902" s="24" t="n"/>
      <c r="Y1902" s="24" t="n"/>
    </row>
    <row r="1903">
      <c r="O1903" s="23" t="n"/>
      <c r="R1903" s="24" t="n"/>
      <c r="S1903" s="24" t="n"/>
      <c r="Y1903" s="24" t="n"/>
    </row>
    <row r="1904">
      <c r="O1904" s="23" t="n"/>
      <c r="R1904" s="24" t="n"/>
      <c r="S1904" s="24" t="n"/>
      <c r="Y1904" s="24" t="n"/>
    </row>
    <row r="1905">
      <c r="O1905" s="23" t="n"/>
      <c r="R1905" s="24" t="n"/>
      <c r="S1905" s="24" t="n"/>
      <c r="Y1905" s="24" t="n"/>
    </row>
    <row r="1906">
      <c r="O1906" s="23" t="n"/>
      <c r="R1906" s="24" t="n"/>
      <c r="S1906" s="24" t="n"/>
      <c r="Y1906" s="24" t="n"/>
    </row>
    <row r="1907">
      <c r="O1907" s="23" t="n"/>
      <c r="R1907" s="24" t="n"/>
      <c r="S1907" s="24" t="n"/>
      <c r="Y1907" s="24" t="n"/>
    </row>
    <row r="1908">
      <c r="O1908" s="23" t="n"/>
      <c r="R1908" s="24" t="n"/>
      <c r="S1908" s="24" t="n"/>
      <c r="Y1908" s="24" t="n"/>
    </row>
    <row r="1909">
      <c r="O1909" s="23" t="n"/>
      <c r="R1909" s="24" t="n"/>
      <c r="S1909" s="24" t="n"/>
      <c r="Y1909" s="24" t="n"/>
    </row>
    <row r="1910">
      <c r="O1910" s="23" t="n"/>
      <c r="R1910" s="24" t="n"/>
      <c r="S1910" s="24" t="n"/>
      <c r="Y1910" s="24" t="n"/>
    </row>
    <row r="1911">
      <c r="O1911" s="23" t="n"/>
      <c r="R1911" s="24" t="n"/>
      <c r="S1911" s="24" t="n"/>
      <c r="Y1911" s="24" t="n"/>
    </row>
    <row r="1912">
      <c r="O1912" s="23" t="n"/>
      <c r="R1912" s="24" t="n"/>
      <c r="S1912" s="24" t="n"/>
      <c r="Y1912" s="24" t="n"/>
    </row>
    <row r="1913">
      <c r="O1913" s="23" t="n"/>
      <c r="R1913" s="24" t="n"/>
      <c r="S1913" s="24" t="n"/>
      <c r="Y1913" s="24" t="n"/>
    </row>
    <row r="1914">
      <c r="O1914" s="23" t="n"/>
      <c r="R1914" s="24" t="n"/>
      <c r="S1914" s="24" t="n"/>
      <c r="Y1914" s="24" t="n"/>
    </row>
    <row r="1915">
      <c r="O1915" s="23" t="n"/>
      <c r="R1915" s="24" t="n"/>
      <c r="S1915" s="24" t="n"/>
      <c r="Y1915" s="24" t="n"/>
    </row>
    <row r="1916">
      <c r="O1916" s="23" t="n"/>
      <c r="R1916" s="24" t="n"/>
      <c r="S1916" s="24" t="n"/>
      <c r="Y1916" s="24" t="n"/>
    </row>
    <row r="1917">
      <c r="O1917" s="23" t="n"/>
      <c r="R1917" s="24" t="n"/>
      <c r="S1917" s="24" t="n"/>
      <c r="Y1917" s="24" t="n"/>
    </row>
    <row r="1918">
      <c r="O1918" s="23" t="n"/>
      <c r="R1918" s="24" t="n"/>
      <c r="S1918" s="24" t="n"/>
      <c r="Y1918" s="24" t="n"/>
    </row>
    <row r="1919">
      <c r="O1919" s="23" t="n"/>
      <c r="R1919" s="24" t="n"/>
      <c r="S1919" s="24" t="n"/>
      <c r="Y1919" s="24" t="n"/>
    </row>
    <row r="1920">
      <c r="O1920" s="23" t="n"/>
      <c r="R1920" s="24" t="n"/>
      <c r="S1920" s="24" t="n"/>
      <c r="Y1920" s="24" t="n"/>
    </row>
    <row r="1921">
      <c r="O1921" s="23" t="n"/>
      <c r="R1921" s="24" t="n"/>
      <c r="S1921" s="24" t="n"/>
      <c r="Y1921" s="24" t="n"/>
    </row>
    <row r="1922">
      <c r="O1922" s="23" t="n"/>
      <c r="R1922" s="24" t="n"/>
      <c r="S1922" s="24" t="n"/>
      <c r="Y1922" s="24" t="n"/>
    </row>
    <row r="1923">
      <c r="O1923" s="23" t="n"/>
      <c r="R1923" s="24" t="n"/>
      <c r="S1923" s="24" t="n"/>
      <c r="Y1923" s="24" t="n"/>
    </row>
    <row r="1924">
      <c r="O1924" s="23" t="n"/>
      <c r="R1924" s="24" t="n"/>
      <c r="S1924" s="24" t="n"/>
      <c r="Y1924" s="24" t="n"/>
    </row>
    <row r="1925">
      <c r="O1925" s="23" t="n"/>
      <c r="R1925" s="24" t="n"/>
      <c r="S1925" s="24" t="n"/>
      <c r="Y1925" s="24" t="n"/>
    </row>
    <row r="1926">
      <c r="O1926" s="23" t="n"/>
      <c r="R1926" s="24" t="n"/>
      <c r="S1926" s="24" t="n"/>
      <c r="Y1926" s="24" t="n"/>
    </row>
    <row r="1927">
      <c r="O1927" s="23" t="n"/>
      <c r="R1927" s="24" t="n"/>
      <c r="S1927" s="24" t="n"/>
      <c r="Y1927" s="24" t="n"/>
    </row>
    <row r="1928">
      <c r="O1928" s="23" t="n"/>
      <c r="R1928" s="24" t="n"/>
      <c r="S1928" s="24" t="n"/>
      <c r="Y1928" s="24" t="n"/>
    </row>
    <row r="1929">
      <c r="O1929" s="23" t="n"/>
      <c r="R1929" s="24" t="n"/>
      <c r="S1929" s="24" t="n"/>
      <c r="Y1929" s="24" t="n"/>
    </row>
    <row r="1930">
      <c r="O1930" s="23" t="n"/>
      <c r="R1930" s="24" t="n"/>
      <c r="S1930" s="24" t="n"/>
      <c r="Y1930" s="24" t="n"/>
    </row>
    <row r="1931">
      <c r="O1931" s="23" t="n"/>
      <c r="R1931" s="24" t="n"/>
      <c r="S1931" s="24" t="n"/>
      <c r="Y1931" s="24" t="n"/>
    </row>
    <row r="1932">
      <c r="O1932" s="23" t="n"/>
      <c r="R1932" s="24" t="n"/>
      <c r="S1932" s="24" t="n"/>
      <c r="Y1932" s="24" t="n"/>
    </row>
    <row r="1933">
      <c r="O1933" s="23" t="n"/>
      <c r="R1933" s="24" t="n"/>
      <c r="S1933" s="24" t="n"/>
      <c r="Y1933" s="24" t="n"/>
    </row>
    <row r="1934">
      <c r="O1934" s="23" t="n"/>
      <c r="R1934" s="24" t="n"/>
      <c r="S1934" s="24" t="n"/>
      <c r="Y1934" s="24" t="n"/>
    </row>
    <row r="1935">
      <c r="O1935" s="23" t="n"/>
      <c r="R1935" s="24" t="n"/>
      <c r="S1935" s="24" t="n"/>
      <c r="Y1935" s="24" t="n"/>
    </row>
    <row r="1936">
      <c r="O1936" s="23" t="n"/>
      <c r="R1936" s="24" t="n"/>
      <c r="S1936" s="24" t="n"/>
      <c r="Y1936" s="24" t="n"/>
    </row>
    <row r="1937">
      <c r="O1937" s="23" t="n"/>
      <c r="R1937" s="24" t="n"/>
      <c r="S1937" s="24" t="n"/>
      <c r="Y1937" s="24" t="n"/>
    </row>
    <row r="1938">
      <c r="O1938" s="23" t="n"/>
      <c r="R1938" s="24" t="n"/>
      <c r="S1938" s="24" t="n"/>
      <c r="Y1938" s="24" t="n"/>
    </row>
    <row r="1939">
      <c r="O1939" s="23" t="n"/>
      <c r="R1939" s="24" t="n"/>
      <c r="S1939" s="24" t="n"/>
      <c r="Y1939" s="24" t="n"/>
    </row>
    <row r="1940">
      <c r="O1940" s="23" t="n"/>
      <c r="R1940" s="24" t="n"/>
      <c r="S1940" s="24" t="n"/>
      <c r="Y1940" s="24" t="n"/>
    </row>
    <row r="1941">
      <c r="O1941" s="23" t="n"/>
      <c r="R1941" s="24" t="n"/>
      <c r="S1941" s="24" t="n"/>
      <c r="Y1941" s="24" t="n"/>
    </row>
    <row r="1942">
      <c r="O1942" s="23" t="n"/>
      <c r="R1942" s="24" t="n"/>
      <c r="S1942" s="24" t="n"/>
      <c r="Y1942" s="24" t="n"/>
    </row>
    <row r="1943">
      <c r="O1943" s="23" t="n"/>
      <c r="R1943" s="24" t="n"/>
      <c r="S1943" s="24" t="n"/>
      <c r="Y1943" s="24" t="n"/>
    </row>
    <row r="1944">
      <c r="O1944" s="23" t="n"/>
      <c r="R1944" s="24" t="n"/>
      <c r="S1944" s="24" t="n"/>
      <c r="Y1944" s="24" t="n"/>
    </row>
    <row r="1945">
      <c r="O1945" s="23" t="n"/>
      <c r="R1945" s="24" t="n"/>
      <c r="S1945" s="24" t="n"/>
      <c r="Y1945" s="24" t="n"/>
    </row>
    <row r="1946">
      <c r="O1946" s="23" t="n"/>
      <c r="R1946" s="24" t="n"/>
      <c r="S1946" s="24" t="n"/>
      <c r="Y1946" s="24" t="n"/>
    </row>
    <row r="1947">
      <c r="O1947" s="23" t="n"/>
      <c r="R1947" s="24" t="n"/>
      <c r="S1947" s="24" t="n"/>
      <c r="Y1947" s="24" t="n"/>
    </row>
    <row r="1948">
      <c r="O1948" s="23" t="n"/>
      <c r="R1948" s="24" t="n"/>
      <c r="S1948" s="24" t="n"/>
      <c r="Y1948" s="24" t="n"/>
    </row>
    <row r="1949">
      <c r="O1949" s="23" t="n"/>
      <c r="R1949" s="24" t="n"/>
      <c r="S1949" s="24" t="n"/>
      <c r="Y1949" s="24" t="n"/>
    </row>
    <row r="1950">
      <c r="O1950" s="23" t="n"/>
      <c r="R1950" s="24" t="n"/>
      <c r="S1950" s="24" t="n"/>
      <c r="Y1950" s="24" t="n"/>
    </row>
    <row r="1951">
      <c r="O1951" s="23" t="n"/>
      <c r="R1951" s="24" t="n"/>
      <c r="S1951" s="24" t="n"/>
      <c r="Y1951" s="24" t="n"/>
    </row>
    <row r="1952">
      <c r="O1952" s="23" t="n"/>
      <c r="R1952" s="24" t="n"/>
      <c r="S1952" s="24" t="n"/>
      <c r="Y1952" s="24" t="n"/>
    </row>
    <row r="1953">
      <c r="O1953" s="23" t="n"/>
      <c r="R1953" s="24" t="n"/>
      <c r="S1953" s="24" t="n"/>
      <c r="Y1953" s="24" t="n"/>
    </row>
    <row r="1954">
      <c r="O1954" s="23" t="n"/>
      <c r="R1954" s="24" t="n"/>
      <c r="S1954" s="24" t="n"/>
      <c r="Y1954" s="24" t="n"/>
    </row>
    <row r="1955">
      <c r="O1955" s="23" t="n"/>
      <c r="R1955" s="24" t="n"/>
      <c r="S1955" s="24" t="n"/>
      <c r="Y1955" s="24" t="n"/>
    </row>
    <row r="1956">
      <c r="O1956" s="23" t="n"/>
      <c r="R1956" s="24" t="n"/>
      <c r="S1956" s="24" t="n"/>
      <c r="Y1956" s="24" t="n"/>
    </row>
    <row r="1957">
      <c r="O1957" s="23" t="n"/>
      <c r="R1957" s="24" t="n"/>
      <c r="S1957" s="24" t="n"/>
      <c r="Y1957" s="24" t="n"/>
    </row>
    <row r="1958">
      <c r="O1958" s="23" t="n"/>
      <c r="R1958" s="24" t="n"/>
      <c r="S1958" s="24" t="n"/>
      <c r="Y1958" s="24" t="n"/>
    </row>
    <row r="1959">
      <c r="O1959" s="23" t="n"/>
      <c r="R1959" s="24" t="n"/>
      <c r="S1959" s="24" t="n"/>
      <c r="Y1959" s="24" t="n"/>
    </row>
    <row r="1960">
      <c r="O1960" s="23" t="n"/>
      <c r="R1960" s="24" t="n"/>
      <c r="S1960" s="24" t="n"/>
      <c r="Y1960" s="24" t="n"/>
    </row>
    <row r="1961">
      <c r="O1961" s="23" t="n"/>
      <c r="R1961" s="24" t="n"/>
      <c r="S1961" s="24" t="n"/>
      <c r="Y1961" s="24" t="n"/>
    </row>
    <row r="1962">
      <c r="O1962" s="23" t="n"/>
      <c r="R1962" s="24" t="n"/>
      <c r="S1962" s="24" t="n"/>
      <c r="Y1962" s="24" t="n"/>
    </row>
    <row r="1963">
      <c r="O1963" s="23" t="n"/>
      <c r="R1963" s="24" t="n"/>
      <c r="S1963" s="24" t="n"/>
      <c r="Y1963" s="24" t="n"/>
    </row>
    <row r="1964">
      <c r="O1964" s="23" t="n"/>
      <c r="R1964" s="24" t="n"/>
      <c r="S1964" s="24" t="n"/>
      <c r="Y1964" s="24" t="n"/>
    </row>
    <row r="1965">
      <c r="O1965" s="23" t="n"/>
      <c r="R1965" s="24" t="n"/>
      <c r="S1965" s="24" t="n"/>
      <c r="Y1965" s="24" t="n"/>
    </row>
    <row r="1966">
      <c r="O1966" s="23" t="n"/>
      <c r="R1966" s="24" t="n"/>
      <c r="S1966" s="24" t="n"/>
      <c r="Y1966" s="24" t="n"/>
    </row>
    <row r="1967">
      <c r="O1967" s="23" t="n"/>
      <c r="R1967" s="24" t="n"/>
      <c r="S1967" s="24" t="n"/>
      <c r="Y1967" s="24" t="n"/>
    </row>
    <row r="1968">
      <c r="O1968" s="23" t="n"/>
      <c r="R1968" s="24" t="n"/>
      <c r="S1968" s="24" t="n"/>
      <c r="Y1968" s="24" t="n"/>
    </row>
    <row r="1969">
      <c r="O1969" s="23" t="n"/>
      <c r="R1969" s="24" t="n"/>
      <c r="S1969" s="24" t="n"/>
      <c r="Y1969" s="24" t="n"/>
    </row>
    <row r="1970">
      <c r="O1970" s="23" t="n"/>
      <c r="R1970" s="24" t="n"/>
      <c r="S1970" s="24" t="n"/>
      <c r="Y1970" s="24" t="n"/>
    </row>
    <row r="1971">
      <c r="O1971" s="23" t="n"/>
      <c r="R1971" s="24" t="n"/>
      <c r="S1971" s="24" t="n"/>
      <c r="Y1971" s="24" t="n"/>
    </row>
    <row r="1972">
      <c r="O1972" s="23" t="n"/>
      <c r="R1972" s="24" t="n"/>
      <c r="S1972" s="24" t="n"/>
      <c r="Y1972" s="24" t="n"/>
    </row>
    <row r="1973">
      <c r="O1973" s="23" t="n"/>
      <c r="R1973" s="24" t="n"/>
      <c r="S1973" s="24" t="n"/>
      <c r="Y1973" s="24" t="n"/>
    </row>
    <row r="1974">
      <c r="O1974" s="23" t="n"/>
      <c r="R1974" s="24" t="n"/>
      <c r="S1974" s="24" t="n"/>
      <c r="Y1974" s="24" t="n"/>
    </row>
    <row r="1975">
      <c r="O1975" s="23" t="n"/>
      <c r="R1975" s="24" t="n"/>
      <c r="S1975" s="24" t="n"/>
      <c r="Y1975" s="24" t="n"/>
    </row>
    <row r="1976">
      <c r="O1976" s="23" t="n"/>
      <c r="R1976" s="24" t="n"/>
      <c r="S1976" s="24" t="n"/>
      <c r="Y1976" s="24" t="n"/>
    </row>
    <row r="1977">
      <c r="O1977" s="23" t="n"/>
      <c r="R1977" s="24" t="n"/>
      <c r="S1977" s="24" t="n"/>
      <c r="Y1977" s="24" t="n"/>
    </row>
    <row r="1978">
      <c r="O1978" s="23" t="n"/>
      <c r="R1978" s="24" t="n"/>
      <c r="S1978" s="24" t="n"/>
      <c r="Y1978" s="24" t="n"/>
    </row>
    <row r="1979">
      <c r="O1979" s="23" t="n"/>
      <c r="R1979" s="24" t="n"/>
      <c r="S1979" s="24" t="n"/>
      <c r="Y1979" s="24" t="n"/>
    </row>
    <row r="1980">
      <c r="O1980" s="23" t="n"/>
      <c r="R1980" s="24" t="n"/>
      <c r="S1980" s="24" t="n"/>
      <c r="Y1980" s="24" t="n"/>
    </row>
    <row r="1981">
      <c r="O1981" s="23" t="n"/>
      <c r="R1981" s="24" t="n"/>
      <c r="S1981" s="24" t="n"/>
      <c r="Y1981" s="24" t="n"/>
    </row>
    <row r="1982">
      <c r="O1982" s="23" t="n"/>
      <c r="R1982" s="24" t="n"/>
      <c r="S1982" s="24" t="n"/>
      <c r="Y1982" s="24" t="n"/>
    </row>
    <row r="1983">
      <c r="O1983" s="23" t="n"/>
      <c r="R1983" s="24" t="n"/>
      <c r="S1983" s="24" t="n"/>
      <c r="Y1983" s="24" t="n"/>
    </row>
    <row r="1984">
      <c r="O1984" s="23" t="n"/>
      <c r="R1984" s="24" t="n"/>
      <c r="S1984" s="24" t="n"/>
      <c r="Y1984" s="24" t="n"/>
    </row>
    <row r="1985">
      <c r="O1985" s="23" t="n"/>
      <c r="R1985" s="24" t="n"/>
      <c r="S1985" s="24" t="n"/>
      <c r="Y1985" s="24" t="n"/>
    </row>
    <row r="1986">
      <c r="O1986" s="23" t="n"/>
      <c r="R1986" s="24" t="n"/>
      <c r="S1986" s="24" t="n"/>
      <c r="Y1986" s="24" t="n"/>
    </row>
    <row r="1987">
      <c r="O1987" s="23" t="n"/>
      <c r="R1987" s="24" t="n"/>
      <c r="S1987" s="24" t="n"/>
      <c r="Y1987" s="24" t="n"/>
    </row>
    <row r="1988">
      <c r="O1988" s="23" t="n"/>
      <c r="R1988" s="24" t="n"/>
      <c r="S1988" s="24" t="n"/>
      <c r="Y1988" s="24" t="n"/>
    </row>
    <row r="1989">
      <c r="O1989" s="23" t="n"/>
      <c r="R1989" s="24" t="n"/>
      <c r="S1989" s="24" t="n"/>
      <c r="Y1989" s="24" t="n"/>
    </row>
    <row r="1990">
      <c r="O1990" s="23" t="n"/>
      <c r="R1990" s="24" t="n"/>
      <c r="S1990" s="24" t="n"/>
      <c r="Y1990" s="24" t="n"/>
    </row>
    <row r="1991">
      <c r="O1991" s="23" t="n"/>
      <c r="R1991" s="24" t="n"/>
      <c r="S1991" s="24" t="n"/>
      <c r="Y1991" s="24" t="n"/>
    </row>
    <row r="1992">
      <c r="O1992" s="23" t="n"/>
      <c r="R1992" s="24" t="n"/>
      <c r="S1992" s="24" t="n"/>
      <c r="Y1992" s="24" t="n"/>
    </row>
    <row r="1993">
      <c r="O1993" s="23" t="n"/>
      <c r="R1993" s="24" t="n"/>
      <c r="S1993" s="24" t="n"/>
      <c r="Y1993" s="24" t="n"/>
    </row>
    <row r="1994">
      <c r="O1994" s="23" t="n"/>
      <c r="R1994" s="24" t="n"/>
      <c r="S1994" s="24" t="n"/>
      <c r="Y1994" s="24" t="n"/>
    </row>
    <row r="1995">
      <c r="O1995" s="23" t="n"/>
      <c r="R1995" s="24" t="n"/>
      <c r="S1995" s="24" t="n"/>
      <c r="Y1995" s="24" t="n"/>
    </row>
    <row r="1996">
      <c r="O1996" s="23" t="n"/>
      <c r="R1996" s="24" t="n"/>
      <c r="S1996" s="24" t="n"/>
      <c r="Y1996" s="24" t="n"/>
    </row>
    <row r="1997">
      <c r="O1997" s="23" t="n"/>
      <c r="R1997" s="24" t="n"/>
      <c r="S1997" s="24" t="n"/>
      <c r="Y1997" s="24" t="n"/>
    </row>
    <row r="1998">
      <c r="O1998" s="23" t="n"/>
      <c r="R1998" s="24" t="n"/>
      <c r="S1998" s="24" t="n"/>
      <c r="Y1998" s="24" t="n"/>
    </row>
    <row r="1999">
      <c r="O1999" s="23" t="n"/>
      <c r="R1999" s="24" t="n"/>
      <c r="S1999" s="24" t="n"/>
      <c r="Y1999" s="24" t="n"/>
    </row>
    <row r="2000">
      <c r="O2000" s="23" t="n"/>
      <c r="R2000" s="24" t="n"/>
      <c r="S2000" s="24" t="n"/>
      <c r="Y2000" s="24" t="n"/>
    </row>
    <row r="2001">
      <c r="O2001" s="23" t="n"/>
      <c r="R2001" s="24" t="n"/>
      <c r="S2001" s="24" t="n"/>
      <c r="Y2001" s="24" t="n"/>
    </row>
    <row r="2002">
      <c r="O2002" s="23" t="n"/>
      <c r="R2002" s="24" t="n"/>
      <c r="S2002" s="24" t="n"/>
      <c r="Y2002" s="24" t="n"/>
    </row>
    <row r="2003">
      <c r="O2003" s="23" t="n"/>
      <c r="R2003" s="24" t="n"/>
      <c r="S2003" s="24" t="n"/>
      <c r="Y2003" s="24" t="n"/>
    </row>
    <row r="2004">
      <c r="O2004" s="23" t="n"/>
      <c r="R2004" s="24" t="n"/>
      <c r="S2004" s="24" t="n"/>
      <c r="Y2004" s="24" t="n"/>
    </row>
    <row r="2005">
      <c r="O2005" s="23" t="n"/>
      <c r="R2005" s="24" t="n"/>
      <c r="S2005" s="24" t="n"/>
      <c r="Y2005" s="24" t="n"/>
    </row>
    <row r="2006">
      <c r="O2006" s="23" t="n"/>
      <c r="R2006" s="24" t="n"/>
      <c r="S2006" s="24" t="n"/>
      <c r="Y2006" s="24" t="n"/>
    </row>
    <row r="2007">
      <c r="O2007" s="23" t="n"/>
      <c r="R2007" s="24" t="n"/>
      <c r="S2007" s="24" t="n"/>
      <c r="Y2007" s="24" t="n"/>
    </row>
    <row r="2008">
      <c r="O2008" s="23" t="n"/>
      <c r="R2008" s="24" t="n"/>
      <c r="S2008" s="24" t="n"/>
      <c r="Y2008" s="24" t="n"/>
    </row>
    <row r="2009">
      <c r="O2009" s="23" t="n"/>
      <c r="R2009" s="24" t="n"/>
      <c r="S2009" s="24" t="n"/>
      <c r="Y2009" s="24" t="n"/>
    </row>
    <row r="2010">
      <c r="O2010" s="23" t="n"/>
      <c r="R2010" s="24" t="n"/>
      <c r="S2010" s="24" t="n"/>
      <c r="Y2010" s="24" t="n"/>
    </row>
    <row r="2011">
      <c r="O2011" s="23" t="n"/>
      <c r="R2011" s="24" t="n"/>
      <c r="S2011" s="24" t="n"/>
      <c r="Y2011" s="24" t="n"/>
    </row>
    <row r="2012">
      <c r="O2012" s="23" t="n"/>
      <c r="R2012" s="24" t="n"/>
      <c r="S2012" s="24" t="n"/>
      <c r="Y2012" s="24" t="n"/>
    </row>
    <row r="2013">
      <c r="O2013" s="23" t="n"/>
      <c r="R2013" s="24" t="n"/>
      <c r="S2013" s="24" t="n"/>
      <c r="Y2013" s="24" t="n"/>
    </row>
    <row r="2014">
      <c r="O2014" s="23" t="n"/>
      <c r="R2014" s="24" t="n"/>
      <c r="S2014" s="24" t="n"/>
      <c r="Y2014" s="24" t="n"/>
    </row>
    <row r="2015">
      <c r="O2015" s="23" t="n"/>
      <c r="R2015" s="24" t="n"/>
      <c r="S2015" s="24" t="n"/>
      <c r="Y2015" s="24" t="n"/>
    </row>
    <row r="2016">
      <c r="O2016" s="23" t="n"/>
      <c r="R2016" s="24" t="n"/>
      <c r="S2016" s="24" t="n"/>
      <c r="Y2016" s="24" t="n"/>
    </row>
    <row r="2017">
      <c r="O2017" s="23" t="n"/>
      <c r="R2017" s="24" t="n"/>
      <c r="S2017" s="24" t="n"/>
      <c r="Y2017" s="24" t="n"/>
    </row>
    <row r="2018">
      <c r="O2018" s="23" t="n"/>
      <c r="R2018" s="24" t="n"/>
      <c r="S2018" s="24" t="n"/>
      <c r="Y2018" s="24" t="n"/>
    </row>
    <row r="2019">
      <c r="O2019" s="23" t="n"/>
      <c r="R2019" s="24" t="n"/>
      <c r="S2019" s="24" t="n"/>
      <c r="Y2019" s="24" t="n"/>
    </row>
    <row r="2020">
      <c r="O2020" s="23" t="n"/>
      <c r="R2020" s="24" t="n"/>
      <c r="S2020" s="24" t="n"/>
      <c r="Y2020" s="24" t="n"/>
    </row>
    <row r="2021">
      <c r="O2021" s="23" t="n"/>
      <c r="R2021" s="24" t="n"/>
      <c r="S2021" s="24" t="n"/>
      <c r="Y2021" s="24" t="n"/>
    </row>
    <row r="2022">
      <c r="O2022" s="23" t="n"/>
      <c r="R2022" s="24" t="n"/>
      <c r="S2022" s="24" t="n"/>
      <c r="Y2022" s="24" t="n"/>
    </row>
    <row r="2023">
      <c r="O2023" s="23" t="n"/>
      <c r="R2023" s="24" t="n"/>
      <c r="S2023" s="24" t="n"/>
      <c r="Y2023" s="24" t="n"/>
    </row>
    <row r="2024">
      <c r="O2024" s="23" t="n"/>
      <c r="R2024" s="24" t="n"/>
      <c r="S2024" s="24" t="n"/>
      <c r="Y2024" s="24" t="n"/>
    </row>
    <row r="2025">
      <c r="O2025" s="23" t="n"/>
      <c r="R2025" s="24" t="n"/>
      <c r="S2025" s="24" t="n"/>
      <c r="Y2025" s="24" t="n"/>
    </row>
    <row r="2026">
      <c r="O2026" s="23" t="n"/>
      <c r="R2026" s="24" t="n"/>
      <c r="S2026" s="24" t="n"/>
      <c r="Y2026" s="24" t="n"/>
    </row>
    <row r="2027">
      <c r="O2027" s="23" t="n"/>
      <c r="R2027" s="24" t="n"/>
      <c r="S2027" s="24" t="n"/>
      <c r="Y2027" s="24" t="n"/>
    </row>
    <row r="2028">
      <c r="O2028" s="23" t="n"/>
      <c r="R2028" s="24" t="n"/>
      <c r="S2028" s="24" t="n"/>
      <c r="Y2028" s="24" t="n"/>
    </row>
    <row r="2029">
      <c r="O2029" s="23" t="n"/>
      <c r="R2029" s="24" t="n"/>
      <c r="S2029" s="24" t="n"/>
      <c r="Y2029" s="24" t="n"/>
    </row>
    <row r="2030">
      <c r="O2030" s="23" t="n"/>
      <c r="R2030" s="24" t="n"/>
      <c r="S2030" s="24" t="n"/>
      <c r="Y2030" s="24" t="n"/>
    </row>
    <row r="2031">
      <c r="O2031" s="23" t="n"/>
      <c r="R2031" s="24" t="n"/>
      <c r="S2031" s="24" t="n"/>
      <c r="Y2031" s="24" t="n"/>
    </row>
    <row r="2032">
      <c r="O2032" s="23" t="n"/>
      <c r="R2032" s="24" t="n"/>
      <c r="S2032" s="24" t="n"/>
      <c r="Y2032" s="24" t="n"/>
    </row>
    <row r="2033">
      <c r="O2033" s="23" t="n"/>
      <c r="R2033" s="24" t="n"/>
      <c r="S2033" s="24" t="n"/>
      <c r="Y2033" s="24" t="n"/>
    </row>
    <row r="2034">
      <c r="O2034" s="23" t="n"/>
      <c r="R2034" s="24" t="n"/>
      <c r="S2034" s="24" t="n"/>
      <c r="Y2034" s="24" t="n"/>
    </row>
    <row r="2035">
      <c r="O2035" s="23" t="n"/>
      <c r="R2035" s="24" t="n"/>
      <c r="S2035" s="24" t="n"/>
      <c r="Y2035" s="24" t="n"/>
    </row>
    <row r="2036">
      <c r="O2036" s="23" t="n"/>
      <c r="R2036" s="24" t="n"/>
      <c r="S2036" s="24" t="n"/>
      <c r="Y2036" s="24" t="n"/>
    </row>
    <row r="2037">
      <c r="O2037" s="23" t="n"/>
      <c r="R2037" s="24" t="n"/>
      <c r="S2037" s="24" t="n"/>
      <c r="Y2037" s="24" t="n"/>
    </row>
    <row r="2038">
      <c r="O2038" s="23" t="n"/>
      <c r="R2038" s="24" t="n"/>
      <c r="S2038" s="24" t="n"/>
      <c r="Y2038" s="24" t="n"/>
    </row>
    <row r="2039">
      <c r="O2039" s="23" t="n"/>
      <c r="R2039" s="24" t="n"/>
      <c r="S2039" s="24" t="n"/>
      <c r="Y2039" s="24" t="n"/>
    </row>
    <row r="2040">
      <c r="O2040" s="23" t="n"/>
      <c r="R2040" s="24" t="n"/>
      <c r="S2040" s="24" t="n"/>
      <c r="Y2040" s="24" t="n"/>
    </row>
    <row r="2041">
      <c r="O2041" s="23" t="n"/>
      <c r="R2041" s="24" t="n"/>
      <c r="S2041" s="24" t="n"/>
      <c r="Y2041" s="24" t="n"/>
    </row>
    <row r="2042">
      <c r="O2042" s="23" t="n"/>
      <c r="R2042" s="24" t="n"/>
      <c r="S2042" s="24" t="n"/>
      <c r="Y2042" s="24" t="n"/>
    </row>
    <row r="2043">
      <c r="O2043" s="23" t="n"/>
      <c r="R2043" s="24" t="n"/>
      <c r="S2043" s="24" t="n"/>
      <c r="Y2043" s="24" t="n"/>
    </row>
    <row r="2044">
      <c r="O2044" s="23" t="n"/>
      <c r="R2044" s="24" t="n"/>
      <c r="S2044" s="24" t="n"/>
      <c r="Y2044" s="24" t="n"/>
    </row>
    <row r="2045">
      <c r="O2045" s="23" t="n"/>
      <c r="R2045" s="24" t="n"/>
      <c r="S2045" s="24" t="n"/>
      <c r="Y2045" s="24" t="n"/>
    </row>
    <row r="2046">
      <c r="O2046" s="23" t="n"/>
      <c r="R2046" s="24" t="n"/>
      <c r="S2046" s="24" t="n"/>
      <c r="Y2046" s="24" t="n"/>
    </row>
    <row r="2047">
      <c r="O2047" s="23" t="n"/>
      <c r="R2047" s="24" t="n"/>
      <c r="S2047" s="24" t="n"/>
      <c r="Y2047" s="24" t="n"/>
    </row>
    <row r="2048">
      <c r="O2048" s="23" t="n"/>
      <c r="R2048" s="24" t="n"/>
      <c r="S2048" s="24" t="n"/>
      <c r="Y2048" s="24" t="n"/>
    </row>
    <row r="2049">
      <c r="O2049" s="23" t="n"/>
      <c r="R2049" s="24" t="n"/>
      <c r="S2049" s="24" t="n"/>
      <c r="Y2049" s="24" t="n"/>
    </row>
    <row r="2050">
      <c r="O2050" s="23" t="n"/>
      <c r="R2050" s="24" t="n"/>
      <c r="S2050" s="24" t="n"/>
      <c r="Y2050" s="24" t="n"/>
    </row>
    <row r="2051">
      <c r="O2051" s="23" t="n"/>
      <c r="R2051" s="24" t="n"/>
      <c r="S2051" s="24" t="n"/>
      <c r="Y2051" s="24" t="n"/>
    </row>
    <row r="2052">
      <c r="O2052" s="23" t="n"/>
      <c r="R2052" s="24" t="n"/>
      <c r="S2052" s="24" t="n"/>
      <c r="Y2052" s="24" t="n"/>
    </row>
    <row r="2053">
      <c r="O2053" s="23" t="n"/>
      <c r="R2053" s="24" t="n"/>
      <c r="S2053" s="24" t="n"/>
      <c r="Y2053" s="24" t="n"/>
    </row>
    <row r="2054">
      <c r="O2054" s="23" t="n"/>
      <c r="R2054" s="24" t="n"/>
      <c r="S2054" s="24" t="n"/>
      <c r="Y2054" s="24" t="n"/>
    </row>
    <row r="2055">
      <c r="O2055" s="23" t="n"/>
      <c r="R2055" s="24" t="n"/>
      <c r="S2055" s="24" t="n"/>
      <c r="Y2055" s="24" t="n"/>
    </row>
    <row r="2056">
      <c r="O2056" s="23" t="n"/>
      <c r="R2056" s="24" t="n"/>
      <c r="S2056" s="24" t="n"/>
      <c r="Y2056" s="24" t="n"/>
    </row>
    <row r="2057">
      <c r="O2057" s="23" t="n"/>
      <c r="R2057" s="24" t="n"/>
      <c r="S2057" s="24" t="n"/>
      <c r="Y2057" s="24" t="n"/>
    </row>
    <row r="2058">
      <c r="O2058" s="23" t="n"/>
      <c r="R2058" s="24" t="n"/>
      <c r="S2058" s="24" t="n"/>
      <c r="Y2058" s="24" t="n"/>
    </row>
    <row r="2059">
      <c r="O2059" s="23" t="n"/>
      <c r="R2059" s="24" t="n"/>
      <c r="S2059" s="24" t="n"/>
      <c r="Y2059" s="24" t="n"/>
    </row>
    <row r="2060">
      <c r="O2060" s="23" t="n"/>
      <c r="R2060" s="24" t="n"/>
      <c r="S2060" s="24" t="n"/>
      <c r="Y2060" s="24" t="n"/>
    </row>
    <row r="2061">
      <c r="O2061" s="23" t="n"/>
      <c r="R2061" s="24" t="n"/>
      <c r="S2061" s="24" t="n"/>
      <c r="Y2061" s="24" t="n"/>
    </row>
    <row r="2062">
      <c r="O2062" s="23" t="n"/>
      <c r="R2062" s="24" t="n"/>
      <c r="S2062" s="24" t="n"/>
      <c r="Y2062" s="24" t="n"/>
    </row>
    <row r="2063">
      <c r="O2063" s="23" t="n"/>
      <c r="R2063" s="24" t="n"/>
      <c r="S2063" s="24" t="n"/>
      <c r="Y2063" s="24" t="n"/>
    </row>
    <row r="2064">
      <c r="O2064" s="23" t="n"/>
      <c r="R2064" s="24" t="n"/>
      <c r="S2064" s="24" t="n"/>
      <c r="Y2064" s="24" t="n"/>
    </row>
    <row r="2065">
      <c r="O2065" s="23" t="n"/>
      <c r="R2065" s="24" t="n"/>
      <c r="S2065" s="24" t="n"/>
      <c r="Y2065" s="24" t="n"/>
    </row>
    <row r="2066">
      <c r="O2066" s="23" t="n"/>
      <c r="R2066" s="24" t="n"/>
      <c r="S2066" s="24" t="n"/>
      <c r="Y2066" s="24" t="n"/>
    </row>
    <row r="2067">
      <c r="O2067" s="23" t="n"/>
      <c r="R2067" s="24" t="n"/>
      <c r="S2067" s="24" t="n"/>
      <c r="Y2067" s="24" t="n"/>
    </row>
    <row r="2068">
      <c r="O2068" s="23" t="n"/>
      <c r="R2068" s="24" t="n"/>
      <c r="S2068" s="24" t="n"/>
      <c r="Y2068" s="24" t="n"/>
    </row>
    <row r="2069">
      <c r="O2069" s="23" t="n"/>
      <c r="R2069" s="24" t="n"/>
      <c r="S2069" s="24" t="n"/>
      <c r="Y2069" s="24" t="n"/>
    </row>
    <row r="2070">
      <c r="O2070" s="23" t="n"/>
      <c r="R2070" s="24" t="n"/>
      <c r="S2070" s="24" t="n"/>
      <c r="Y2070" s="24" t="n"/>
    </row>
    <row r="2071">
      <c r="O2071" s="23" t="n"/>
      <c r="R2071" s="24" t="n"/>
      <c r="S2071" s="24" t="n"/>
      <c r="Y2071" s="24" t="n"/>
    </row>
    <row r="2072">
      <c r="O2072" s="23" t="n"/>
      <c r="R2072" s="24" t="n"/>
      <c r="S2072" s="24" t="n"/>
      <c r="Y2072" s="24" t="n"/>
    </row>
    <row r="2073">
      <c r="O2073" s="23" t="n"/>
      <c r="R2073" s="24" t="n"/>
      <c r="S2073" s="24" t="n"/>
      <c r="Y2073" s="24" t="n"/>
    </row>
    <row r="2074">
      <c r="O2074" s="23" t="n"/>
      <c r="R2074" s="24" t="n"/>
      <c r="S2074" s="24" t="n"/>
      <c r="Y2074" s="24" t="n"/>
    </row>
    <row r="2075">
      <c r="O2075" s="23" t="n"/>
      <c r="R2075" s="24" t="n"/>
      <c r="S2075" s="24" t="n"/>
      <c r="Y2075" s="24" t="n"/>
    </row>
    <row r="2076">
      <c r="O2076" s="23" t="n"/>
      <c r="R2076" s="24" t="n"/>
      <c r="S2076" s="24" t="n"/>
      <c r="Y2076" s="24" t="n"/>
    </row>
    <row r="2077">
      <c r="O2077" s="23" t="n"/>
      <c r="R2077" s="24" t="n"/>
      <c r="S2077" s="24" t="n"/>
      <c r="Y2077" s="24" t="n"/>
    </row>
    <row r="2078">
      <c r="O2078" s="23" t="n"/>
      <c r="R2078" s="24" t="n"/>
      <c r="S2078" s="24" t="n"/>
      <c r="Y2078" s="24" t="n"/>
    </row>
    <row r="2079">
      <c r="O2079" s="23" t="n"/>
      <c r="R2079" s="24" t="n"/>
      <c r="S2079" s="24" t="n"/>
      <c r="Y2079" s="24" t="n"/>
    </row>
    <row r="2080">
      <c r="O2080" s="23" t="n"/>
      <c r="R2080" s="24" t="n"/>
      <c r="S2080" s="24" t="n"/>
      <c r="Y2080" s="24" t="n"/>
    </row>
    <row r="2081">
      <c r="O2081" s="23" t="n"/>
      <c r="R2081" s="24" t="n"/>
      <c r="S2081" s="24" t="n"/>
      <c r="Y2081" s="24" t="n"/>
    </row>
    <row r="2082">
      <c r="O2082" s="23" t="n"/>
      <c r="R2082" s="24" t="n"/>
      <c r="S2082" s="24" t="n"/>
      <c r="Y2082" s="24" t="n"/>
    </row>
    <row r="2083">
      <c r="O2083" s="23" t="n"/>
      <c r="R2083" s="24" t="n"/>
      <c r="S2083" s="24" t="n"/>
      <c r="Y2083" s="24" t="n"/>
    </row>
    <row r="2084">
      <c r="O2084" s="23" t="n"/>
      <c r="R2084" s="24" t="n"/>
      <c r="S2084" s="24" t="n"/>
      <c r="Y2084" s="24" t="n"/>
    </row>
    <row r="2085">
      <c r="O2085" s="23" t="n"/>
      <c r="R2085" s="24" t="n"/>
      <c r="S2085" s="24" t="n"/>
      <c r="Y2085" s="24" t="n"/>
    </row>
    <row r="2086">
      <c r="O2086" s="23" t="n"/>
      <c r="R2086" s="24" t="n"/>
      <c r="S2086" s="24" t="n"/>
      <c r="Y2086" s="24" t="n"/>
    </row>
    <row r="2087">
      <c r="O2087" s="23" t="n"/>
      <c r="R2087" s="24" t="n"/>
      <c r="S2087" s="24" t="n"/>
      <c r="Y2087" s="24" t="n"/>
    </row>
    <row r="2088">
      <c r="O2088" s="23" t="n"/>
      <c r="R2088" s="24" t="n"/>
      <c r="S2088" s="24" t="n"/>
      <c r="Y2088" s="24" t="n"/>
    </row>
    <row r="2089">
      <c r="O2089" s="23" t="n"/>
      <c r="R2089" s="24" t="n"/>
      <c r="S2089" s="24" t="n"/>
      <c r="Y2089" s="24" t="n"/>
    </row>
    <row r="2090">
      <c r="O2090" s="23" t="n"/>
      <c r="R2090" s="24" t="n"/>
      <c r="S2090" s="24" t="n"/>
      <c r="Y2090" s="24" t="n"/>
    </row>
    <row r="2091">
      <c r="O2091" s="23" t="n"/>
      <c r="R2091" s="24" t="n"/>
      <c r="S2091" s="24" t="n"/>
      <c r="Y2091" s="24" t="n"/>
    </row>
    <row r="2092">
      <c r="O2092" s="23" t="n"/>
      <c r="R2092" s="24" t="n"/>
      <c r="S2092" s="24" t="n"/>
      <c r="Y2092" s="24" t="n"/>
    </row>
    <row r="2093">
      <c r="O2093" s="23" t="n"/>
      <c r="R2093" s="24" t="n"/>
      <c r="S2093" s="24" t="n"/>
      <c r="Y2093" s="24" t="n"/>
    </row>
    <row r="2094">
      <c r="O2094" s="23" t="n"/>
      <c r="R2094" s="24" t="n"/>
      <c r="S2094" s="24" t="n"/>
      <c r="Y2094" s="24" t="n"/>
    </row>
    <row r="2095">
      <c r="O2095" s="23" t="n"/>
      <c r="R2095" s="24" t="n"/>
      <c r="S2095" s="24" t="n"/>
      <c r="Y2095" s="24" t="n"/>
    </row>
    <row r="2096">
      <c r="O2096" s="23" t="n"/>
      <c r="R2096" s="24" t="n"/>
      <c r="S2096" s="24" t="n"/>
      <c r="Y2096" s="24" t="n"/>
    </row>
    <row r="2097">
      <c r="O2097" s="23" t="n"/>
      <c r="R2097" s="24" t="n"/>
      <c r="S2097" s="24" t="n"/>
      <c r="Y2097" s="24" t="n"/>
    </row>
    <row r="2098">
      <c r="O2098" s="23" t="n"/>
      <c r="R2098" s="24" t="n"/>
      <c r="S2098" s="24" t="n"/>
      <c r="Y2098" s="24" t="n"/>
    </row>
    <row r="2099">
      <c r="O2099" s="23" t="n"/>
      <c r="R2099" s="24" t="n"/>
      <c r="S2099" s="24" t="n"/>
      <c r="Y2099" s="24" t="n"/>
    </row>
    <row r="2100">
      <c r="O2100" s="23" t="n"/>
      <c r="R2100" s="24" t="n"/>
      <c r="S2100" s="24" t="n"/>
      <c r="Y2100" s="24" t="n"/>
    </row>
    <row r="2101">
      <c r="O2101" s="23" t="n"/>
      <c r="R2101" s="24" t="n"/>
      <c r="S2101" s="24" t="n"/>
      <c r="Y2101" s="24" t="n"/>
    </row>
    <row r="2102">
      <c r="O2102" s="23" t="n"/>
      <c r="R2102" s="24" t="n"/>
      <c r="S2102" s="24" t="n"/>
      <c r="Y2102" s="24" t="n"/>
    </row>
    <row r="2103">
      <c r="O2103" s="23" t="n"/>
      <c r="R2103" s="24" t="n"/>
      <c r="S2103" s="24" t="n"/>
      <c r="Y2103" s="24" t="n"/>
    </row>
    <row r="2104">
      <c r="O2104" s="23" t="n"/>
      <c r="R2104" s="24" t="n"/>
      <c r="S2104" s="24" t="n"/>
      <c r="Y2104" s="24" t="n"/>
    </row>
    <row r="2105">
      <c r="O2105" s="23" t="n"/>
      <c r="R2105" s="24" t="n"/>
      <c r="S2105" s="24" t="n"/>
      <c r="Y2105" s="24" t="n"/>
    </row>
    <row r="2106">
      <c r="O2106" s="23" t="n"/>
      <c r="R2106" s="24" t="n"/>
      <c r="S2106" s="24" t="n"/>
      <c r="Y2106" s="24" t="n"/>
    </row>
    <row r="2107">
      <c r="O2107" s="23" t="n"/>
      <c r="R2107" s="24" t="n"/>
      <c r="S2107" s="24" t="n"/>
      <c r="Y2107" s="24" t="n"/>
    </row>
    <row r="2108">
      <c r="O2108" s="23" t="n"/>
      <c r="R2108" s="24" t="n"/>
      <c r="S2108" s="24" t="n"/>
      <c r="Y2108" s="24" t="n"/>
    </row>
    <row r="2109">
      <c r="O2109" s="23" t="n"/>
      <c r="R2109" s="24" t="n"/>
      <c r="S2109" s="24" t="n"/>
      <c r="Y2109" s="24" t="n"/>
    </row>
    <row r="2110">
      <c r="O2110" s="23" t="n"/>
      <c r="R2110" s="24" t="n"/>
      <c r="S2110" s="24" t="n"/>
      <c r="Y2110" s="24" t="n"/>
    </row>
    <row r="2111">
      <c r="O2111" s="23" t="n"/>
      <c r="R2111" s="24" t="n"/>
      <c r="S2111" s="24" t="n"/>
      <c r="Y2111" s="24" t="n"/>
    </row>
    <row r="2112">
      <c r="O2112" s="23" t="n"/>
      <c r="R2112" s="24" t="n"/>
      <c r="S2112" s="24" t="n"/>
      <c r="Y2112" s="24" t="n"/>
    </row>
    <row r="2113">
      <c r="O2113" s="23" t="n"/>
      <c r="R2113" s="24" t="n"/>
      <c r="S2113" s="24" t="n"/>
      <c r="Y2113" s="24" t="n"/>
    </row>
    <row r="2114">
      <c r="O2114" s="23" t="n"/>
      <c r="R2114" s="24" t="n"/>
      <c r="S2114" s="24" t="n"/>
      <c r="Y2114" s="24" t="n"/>
    </row>
    <row r="2115">
      <c r="O2115" s="23" t="n"/>
      <c r="R2115" s="24" t="n"/>
      <c r="S2115" s="24" t="n"/>
      <c r="Y2115" s="24" t="n"/>
    </row>
    <row r="2116">
      <c r="O2116" s="23" t="n"/>
      <c r="R2116" s="24" t="n"/>
      <c r="S2116" s="24" t="n"/>
      <c r="Y2116" s="24" t="n"/>
    </row>
    <row r="2117">
      <c r="O2117" s="23" t="n"/>
      <c r="R2117" s="24" t="n"/>
      <c r="S2117" s="24" t="n"/>
      <c r="Y2117" s="24" t="n"/>
    </row>
    <row r="2118">
      <c r="O2118" s="23" t="n"/>
      <c r="R2118" s="24" t="n"/>
      <c r="S2118" s="24" t="n"/>
      <c r="Y2118" s="24" t="n"/>
    </row>
    <row r="2119">
      <c r="O2119" s="23" t="n"/>
      <c r="R2119" s="24" t="n"/>
      <c r="S2119" s="24" t="n"/>
      <c r="Y2119" s="24" t="n"/>
    </row>
    <row r="2120">
      <c r="O2120" s="23" t="n"/>
      <c r="R2120" s="24" t="n"/>
      <c r="S2120" s="24" t="n"/>
      <c r="Y2120" s="24" t="n"/>
    </row>
    <row r="2121">
      <c r="O2121" s="23" t="n"/>
      <c r="R2121" s="24" t="n"/>
      <c r="S2121" s="24" t="n"/>
      <c r="Y2121" s="24" t="n"/>
    </row>
    <row r="2122">
      <c r="O2122" s="23" t="n"/>
      <c r="R2122" s="24" t="n"/>
      <c r="S2122" s="24" t="n"/>
      <c r="Y2122" s="24" t="n"/>
    </row>
    <row r="2123">
      <c r="O2123" s="23" t="n"/>
      <c r="R2123" s="24" t="n"/>
      <c r="S2123" s="24" t="n"/>
      <c r="Y2123" s="24" t="n"/>
    </row>
    <row r="2124">
      <c r="O2124" s="23" t="n"/>
      <c r="R2124" s="24" t="n"/>
      <c r="S2124" s="24" t="n"/>
      <c r="Y2124" s="24" t="n"/>
    </row>
    <row r="2125">
      <c r="O2125" s="23" t="n"/>
      <c r="R2125" s="24" t="n"/>
      <c r="S2125" s="24" t="n"/>
      <c r="Y2125" s="24" t="n"/>
    </row>
    <row r="2126">
      <c r="O2126" s="23" t="n"/>
      <c r="R2126" s="24" t="n"/>
      <c r="S2126" s="24" t="n"/>
      <c r="Y2126" s="24" t="n"/>
    </row>
    <row r="2127">
      <c r="O2127" s="23" t="n"/>
      <c r="R2127" s="24" t="n"/>
      <c r="S2127" s="24" t="n"/>
      <c r="Y2127" s="24" t="n"/>
    </row>
    <row r="2128">
      <c r="O2128" s="23" t="n"/>
      <c r="R2128" s="24" t="n"/>
      <c r="S2128" s="24" t="n"/>
      <c r="Y2128" s="24" t="n"/>
    </row>
    <row r="2129">
      <c r="O2129" s="23" t="n"/>
      <c r="R2129" s="24" t="n"/>
      <c r="S2129" s="24" t="n"/>
      <c r="Y2129" s="24" t="n"/>
    </row>
    <row r="2130">
      <c r="O2130" s="23" t="n"/>
      <c r="R2130" s="24" t="n"/>
      <c r="S2130" s="24" t="n"/>
      <c r="Y2130" s="24" t="n"/>
    </row>
    <row r="2131">
      <c r="O2131" s="23" t="n"/>
      <c r="R2131" s="24" t="n"/>
      <c r="S2131" s="24" t="n"/>
      <c r="Y2131" s="24" t="n"/>
    </row>
    <row r="2132">
      <c r="O2132" s="23" t="n"/>
      <c r="R2132" s="24" t="n"/>
      <c r="S2132" s="24" t="n"/>
      <c r="Y2132" s="24" t="n"/>
    </row>
    <row r="2133">
      <c r="O2133" s="23" t="n"/>
      <c r="R2133" s="24" t="n"/>
      <c r="S2133" s="24" t="n"/>
      <c r="Y2133" s="24" t="n"/>
    </row>
    <row r="2134">
      <c r="O2134" s="23" t="n"/>
      <c r="R2134" s="24" t="n"/>
      <c r="S2134" s="24" t="n"/>
      <c r="Y2134" s="24" t="n"/>
    </row>
    <row r="2135">
      <c r="O2135" s="23" t="n"/>
      <c r="R2135" s="24" t="n"/>
      <c r="S2135" s="24" t="n"/>
      <c r="Y2135" s="24" t="n"/>
    </row>
    <row r="2136">
      <c r="O2136" s="23" t="n"/>
      <c r="R2136" s="24" t="n"/>
      <c r="S2136" s="24" t="n"/>
      <c r="Y2136" s="24" t="n"/>
    </row>
    <row r="2137">
      <c r="O2137" s="23" t="n"/>
      <c r="R2137" s="24" t="n"/>
      <c r="S2137" s="24" t="n"/>
      <c r="Y2137" s="24" t="n"/>
    </row>
    <row r="2138">
      <c r="O2138" s="23" t="n"/>
      <c r="R2138" s="24" t="n"/>
      <c r="S2138" s="24" t="n"/>
      <c r="Y2138" s="24" t="n"/>
    </row>
    <row r="2139">
      <c r="O2139" s="23" t="n"/>
      <c r="R2139" s="24" t="n"/>
      <c r="S2139" s="24" t="n"/>
      <c r="Y2139" s="24" t="n"/>
    </row>
    <row r="2140">
      <c r="O2140" s="23" t="n"/>
      <c r="R2140" s="24" t="n"/>
      <c r="S2140" s="24" t="n"/>
      <c r="Y2140" s="24" t="n"/>
    </row>
    <row r="2141">
      <c r="O2141" s="23" t="n"/>
      <c r="R2141" s="24" t="n"/>
      <c r="S2141" s="24" t="n"/>
      <c r="Y2141" s="24" t="n"/>
    </row>
    <row r="2142">
      <c r="O2142" s="23" t="n"/>
      <c r="R2142" s="24" t="n"/>
      <c r="S2142" s="24" t="n"/>
      <c r="Y2142" s="24" t="n"/>
    </row>
    <row r="2143">
      <c r="O2143" s="23" t="n"/>
      <c r="R2143" s="24" t="n"/>
      <c r="S2143" s="24" t="n"/>
      <c r="Y2143" s="24" t="n"/>
    </row>
    <row r="2144">
      <c r="O2144" s="23" t="n"/>
      <c r="R2144" s="24" t="n"/>
      <c r="S2144" s="24" t="n"/>
      <c r="Y2144" s="24" t="n"/>
    </row>
    <row r="2145">
      <c r="O2145" s="23" t="n"/>
      <c r="R2145" s="24" t="n"/>
      <c r="S2145" s="24" t="n"/>
      <c r="Y2145" s="24" t="n"/>
    </row>
    <row r="2146">
      <c r="O2146" s="23" t="n"/>
      <c r="R2146" s="24" t="n"/>
      <c r="S2146" s="24" t="n"/>
      <c r="Y2146" s="24" t="n"/>
    </row>
    <row r="2147">
      <c r="O2147" s="23" t="n"/>
      <c r="R2147" s="24" t="n"/>
      <c r="S2147" s="24" t="n"/>
      <c r="Y2147" s="24" t="n"/>
    </row>
    <row r="2148">
      <c r="O2148" s="23" t="n"/>
      <c r="R2148" s="24" t="n"/>
      <c r="S2148" s="24" t="n"/>
      <c r="Y2148" s="24" t="n"/>
    </row>
    <row r="2149">
      <c r="O2149" s="23" t="n"/>
      <c r="R2149" s="24" t="n"/>
      <c r="S2149" s="24" t="n"/>
      <c r="Y2149" s="24" t="n"/>
    </row>
    <row r="2150">
      <c r="O2150" s="23" t="n"/>
      <c r="R2150" s="24" t="n"/>
      <c r="S2150" s="24" t="n"/>
      <c r="Y2150" s="24" t="n"/>
    </row>
    <row r="2151">
      <c r="O2151" s="23" t="n"/>
      <c r="R2151" s="24" t="n"/>
      <c r="S2151" s="24" t="n"/>
      <c r="Y2151" s="24" t="n"/>
    </row>
    <row r="2152">
      <c r="O2152" s="23" t="n"/>
      <c r="R2152" s="24" t="n"/>
      <c r="S2152" s="24" t="n"/>
      <c r="Y2152" s="24" t="n"/>
    </row>
    <row r="2153">
      <c r="O2153" s="23" t="n"/>
      <c r="R2153" s="24" t="n"/>
      <c r="S2153" s="24" t="n"/>
      <c r="Y2153" s="24" t="n"/>
    </row>
    <row r="2154">
      <c r="O2154" s="23" t="n"/>
      <c r="R2154" s="24" t="n"/>
      <c r="S2154" s="24" t="n"/>
      <c r="Y2154" s="24" t="n"/>
    </row>
    <row r="2155">
      <c r="O2155" s="23" t="n"/>
      <c r="R2155" s="24" t="n"/>
      <c r="S2155" s="24" t="n"/>
      <c r="Y2155" s="24" t="n"/>
    </row>
    <row r="2156">
      <c r="O2156" s="23" t="n"/>
      <c r="R2156" s="24" t="n"/>
      <c r="S2156" s="24" t="n"/>
      <c r="Y2156" s="24" t="n"/>
    </row>
    <row r="2157">
      <c r="O2157" s="23" t="n"/>
      <c r="R2157" s="24" t="n"/>
      <c r="S2157" s="24" t="n"/>
      <c r="Y2157" s="24" t="n"/>
    </row>
    <row r="2158">
      <c r="O2158" s="23" t="n"/>
      <c r="R2158" s="24" t="n"/>
      <c r="S2158" s="24" t="n"/>
      <c r="Y2158" s="24" t="n"/>
    </row>
    <row r="2159">
      <c r="O2159" s="23" t="n"/>
      <c r="R2159" s="24" t="n"/>
      <c r="S2159" s="24" t="n"/>
      <c r="Y2159" s="24" t="n"/>
    </row>
    <row r="2160">
      <c r="O2160" s="23" t="n"/>
      <c r="R2160" s="24" t="n"/>
      <c r="S2160" s="24" t="n"/>
      <c r="Y2160" s="24" t="n"/>
    </row>
    <row r="2161">
      <c r="O2161" s="23" t="n"/>
      <c r="R2161" s="24" t="n"/>
      <c r="S2161" s="24" t="n"/>
      <c r="Y2161" s="24" t="n"/>
    </row>
    <row r="2162">
      <c r="O2162" s="23" t="n"/>
      <c r="R2162" s="24" t="n"/>
      <c r="S2162" s="24" t="n"/>
      <c r="Y2162" s="24" t="n"/>
    </row>
    <row r="2163">
      <c r="O2163" s="23" t="n"/>
      <c r="R2163" s="24" t="n"/>
      <c r="S2163" s="24" t="n"/>
      <c r="Y2163" s="24" t="n"/>
    </row>
    <row r="2164">
      <c r="O2164" s="23" t="n"/>
      <c r="R2164" s="24" t="n"/>
      <c r="S2164" s="24" t="n"/>
      <c r="Y2164" s="24" t="n"/>
    </row>
    <row r="2165">
      <c r="O2165" s="23" t="n"/>
      <c r="R2165" s="24" t="n"/>
      <c r="S2165" s="24" t="n"/>
      <c r="Y2165" s="24" t="n"/>
    </row>
    <row r="2166">
      <c r="O2166" s="23" t="n"/>
      <c r="R2166" s="24" t="n"/>
      <c r="S2166" s="24" t="n"/>
      <c r="Y2166" s="24" t="n"/>
    </row>
    <row r="2167">
      <c r="O2167" s="23" t="n"/>
      <c r="R2167" s="24" t="n"/>
      <c r="S2167" s="24" t="n"/>
      <c r="Y2167" s="24" t="n"/>
    </row>
    <row r="2168">
      <c r="O2168" s="23" t="n"/>
      <c r="R2168" s="24" t="n"/>
      <c r="S2168" s="24" t="n"/>
      <c r="Y2168" s="24" t="n"/>
    </row>
    <row r="2169">
      <c r="O2169" s="23" t="n"/>
      <c r="R2169" s="24" t="n"/>
      <c r="S2169" s="24" t="n"/>
      <c r="Y2169" s="24" t="n"/>
    </row>
    <row r="2170">
      <c r="O2170" s="23" t="n"/>
      <c r="R2170" s="24" t="n"/>
      <c r="S2170" s="24" t="n"/>
      <c r="Y2170" s="24" t="n"/>
    </row>
    <row r="2171">
      <c r="O2171" s="23" t="n"/>
      <c r="R2171" s="24" t="n"/>
      <c r="S2171" s="24" t="n"/>
      <c r="Y2171" s="24" t="n"/>
    </row>
    <row r="2172">
      <c r="O2172" s="23" t="n"/>
      <c r="R2172" s="24" t="n"/>
      <c r="S2172" s="24" t="n"/>
      <c r="Y2172" s="24" t="n"/>
    </row>
    <row r="2173">
      <c r="O2173" s="23" t="n"/>
      <c r="R2173" s="24" t="n"/>
      <c r="S2173" s="24" t="n"/>
      <c r="Y2173" s="24" t="n"/>
    </row>
    <row r="2174">
      <c r="O2174" s="23" t="n"/>
      <c r="R2174" s="24" t="n"/>
      <c r="S2174" s="24" t="n"/>
      <c r="Y2174" s="24" t="n"/>
    </row>
    <row r="2175">
      <c r="O2175" s="23" t="n"/>
      <c r="R2175" s="24" t="n"/>
      <c r="S2175" s="24" t="n"/>
      <c r="Y2175" s="24" t="n"/>
    </row>
    <row r="2176">
      <c r="O2176" s="23" t="n"/>
      <c r="R2176" s="24" t="n"/>
      <c r="S2176" s="24" t="n"/>
      <c r="Y2176" s="24" t="n"/>
    </row>
    <row r="2177">
      <c r="O2177" s="23" t="n"/>
      <c r="R2177" s="24" t="n"/>
      <c r="S2177" s="24" t="n"/>
      <c r="Y2177" s="24" t="n"/>
    </row>
    <row r="2178">
      <c r="O2178" s="23" t="n"/>
      <c r="R2178" s="24" t="n"/>
      <c r="S2178" s="24" t="n"/>
      <c r="Y2178" s="24" t="n"/>
    </row>
    <row r="2179">
      <c r="O2179" s="23" t="n"/>
      <c r="R2179" s="24" t="n"/>
      <c r="S2179" s="24" t="n"/>
      <c r="Y2179" s="24" t="n"/>
    </row>
    <row r="2180">
      <c r="O2180" s="23" t="n"/>
      <c r="R2180" s="24" t="n"/>
      <c r="S2180" s="24" t="n"/>
      <c r="Y2180" s="24" t="n"/>
    </row>
    <row r="2181">
      <c r="O2181" s="23" t="n"/>
      <c r="R2181" s="24" t="n"/>
      <c r="S2181" s="24" t="n"/>
      <c r="Y2181" s="24" t="n"/>
    </row>
    <row r="2182">
      <c r="O2182" s="23" t="n"/>
      <c r="R2182" s="24" t="n"/>
      <c r="S2182" s="24" t="n"/>
      <c r="Y2182" s="24" t="n"/>
    </row>
    <row r="2183">
      <c r="O2183" s="23" t="n"/>
      <c r="R2183" s="24" t="n"/>
      <c r="S2183" s="24" t="n"/>
      <c r="Y2183" s="24" t="n"/>
    </row>
    <row r="2184">
      <c r="O2184" s="23" t="n"/>
      <c r="R2184" s="24" t="n"/>
      <c r="S2184" s="24" t="n"/>
      <c r="Y2184" s="24" t="n"/>
    </row>
    <row r="2185">
      <c r="O2185" s="23" t="n"/>
      <c r="R2185" s="24" t="n"/>
      <c r="S2185" s="24" t="n"/>
      <c r="Y2185" s="24" t="n"/>
    </row>
    <row r="2186">
      <c r="O2186" s="23" t="n"/>
      <c r="R2186" s="24" t="n"/>
      <c r="S2186" s="24" t="n"/>
      <c r="Y2186" s="24" t="n"/>
    </row>
    <row r="2187">
      <c r="O2187" s="23" t="n"/>
      <c r="R2187" s="24" t="n"/>
      <c r="S2187" s="24" t="n"/>
      <c r="Y2187" s="24" t="n"/>
    </row>
    <row r="2188">
      <c r="O2188" s="23" t="n"/>
      <c r="R2188" s="24" t="n"/>
      <c r="S2188" s="24" t="n"/>
      <c r="Y2188" s="24" t="n"/>
    </row>
    <row r="2189">
      <c r="O2189" s="23" t="n"/>
      <c r="R2189" s="24" t="n"/>
      <c r="S2189" s="24" t="n"/>
      <c r="Y2189" s="24" t="n"/>
    </row>
    <row r="2190">
      <c r="O2190" s="23" t="n"/>
      <c r="R2190" s="24" t="n"/>
      <c r="S2190" s="24" t="n"/>
      <c r="Y2190" s="24" t="n"/>
    </row>
    <row r="2191">
      <c r="O2191" s="23" t="n"/>
      <c r="R2191" s="24" t="n"/>
      <c r="S2191" s="24" t="n"/>
      <c r="Y2191" s="24" t="n"/>
    </row>
    <row r="2192">
      <c r="O2192" s="23" t="n"/>
      <c r="R2192" s="24" t="n"/>
      <c r="S2192" s="24" t="n"/>
      <c r="Y2192" s="24" t="n"/>
    </row>
    <row r="2193">
      <c r="O2193" s="23" t="n"/>
      <c r="R2193" s="24" t="n"/>
      <c r="S2193" s="24" t="n"/>
      <c r="Y2193" s="24" t="n"/>
    </row>
    <row r="2194">
      <c r="O2194" s="23" t="n"/>
      <c r="R2194" s="24" t="n"/>
      <c r="S2194" s="24" t="n"/>
      <c r="Y2194" s="24" t="n"/>
    </row>
    <row r="2195">
      <c r="O2195" s="23" t="n"/>
      <c r="R2195" s="24" t="n"/>
      <c r="S2195" s="24" t="n"/>
      <c r="Y2195" s="24" t="n"/>
    </row>
    <row r="2196">
      <c r="O2196" s="23" t="n"/>
      <c r="R2196" s="24" t="n"/>
      <c r="S2196" s="24" t="n"/>
      <c r="Y2196" s="24" t="n"/>
    </row>
    <row r="2197">
      <c r="O2197" s="23" t="n"/>
      <c r="R2197" s="24" t="n"/>
      <c r="S2197" s="24" t="n"/>
      <c r="Y2197" s="24" t="n"/>
    </row>
    <row r="2198">
      <c r="O2198" s="23" t="n"/>
      <c r="R2198" s="24" t="n"/>
      <c r="S2198" s="24" t="n"/>
      <c r="Y2198" s="24" t="n"/>
    </row>
    <row r="2199">
      <c r="O2199" s="23" t="n"/>
      <c r="R2199" s="24" t="n"/>
      <c r="S2199" s="24" t="n"/>
      <c r="Y2199" s="24" t="n"/>
    </row>
    <row r="2200">
      <c r="O2200" s="23" t="n"/>
      <c r="R2200" s="24" t="n"/>
      <c r="S2200" s="24" t="n"/>
      <c r="Y2200" s="24" t="n"/>
    </row>
    <row r="2201">
      <c r="O2201" s="23" t="n"/>
      <c r="R2201" s="24" t="n"/>
      <c r="S2201" s="24" t="n"/>
      <c r="Y2201" s="24" t="n"/>
    </row>
    <row r="2202">
      <c r="O2202" s="23" t="n"/>
      <c r="R2202" s="24" t="n"/>
      <c r="S2202" s="24" t="n"/>
      <c r="Y2202" s="24" t="n"/>
    </row>
    <row r="2203">
      <c r="O2203" s="23" t="n"/>
      <c r="R2203" s="24" t="n"/>
      <c r="S2203" s="24" t="n"/>
      <c r="Y2203" s="24" t="n"/>
    </row>
    <row r="2204">
      <c r="O2204" s="23" t="n"/>
      <c r="R2204" s="24" t="n"/>
      <c r="S2204" s="24" t="n"/>
      <c r="Y2204" s="24" t="n"/>
    </row>
    <row r="2205">
      <c r="O2205" s="23" t="n"/>
      <c r="R2205" s="24" t="n"/>
      <c r="S2205" s="24" t="n"/>
      <c r="Y2205" s="24" t="n"/>
    </row>
    <row r="2206">
      <c r="O2206" s="23" t="n"/>
      <c r="R2206" s="24" t="n"/>
      <c r="S2206" s="24" t="n"/>
      <c r="Y2206" s="24" t="n"/>
    </row>
    <row r="2207">
      <c r="O2207" s="23" t="n"/>
      <c r="R2207" s="24" t="n"/>
      <c r="S2207" s="24" t="n"/>
      <c r="Y2207" s="24" t="n"/>
    </row>
    <row r="2208">
      <c r="O2208" s="23" t="n"/>
      <c r="R2208" s="24" t="n"/>
      <c r="S2208" s="24" t="n"/>
      <c r="Y2208" s="24" t="n"/>
    </row>
    <row r="2209">
      <c r="O2209" s="23" t="n"/>
      <c r="R2209" s="24" t="n"/>
      <c r="S2209" s="24" t="n"/>
      <c r="Y2209" s="24" t="n"/>
    </row>
    <row r="2210">
      <c r="O2210" s="23" t="n"/>
      <c r="R2210" s="24" t="n"/>
      <c r="S2210" s="24" t="n"/>
      <c r="Y2210" s="24" t="n"/>
    </row>
    <row r="2211">
      <c r="O2211" s="23" t="n"/>
      <c r="R2211" s="24" t="n"/>
      <c r="S2211" s="24" t="n"/>
      <c r="Y2211" s="24" t="n"/>
    </row>
    <row r="2212">
      <c r="O2212" s="23" t="n"/>
      <c r="R2212" s="24" t="n"/>
      <c r="S2212" s="24" t="n"/>
      <c r="Y2212" s="24" t="n"/>
    </row>
    <row r="2213">
      <c r="O2213" s="23" t="n"/>
      <c r="R2213" s="24" t="n"/>
      <c r="S2213" s="24" t="n"/>
      <c r="Y2213" s="24" t="n"/>
    </row>
    <row r="2214">
      <c r="O2214" s="23" t="n"/>
      <c r="R2214" s="24" t="n"/>
      <c r="S2214" s="24" t="n"/>
      <c r="Y2214" s="24" t="n"/>
    </row>
    <row r="2215">
      <c r="O2215" s="23" t="n"/>
      <c r="R2215" s="24" t="n"/>
      <c r="S2215" s="24" t="n"/>
      <c r="Y2215" s="24" t="n"/>
    </row>
    <row r="2216">
      <c r="O2216" s="23" t="n"/>
      <c r="R2216" s="24" t="n"/>
      <c r="S2216" s="24" t="n"/>
      <c r="Y2216" s="24" t="n"/>
    </row>
    <row r="2217">
      <c r="O2217" s="23" t="n"/>
      <c r="R2217" s="24" t="n"/>
      <c r="S2217" s="24" t="n"/>
      <c r="Y2217" s="24" t="n"/>
    </row>
    <row r="2218">
      <c r="O2218" s="23" t="n"/>
      <c r="R2218" s="24" t="n"/>
      <c r="S2218" s="24" t="n"/>
      <c r="Y2218" s="24" t="n"/>
    </row>
    <row r="2219">
      <c r="O2219" s="23" t="n"/>
      <c r="R2219" s="24" t="n"/>
      <c r="S2219" s="24" t="n"/>
      <c r="Y2219" s="24" t="n"/>
    </row>
    <row r="2220">
      <c r="O2220" s="23" t="n"/>
      <c r="R2220" s="24" t="n"/>
      <c r="S2220" s="24" t="n"/>
      <c r="Y2220" s="24" t="n"/>
    </row>
    <row r="2221">
      <c r="O2221" s="23" t="n"/>
      <c r="R2221" s="24" t="n"/>
      <c r="S2221" s="24" t="n"/>
      <c r="Y2221" s="24" t="n"/>
    </row>
    <row r="2222">
      <c r="O2222" s="23" t="n"/>
      <c r="R2222" s="24" t="n"/>
      <c r="S2222" s="24" t="n"/>
      <c r="Y2222" s="24" t="n"/>
    </row>
    <row r="2223">
      <c r="O2223" s="23" t="n"/>
      <c r="R2223" s="24" t="n"/>
      <c r="S2223" s="24" t="n"/>
      <c r="Y2223" s="24" t="n"/>
    </row>
    <row r="2224">
      <c r="O2224" s="23" t="n"/>
      <c r="R2224" s="24" t="n"/>
      <c r="S2224" s="24" t="n"/>
      <c r="Y2224" s="24" t="n"/>
    </row>
    <row r="2225">
      <c r="O2225" s="23" t="n"/>
      <c r="R2225" s="24" t="n"/>
      <c r="S2225" s="24" t="n"/>
      <c r="Y2225" s="24" t="n"/>
    </row>
    <row r="2226">
      <c r="O2226" s="23" t="n"/>
      <c r="R2226" s="24" t="n"/>
      <c r="S2226" s="24" t="n"/>
      <c r="Y2226" s="24" t="n"/>
    </row>
    <row r="2227">
      <c r="O2227" s="23" t="n"/>
      <c r="R2227" s="24" t="n"/>
      <c r="S2227" s="24" t="n"/>
      <c r="Y2227" s="24" t="n"/>
    </row>
    <row r="2228">
      <c r="O2228" s="23" t="n"/>
      <c r="R2228" s="24" t="n"/>
      <c r="S2228" s="24" t="n"/>
      <c r="Y2228" s="24" t="n"/>
    </row>
    <row r="2229">
      <c r="O2229" s="23" t="n"/>
      <c r="R2229" s="24" t="n"/>
      <c r="S2229" s="24" t="n"/>
      <c r="Y2229" s="24" t="n"/>
    </row>
    <row r="2230">
      <c r="O2230" s="23" t="n"/>
      <c r="R2230" s="24" t="n"/>
      <c r="S2230" s="24" t="n"/>
      <c r="Y2230" s="24" t="n"/>
    </row>
    <row r="2231">
      <c r="O2231" s="23" t="n"/>
      <c r="R2231" s="24" t="n"/>
      <c r="S2231" s="24" t="n"/>
      <c r="Y2231" s="24" t="n"/>
    </row>
    <row r="2232">
      <c r="O2232" s="23" t="n"/>
      <c r="R2232" s="24" t="n"/>
      <c r="S2232" s="24" t="n"/>
      <c r="Y2232" s="24" t="n"/>
    </row>
    <row r="2233">
      <c r="O2233" s="23" t="n"/>
      <c r="R2233" s="24" t="n"/>
      <c r="S2233" s="24" t="n"/>
      <c r="Y2233" s="24" t="n"/>
    </row>
    <row r="2234">
      <c r="O2234" s="23" t="n"/>
      <c r="R2234" s="24" t="n"/>
      <c r="S2234" s="24" t="n"/>
      <c r="Y2234" s="24" t="n"/>
    </row>
    <row r="2235">
      <c r="O2235" s="23" t="n"/>
      <c r="R2235" s="24" t="n"/>
      <c r="S2235" s="24" t="n"/>
      <c r="Y2235" s="24" t="n"/>
    </row>
    <row r="2236">
      <c r="O2236" s="23" t="n"/>
      <c r="R2236" s="24" t="n"/>
      <c r="S2236" s="24" t="n"/>
      <c r="Y2236" s="24" t="n"/>
    </row>
    <row r="2237">
      <c r="O2237" s="23" t="n"/>
      <c r="R2237" s="24" t="n"/>
      <c r="S2237" s="24" t="n"/>
      <c r="Y2237" s="24" t="n"/>
    </row>
    <row r="2238">
      <c r="O2238" s="23" t="n"/>
      <c r="R2238" s="24" t="n"/>
      <c r="S2238" s="24" t="n"/>
      <c r="Y2238" s="24" t="n"/>
    </row>
    <row r="2239">
      <c r="O2239" s="23" t="n"/>
      <c r="R2239" s="24" t="n"/>
      <c r="S2239" s="24" t="n"/>
      <c r="Y2239" s="24" t="n"/>
    </row>
    <row r="2240">
      <c r="O2240" s="23" t="n"/>
      <c r="R2240" s="24" t="n"/>
      <c r="S2240" s="24" t="n"/>
      <c r="Y2240" s="24" t="n"/>
    </row>
    <row r="2241">
      <c r="O2241" s="23" t="n"/>
      <c r="R2241" s="24" t="n"/>
      <c r="S2241" s="24" t="n"/>
      <c r="Y2241" s="24" t="n"/>
    </row>
    <row r="2242">
      <c r="O2242" s="23" t="n"/>
      <c r="R2242" s="24" t="n"/>
      <c r="S2242" s="24" t="n"/>
      <c r="Y2242" s="24" t="n"/>
    </row>
    <row r="2243">
      <c r="O2243" s="23" t="n"/>
      <c r="R2243" s="24" t="n"/>
      <c r="S2243" s="24" t="n"/>
      <c r="Y2243" s="24" t="n"/>
    </row>
    <row r="2244">
      <c r="O2244" s="23" t="n"/>
      <c r="R2244" s="24" t="n"/>
      <c r="S2244" s="24" t="n"/>
      <c r="Y2244" s="24" t="n"/>
    </row>
    <row r="2245">
      <c r="O2245" s="23" t="n"/>
      <c r="R2245" s="24" t="n"/>
      <c r="S2245" s="24" t="n"/>
      <c r="Y2245" s="24" t="n"/>
    </row>
    <row r="2246">
      <c r="O2246" s="23" t="n"/>
      <c r="R2246" s="24" t="n"/>
      <c r="S2246" s="24" t="n"/>
      <c r="Y2246" s="24" t="n"/>
    </row>
    <row r="2247">
      <c r="O2247" s="23" t="n"/>
      <c r="R2247" s="24" t="n"/>
      <c r="S2247" s="24" t="n"/>
      <c r="Y2247" s="24" t="n"/>
    </row>
    <row r="2248">
      <c r="O2248" s="23" t="n"/>
      <c r="R2248" s="24" t="n"/>
      <c r="S2248" s="24" t="n"/>
      <c r="Y2248" s="24" t="n"/>
    </row>
    <row r="2249">
      <c r="O2249" s="23" t="n"/>
      <c r="R2249" s="24" t="n"/>
      <c r="S2249" s="24" t="n"/>
      <c r="Y2249" s="24" t="n"/>
    </row>
    <row r="2250">
      <c r="O2250" s="23" t="n"/>
      <c r="R2250" s="24" t="n"/>
      <c r="S2250" s="24" t="n"/>
      <c r="Y2250" s="24" t="n"/>
    </row>
    <row r="2251">
      <c r="O2251" s="23" t="n"/>
      <c r="R2251" s="24" t="n"/>
      <c r="S2251" s="24" t="n"/>
      <c r="Y2251" s="24" t="n"/>
    </row>
    <row r="2252">
      <c r="O2252" s="23" t="n"/>
      <c r="R2252" s="24" t="n"/>
      <c r="S2252" s="24" t="n"/>
      <c r="Y2252" s="24" t="n"/>
    </row>
    <row r="2253">
      <c r="O2253" s="23" t="n"/>
      <c r="R2253" s="24" t="n"/>
      <c r="S2253" s="24" t="n"/>
      <c r="Y2253" s="24" t="n"/>
    </row>
    <row r="2254">
      <c r="O2254" s="23" t="n"/>
      <c r="R2254" s="24" t="n"/>
      <c r="S2254" s="24" t="n"/>
      <c r="Y2254" s="24" t="n"/>
    </row>
    <row r="2255">
      <c r="O2255" s="23" t="n"/>
      <c r="R2255" s="24" t="n"/>
      <c r="S2255" s="24" t="n"/>
      <c r="Y2255" s="24" t="n"/>
    </row>
    <row r="2256">
      <c r="O2256" s="23" t="n"/>
      <c r="R2256" s="24" t="n"/>
      <c r="S2256" s="24" t="n"/>
      <c r="Y2256" s="24" t="n"/>
    </row>
    <row r="2257">
      <c r="O2257" s="23" t="n"/>
      <c r="R2257" s="24" t="n"/>
      <c r="S2257" s="24" t="n"/>
      <c r="Y2257" s="24" t="n"/>
    </row>
    <row r="2258">
      <c r="O2258" s="23" t="n"/>
      <c r="R2258" s="24" t="n"/>
      <c r="S2258" s="24" t="n"/>
      <c r="Y2258" s="24" t="n"/>
    </row>
    <row r="2259">
      <c r="O2259" s="23" t="n"/>
      <c r="R2259" s="24" t="n"/>
      <c r="S2259" s="24" t="n"/>
      <c r="Y2259" s="24" t="n"/>
    </row>
    <row r="2260">
      <c r="O2260" s="23" t="n"/>
      <c r="R2260" s="24" t="n"/>
      <c r="S2260" s="24" t="n"/>
      <c r="Y2260" s="24" t="n"/>
    </row>
    <row r="2261">
      <c r="O2261" s="23" t="n"/>
      <c r="R2261" s="24" t="n"/>
      <c r="S2261" s="24" t="n"/>
      <c r="Y2261" s="24" t="n"/>
    </row>
    <row r="2262">
      <c r="O2262" s="23" t="n"/>
      <c r="R2262" s="24" t="n"/>
      <c r="S2262" s="24" t="n"/>
      <c r="Y2262" s="24" t="n"/>
    </row>
    <row r="2263">
      <c r="O2263" s="23" t="n"/>
      <c r="R2263" s="24" t="n"/>
      <c r="S2263" s="24" t="n"/>
      <c r="Y2263" s="24" t="n"/>
    </row>
    <row r="2264">
      <c r="O2264" s="23" t="n"/>
      <c r="R2264" s="24" t="n"/>
      <c r="S2264" s="24" t="n"/>
      <c r="Y2264" s="24" t="n"/>
    </row>
    <row r="2265">
      <c r="O2265" s="23" t="n"/>
      <c r="R2265" s="24" t="n"/>
      <c r="S2265" s="24" t="n"/>
      <c r="Y2265" s="24" t="n"/>
    </row>
    <row r="2266">
      <c r="O2266" s="23" t="n"/>
      <c r="R2266" s="24" t="n"/>
      <c r="S2266" s="24" t="n"/>
      <c r="Y2266" s="24" t="n"/>
    </row>
    <row r="2267">
      <c r="O2267" s="23" t="n"/>
      <c r="R2267" s="24" t="n"/>
      <c r="S2267" s="24" t="n"/>
      <c r="Y2267" s="24" t="n"/>
    </row>
    <row r="2268">
      <c r="O2268" s="23" t="n"/>
      <c r="R2268" s="24" t="n"/>
      <c r="S2268" s="24" t="n"/>
      <c r="Y2268" s="24" t="n"/>
    </row>
    <row r="2269">
      <c r="O2269" s="23" t="n"/>
      <c r="R2269" s="24" t="n"/>
      <c r="S2269" s="24" t="n"/>
      <c r="Y2269" s="24" t="n"/>
    </row>
    <row r="2270">
      <c r="O2270" s="23" t="n"/>
      <c r="R2270" s="24" t="n"/>
      <c r="S2270" s="24" t="n"/>
      <c r="Y2270" s="24" t="n"/>
    </row>
    <row r="2271">
      <c r="O2271" s="23" t="n"/>
      <c r="R2271" s="24" t="n"/>
      <c r="S2271" s="24" t="n"/>
      <c r="Y2271" s="24" t="n"/>
    </row>
    <row r="2272">
      <c r="O2272" s="23" t="n"/>
      <c r="R2272" s="24" t="n"/>
      <c r="S2272" s="24" t="n"/>
      <c r="Y2272" s="24" t="n"/>
    </row>
    <row r="2273">
      <c r="O2273" s="23" t="n"/>
      <c r="R2273" s="24" t="n"/>
      <c r="S2273" s="24" t="n"/>
      <c r="Y2273" s="24" t="n"/>
    </row>
    <row r="2274">
      <c r="O2274" s="23" t="n"/>
      <c r="R2274" s="24" t="n"/>
      <c r="S2274" s="24" t="n"/>
      <c r="Y2274" s="24" t="n"/>
    </row>
    <row r="2275">
      <c r="O2275" s="23" t="n"/>
      <c r="R2275" s="24" t="n"/>
      <c r="S2275" s="24" t="n"/>
      <c r="Y2275" s="24" t="n"/>
    </row>
    <row r="2276">
      <c r="O2276" s="23" t="n"/>
      <c r="R2276" s="24" t="n"/>
      <c r="S2276" s="24" t="n"/>
      <c r="Y2276" s="24" t="n"/>
    </row>
    <row r="2277">
      <c r="O2277" s="23" t="n"/>
      <c r="R2277" s="24" t="n"/>
      <c r="S2277" s="24" t="n"/>
      <c r="Y2277" s="24" t="n"/>
    </row>
    <row r="2278">
      <c r="O2278" s="23" t="n"/>
      <c r="R2278" s="24" t="n"/>
      <c r="S2278" s="24" t="n"/>
      <c r="Y2278" s="24" t="n"/>
    </row>
    <row r="2279">
      <c r="O2279" s="23" t="n"/>
      <c r="R2279" s="24" t="n"/>
      <c r="S2279" s="24" t="n"/>
      <c r="Y2279" s="24" t="n"/>
    </row>
    <row r="2280">
      <c r="O2280" s="23" t="n"/>
      <c r="R2280" s="24" t="n"/>
      <c r="S2280" s="24" t="n"/>
      <c r="Y2280" s="24" t="n"/>
    </row>
    <row r="2281">
      <c r="O2281" s="23" t="n"/>
      <c r="R2281" s="24" t="n"/>
      <c r="S2281" s="24" t="n"/>
      <c r="Y2281" s="24" t="n"/>
    </row>
    <row r="2282">
      <c r="O2282" s="23" t="n"/>
      <c r="R2282" s="24" t="n"/>
      <c r="S2282" s="24" t="n"/>
      <c r="Y2282" s="24" t="n"/>
    </row>
    <row r="2283">
      <c r="O2283" s="23" t="n"/>
      <c r="R2283" s="24" t="n"/>
      <c r="S2283" s="24" t="n"/>
      <c r="Y2283" s="24" t="n"/>
    </row>
    <row r="2284">
      <c r="O2284" s="23" t="n"/>
      <c r="R2284" s="24" t="n"/>
      <c r="S2284" s="24" t="n"/>
      <c r="Y2284" s="24" t="n"/>
    </row>
    <row r="2285">
      <c r="O2285" s="23" t="n"/>
      <c r="R2285" s="24" t="n"/>
      <c r="S2285" s="24" t="n"/>
      <c r="Y2285" s="24" t="n"/>
    </row>
    <row r="2286">
      <c r="O2286" s="23" t="n"/>
      <c r="R2286" s="24" t="n"/>
      <c r="S2286" s="24" t="n"/>
      <c r="Y2286" s="24" t="n"/>
    </row>
    <row r="2287">
      <c r="O2287" s="23" t="n"/>
      <c r="R2287" s="24" t="n"/>
      <c r="S2287" s="24" t="n"/>
      <c r="Y2287" s="24" t="n"/>
    </row>
    <row r="2288">
      <c r="O2288" s="23" t="n"/>
      <c r="R2288" s="24" t="n"/>
      <c r="S2288" s="24" t="n"/>
      <c r="Y2288" s="24" t="n"/>
    </row>
    <row r="2289">
      <c r="O2289" s="23" t="n"/>
      <c r="R2289" s="24" t="n"/>
      <c r="S2289" s="24" t="n"/>
      <c r="Y2289" s="24" t="n"/>
    </row>
    <row r="2290">
      <c r="O2290" s="23" t="n"/>
      <c r="R2290" s="24" t="n"/>
      <c r="S2290" s="24" t="n"/>
      <c r="Y2290" s="24" t="n"/>
    </row>
    <row r="2291">
      <c r="O2291" s="23" t="n"/>
      <c r="R2291" s="24" t="n"/>
      <c r="S2291" s="24" t="n"/>
      <c r="Y2291" s="24" t="n"/>
    </row>
    <row r="2292">
      <c r="O2292" s="23" t="n"/>
      <c r="R2292" s="24" t="n"/>
      <c r="S2292" s="24" t="n"/>
      <c r="Y2292" s="24" t="n"/>
    </row>
    <row r="2293">
      <c r="O2293" s="23" t="n"/>
      <c r="R2293" s="24" t="n"/>
      <c r="S2293" s="24" t="n"/>
      <c r="Y2293" s="24" t="n"/>
    </row>
    <row r="2294">
      <c r="O2294" s="23" t="n"/>
      <c r="R2294" s="24" t="n"/>
      <c r="S2294" s="24" t="n"/>
      <c r="Y2294" s="24" t="n"/>
    </row>
    <row r="2295">
      <c r="O2295" s="23" t="n"/>
      <c r="R2295" s="24" t="n"/>
      <c r="S2295" s="24" t="n"/>
      <c r="Y2295" s="24" t="n"/>
    </row>
    <row r="2296">
      <c r="O2296" s="23" t="n"/>
      <c r="R2296" s="24" t="n"/>
      <c r="S2296" s="24" t="n"/>
      <c r="Y2296" s="24" t="n"/>
    </row>
    <row r="2297">
      <c r="O2297" s="23" t="n"/>
      <c r="R2297" s="24" t="n"/>
      <c r="S2297" s="24" t="n"/>
      <c r="Y2297" s="24" t="n"/>
    </row>
    <row r="2298">
      <c r="O2298" s="23" t="n"/>
      <c r="R2298" s="24" t="n"/>
      <c r="S2298" s="24" t="n"/>
      <c r="Y2298" s="24" t="n"/>
    </row>
    <row r="2299">
      <c r="O2299" s="23" t="n"/>
      <c r="R2299" s="24" t="n"/>
      <c r="S2299" s="24" t="n"/>
      <c r="Y2299" s="24" t="n"/>
    </row>
    <row r="2300">
      <c r="O2300" s="23" t="n"/>
      <c r="R2300" s="24" t="n"/>
      <c r="S2300" s="24" t="n"/>
      <c r="Y2300" s="24" t="n"/>
    </row>
    <row r="2301">
      <c r="O2301" s="23" t="n"/>
      <c r="R2301" s="24" t="n"/>
      <c r="S2301" s="24" t="n"/>
      <c r="Y2301" s="24" t="n"/>
    </row>
    <row r="2302">
      <c r="O2302" s="23" t="n"/>
      <c r="R2302" s="24" t="n"/>
      <c r="S2302" s="24" t="n"/>
      <c r="Y2302" s="24" t="n"/>
    </row>
    <row r="2303">
      <c r="O2303" s="23" t="n"/>
      <c r="R2303" s="24" t="n"/>
      <c r="S2303" s="24" t="n"/>
      <c r="Y2303" s="24" t="n"/>
    </row>
    <row r="2304">
      <c r="O2304" s="23" t="n"/>
      <c r="R2304" s="24" t="n"/>
      <c r="S2304" s="24" t="n"/>
      <c r="Y2304" s="24" t="n"/>
    </row>
    <row r="2305">
      <c r="O2305" s="23" t="n"/>
      <c r="R2305" s="24" t="n"/>
      <c r="S2305" s="24" t="n"/>
      <c r="Y2305" s="24" t="n"/>
    </row>
    <row r="2306">
      <c r="O2306" s="23" t="n"/>
      <c r="R2306" s="24" t="n"/>
      <c r="S2306" s="24" t="n"/>
      <c r="Y2306" s="24" t="n"/>
    </row>
    <row r="2307">
      <c r="O2307" s="23" t="n"/>
      <c r="R2307" s="24" t="n"/>
      <c r="S2307" s="24" t="n"/>
      <c r="Y2307" s="24" t="n"/>
    </row>
    <row r="2308">
      <c r="O2308" s="23" t="n"/>
      <c r="R2308" s="24" t="n"/>
      <c r="S2308" s="24" t="n"/>
      <c r="Y2308" s="24" t="n"/>
    </row>
    <row r="2309">
      <c r="O2309" s="23" t="n"/>
      <c r="R2309" s="24" t="n"/>
      <c r="S2309" s="24" t="n"/>
      <c r="Y2309" s="24" t="n"/>
    </row>
    <row r="2310">
      <c r="O2310" s="23" t="n"/>
      <c r="R2310" s="24" t="n"/>
      <c r="S2310" s="24" t="n"/>
      <c r="Y2310" s="24" t="n"/>
    </row>
    <row r="2311">
      <c r="O2311" s="23" t="n"/>
      <c r="R2311" s="24" t="n"/>
      <c r="S2311" s="24" t="n"/>
      <c r="Y2311" s="24" t="n"/>
    </row>
    <row r="2312">
      <c r="O2312" s="23" t="n"/>
      <c r="R2312" s="24" t="n"/>
      <c r="S2312" s="24" t="n"/>
      <c r="Y2312" s="24" t="n"/>
    </row>
    <row r="2313">
      <c r="O2313" s="23" t="n"/>
      <c r="R2313" s="24" t="n"/>
      <c r="S2313" s="24" t="n"/>
      <c r="Y2313" s="24" t="n"/>
    </row>
    <row r="2314">
      <c r="O2314" s="23" t="n"/>
      <c r="R2314" s="24" t="n"/>
      <c r="S2314" s="24" t="n"/>
      <c r="Y2314" s="24" t="n"/>
    </row>
    <row r="2315">
      <c r="O2315" s="23" t="n"/>
      <c r="R2315" s="24" t="n"/>
      <c r="S2315" s="24" t="n"/>
      <c r="Y2315" s="24" t="n"/>
    </row>
    <row r="2316">
      <c r="O2316" s="23" t="n"/>
      <c r="R2316" s="24" t="n"/>
      <c r="S2316" s="24" t="n"/>
      <c r="Y2316" s="24" t="n"/>
    </row>
    <row r="2317">
      <c r="O2317" s="23" t="n"/>
      <c r="R2317" s="24" t="n"/>
      <c r="S2317" s="24" t="n"/>
      <c r="Y2317" s="24" t="n"/>
    </row>
    <row r="2318">
      <c r="O2318" s="23" t="n"/>
      <c r="R2318" s="24" t="n"/>
      <c r="S2318" s="24" t="n"/>
      <c r="Y2318" s="24" t="n"/>
    </row>
    <row r="2319">
      <c r="O2319" s="23" t="n"/>
      <c r="R2319" s="24" t="n"/>
      <c r="S2319" s="24" t="n"/>
      <c r="Y2319" s="24" t="n"/>
    </row>
    <row r="2320">
      <c r="O2320" s="23" t="n"/>
      <c r="R2320" s="24" t="n"/>
      <c r="S2320" s="24" t="n"/>
      <c r="Y2320" s="24" t="n"/>
    </row>
    <row r="2321">
      <c r="O2321" s="23" t="n"/>
      <c r="R2321" s="24" t="n"/>
      <c r="S2321" s="24" t="n"/>
      <c r="Y2321" s="24" t="n"/>
    </row>
    <row r="2322">
      <c r="O2322" s="23" t="n"/>
      <c r="R2322" s="24" t="n"/>
      <c r="S2322" s="24" t="n"/>
      <c r="Y2322" s="24" t="n"/>
    </row>
    <row r="2323">
      <c r="O2323" s="23" t="n"/>
      <c r="R2323" s="24" t="n"/>
      <c r="S2323" s="24" t="n"/>
      <c r="Y2323" s="24" t="n"/>
    </row>
    <row r="2324">
      <c r="O2324" s="23" t="n"/>
      <c r="R2324" s="24" t="n"/>
      <c r="S2324" s="24" t="n"/>
      <c r="Y2324" s="24" t="n"/>
    </row>
    <row r="2325">
      <c r="O2325" s="23" t="n"/>
      <c r="R2325" s="24" t="n"/>
      <c r="S2325" s="24" t="n"/>
      <c r="Y2325" s="24" t="n"/>
    </row>
    <row r="2326">
      <c r="O2326" s="23" t="n"/>
      <c r="R2326" s="24" t="n"/>
      <c r="S2326" s="24" t="n"/>
      <c r="Y2326" s="24" t="n"/>
    </row>
    <row r="2327">
      <c r="O2327" s="23" t="n"/>
      <c r="R2327" s="24" t="n"/>
      <c r="S2327" s="24" t="n"/>
      <c r="Y2327" s="24" t="n"/>
    </row>
    <row r="2328">
      <c r="O2328" s="23" t="n"/>
      <c r="R2328" s="24" t="n"/>
      <c r="S2328" s="24" t="n"/>
      <c r="Y2328" s="24" t="n"/>
    </row>
    <row r="2329">
      <c r="O2329" s="23" t="n"/>
      <c r="R2329" s="24" t="n"/>
      <c r="S2329" s="24" t="n"/>
      <c r="Y2329" s="24" t="n"/>
    </row>
    <row r="2330">
      <c r="O2330" s="23" t="n"/>
      <c r="R2330" s="24" t="n"/>
      <c r="S2330" s="24" t="n"/>
      <c r="Y2330" s="24" t="n"/>
    </row>
    <row r="2331">
      <c r="O2331" s="23" t="n"/>
      <c r="R2331" s="24" t="n"/>
      <c r="S2331" s="24" t="n"/>
      <c r="Y2331" s="24" t="n"/>
    </row>
    <row r="2332">
      <c r="O2332" s="23" t="n"/>
      <c r="R2332" s="24" t="n"/>
      <c r="S2332" s="24" t="n"/>
      <c r="Y2332" s="24" t="n"/>
    </row>
    <row r="2333">
      <c r="O2333" s="23" t="n"/>
      <c r="R2333" s="24" t="n"/>
      <c r="S2333" s="24" t="n"/>
      <c r="Y2333" s="24" t="n"/>
    </row>
    <row r="2334">
      <c r="O2334" s="23" t="n"/>
      <c r="R2334" s="24" t="n"/>
      <c r="S2334" s="24" t="n"/>
      <c r="Y2334" s="24" t="n"/>
    </row>
    <row r="2335">
      <c r="O2335" s="23" t="n"/>
      <c r="R2335" s="24" t="n"/>
      <c r="S2335" s="24" t="n"/>
      <c r="Y2335" s="24" t="n"/>
    </row>
    <row r="2336">
      <c r="O2336" s="23" t="n"/>
      <c r="R2336" s="24" t="n"/>
      <c r="S2336" s="24" t="n"/>
      <c r="Y2336" s="24" t="n"/>
    </row>
    <row r="2337">
      <c r="O2337" s="23" t="n"/>
      <c r="R2337" s="24" t="n"/>
      <c r="S2337" s="24" t="n"/>
      <c r="Y2337" s="24" t="n"/>
    </row>
    <row r="2338">
      <c r="O2338" s="23" t="n"/>
      <c r="R2338" s="24" t="n"/>
      <c r="S2338" s="24" t="n"/>
      <c r="Y2338" s="24" t="n"/>
    </row>
    <row r="2339">
      <c r="O2339" s="23" t="n"/>
      <c r="R2339" s="24" t="n"/>
      <c r="S2339" s="24" t="n"/>
      <c r="Y2339" s="24" t="n"/>
    </row>
    <row r="2340">
      <c r="O2340" s="23" t="n"/>
      <c r="R2340" s="24" t="n"/>
      <c r="S2340" s="24" t="n"/>
      <c r="Y2340" s="24" t="n"/>
    </row>
    <row r="2341">
      <c r="O2341" s="23" t="n"/>
      <c r="R2341" s="24" t="n"/>
      <c r="S2341" s="24" t="n"/>
      <c r="Y2341" s="24" t="n"/>
    </row>
    <row r="2342">
      <c r="O2342" s="23" t="n"/>
      <c r="R2342" s="24" t="n"/>
      <c r="S2342" s="24" t="n"/>
      <c r="Y2342" s="24" t="n"/>
    </row>
    <row r="2343">
      <c r="O2343" s="23" t="n"/>
      <c r="R2343" s="24" t="n"/>
      <c r="S2343" s="24" t="n"/>
      <c r="Y2343" s="24" t="n"/>
    </row>
    <row r="2344">
      <c r="O2344" s="23" t="n"/>
      <c r="R2344" s="24" t="n"/>
      <c r="S2344" s="24" t="n"/>
      <c r="Y2344" s="24" t="n"/>
    </row>
    <row r="2345">
      <c r="O2345" s="23" t="n"/>
      <c r="R2345" s="24" t="n"/>
      <c r="S2345" s="24" t="n"/>
      <c r="Y2345" s="24" t="n"/>
    </row>
    <row r="2346">
      <c r="O2346" s="23" t="n"/>
      <c r="R2346" s="24" t="n"/>
      <c r="S2346" s="24" t="n"/>
      <c r="Y2346" s="24" t="n"/>
    </row>
    <row r="2347">
      <c r="O2347" s="23" t="n"/>
      <c r="R2347" s="24" t="n"/>
      <c r="S2347" s="24" t="n"/>
      <c r="Y2347" s="24" t="n"/>
    </row>
    <row r="2348">
      <c r="O2348" s="23" t="n"/>
      <c r="R2348" s="24" t="n"/>
      <c r="S2348" s="24" t="n"/>
      <c r="Y2348" s="24" t="n"/>
    </row>
    <row r="2349">
      <c r="O2349" s="23" t="n"/>
      <c r="R2349" s="24" t="n"/>
      <c r="S2349" s="24" t="n"/>
      <c r="Y2349" s="24" t="n"/>
    </row>
    <row r="2350">
      <c r="O2350" s="23" t="n"/>
      <c r="R2350" s="24" t="n"/>
      <c r="S2350" s="24" t="n"/>
      <c r="Y2350" s="24" t="n"/>
    </row>
    <row r="2351">
      <c r="O2351" s="23" t="n"/>
      <c r="R2351" s="24" t="n"/>
      <c r="S2351" s="24" t="n"/>
      <c r="Y2351" s="24" t="n"/>
    </row>
    <row r="2352">
      <c r="O2352" s="23" t="n"/>
      <c r="R2352" s="24" t="n"/>
      <c r="S2352" s="24" t="n"/>
      <c r="Y2352" s="24" t="n"/>
    </row>
    <row r="2353">
      <c r="O2353" s="23" t="n"/>
      <c r="R2353" s="24" t="n"/>
      <c r="S2353" s="24" t="n"/>
      <c r="Y2353" s="24" t="n"/>
    </row>
    <row r="2354">
      <c r="O2354" s="23" t="n"/>
      <c r="R2354" s="24" t="n"/>
      <c r="S2354" s="24" t="n"/>
      <c r="Y2354" s="24" t="n"/>
    </row>
    <row r="2355">
      <c r="O2355" s="23" t="n"/>
      <c r="R2355" s="24" t="n"/>
      <c r="S2355" s="24" t="n"/>
      <c r="Y2355" s="24" t="n"/>
    </row>
    <row r="2356">
      <c r="O2356" s="23" t="n"/>
      <c r="R2356" s="24" t="n"/>
      <c r="S2356" s="24" t="n"/>
      <c r="Y2356" s="24" t="n"/>
    </row>
    <row r="2357">
      <c r="O2357" s="23" t="n"/>
      <c r="R2357" s="24" t="n"/>
      <c r="S2357" s="24" t="n"/>
      <c r="Y2357" s="24" t="n"/>
    </row>
    <row r="2358">
      <c r="O2358" s="23" t="n"/>
      <c r="R2358" s="24" t="n"/>
      <c r="S2358" s="24" t="n"/>
      <c r="Y2358" s="24" t="n"/>
    </row>
    <row r="2359">
      <c r="O2359" s="23" t="n"/>
      <c r="R2359" s="24" t="n"/>
      <c r="S2359" s="24" t="n"/>
      <c r="Y2359" s="24" t="n"/>
    </row>
    <row r="2360">
      <c r="O2360" s="23" t="n"/>
      <c r="R2360" s="24" t="n"/>
      <c r="S2360" s="24" t="n"/>
      <c r="Y2360" s="24" t="n"/>
    </row>
    <row r="2361">
      <c r="O2361" s="23" t="n"/>
      <c r="R2361" s="24" t="n"/>
      <c r="S2361" s="24" t="n"/>
      <c r="Y2361" s="24" t="n"/>
    </row>
    <row r="2362">
      <c r="O2362" s="23" t="n"/>
      <c r="R2362" s="24" t="n"/>
      <c r="S2362" s="24" t="n"/>
      <c r="Y2362" s="24" t="n"/>
    </row>
    <row r="2363">
      <c r="O2363" s="23" t="n"/>
      <c r="R2363" s="24" t="n"/>
      <c r="S2363" s="24" t="n"/>
      <c r="Y2363" s="24" t="n"/>
    </row>
    <row r="2364">
      <c r="O2364" s="23" t="n"/>
      <c r="R2364" s="24" t="n"/>
      <c r="S2364" s="24" t="n"/>
      <c r="Y2364" s="24" t="n"/>
    </row>
    <row r="2365">
      <c r="O2365" s="23" t="n"/>
      <c r="R2365" s="24" t="n"/>
      <c r="S2365" s="24" t="n"/>
      <c r="Y2365" s="24" t="n"/>
    </row>
    <row r="2366">
      <c r="O2366" s="23" t="n"/>
      <c r="R2366" s="24" t="n"/>
      <c r="S2366" s="24" t="n"/>
      <c r="Y2366" s="24" t="n"/>
    </row>
    <row r="2367">
      <c r="O2367" s="23" t="n"/>
      <c r="R2367" s="24" t="n"/>
      <c r="S2367" s="24" t="n"/>
      <c r="Y2367" s="24" t="n"/>
    </row>
    <row r="2368">
      <c r="O2368" s="23" t="n"/>
      <c r="R2368" s="24" t="n"/>
      <c r="S2368" s="24" t="n"/>
      <c r="Y2368" s="24" t="n"/>
    </row>
    <row r="2369">
      <c r="O2369" s="23" t="n"/>
      <c r="R2369" s="24" t="n"/>
      <c r="S2369" s="24" t="n"/>
      <c r="Y2369" s="24" t="n"/>
    </row>
    <row r="2370">
      <c r="O2370" s="23" t="n"/>
      <c r="R2370" s="24" t="n"/>
      <c r="S2370" s="24" t="n"/>
      <c r="Y2370" s="24" t="n"/>
    </row>
    <row r="2371">
      <c r="O2371" s="23" t="n"/>
      <c r="R2371" s="24" t="n"/>
      <c r="S2371" s="24" t="n"/>
      <c r="Y2371" s="24" t="n"/>
    </row>
    <row r="2372">
      <c r="O2372" s="23" t="n"/>
      <c r="R2372" s="24" t="n"/>
      <c r="S2372" s="24" t="n"/>
      <c r="Y2372" s="24" t="n"/>
    </row>
    <row r="2373">
      <c r="O2373" s="23" t="n"/>
      <c r="R2373" s="24" t="n"/>
      <c r="S2373" s="24" t="n"/>
      <c r="Y2373" s="24" t="n"/>
    </row>
    <row r="2374">
      <c r="O2374" s="23" t="n"/>
      <c r="R2374" s="24" t="n"/>
      <c r="S2374" s="24" t="n"/>
      <c r="Y2374" s="24" t="n"/>
    </row>
    <row r="2375">
      <c r="O2375" s="23" t="n"/>
      <c r="R2375" s="24" t="n"/>
      <c r="S2375" s="24" t="n"/>
      <c r="Y2375" s="24" t="n"/>
    </row>
    <row r="2376">
      <c r="O2376" s="23" t="n"/>
      <c r="R2376" s="24" t="n"/>
      <c r="S2376" s="24" t="n"/>
      <c r="Y2376" s="24" t="n"/>
    </row>
    <row r="2377">
      <c r="O2377" s="23" t="n"/>
      <c r="R2377" s="24" t="n"/>
      <c r="S2377" s="24" t="n"/>
      <c r="Y2377" s="24" t="n"/>
    </row>
    <row r="2378">
      <c r="O2378" s="23" t="n"/>
      <c r="R2378" s="24" t="n"/>
      <c r="S2378" s="24" t="n"/>
      <c r="Y2378" s="24" t="n"/>
    </row>
    <row r="2379">
      <c r="O2379" s="23" t="n"/>
      <c r="R2379" s="24" t="n"/>
      <c r="S2379" s="24" t="n"/>
      <c r="Y2379" s="24" t="n"/>
    </row>
    <row r="2380">
      <c r="O2380" s="23" t="n"/>
      <c r="R2380" s="24" t="n"/>
      <c r="S2380" s="24" t="n"/>
      <c r="Y2380" s="24" t="n"/>
    </row>
    <row r="2381">
      <c r="O2381" s="23" t="n"/>
      <c r="R2381" s="24" t="n"/>
      <c r="S2381" s="24" t="n"/>
      <c r="Y2381" s="24" t="n"/>
    </row>
    <row r="2382">
      <c r="O2382" s="23" t="n"/>
      <c r="R2382" s="24" t="n"/>
      <c r="S2382" s="24" t="n"/>
      <c r="Y2382" s="24" t="n"/>
    </row>
    <row r="2383">
      <c r="O2383" s="23" t="n"/>
      <c r="R2383" s="24" t="n"/>
      <c r="S2383" s="24" t="n"/>
      <c r="Y2383" s="24" t="n"/>
    </row>
    <row r="2384">
      <c r="O2384" s="23" t="n"/>
      <c r="R2384" s="24" t="n"/>
      <c r="S2384" s="24" t="n"/>
      <c r="Y2384" s="24" t="n"/>
    </row>
    <row r="2385">
      <c r="O2385" s="23" t="n"/>
      <c r="R2385" s="24" t="n"/>
      <c r="S2385" s="24" t="n"/>
      <c r="Y2385" s="24" t="n"/>
    </row>
    <row r="2386">
      <c r="O2386" s="23" t="n"/>
      <c r="R2386" s="24" t="n"/>
      <c r="S2386" s="24" t="n"/>
      <c r="Y2386" s="24" t="n"/>
    </row>
    <row r="2387">
      <c r="O2387" s="23" t="n"/>
      <c r="R2387" s="24" t="n"/>
      <c r="S2387" s="24" t="n"/>
      <c r="Y2387" s="24" t="n"/>
    </row>
    <row r="2388">
      <c r="O2388" s="23" t="n"/>
      <c r="R2388" s="24" t="n"/>
      <c r="S2388" s="24" t="n"/>
      <c r="Y2388" s="24" t="n"/>
    </row>
    <row r="2389">
      <c r="O2389" s="23" t="n"/>
      <c r="R2389" s="24" t="n"/>
      <c r="S2389" s="24" t="n"/>
      <c r="Y2389" s="24" t="n"/>
    </row>
    <row r="2390">
      <c r="O2390" s="23" t="n"/>
      <c r="R2390" s="24" t="n"/>
      <c r="S2390" s="24" t="n"/>
      <c r="Y2390" s="24" t="n"/>
    </row>
    <row r="2391">
      <c r="O2391" s="23" t="n"/>
      <c r="R2391" s="24" t="n"/>
      <c r="S2391" s="24" t="n"/>
      <c r="Y2391" s="24" t="n"/>
    </row>
    <row r="2392">
      <c r="O2392" s="23" t="n"/>
      <c r="R2392" s="24" t="n"/>
      <c r="S2392" s="24" t="n"/>
      <c r="Y2392" s="24" t="n"/>
    </row>
    <row r="2393">
      <c r="O2393" s="23" t="n"/>
      <c r="R2393" s="24" t="n"/>
      <c r="S2393" s="24" t="n"/>
      <c r="Y2393" s="24" t="n"/>
    </row>
    <row r="2394">
      <c r="O2394" s="23" t="n"/>
      <c r="R2394" s="24" t="n"/>
      <c r="S2394" s="24" t="n"/>
      <c r="Y2394" s="24" t="n"/>
    </row>
    <row r="2395">
      <c r="O2395" s="23" t="n"/>
      <c r="R2395" s="24" t="n"/>
      <c r="S2395" s="24" t="n"/>
      <c r="Y2395" s="24" t="n"/>
    </row>
    <row r="2396">
      <c r="O2396" s="23" t="n"/>
      <c r="R2396" s="24" t="n"/>
      <c r="S2396" s="24" t="n"/>
      <c r="Y2396" s="24" t="n"/>
    </row>
    <row r="2397">
      <c r="O2397" s="23" t="n"/>
      <c r="R2397" s="24" t="n"/>
      <c r="S2397" s="24" t="n"/>
      <c r="Y2397" s="24" t="n"/>
    </row>
    <row r="2398">
      <c r="O2398" s="23" t="n"/>
      <c r="R2398" s="24" t="n"/>
      <c r="S2398" s="24" t="n"/>
      <c r="Y2398" s="24" t="n"/>
    </row>
    <row r="2399">
      <c r="O2399" s="23" t="n"/>
      <c r="R2399" s="24" t="n"/>
      <c r="S2399" s="24" t="n"/>
      <c r="Y2399" s="24" t="n"/>
    </row>
    <row r="2400">
      <c r="O2400" s="23" t="n"/>
      <c r="R2400" s="24" t="n"/>
      <c r="S2400" s="24" t="n"/>
      <c r="Y2400" s="24" t="n"/>
    </row>
    <row r="2401">
      <c r="O2401" s="23" t="n"/>
      <c r="R2401" s="24" t="n"/>
      <c r="S2401" s="24" t="n"/>
      <c r="Y2401" s="24" t="n"/>
    </row>
    <row r="2402">
      <c r="O2402" s="23" t="n"/>
      <c r="R2402" s="24" t="n"/>
      <c r="S2402" s="24" t="n"/>
      <c r="Y2402" s="24" t="n"/>
    </row>
    <row r="2403">
      <c r="O2403" s="23" t="n"/>
      <c r="R2403" s="24" t="n"/>
      <c r="S2403" s="24" t="n"/>
      <c r="Y2403" s="24" t="n"/>
    </row>
    <row r="2404">
      <c r="O2404" s="23" t="n"/>
      <c r="R2404" s="24" t="n"/>
      <c r="S2404" s="24" t="n"/>
      <c r="Y2404" s="24" t="n"/>
    </row>
    <row r="2405">
      <c r="O2405" s="23" t="n"/>
      <c r="R2405" s="24" t="n"/>
      <c r="S2405" s="24" t="n"/>
      <c r="Y2405" s="24" t="n"/>
    </row>
    <row r="2406">
      <c r="O2406" s="23" t="n"/>
      <c r="R2406" s="24" t="n"/>
      <c r="S2406" s="24" t="n"/>
      <c r="Y2406" s="24" t="n"/>
    </row>
    <row r="2407">
      <c r="O2407" s="23" t="n"/>
      <c r="R2407" s="24" t="n"/>
      <c r="S2407" s="24" t="n"/>
      <c r="Y2407" s="24" t="n"/>
    </row>
    <row r="2408">
      <c r="O2408" s="23" t="n"/>
      <c r="R2408" s="24" t="n"/>
      <c r="S2408" s="24" t="n"/>
      <c r="Y2408" s="24" t="n"/>
    </row>
    <row r="2409">
      <c r="O2409" s="23" t="n"/>
      <c r="R2409" s="24" t="n"/>
      <c r="S2409" s="24" t="n"/>
      <c r="Y2409" s="24" t="n"/>
    </row>
    <row r="2410">
      <c r="O2410" s="23" t="n"/>
      <c r="R2410" s="24" t="n"/>
      <c r="S2410" s="24" t="n"/>
      <c r="Y2410" s="24" t="n"/>
    </row>
    <row r="2411">
      <c r="O2411" s="23" t="n"/>
      <c r="R2411" s="24" t="n"/>
      <c r="S2411" s="24" t="n"/>
      <c r="Y2411" s="24" t="n"/>
    </row>
    <row r="2412">
      <c r="O2412" s="23" t="n"/>
      <c r="R2412" s="24" t="n"/>
      <c r="S2412" s="24" t="n"/>
      <c r="Y2412" s="24" t="n"/>
    </row>
    <row r="2413">
      <c r="O2413" s="23" t="n"/>
      <c r="R2413" s="24" t="n"/>
      <c r="S2413" s="24" t="n"/>
      <c r="Y2413" s="24" t="n"/>
    </row>
    <row r="2414">
      <c r="O2414" s="23" t="n"/>
      <c r="R2414" s="24" t="n"/>
      <c r="S2414" s="24" t="n"/>
      <c r="Y2414" s="24" t="n"/>
    </row>
    <row r="2415">
      <c r="O2415" s="23" t="n"/>
      <c r="R2415" s="24" t="n"/>
      <c r="S2415" s="24" t="n"/>
      <c r="Y2415" s="24" t="n"/>
    </row>
    <row r="2416">
      <c r="O2416" s="23" t="n"/>
      <c r="R2416" s="24" t="n"/>
      <c r="S2416" s="24" t="n"/>
      <c r="Y2416" s="24" t="n"/>
    </row>
    <row r="2417">
      <c r="O2417" s="23" t="n"/>
      <c r="R2417" s="24" t="n"/>
      <c r="S2417" s="24" t="n"/>
      <c r="Y2417" s="24" t="n"/>
    </row>
    <row r="2418">
      <c r="O2418" s="23" t="n"/>
      <c r="R2418" s="24" t="n"/>
      <c r="S2418" s="24" t="n"/>
      <c r="Y2418" s="24" t="n"/>
    </row>
    <row r="2419">
      <c r="O2419" s="23" t="n"/>
      <c r="R2419" s="24" t="n"/>
      <c r="S2419" s="24" t="n"/>
      <c r="Y2419" s="24" t="n"/>
    </row>
    <row r="2420">
      <c r="O2420" s="23" t="n"/>
      <c r="R2420" s="24" t="n"/>
      <c r="S2420" s="24" t="n"/>
      <c r="Y2420" s="24" t="n"/>
    </row>
    <row r="2421">
      <c r="O2421" s="23" t="n"/>
      <c r="R2421" s="24" t="n"/>
      <c r="S2421" s="24" t="n"/>
      <c r="Y2421" s="24" t="n"/>
    </row>
    <row r="2422">
      <c r="O2422" s="23" t="n"/>
      <c r="R2422" s="24" t="n"/>
      <c r="S2422" s="24" t="n"/>
      <c r="Y2422" s="24" t="n"/>
    </row>
    <row r="2423">
      <c r="O2423" s="23" t="n"/>
      <c r="R2423" s="24" t="n"/>
      <c r="S2423" s="24" t="n"/>
      <c r="Y2423" s="24" t="n"/>
    </row>
    <row r="2424">
      <c r="O2424" s="23" t="n"/>
      <c r="R2424" s="24" t="n"/>
      <c r="S2424" s="24" t="n"/>
      <c r="Y2424" s="24" t="n"/>
    </row>
    <row r="2425">
      <c r="O2425" s="23" t="n"/>
      <c r="R2425" s="24" t="n"/>
      <c r="S2425" s="24" t="n"/>
      <c r="Y2425" s="24" t="n"/>
    </row>
    <row r="2426">
      <c r="O2426" s="23" t="n"/>
      <c r="R2426" s="24" t="n"/>
      <c r="S2426" s="24" t="n"/>
      <c r="Y2426" s="24" t="n"/>
    </row>
    <row r="2427">
      <c r="O2427" s="23" t="n"/>
      <c r="R2427" s="24" t="n"/>
      <c r="S2427" s="24" t="n"/>
      <c r="Y2427" s="24" t="n"/>
    </row>
    <row r="2428">
      <c r="O2428" s="23" t="n"/>
      <c r="R2428" s="24" t="n"/>
      <c r="S2428" s="24" t="n"/>
      <c r="Y2428" s="24" t="n"/>
    </row>
    <row r="2429">
      <c r="O2429" s="23" t="n"/>
      <c r="R2429" s="24" t="n"/>
      <c r="S2429" s="24" t="n"/>
      <c r="Y2429" s="24" t="n"/>
    </row>
    <row r="2430">
      <c r="O2430" s="23" t="n"/>
      <c r="R2430" s="24" t="n"/>
      <c r="S2430" s="24" t="n"/>
      <c r="Y2430" s="24" t="n"/>
    </row>
    <row r="2431">
      <c r="O2431" s="23" t="n"/>
      <c r="R2431" s="24" t="n"/>
      <c r="S2431" s="24" t="n"/>
      <c r="Y2431" s="24" t="n"/>
    </row>
    <row r="2432">
      <c r="O2432" s="23" t="n"/>
      <c r="R2432" s="24" t="n"/>
      <c r="S2432" s="24" t="n"/>
      <c r="Y2432" s="24" t="n"/>
    </row>
    <row r="2433">
      <c r="O2433" s="23" t="n"/>
      <c r="R2433" s="24" t="n"/>
      <c r="S2433" s="24" t="n"/>
      <c r="Y2433" s="24" t="n"/>
    </row>
    <row r="2434">
      <c r="O2434" s="23" t="n"/>
      <c r="R2434" s="24" t="n"/>
      <c r="S2434" s="24" t="n"/>
      <c r="Y2434" s="24" t="n"/>
    </row>
    <row r="2435">
      <c r="O2435" s="23" t="n"/>
      <c r="R2435" s="24" t="n"/>
      <c r="S2435" s="24" t="n"/>
      <c r="Y2435" s="24" t="n"/>
    </row>
    <row r="2436">
      <c r="O2436" s="23" t="n"/>
      <c r="R2436" s="24" t="n"/>
      <c r="S2436" s="24" t="n"/>
      <c r="Y2436" s="24" t="n"/>
    </row>
    <row r="2437">
      <c r="O2437" s="23" t="n"/>
      <c r="R2437" s="24" t="n"/>
      <c r="S2437" s="24" t="n"/>
      <c r="Y2437" s="24" t="n"/>
    </row>
    <row r="2438">
      <c r="O2438" s="23" t="n"/>
      <c r="R2438" s="24" t="n"/>
      <c r="S2438" s="24" t="n"/>
      <c r="Y2438" s="24" t="n"/>
    </row>
    <row r="2439">
      <c r="O2439" s="23" t="n"/>
      <c r="R2439" s="24" t="n"/>
      <c r="S2439" s="24" t="n"/>
      <c r="Y2439" s="24" t="n"/>
    </row>
    <row r="2440">
      <c r="O2440" s="23" t="n"/>
      <c r="R2440" s="24" t="n"/>
      <c r="S2440" s="24" t="n"/>
      <c r="Y2440" s="24" t="n"/>
    </row>
    <row r="2441">
      <c r="O2441" s="23" t="n"/>
      <c r="R2441" s="24" t="n"/>
      <c r="S2441" s="24" t="n"/>
      <c r="Y2441" s="24" t="n"/>
    </row>
    <row r="2442">
      <c r="O2442" s="23" t="n"/>
      <c r="R2442" s="24" t="n"/>
      <c r="S2442" s="24" t="n"/>
      <c r="Y2442" s="24" t="n"/>
    </row>
    <row r="2443">
      <c r="O2443" s="23" t="n"/>
      <c r="R2443" s="24" t="n"/>
      <c r="S2443" s="24" t="n"/>
      <c r="Y2443" s="24" t="n"/>
    </row>
    <row r="2444">
      <c r="O2444" s="23" t="n"/>
      <c r="R2444" s="24" t="n"/>
      <c r="S2444" s="24" t="n"/>
      <c r="Y2444" s="24" t="n"/>
    </row>
    <row r="2445">
      <c r="O2445" s="23" t="n"/>
      <c r="R2445" s="24" t="n"/>
      <c r="S2445" s="24" t="n"/>
      <c r="Y2445" s="24" t="n"/>
    </row>
    <row r="2446">
      <c r="O2446" s="23" t="n"/>
      <c r="R2446" s="24" t="n"/>
      <c r="S2446" s="24" t="n"/>
      <c r="Y2446" s="24" t="n"/>
    </row>
    <row r="2447">
      <c r="O2447" s="23" t="n"/>
      <c r="R2447" s="24" t="n"/>
      <c r="S2447" s="24" t="n"/>
      <c r="Y2447" s="24" t="n"/>
    </row>
    <row r="2448">
      <c r="O2448" s="23" t="n"/>
      <c r="R2448" s="24" t="n"/>
      <c r="S2448" s="24" t="n"/>
      <c r="Y2448" s="24" t="n"/>
    </row>
    <row r="2449">
      <c r="O2449" s="23" t="n"/>
      <c r="R2449" s="24" t="n"/>
      <c r="S2449" s="24" t="n"/>
      <c r="Y2449" s="24" t="n"/>
    </row>
    <row r="2450">
      <c r="O2450" s="23" t="n"/>
      <c r="R2450" s="24" t="n"/>
      <c r="S2450" s="24" t="n"/>
      <c r="Y2450" s="24" t="n"/>
    </row>
    <row r="2451">
      <c r="O2451" s="23" t="n"/>
      <c r="R2451" s="24" t="n"/>
      <c r="S2451" s="24" t="n"/>
      <c r="Y2451" s="24" t="n"/>
    </row>
    <row r="2452">
      <c r="O2452" s="23" t="n"/>
      <c r="R2452" s="24" t="n"/>
      <c r="S2452" s="24" t="n"/>
      <c r="Y2452" s="24" t="n"/>
    </row>
    <row r="2453">
      <c r="O2453" s="23" t="n"/>
      <c r="R2453" s="24" t="n"/>
      <c r="S2453" s="24" t="n"/>
      <c r="Y2453" s="24" t="n"/>
    </row>
    <row r="2454">
      <c r="O2454" s="23" t="n"/>
      <c r="R2454" s="24" t="n"/>
      <c r="S2454" s="24" t="n"/>
      <c r="Y2454" s="24" t="n"/>
    </row>
    <row r="2455">
      <c r="O2455" s="23" t="n"/>
      <c r="R2455" s="24" t="n"/>
      <c r="S2455" s="24" t="n"/>
      <c r="Y2455" s="24" t="n"/>
    </row>
    <row r="2456">
      <c r="O2456" s="23" t="n"/>
      <c r="R2456" s="24" t="n"/>
      <c r="S2456" s="24" t="n"/>
      <c r="Y2456" s="24" t="n"/>
    </row>
    <row r="2457">
      <c r="O2457" s="23" t="n"/>
      <c r="R2457" s="24" t="n"/>
      <c r="S2457" s="24" t="n"/>
      <c r="Y2457" s="24" t="n"/>
    </row>
    <row r="2458">
      <c r="O2458" s="23" t="n"/>
      <c r="R2458" s="24" t="n"/>
      <c r="S2458" s="24" t="n"/>
      <c r="Y2458" s="24" t="n"/>
    </row>
    <row r="2459">
      <c r="O2459" s="23" t="n"/>
      <c r="R2459" s="24" t="n"/>
      <c r="S2459" s="24" t="n"/>
      <c r="Y2459" s="24" t="n"/>
    </row>
    <row r="2460">
      <c r="O2460" s="23" t="n"/>
      <c r="R2460" s="24" t="n"/>
      <c r="S2460" s="24" t="n"/>
      <c r="Y2460" s="24" t="n"/>
    </row>
    <row r="2461">
      <c r="O2461" s="23" t="n"/>
      <c r="R2461" s="24" t="n"/>
      <c r="S2461" s="24" t="n"/>
      <c r="Y2461" s="24" t="n"/>
    </row>
    <row r="2462">
      <c r="O2462" s="23" t="n"/>
      <c r="R2462" s="24" t="n"/>
      <c r="S2462" s="24" t="n"/>
      <c r="Y2462" s="24" t="n"/>
    </row>
    <row r="2463">
      <c r="O2463" s="23" t="n"/>
      <c r="R2463" s="24" t="n"/>
      <c r="S2463" s="24" t="n"/>
      <c r="Y2463" s="24" t="n"/>
    </row>
    <row r="2464">
      <c r="O2464" s="23" t="n"/>
      <c r="R2464" s="24" t="n"/>
      <c r="S2464" s="24" t="n"/>
      <c r="Y2464" s="24" t="n"/>
    </row>
    <row r="2465">
      <c r="O2465" s="23" t="n"/>
      <c r="R2465" s="24" t="n"/>
      <c r="S2465" s="24" t="n"/>
      <c r="Y2465" s="24" t="n"/>
    </row>
    <row r="2466">
      <c r="O2466" s="23" t="n"/>
      <c r="R2466" s="24" t="n"/>
      <c r="S2466" s="24" t="n"/>
      <c r="Y2466" s="24" t="n"/>
    </row>
    <row r="2467">
      <c r="O2467" s="23" t="n"/>
      <c r="R2467" s="24" t="n"/>
      <c r="S2467" s="24" t="n"/>
      <c r="Y2467" s="24" t="n"/>
    </row>
    <row r="2468">
      <c r="O2468" s="23" t="n"/>
      <c r="R2468" s="24" t="n"/>
      <c r="S2468" s="24" t="n"/>
      <c r="Y2468" s="24" t="n"/>
    </row>
    <row r="2469">
      <c r="O2469" s="23" t="n"/>
      <c r="R2469" s="24" t="n"/>
      <c r="S2469" s="24" t="n"/>
      <c r="Y2469" s="24" t="n"/>
    </row>
    <row r="2470">
      <c r="O2470" s="23" t="n"/>
      <c r="R2470" s="24" t="n"/>
      <c r="S2470" s="24" t="n"/>
      <c r="Y2470" s="24" t="n"/>
    </row>
    <row r="2471">
      <c r="O2471" s="23" t="n"/>
      <c r="R2471" s="24" t="n"/>
      <c r="S2471" s="24" t="n"/>
      <c r="Y2471" s="24" t="n"/>
    </row>
    <row r="2472">
      <c r="O2472" s="23" t="n"/>
      <c r="R2472" s="24" t="n"/>
      <c r="S2472" s="24" t="n"/>
      <c r="Y2472" s="24" t="n"/>
    </row>
    <row r="2473">
      <c r="O2473" s="23" t="n"/>
      <c r="R2473" s="24" t="n"/>
      <c r="S2473" s="24" t="n"/>
      <c r="Y2473" s="24" t="n"/>
    </row>
    <row r="2474">
      <c r="O2474" s="23" t="n"/>
      <c r="R2474" s="24" t="n"/>
      <c r="S2474" s="24" t="n"/>
      <c r="Y2474" s="24" t="n"/>
    </row>
    <row r="2475">
      <c r="O2475" s="23" t="n"/>
      <c r="R2475" s="24" t="n"/>
      <c r="S2475" s="24" t="n"/>
      <c r="Y2475" s="24" t="n"/>
    </row>
    <row r="2476">
      <c r="O2476" s="23" t="n"/>
      <c r="R2476" s="24" t="n"/>
      <c r="S2476" s="24" t="n"/>
      <c r="Y2476" s="24" t="n"/>
    </row>
    <row r="2477">
      <c r="O2477" s="23" t="n"/>
      <c r="R2477" s="24" t="n"/>
      <c r="S2477" s="24" t="n"/>
      <c r="Y2477" s="24" t="n"/>
    </row>
    <row r="2478">
      <c r="O2478" s="23" t="n"/>
      <c r="R2478" s="24" t="n"/>
      <c r="S2478" s="24" t="n"/>
      <c r="Y2478" s="24" t="n"/>
    </row>
    <row r="2479">
      <c r="O2479" s="23" t="n"/>
      <c r="R2479" s="24" t="n"/>
      <c r="S2479" s="24" t="n"/>
      <c r="Y2479" s="24" t="n"/>
    </row>
    <row r="2480">
      <c r="O2480" s="23" t="n"/>
      <c r="R2480" s="24" t="n"/>
      <c r="S2480" s="24" t="n"/>
      <c r="Y2480" s="24" t="n"/>
    </row>
    <row r="2481">
      <c r="O2481" s="23" t="n"/>
      <c r="R2481" s="24" t="n"/>
      <c r="S2481" s="24" t="n"/>
      <c r="Y2481" s="24" t="n"/>
    </row>
    <row r="2482">
      <c r="O2482" s="23" t="n"/>
      <c r="R2482" s="24" t="n"/>
      <c r="S2482" s="24" t="n"/>
      <c r="Y2482" s="24" t="n"/>
    </row>
    <row r="2483">
      <c r="O2483" s="23" t="n"/>
      <c r="R2483" s="24" t="n"/>
      <c r="S2483" s="24" t="n"/>
      <c r="Y2483" s="24" t="n"/>
    </row>
    <row r="2484">
      <c r="O2484" s="23" t="n"/>
      <c r="R2484" s="24" t="n"/>
      <c r="S2484" s="24" t="n"/>
      <c r="Y2484" s="24" t="n"/>
    </row>
    <row r="2485">
      <c r="O2485" s="23" t="n"/>
      <c r="R2485" s="24" t="n"/>
      <c r="S2485" s="24" t="n"/>
      <c r="Y2485" s="24" t="n"/>
    </row>
    <row r="2486">
      <c r="O2486" s="23" t="n"/>
      <c r="R2486" s="24" t="n"/>
      <c r="S2486" s="24" t="n"/>
      <c r="Y2486" s="24" t="n"/>
    </row>
    <row r="2487">
      <c r="O2487" s="23" t="n"/>
      <c r="R2487" s="24" t="n"/>
      <c r="S2487" s="24" t="n"/>
      <c r="Y2487" s="24" t="n"/>
    </row>
    <row r="2488">
      <c r="O2488" s="23" t="n"/>
      <c r="R2488" s="24" t="n"/>
      <c r="S2488" s="24" t="n"/>
      <c r="Y2488" s="24" t="n"/>
    </row>
    <row r="2489">
      <c r="O2489" s="23" t="n"/>
      <c r="R2489" s="24" t="n"/>
      <c r="S2489" s="24" t="n"/>
      <c r="Y2489" s="24" t="n"/>
    </row>
    <row r="2490">
      <c r="O2490" s="23" t="n"/>
      <c r="R2490" s="24" t="n"/>
      <c r="S2490" s="24" t="n"/>
      <c r="Y2490" s="24" t="n"/>
    </row>
    <row r="2491">
      <c r="O2491" s="23" t="n"/>
      <c r="R2491" s="24" t="n"/>
      <c r="S2491" s="24" t="n"/>
      <c r="Y2491" s="24" t="n"/>
    </row>
    <row r="2492">
      <c r="O2492" s="23" t="n"/>
      <c r="R2492" s="24" t="n"/>
      <c r="S2492" s="24" t="n"/>
      <c r="Y2492" s="24" t="n"/>
    </row>
    <row r="2493">
      <c r="O2493" s="23" t="n"/>
      <c r="R2493" s="24" t="n"/>
      <c r="S2493" s="24" t="n"/>
      <c r="Y2493" s="24" t="n"/>
    </row>
    <row r="2494">
      <c r="O2494" s="23" t="n"/>
      <c r="R2494" s="24" t="n"/>
      <c r="S2494" s="24" t="n"/>
      <c r="Y2494" s="24" t="n"/>
    </row>
    <row r="2495">
      <c r="O2495" s="23" t="n"/>
      <c r="R2495" s="24" t="n"/>
      <c r="S2495" s="24" t="n"/>
      <c r="Y2495" s="24" t="n"/>
    </row>
    <row r="2496">
      <c r="O2496" s="23" t="n"/>
      <c r="R2496" s="24" t="n"/>
      <c r="S2496" s="24" t="n"/>
      <c r="Y2496" s="24" t="n"/>
    </row>
    <row r="2497">
      <c r="O2497" s="23" t="n"/>
      <c r="R2497" s="24" t="n"/>
      <c r="S2497" s="24" t="n"/>
      <c r="Y2497" s="24" t="n"/>
    </row>
    <row r="2498">
      <c r="O2498" s="23" t="n"/>
      <c r="R2498" s="24" t="n"/>
      <c r="S2498" s="24" t="n"/>
      <c r="Y2498" s="24" t="n"/>
    </row>
    <row r="2499">
      <c r="O2499" s="23" t="n"/>
      <c r="R2499" s="24" t="n"/>
      <c r="S2499" s="24" t="n"/>
      <c r="Y2499" s="24" t="n"/>
    </row>
    <row r="2500">
      <c r="O2500" s="23" t="n"/>
      <c r="R2500" s="24" t="n"/>
      <c r="S2500" s="24" t="n"/>
      <c r="Y2500" s="24" t="n"/>
    </row>
    <row r="2501">
      <c r="O2501" s="23" t="n"/>
      <c r="R2501" s="24" t="n"/>
      <c r="S2501" s="24" t="n"/>
      <c r="Y2501" s="24" t="n"/>
    </row>
    <row r="2502">
      <c r="O2502" s="23" t="n"/>
      <c r="R2502" s="24" t="n"/>
      <c r="S2502" s="24" t="n"/>
      <c r="Y2502" s="24" t="n"/>
    </row>
    <row r="2503">
      <c r="O2503" s="23" t="n"/>
      <c r="R2503" s="24" t="n"/>
      <c r="S2503" s="24" t="n"/>
      <c r="Y2503" s="24" t="n"/>
    </row>
    <row r="2504">
      <c r="O2504" s="23" t="n"/>
      <c r="R2504" s="24" t="n"/>
      <c r="S2504" s="24" t="n"/>
      <c r="Y2504" s="24" t="n"/>
    </row>
    <row r="2505">
      <c r="O2505" s="23" t="n"/>
      <c r="R2505" s="24" t="n"/>
      <c r="S2505" s="24" t="n"/>
      <c r="Y2505" s="24" t="n"/>
    </row>
    <row r="2506">
      <c r="O2506" s="23" t="n"/>
      <c r="R2506" s="24" t="n"/>
      <c r="S2506" s="24" t="n"/>
      <c r="Y2506" s="24" t="n"/>
    </row>
    <row r="2507">
      <c r="O2507" s="23" t="n"/>
      <c r="R2507" s="24" t="n"/>
      <c r="S2507" s="24" t="n"/>
      <c r="Y2507" s="24" t="n"/>
    </row>
    <row r="2508">
      <c r="O2508" s="23" t="n"/>
      <c r="R2508" s="24" t="n"/>
      <c r="S2508" s="24" t="n"/>
      <c r="Y2508" s="24" t="n"/>
    </row>
    <row r="2509">
      <c r="O2509" s="23" t="n"/>
      <c r="R2509" s="24" t="n"/>
      <c r="S2509" s="24" t="n"/>
      <c r="Y2509" s="24" t="n"/>
    </row>
    <row r="2510">
      <c r="O2510" s="23" t="n"/>
      <c r="R2510" s="24" t="n"/>
      <c r="S2510" s="24" t="n"/>
      <c r="Y2510" s="24" t="n"/>
    </row>
    <row r="2511">
      <c r="O2511" s="23" t="n"/>
      <c r="R2511" s="24" t="n"/>
      <c r="S2511" s="24" t="n"/>
      <c r="Y2511" s="24" t="n"/>
    </row>
    <row r="2512">
      <c r="O2512" s="23" t="n"/>
      <c r="R2512" s="24" t="n"/>
      <c r="S2512" s="24" t="n"/>
      <c r="Y2512" s="24" t="n"/>
    </row>
    <row r="2513">
      <c r="O2513" s="23" t="n"/>
      <c r="R2513" s="24" t="n"/>
      <c r="S2513" s="24" t="n"/>
      <c r="Y2513" s="24" t="n"/>
    </row>
    <row r="2514">
      <c r="O2514" s="23" t="n"/>
      <c r="R2514" s="24" t="n"/>
      <c r="S2514" s="24" t="n"/>
      <c r="Y2514" s="24" t="n"/>
    </row>
    <row r="2515">
      <c r="O2515" s="23" t="n"/>
      <c r="R2515" s="24" t="n"/>
      <c r="S2515" s="24" t="n"/>
      <c r="Y2515" s="24" t="n"/>
    </row>
    <row r="2516">
      <c r="O2516" s="23" t="n"/>
      <c r="R2516" s="24" t="n"/>
      <c r="S2516" s="24" t="n"/>
      <c r="Y2516" s="24" t="n"/>
    </row>
    <row r="2517">
      <c r="O2517" s="23" t="n"/>
      <c r="R2517" s="24" t="n"/>
      <c r="S2517" s="24" t="n"/>
      <c r="Y2517" s="24" t="n"/>
    </row>
    <row r="2518">
      <c r="O2518" s="23" t="n"/>
      <c r="R2518" s="24" t="n"/>
      <c r="S2518" s="24" t="n"/>
      <c r="Y2518" s="24" t="n"/>
    </row>
    <row r="2519">
      <c r="O2519" s="23" t="n"/>
      <c r="R2519" s="24" t="n"/>
      <c r="S2519" s="24" t="n"/>
      <c r="Y2519" s="24" t="n"/>
    </row>
    <row r="2520">
      <c r="O2520" s="23" t="n"/>
      <c r="R2520" s="24" t="n"/>
      <c r="S2520" s="24" t="n"/>
      <c r="Y2520" s="24" t="n"/>
    </row>
    <row r="2521">
      <c r="O2521" s="23" t="n"/>
      <c r="R2521" s="24" t="n"/>
      <c r="S2521" s="24" t="n"/>
      <c r="Y2521" s="24" t="n"/>
    </row>
    <row r="2522">
      <c r="O2522" s="23" t="n"/>
      <c r="R2522" s="24" t="n"/>
      <c r="S2522" s="24" t="n"/>
      <c r="Y2522" s="24" t="n"/>
    </row>
    <row r="2523">
      <c r="O2523" s="23" t="n"/>
      <c r="R2523" s="24" t="n"/>
      <c r="S2523" s="24" t="n"/>
      <c r="Y2523" s="24" t="n"/>
    </row>
    <row r="2524">
      <c r="O2524" s="23" t="n"/>
      <c r="R2524" s="24" t="n"/>
      <c r="S2524" s="24" t="n"/>
      <c r="Y2524" s="24" t="n"/>
    </row>
    <row r="2525">
      <c r="O2525" s="23" t="n"/>
      <c r="R2525" s="24" t="n"/>
      <c r="S2525" s="24" t="n"/>
      <c r="Y2525" s="24" t="n"/>
    </row>
    <row r="2526">
      <c r="O2526" s="23" t="n"/>
      <c r="R2526" s="24" t="n"/>
      <c r="S2526" s="24" t="n"/>
      <c r="Y2526" s="24" t="n"/>
    </row>
    <row r="2527">
      <c r="O2527" s="23" t="n"/>
      <c r="R2527" s="24" t="n"/>
      <c r="S2527" s="24" t="n"/>
      <c r="Y2527" s="24" t="n"/>
    </row>
    <row r="2528">
      <c r="O2528" s="23" t="n"/>
      <c r="R2528" s="24" t="n"/>
      <c r="S2528" s="24" t="n"/>
      <c r="Y2528" s="24" t="n"/>
    </row>
    <row r="2529">
      <c r="O2529" s="23" t="n"/>
      <c r="R2529" s="24" t="n"/>
      <c r="S2529" s="24" t="n"/>
      <c r="Y2529" s="24" t="n"/>
    </row>
    <row r="2530">
      <c r="O2530" s="23" t="n"/>
      <c r="R2530" s="24" t="n"/>
      <c r="S2530" s="24" t="n"/>
      <c r="Y2530" s="24" t="n"/>
    </row>
    <row r="2531">
      <c r="O2531" s="23" t="n"/>
      <c r="R2531" s="24" t="n"/>
      <c r="S2531" s="24" t="n"/>
      <c r="Y2531" s="24" t="n"/>
    </row>
    <row r="2532">
      <c r="O2532" s="23" t="n"/>
      <c r="R2532" s="24" t="n"/>
      <c r="S2532" s="24" t="n"/>
      <c r="Y2532" s="24" t="n"/>
    </row>
    <row r="2533">
      <c r="O2533" s="23" t="n"/>
      <c r="R2533" s="24" t="n"/>
      <c r="S2533" s="24" t="n"/>
      <c r="Y2533" s="24" t="n"/>
    </row>
    <row r="2534">
      <c r="O2534" s="23" t="n"/>
      <c r="R2534" s="24" t="n"/>
      <c r="S2534" s="24" t="n"/>
      <c r="Y2534" s="24" t="n"/>
    </row>
    <row r="2535">
      <c r="O2535" s="23" t="n"/>
      <c r="R2535" s="24" t="n"/>
      <c r="S2535" s="24" t="n"/>
      <c r="Y2535" s="24" t="n"/>
    </row>
    <row r="2536">
      <c r="O2536" s="23" t="n"/>
      <c r="R2536" s="24" t="n"/>
      <c r="S2536" s="24" t="n"/>
      <c r="Y2536" s="24" t="n"/>
    </row>
    <row r="2537">
      <c r="O2537" s="23" t="n"/>
      <c r="R2537" s="24" t="n"/>
      <c r="S2537" s="24" t="n"/>
      <c r="Y2537" s="24" t="n"/>
    </row>
    <row r="2538">
      <c r="O2538" s="23" t="n"/>
      <c r="R2538" s="24" t="n"/>
      <c r="S2538" s="24" t="n"/>
      <c r="Y2538" s="24" t="n"/>
    </row>
    <row r="2539">
      <c r="O2539" s="23" t="n"/>
      <c r="R2539" s="24" t="n"/>
      <c r="S2539" s="24" t="n"/>
      <c r="Y2539" s="24" t="n"/>
    </row>
    <row r="2540">
      <c r="O2540" s="23" t="n"/>
      <c r="R2540" s="24" t="n"/>
      <c r="S2540" s="24" t="n"/>
      <c r="Y2540" s="24" t="n"/>
    </row>
    <row r="2541">
      <c r="O2541" s="23" t="n"/>
      <c r="R2541" s="24" t="n"/>
      <c r="S2541" s="24" t="n"/>
      <c r="Y2541" s="24" t="n"/>
    </row>
    <row r="2542">
      <c r="O2542" s="23" t="n"/>
      <c r="R2542" s="24" t="n"/>
      <c r="S2542" s="24" t="n"/>
      <c r="Y2542" s="24" t="n"/>
    </row>
    <row r="2543">
      <c r="O2543" s="23" t="n"/>
      <c r="R2543" s="24" t="n"/>
      <c r="S2543" s="24" t="n"/>
      <c r="Y2543" s="24" t="n"/>
    </row>
    <row r="2544">
      <c r="O2544" s="23" t="n"/>
      <c r="R2544" s="24" t="n"/>
      <c r="S2544" s="24" t="n"/>
      <c r="Y2544" s="24" t="n"/>
    </row>
    <row r="2545">
      <c r="O2545" s="23" t="n"/>
      <c r="R2545" s="24" t="n"/>
      <c r="S2545" s="24" t="n"/>
      <c r="Y2545" s="24" t="n"/>
    </row>
    <row r="2546">
      <c r="O2546" s="23" t="n"/>
      <c r="R2546" s="24" t="n"/>
      <c r="S2546" s="24" t="n"/>
      <c r="Y2546" s="24" t="n"/>
    </row>
    <row r="2547">
      <c r="O2547" s="23" t="n"/>
      <c r="R2547" s="24" t="n"/>
      <c r="S2547" s="24" t="n"/>
      <c r="Y2547" s="24" t="n"/>
    </row>
    <row r="2548">
      <c r="O2548" s="23" t="n"/>
      <c r="R2548" s="24" t="n"/>
      <c r="S2548" s="24" t="n"/>
      <c r="Y2548" s="24" t="n"/>
    </row>
    <row r="2549">
      <c r="O2549" s="23" t="n"/>
      <c r="R2549" s="24" t="n"/>
      <c r="S2549" s="24" t="n"/>
      <c r="Y2549" s="24" t="n"/>
    </row>
    <row r="2550">
      <c r="O2550" s="23" t="n"/>
      <c r="R2550" s="24" t="n"/>
      <c r="S2550" s="24" t="n"/>
      <c r="Y2550" s="24" t="n"/>
    </row>
    <row r="2551">
      <c r="O2551" s="23" t="n"/>
      <c r="R2551" s="24" t="n"/>
      <c r="S2551" s="24" t="n"/>
      <c r="Y2551" s="24" t="n"/>
    </row>
    <row r="2552">
      <c r="O2552" s="23" t="n"/>
      <c r="R2552" s="24" t="n"/>
      <c r="S2552" s="24" t="n"/>
      <c r="Y2552" s="24" t="n"/>
    </row>
    <row r="2553">
      <c r="O2553" s="23" t="n"/>
      <c r="R2553" s="24" t="n"/>
      <c r="S2553" s="24" t="n"/>
      <c r="Y2553" s="24" t="n"/>
    </row>
    <row r="2554">
      <c r="O2554" s="23" t="n"/>
      <c r="R2554" s="24" t="n"/>
      <c r="S2554" s="24" t="n"/>
      <c r="Y2554" s="24" t="n"/>
    </row>
    <row r="2555">
      <c r="O2555" s="23" t="n"/>
      <c r="R2555" s="24" t="n"/>
      <c r="S2555" s="24" t="n"/>
      <c r="Y2555" s="24" t="n"/>
    </row>
    <row r="2556">
      <c r="O2556" s="23" t="n"/>
      <c r="R2556" s="24" t="n"/>
      <c r="S2556" s="24" t="n"/>
      <c r="Y2556" s="24" t="n"/>
    </row>
    <row r="2557">
      <c r="O2557" s="23" t="n"/>
      <c r="R2557" s="24" t="n"/>
      <c r="S2557" s="24" t="n"/>
      <c r="Y2557" s="24" t="n"/>
    </row>
    <row r="2558">
      <c r="O2558" s="23" t="n"/>
      <c r="R2558" s="24" t="n"/>
      <c r="S2558" s="24" t="n"/>
      <c r="Y2558" s="24" t="n"/>
    </row>
    <row r="2559">
      <c r="O2559" s="23" t="n"/>
      <c r="R2559" s="24" t="n"/>
      <c r="S2559" s="24" t="n"/>
      <c r="Y2559" s="24" t="n"/>
    </row>
    <row r="2560">
      <c r="O2560" s="23" t="n"/>
      <c r="R2560" s="24" t="n"/>
      <c r="S2560" s="24" t="n"/>
      <c r="Y2560" s="24" t="n"/>
    </row>
    <row r="2561">
      <c r="O2561" s="23" t="n"/>
      <c r="R2561" s="24" t="n"/>
      <c r="S2561" s="24" t="n"/>
      <c r="Y2561" s="24" t="n"/>
    </row>
    <row r="2562">
      <c r="O2562" s="23" t="n"/>
      <c r="R2562" s="24" t="n"/>
      <c r="S2562" s="24" t="n"/>
      <c r="Y2562" s="24" t="n"/>
    </row>
    <row r="2563">
      <c r="O2563" s="23" t="n"/>
      <c r="R2563" s="24" t="n"/>
      <c r="S2563" s="24" t="n"/>
      <c r="Y2563" s="24" t="n"/>
    </row>
    <row r="2564">
      <c r="O2564" s="23" t="n"/>
      <c r="R2564" s="24" t="n"/>
      <c r="S2564" s="24" t="n"/>
      <c r="Y2564" s="24" t="n"/>
    </row>
    <row r="2565">
      <c r="O2565" s="23" t="n"/>
      <c r="R2565" s="24" t="n"/>
      <c r="S2565" s="24" t="n"/>
      <c r="Y2565" s="24" t="n"/>
    </row>
    <row r="2566">
      <c r="O2566" s="23" t="n"/>
      <c r="R2566" s="24" t="n"/>
      <c r="S2566" s="24" t="n"/>
      <c r="Y2566" s="24" t="n"/>
    </row>
    <row r="2567">
      <c r="O2567" s="23" t="n"/>
      <c r="R2567" s="24" t="n"/>
      <c r="S2567" s="24" t="n"/>
      <c r="Y2567" s="24" t="n"/>
    </row>
    <row r="2568">
      <c r="O2568" s="23" t="n"/>
      <c r="R2568" s="24" t="n"/>
      <c r="S2568" s="24" t="n"/>
      <c r="Y2568" s="24" t="n"/>
    </row>
    <row r="2569">
      <c r="O2569" s="23" t="n"/>
      <c r="R2569" s="24" t="n"/>
      <c r="S2569" s="24" t="n"/>
      <c r="Y2569" s="24" t="n"/>
    </row>
    <row r="2570">
      <c r="O2570" s="23" t="n"/>
      <c r="R2570" s="24" t="n"/>
      <c r="S2570" s="24" t="n"/>
      <c r="Y2570" s="24" t="n"/>
    </row>
    <row r="2571">
      <c r="O2571" s="23" t="n"/>
      <c r="R2571" s="24" t="n"/>
      <c r="S2571" s="24" t="n"/>
      <c r="Y2571" s="24" t="n"/>
    </row>
    <row r="2572">
      <c r="O2572" s="23" t="n"/>
      <c r="R2572" s="24" t="n"/>
      <c r="S2572" s="24" t="n"/>
      <c r="Y2572" s="24" t="n"/>
    </row>
    <row r="2573">
      <c r="O2573" s="23" t="n"/>
      <c r="R2573" s="24" t="n"/>
      <c r="S2573" s="24" t="n"/>
      <c r="Y2573" s="24" t="n"/>
    </row>
    <row r="2574">
      <c r="O2574" s="23" t="n"/>
      <c r="R2574" s="24" t="n"/>
      <c r="S2574" s="24" t="n"/>
      <c r="Y2574" s="24" t="n"/>
    </row>
    <row r="2575">
      <c r="O2575" s="23" t="n"/>
      <c r="R2575" s="24" t="n"/>
      <c r="S2575" s="24" t="n"/>
      <c r="Y2575" s="24" t="n"/>
    </row>
    <row r="2576">
      <c r="O2576" s="23" t="n"/>
      <c r="R2576" s="24" t="n"/>
      <c r="S2576" s="24" t="n"/>
      <c r="Y2576" s="24" t="n"/>
    </row>
    <row r="2577">
      <c r="O2577" s="23" t="n"/>
      <c r="R2577" s="24" t="n"/>
      <c r="S2577" s="24" t="n"/>
      <c r="Y2577" s="24" t="n"/>
    </row>
    <row r="2578">
      <c r="O2578" s="23" t="n"/>
      <c r="R2578" s="24" t="n"/>
      <c r="S2578" s="24" t="n"/>
      <c r="Y2578" s="24" t="n"/>
    </row>
    <row r="2579">
      <c r="O2579" s="23" t="n"/>
      <c r="R2579" s="24" t="n"/>
      <c r="S2579" s="24" t="n"/>
      <c r="Y2579" s="24" t="n"/>
    </row>
    <row r="2580">
      <c r="O2580" s="23" t="n"/>
      <c r="R2580" s="24" t="n"/>
      <c r="S2580" s="24" t="n"/>
      <c r="Y2580" s="24" t="n"/>
    </row>
    <row r="2581">
      <c r="O2581" s="23" t="n"/>
      <c r="R2581" s="24" t="n"/>
      <c r="S2581" s="24" t="n"/>
      <c r="Y2581" s="24" t="n"/>
    </row>
    <row r="2582">
      <c r="O2582" s="23" t="n"/>
      <c r="R2582" s="24" t="n"/>
      <c r="S2582" s="24" t="n"/>
      <c r="Y2582" s="24" t="n"/>
    </row>
    <row r="2583">
      <c r="O2583" s="23" t="n"/>
      <c r="R2583" s="24" t="n"/>
      <c r="S2583" s="24" t="n"/>
      <c r="Y2583" s="24" t="n"/>
    </row>
    <row r="2584">
      <c r="O2584" s="23" t="n"/>
      <c r="R2584" s="24" t="n"/>
      <c r="S2584" s="24" t="n"/>
      <c r="Y2584" s="24" t="n"/>
    </row>
    <row r="2585">
      <c r="O2585" s="23" t="n"/>
      <c r="R2585" s="24" t="n"/>
      <c r="S2585" s="24" t="n"/>
      <c r="Y2585" s="24" t="n"/>
    </row>
    <row r="2586">
      <c r="O2586" s="23" t="n"/>
      <c r="R2586" s="24" t="n"/>
      <c r="S2586" s="24" t="n"/>
      <c r="Y2586" s="24" t="n"/>
    </row>
    <row r="2587">
      <c r="O2587" s="23" t="n"/>
      <c r="R2587" s="24" t="n"/>
      <c r="S2587" s="24" t="n"/>
      <c r="Y2587" s="24" t="n"/>
    </row>
    <row r="2588">
      <c r="O2588" s="23" t="n"/>
      <c r="R2588" s="24" t="n"/>
      <c r="S2588" s="24" t="n"/>
      <c r="Y2588" s="24" t="n"/>
    </row>
    <row r="2589">
      <c r="O2589" s="23" t="n"/>
      <c r="R2589" s="24" t="n"/>
      <c r="S2589" s="24" t="n"/>
      <c r="Y2589" s="24" t="n"/>
    </row>
    <row r="2590">
      <c r="O2590" s="23" t="n"/>
      <c r="R2590" s="24" t="n"/>
      <c r="S2590" s="24" t="n"/>
      <c r="Y2590" s="24" t="n"/>
    </row>
    <row r="2591">
      <c r="O2591" s="23" t="n"/>
      <c r="R2591" s="24" t="n"/>
      <c r="S2591" s="24" t="n"/>
      <c r="Y2591" s="24" t="n"/>
    </row>
    <row r="2592">
      <c r="O2592" s="23" t="n"/>
      <c r="R2592" s="24" t="n"/>
      <c r="S2592" s="24" t="n"/>
      <c r="Y2592" s="24" t="n"/>
    </row>
    <row r="2593">
      <c r="O2593" s="23" t="n"/>
      <c r="R2593" s="24" t="n"/>
      <c r="S2593" s="24" t="n"/>
      <c r="Y2593" s="24" t="n"/>
    </row>
    <row r="2594">
      <c r="O2594" s="23" t="n"/>
      <c r="R2594" s="24" t="n"/>
      <c r="S2594" s="24" t="n"/>
      <c r="Y2594" s="24" t="n"/>
    </row>
    <row r="2595">
      <c r="O2595" s="23" t="n"/>
      <c r="R2595" s="24" t="n"/>
      <c r="S2595" s="24" t="n"/>
      <c r="Y2595" s="24" t="n"/>
    </row>
    <row r="2596">
      <c r="O2596" s="23" t="n"/>
      <c r="R2596" s="24" t="n"/>
      <c r="S2596" s="24" t="n"/>
      <c r="Y2596" s="24" t="n"/>
    </row>
    <row r="2597">
      <c r="O2597" s="23" t="n"/>
      <c r="R2597" s="24" t="n"/>
      <c r="S2597" s="24" t="n"/>
      <c r="Y2597" s="24" t="n"/>
    </row>
    <row r="2598">
      <c r="O2598" s="23" t="n"/>
      <c r="R2598" s="24" t="n"/>
      <c r="S2598" s="24" t="n"/>
      <c r="Y2598" s="24" t="n"/>
    </row>
    <row r="2599">
      <c r="O2599" s="23" t="n"/>
      <c r="R2599" s="24" t="n"/>
      <c r="S2599" s="24" t="n"/>
      <c r="Y2599" s="24" t="n"/>
    </row>
    <row r="2600">
      <c r="O2600" s="23" t="n"/>
      <c r="R2600" s="24" t="n"/>
      <c r="S2600" s="24" t="n"/>
      <c r="Y2600" s="24" t="n"/>
    </row>
    <row r="2601">
      <c r="O2601" s="23" t="n"/>
      <c r="R2601" s="24" t="n"/>
      <c r="S2601" s="24" t="n"/>
      <c r="Y2601" s="24" t="n"/>
    </row>
    <row r="2602">
      <c r="O2602" s="23" t="n"/>
      <c r="R2602" s="24" t="n"/>
      <c r="S2602" s="24" t="n"/>
      <c r="Y2602" s="24" t="n"/>
    </row>
    <row r="2603">
      <c r="O2603" s="23" t="n"/>
      <c r="R2603" s="24" t="n"/>
      <c r="S2603" s="24" t="n"/>
      <c r="Y2603" s="24" t="n"/>
    </row>
    <row r="2604">
      <c r="O2604" s="23" t="n"/>
      <c r="R2604" s="24" t="n"/>
      <c r="S2604" s="24" t="n"/>
      <c r="Y2604" s="24" t="n"/>
    </row>
    <row r="2605">
      <c r="O2605" s="23" t="n"/>
      <c r="R2605" s="24" t="n"/>
      <c r="S2605" s="24" t="n"/>
      <c r="Y2605" s="24" t="n"/>
    </row>
    <row r="2606">
      <c r="O2606" s="23" t="n"/>
      <c r="R2606" s="24" t="n"/>
      <c r="S2606" s="24" t="n"/>
      <c r="Y2606" s="24" t="n"/>
    </row>
    <row r="2607">
      <c r="O2607" s="23" t="n"/>
      <c r="R2607" s="24" t="n"/>
      <c r="S2607" s="24" t="n"/>
      <c r="Y2607" s="24" t="n"/>
    </row>
    <row r="2608">
      <c r="O2608" s="23" t="n"/>
      <c r="R2608" s="24" t="n"/>
      <c r="S2608" s="24" t="n"/>
      <c r="Y2608" s="24" t="n"/>
    </row>
    <row r="2609">
      <c r="O2609" s="23" t="n"/>
      <c r="R2609" s="24" t="n"/>
      <c r="S2609" s="24" t="n"/>
      <c r="Y2609" s="24" t="n"/>
    </row>
    <row r="2610">
      <c r="O2610" s="23" t="n"/>
      <c r="R2610" s="24" t="n"/>
      <c r="S2610" s="24" t="n"/>
      <c r="Y2610" s="24" t="n"/>
    </row>
    <row r="2611">
      <c r="O2611" s="23" t="n"/>
      <c r="R2611" s="24" t="n"/>
      <c r="S2611" s="24" t="n"/>
      <c r="Y2611" s="24" t="n"/>
    </row>
    <row r="2612">
      <c r="O2612" s="23" t="n"/>
      <c r="R2612" s="24" t="n"/>
      <c r="S2612" s="24" t="n"/>
      <c r="Y2612" s="24" t="n"/>
    </row>
    <row r="2613">
      <c r="O2613" s="23" t="n"/>
      <c r="R2613" s="24" t="n"/>
      <c r="S2613" s="24" t="n"/>
      <c r="Y2613" s="24" t="n"/>
    </row>
    <row r="2614">
      <c r="O2614" s="23" t="n"/>
      <c r="R2614" s="24" t="n"/>
      <c r="S2614" s="24" t="n"/>
      <c r="Y2614" s="24" t="n"/>
    </row>
    <row r="2615">
      <c r="O2615" s="23" t="n"/>
      <c r="R2615" s="24" t="n"/>
      <c r="S2615" s="24" t="n"/>
      <c r="Y2615" s="24" t="n"/>
    </row>
    <row r="2616">
      <c r="O2616" s="23" t="n"/>
      <c r="R2616" s="24" t="n"/>
      <c r="S2616" s="24" t="n"/>
      <c r="Y2616" s="24" t="n"/>
    </row>
    <row r="2617">
      <c r="O2617" s="23" t="n"/>
      <c r="R2617" s="24" t="n"/>
      <c r="S2617" s="24" t="n"/>
      <c r="Y2617" s="24" t="n"/>
    </row>
    <row r="2618">
      <c r="O2618" s="23" t="n"/>
      <c r="R2618" s="24" t="n"/>
      <c r="S2618" s="24" t="n"/>
      <c r="Y2618" s="24" t="n"/>
    </row>
    <row r="2619">
      <c r="O2619" s="23" t="n"/>
      <c r="R2619" s="24" t="n"/>
      <c r="S2619" s="24" t="n"/>
      <c r="Y2619" s="24" t="n"/>
    </row>
    <row r="2620">
      <c r="O2620" s="23" t="n"/>
      <c r="R2620" s="24" t="n"/>
      <c r="S2620" s="24" t="n"/>
      <c r="Y2620" s="24" t="n"/>
    </row>
    <row r="2621">
      <c r="O2621" s="23" t="n"/>
      <c r="R2621" s="24" t="n"/>
      <c r="S2621" s="24" t="n"/>
      <c r="Y2621" s="24" t="n"/>
    </row>
    <row r="2622">
      <c r="O2622" s="23" t="n"/>
      <c r="R2622" s="24" t="n"/>
      <c r="S2622" s="24" t="n"/>
      <c r="Y2622" s="24" t="n"/>
    </row>
    <row r="2623">
      <c r="O2623" s="23" t="n"/>
      <c r="R2623" s="24" t="n"/>
      <c r="S2623" s="24" t="n"/>
      <c r="Y2623" s="24" t="n"/>
    </row>
    <row r="2624">
      <c r="O2624" s="23" t="n"/>
      <c r="R2624" s="24" t="n"/>
      <c r="S2624" s="24" t="n"/>
      <c r="Y2624" s="24" t="n"/>
    </row>
    <row r="2625">
      <c r="O2625" s="23" t="n"/>
      <c r="R2625" s="24" t="n"/>
      <c r="S2625" s="24" t="n"/>
      <c r="Y2625" s="24" t="n"/>
    </row>
    <row r="2626">
      <c r="O2626" s="23" t="n"/>
      <c r="R2626" s="24" t="n"/>
      <c r="S2626" s="24" t="n"/>
      <c r="Y2626" s="24" t="n"/>
    </row>
    <row r="2627">
      <c r="O2627" s="23" t="n"/>
      <c r="R2627" s="24" t="n"/>
      <c r="S2627" s="24" t="n"/>
      <c r="Y2627" s="24" t="n"/>
    </row>
    <row r="2628">
      <c r="O2628" s="23" t="n"/>
      <c r="R2628" s="24" t="n"/>
      <c r="S2628" s="24" t="n"/>
      <c r="Y2628" s="24" t="n"/>
    </row>
    <row r="2629">
      <c r="O2629" s="23" t="n"/>
      <c r="R2629" s="24" t="n"/>
      <c r="S2629" s="24" t="n"/>
      <c r="Y2629" s="24" t="n"/>
    </row>
    <row r="2630">
      <c r="O2630" s="23" t="n"/>
      <c r="R2630" s="24" t="n"/>
      <c r="S2630" s="24" t="n"/>
      <c r="Y2630" s="24" t="n"/>
    </row>
    <row r="2631">
      <c r="O2631" s="23" t="n"/>
      <c r="R2631" s="24" t="n"/>
      <c r="S2631" s="24" t="n"/>
      <c r="Y2631" s="24" t="n"/>
    </row>
    <row r="2632">
      <c r="O2632" s="23" t="n"/>
      <c r="R2632" s="24" t="n"/>
      <c r="S2632" s="24" t="n"/>
      <c r="Y2632" s="24" t="n"/>
    </row>
    <row r="2633">
      <c r="O2633" s="23" t="n"/>
      <c r="R2633" s="24" t="n"/>
      <c r="S2633" s="24" t="n"/>
      <c r="Y2633" s="24" t="n"/>
    </row>
    <row r="2634">
      <c r="O2634" s="23" t="n"/>
      <c r="R2634" s="24" t="n"/>
      <c r="S2634" s="24" t="n"/>
      <c r="Y2634" s="24" t="n"/>
    </row>
    <row r="2635">
      <c r="O2635" s="23" t="n"/>
      <c r="R2635" s="24" t="n"/>
      <c r="S2635" s="24" t="n"/>
      <c r="Y2635" s="24" t="n"/>
    </row>
    <row r="2636">
      <c r="O2636" s="23" t="n"/>
      <c r="R2636" s="24" t="n"/>
      <c r="S2636" s="24" t="n"/>
      <c r="Y2636" s="24" t="n"/>
    </row>
    <row r="2637">
      <c r="O2637" s="23" t="n"/>
      <c r="R2637" s="24" t="n"/>
      <c r="S2637" s="24" t="n"/>
      <c r="Y2637" s="24" t="n"/>
    </row>
    <row r="2638">
      <c r="O2638" s="23" t="n"/>
      <c r="R2638" s="24" t="n"/>
      <c r="S2638" s="24" t="n"/>
      <c r="Y2638" s="24" t="n"/>
    </row>
    <row r="2639">
      <c r="O2639" s="23" t="n"/>
      <c r="R2639" s="24" t="n"/>
      <c r="S2639" s="24" t="n"/>
      <c r="Y2639" s="24" t="n"/>
    </row>
    <row r="2640">
      <c r="O2640" s="23" t="n"/>
      <c r="R2640" s="24" t="n"/>
      <c r="S2640" s="24" t="n"/>
      <c r="Y2640" s="24" t="n"/>
    </row>
    <row r="2641">
      <c r="O2641" s="23" t="n"/>
      <c r="R2641" s="24" t="n"/>
      <c r="S2641" s="24" t="n"/>
      <c r="Y2641" s="24" t="n"/>
    </row>
    <row r="2642">
      <c r="O2642" s="23" t="n"/>
      <c r="R2642" s="24" t="n"/>
      <c r="S2642" s="24" t="n"/>
      <c r="Y2642" s="24" t="n"/>
    </row>
    <row r="2643">
      <c r="O2643" s="23" t="n"/>
      <c r="R2643" s="24" t="n"/>
      <c r="S2643" s="24" t="n"/>
      <c r="Y2643" s="24" t="n"/>
    </row>
    <row r="2644">
      <c r="O2644" s="23" t="n"/>
      <c r="R2644" s="24" t="n"/>
      <c r="S2644" s="24" t="n"/>
      <c r="Y2644" s="24" t="n"/>
    </row>
    <row r="2645">
      <c r="O2645" s="23" t="n"/>
      <c r="R2645" s="24" t="n"/>
      <c r="S2645" s="24" t="n"/>
      <c r="Y2645" s="24" t="n"/>
    </row>
    <row r="2646">
      <c r="O2646" s="23" t="n"/>
      <c r="R2646" s="24" t="n"/>
      <c r="S2646" s="24" t="n"/>
      <c r="Y2646" s="24" t="n"/>
    </row>
    <row r="2647">
      <c r="O2647" s="23" t="n"/>
      <c r="R2647" s="24" t="n"/>
      <c r="S2647" s="24" t="n"/>
      <c r="Y2647" s="24" t="n"/>
    </row>
    <row r="2648">
      <c r="O2648" s="23" t="n"/>
      <c r="R2648" s="24" t="n"/>
      <c r="S2648" s="24" t="n"/>
      <c r="Y2648" s="24" t="n"/>
    </row>
    <row r="2649">
      <c r="O2649" s="23" t="n"/>
      <c r="R2649" s="24" t="n"/>
      <c r="S2649" s="24" t="n"/>
      <c r="Y2649" s="24" t="n"/>
    </row>
    <row r="2650">
      <c r="O2650" s="23" t="n"/>
      <c r="R2650" s="24" t="n"/>
      <c r="S2650" s="24" t="n"/>
      <c r="Y2650" s="24" t="n"/>
    </row>
    <row r="2651">
      <c r="O2651" s="23" t="n"/>
      <c r="R2651" s="24" t="n"/>
      <c r="S2651" s="24" t="n"/>
      <c r="Y2651" s="24" t="n"/>
    </row>
    <row r="2652">
      <c r="O2652" s="23" t="n"/>
      <c r="R2652" s="24" t="n"/>
      <c r="S2652" s="24" t="n"/>
      <c r="Y2652" s="24" t="n"/>
    </row>
    <row r="2653">
      <c r="O2653" s="23" t="n"/>
      <c r="R2653" s="24" t="n"/>
      <c r="S2653" s="24" t="n"/>
      <c r="Y2653" s="24" t="n"/>
    </row>
    <row r="2654">
      <c r="O2654" s="23" t="n"/>
      <c r="R2654" s="24" t="n"/>
      <c r="S2654" s="24" t="n"/>
      <c r="Y2654" s="24" t="n"/>
    </row>
    <row r="2655">
      <c r="O2655" s="23" t="n"/>
      <c r="R2655" s="24" t="n"/>
      <c r="S2655" s="24" t="n"/>
      <c r="Y2655" s="24" t="n"/>
    </row>
    <row r="2656">
      <c r="O2656" s="23" t="n"/>
      <c r="R2656" s="24" t="n"/>
      <c r="S2656" s="24" t="n"/>
      <c r="Y2656" s="24" t="n"/>
    </row>
    <row r="2657">
      <c r="O2657" s="23" t="n"/>
      <c r="R2657" s="24" t="n"/>
      <c r="S2657" s="24" t="n"/>
      <c r="Y2657" s="24" t="n"/>
    </row>
    <row r="2658">
      <c r="O2658" s="23" t="n"/>
      <c r="R2658" s="24" t="n"/>
      <c r="S2658" s="24" t="n"/>
      <c r="Y2658" s="24" t="n"/>
    </row>
    <row r="2659">
      <c r="O2659" s="23" t="n"/>
      <c r="R2659" s="24" t="n"/>
      <c r="S2659" s="24" t="n"/>
      <c r="Y2659" s="24" t="n"/>
    </row>
    <row r="2660">
      <c r="O2660" s="23" t="n"/>
      <c r="R2660" s="24" t="n"/>
      <c r="S2660" s="24" t="n"/>
      <c r="Y2660" s="24" t="n"/>
    </row>
    <row r="2661">
      <c r="O2661" s="23" t="n"/>
      <c r="R2661" s="24" t="n"/>
      <c r="S2661" s="24" t="n"/>
      <c r="Y2661" s="24" t="n"/>
    </row>
    <row r="2662">
      <c r="O2662" s="23" t="n"/>
      <c r="R2662" s="24" t="n"/>
      <c r="S2662" s="24" t="n"/>
      <c r="Y2662" s="24" t="n"/>
    </row>
    <row r="2663">
      <c r="O2663" s="23" t="n"/>
      <c r="R2663" s="24" t="n"/>
      <c r="S2663" s="24" t="n"/>
      <c r="Y2663" s="24" t="n"/>
    </row>
    <row r="2664">
      <c r="O2664" s="23" t="n"/>
      <c r="R2664" s="24" t="n"/>
      <c r="S2664" s="24" t="n"/>
      <c r="Y2664" s="24" t="n"/>
    </row>
    <row r="2665">
      <c r="O2665" s="23" t="n"/>
      <c r="R2665" s="24" t="n"/>
      <c r="S2665" s="24" t="n"/>
      <c r="Y2665" s="24" t="n"/>
    </row>
    <row r="2666">
      <c r="O2666" s="23" t="n"/>
      <c r="R2666" s="24" t="n"/>
      <c r="S2666" s="24" t="n"/>
      <c r="Y2666" s="24" t="n"/>
    </row>
    <row r="2667">
      <c r="O2667" s="23" t="n"/>
      <c r="R2667" s="24" t="n"/>
      <c r="S2667" s="24" t="n"/>
      <c r="Y2667" s="24" t="n"/>
    </row>
    <row r="2668">
      <c r="O2668" s="23" t="n"/>
      <c r="R2668" s="24" t="n"/>
      <c r="S2668" s="24" t="n"/>
      <c r="Y2668" s="24" t="n"/>
    </row>
    <row r="2669">
      <c r="O2669" s="23" t="n"/>
      <c r="R2669" s="24" t="n"/>
      <c r="S2669" s="24" t="n"/>
      <c r="Y2669" s="24" t="n"/>
    </row>
    <row r="2670">
      <c r="O2670" s="23" t="n"/>
      <c r="R2670" s="24" t="n"/>
      <c r="S2670" s="24" t="n"/>
      <c r="Y2670" s="24" t="n"/>
    </row>
    <row r="2671">
      <c r="O2671" s="23" t="n"/>
      <c r="R2671" s="24" t="n"/>
      <c r="S2671" s="24" t="n"/>
      <c r="Y2671" s="24" t="n"/>
    </row>
    <row r="2672">
      <c r="O2672" s="23" t="n"/>
      <c r="R2672" s="24" t="n"/>
      <c r="S2672" s="24" t="n"/>
      <c r="Y2672" s="24" t="n"/>
    </row>
    <row r="2673">
      <c r="O2673" s="23" t="n"/>
      <c r="R2673" s="24" t="n"/>
      <c r="S2673" s="24" t="n"/>
      <c r="Y2673" s="24" t="n"/>
    </row>
    <row r="2674">
      <c r="O2674" s="23" t="n"/>
      <c r="R2674" s="24" t="n"/>
      <c r="S2674" s="24" t="n"/>
      <c r="Y2674" s="24" t="n"/>
    </row>
    <row r="2675">
      <c r="O2675" s="23" t="n"/>
      <c r="R2675" s="24" t="n"/>
      <c r="S2675" s="24" t="n"/>
      <c r="Y2675" s="24" t="n"/>
    </row>
    <row r="2676">
      <c r="O2676" s="23" t="n"/>
      <c r="R2676" s="24" t="n"/>
      <c r="S2676" s="24" t="n"/>
      <c r="Y2676" s="24" t="n"/>
    </row>
    <row r="2677">
      <c r="O2677" s="23" t="n"/>
      <c r="R2677" s="24" t="n"/>
      <c r="S2677" s="24" t="n"/>
      <c r="Y2677" s="24" t="n"/>
    </row>
    <row r="2678">
      <c r="O2678" s="23" t="n"/>
      <c r="R2678" s="24" t="n"/>
      <c r="S2678" s="24" t="n"/>
      <c r="Y2678" s="24" t="n"/>
    </row>
    <row r="2679">
      <c r="O2679" s="23" t="n"/>
      <c r="R2679" s="24" t="n"/>
      <c r="S2679" s="24" t="n"/>
      <c r="Y2679" s="24" t="n"/>
    </row>
    <row r="2680">
      <c r="O2680" s="23" t="n"/>
      <c r="R2680" s="24" t="n"/>
      <c r="S2680" s="24" t="n"/>
      <c r="Y2680" s="24" t="n"/>
    </row>
    <row r="2681">
      <c r="O2681" s="23" t="n"/>
      <c r="R2681" s="24" t="n"/>
      <c r="S2681" s="24" t="n"/>
      <c r="Y2681" s="24" t="n"/>
    </row>
    <row r="2682">
      <c r="O2682" s="23" t="n"/>
      <c r="R2682" s="24" t="n"/>
      <c r="S2682" s="24" t="n"/>
      <c r="Y2682" s="24" t="n"/>
    </row>
    <row r="2683">
      <c r="O2683" s="23" t="n"/>
      <c r="R2683" s="24" t="n"/>
      <c r="S2683" s="24" t="n"/>
      <c r="Y2683" s="24" t="n"/>
    </row>
    <row r="2684">
      <c r="O2684" s="23" t="n"/>
      <c r="R2684" s="24" t="n"/>
      <c r="S2684" s="24" t="n"/>
      <c r="Y2684" s="24" t="n"/>
    </row>
    <row r="2685">
      <c r="O2685" s="23" t="n"/>
      <c r="R2685" s="24" t="n"/>
      <c r="S2685" s="24" t="n"/>
      <c r="Y2685" s="24" t="n"/>
    </row>
    <row r="2686">
      <c r="O2686" s="23" t="n"/>
      <c r="R2686" s="24" t="n"/>
      <c r="S2686" s="24" t="n"/>
      <c r="Y2686" s="24" t="n"/>
    </row>
    <row r="2687">
      <c r="O2687" s="23" t="n"/>
      <c r="R2687" s="24" t="n"/>
      <c r="S2687" s="24" t="n"/>
      <c r="Y2687" s="24" t="n"/>
    </row>
    <row r="2688">
      <c r="O2688" s="23" t="n"/>
      <c r="R2688" s="24" t="n"/>
      <c r="S2688" s="24" t="n"/>
      <c r="Y2688" s="24" t="n"/>
    </row>
    <row r="2689">
      <c r="O2689" s="23" t="n"/>
      <c r="R2689" s="24" t="n"/>
      <c r="S2689" s="24" t="n"/>
      <c r="Y2689" s="24" t="n"/>
    </row>
    <row r="2690">
      <c r="O2690" s="23" t="n"/>
      <c r="R2690" s="24" t="n"/>
      <c r="S2690" s="24" t="n"/>
      <c r="Y2690" s="24" t="n"/>
    </row>
    <row r="2691">
      <c r="O2691" s="23" t="n"/>
      <c r="R2691" s="24" t="n"/>
      <c r="S2691" s="24" t="n"/>
      <c r="Y2691" s="24" t="n"/>
    </row>
    <row r="2692">
      <c r="O2692" s="23" t="n"/>
      <c r="R2692" s="24" t="n"/>
      <c r="S2692" s="24" t="n"/>
      <c r="Y2692" s="24" t="n"/>
    </row>
    <row r="2693">
      <c r="O2693" s="23" t="n"/>
      <c r="R2693" s="24" t="n"/>
      <c r="S2693" s="24" t="n"/>
      <c r="Y2693" s="24" t="n"/>
    </row>
    <row r="2694">
      <c r="O2694" s="23" t="n"/>
      <c r="R2694" s="24" t="n"/>
      <c r="S2694" s="24" t="n"/>
      <c r="Y2694" s="24" t="n"/>
    </row>
    <row r="2695">
      <c r="O2695" s="23" t="n"/>
      <c r="R2695" s="24" t="n"/>
      <c r="S2695" s="24" t="n"/>
      <c r="Y2695" s="24" t="n"/>
    </row>
    <row r="2696">
      <c r="O2696" s="23" t="n"/>
      <c r="R2696" s="24" t="n"/>
      <c r="S2696" s="24" t="n"/>
      <c r="Y2696" s="24" t="n"/>
    </row>
    <row r="2697">
      <c r="O2697" s="23" t="n"/>
      <c r="R2697" s="24" t="n"/>
      <c r="S2697" s="24" t="n"/>
      <c r="Y2697" s="24" t="n"/>
    </row>
    <row r="2698">
      <c r="O2698" s="23" t="n"/>
      <c r="R2698" s="24" t="n"/>
      <c r="S2698" s="24" t="n"/>
      <c r="Y2698" s="24" t="n"/>
    </row>
    <row r="2699">
      <c r="O2699" s="23" t="n"/>
      <c r="R2699" s="24" t="n"/>
      <c r="S2699" s="24" t="n"/>
      <c r="Y2699" s="24" t="n"/>
    </row>
    <row r="2700">
      <c r="O2700" s="23" t="n"/>
      <c r="R2700" s="24" t="n"/>
      <c r="S2700" s="24" t="n"/>
      <c r="Y2700" s="24" t="n"/>
    </row>
    <row r="2701">
      <c r="O2701" s="23" t="n"/>
      <c r="R2701" s="24" t="n"/>
      <c r="S2701" s="24" t="n"/>
      <c r="Y2701" s="24" t="n"/>
    </row>
    <row r="2702">
      <c r="O2702" s="23" t="n"/>
      <c r="R2702" s="24" t="n"/>
      <c r="S2702" s="24" t="n"/>
      <c r="Y2702" s="24" t="n"/>
    </row>
    <row r="2703">
      <c r="O2703" s="23" t="n"/>
      <c r="R2703" s="24" t="n"/>
      <c r="S2703" s="24" t="n"/>
      <c r="Y2703" s="24" t="n"/>
    </row>
    <row r="2704">
      <c r="O2704" s="23" t="n"/>
      <c r="R2704" s="24" t="n"/>
      <c r="S2704" s="24" t="n"/>
      <c r="Y2704" s="24" t="n"/>
    </row>
    <row r="2705">
      <c r="O2705" s="23" t="n"/>
      <c r="R2705" s="24" t="n"/>
      <c r="S2705" s="24" t="n"/>
      <c r="Y2705" s="24" t="n"/>
    </row>
    <row r="2706">
      <c r="O2706" s="23" t="n"/>
      <c r="R2706" s="24" t="n"/>
      <c r="S2706" s="24" t="n"/>
      <c r="Y2706" s="24" t="n"/>
    </row>
    <row r="2707">
      <c r="O2707" s="23" t="n"/>
      <c r="R2707" s="24" t="n"/>
      <c r="S2707" s="24" t="n"/>
      <c r="Y2707" s="24" t="n"/>
    </row>
    <row r="2708">
      <c r="O2708" s="23" t="n"/>
      <c r="R2708" s="24" t="n"/>
      <c r="S2708" s="24" t="n"/>
      <c r="Y2708" s="24" t="n"/>
    </row>
    <row r="2709">
      <c r="O2709" s="23" t="n"/>
      <c r="R2709" s="24" t="n"/>
      <c r="S2709" s="24" t="n"/>
      <c r="Y2709" s="24" t="n"/>
    </row>
    <row r="2710">
      <c r="O2710" s="23" t="n"/>
      <c r="R2710" s="24" t="n"/>
      <c r="S2710" s="24" t="n"/>
      <c r="Y2710" s="24" t="n"/>
    </row>
    <row r="2711">
      <c r="O2711" s="23" t="n"/>
      <c r="R2711" s="24" t="n"/>
      <c r="S2711" s="24" t="n"/>
      <c r="Y2711" s="24" t="n"/>
    </row>
    <row r="2712">
      <c r="O2712" s="23" t="n"/>
      <c r="R2712" s="24" t="n"/>
      <c r="S2712" s="24" t="n"/>
      <c r="Y2712" s="24" t="n"/>
    </row>
    <row r="2713">
      <c r="O2713" s="23" t="n"/>
      <c r="R2713" s="24" t="n"/>
      <c r="S2713" s="24" t="n"/>
      <c r="Y2713" s="24" t="n"/>
    </row>
    <row r="2714">
      <c r="O2714" s="23" t="n"/>
      <c r="R2714" s="24" t="n"/>
      <c r="S2714" s="24" t="n"/>
      <c r="Y2714" s="24" t="n"/>
    </row>
    <row r="2715">
      <c r="O2715" s="23" t="n"/>
      <c r="R2715" s="24" t="n"/>
      <c r="S2715" s="24" t="n"/>
      <c r="Y2715" s="24" t="n"/>
    </row>
    <row r="2716">
      <c r="O2716" s="23" t="n"/>
      <c r="R2716" s="24" t="n"/>
      <c r="S2716" s="24" t="n"/>
      <c r="Y2716" s="24" t="n"/>
    </row>
    <row r="2717">
      <c r="O2717" s="23" t="n"/>
      <c r="R2717" s="24" t="n"/>
      <c r="S2717" s="24" t="n"/>
      <c r="Y2717" s="24" t="n"/>
    </row>
    <row r="2718">
      <c r="O2718" s="23" t="n"/>
      <c r="R2718" s="24" t="n"/>
      <c r="S2718" s="24" t="n"/>
      <c r="Y2718" s="24" t="n"/>
    </row>
    <row r="2719">
      <c r="O2719" s="23" t="n"/>
      <c r="R2719" s="24" t="n"/>
      <c r="S2719" s="24" t="n"/>
      <c r="Y2719" s="24" t="n"/>
    </row>
    <row r="2720">
      <c r="O2720" s="23" t="n"/>
      <c r="R2720" s="24" t="n"/>
      <c r="S2720" s="24" t="n"/>
      <c r="Y2720" s="24" t="n"/>
    </row>
    <row r="2721">
      <c r="O2721" s="23" t="n"/>
      <c r="R2721" s="24" t="n"/>
      <c r="S2721" s="24" t="n"/>
      <c r="Y2721" s="24" t="n"/>
    </row>
    <row r="2722">
      <c r="O2722" s="23" t="n"/>
      <c r="R2722" s="24" t="n"/>
      <c r="S2722" s="24" t="n"/>
      <c r="Y2722" s="24" t="n"/>
    </row>
    <row r="2723">
      <c r="O2723" s="23" t="n"/>
      <c r="R2723" s="24" t="n"/>
      <c r="S2723" s="24" t="n"/>
      <c r="Y2723" s="24" t="n"/>
    </row>
    <row r="2724">
      <c r="O2724" s="23" t="n"/>
      <c r="R2724" s="24" t="n"/>
      <c r="S2724" s="24" t="n"/>
      <c r="Y2724" s="24" t="n"/>
    </row>
    <row r="2725">
      <c r="O2725" s="23" t="n"/>
      <c r="R2725" s="24" t="n"/>
      <c r="S2725" s="24" t="n"/>
      <c r="Y2725" s="24" t="n"/>
    </row>
    <row r="2726">
      <c r="O2726" s="23" t="n"/>
      <c r="R2726" s="24" t="n"/>
      <c r="S2726" s="24" t="n"/>
      <c r="Y2726" s="24" t="n"/>
    </row>
    <row r="2727">
      <c r="O2727" s="23" t="n"/>
      <c r="R2727" s="24" t="n"/>
      <c r="S2727" s="24" t="n"/>
      <c r="Y2727" s="24" t="n"/>
    </row>
    <row r="2728">
      <c r="O2728" s="23" t="n"/>
      <c r="R2728" s="24" t="n"/>
      <c r="S2728" s="24" t="n"/>
      <c r="Y2728" s="24" t="n"/>
    </row>
    <row r="2729">
      <c r="O2729" s="23" t="n"/>
      <c r="R2729" s="24" t="n"/>
      <c r="S2729" s="24" t="n"/>
      <c r="Y2729" s="24" t="n"/>
    </row>
    <row r="2730">
      <c r="O2730" s="23" t="n"/>
      <c r="R2730" s="24" t="n"/>
      <c r="S2730" s="24" t="n"/>
      <c r="Y2730" s="24" t="n"/>
    </row>
    <row r="2731">
      <c r="O2731" s="23" t="n"/>
      <c r="R2731" s="24" t="n"/>
      <c r="S2731" s="24" t="n"/>
      <c r="Y2731" s="24" t="n"/>
    </row>
    <row r="2732">
      <c r="O2732" s="23" t="n"/>
      <c r="R2732" s="24" t="n"/>
      <c r="S2732" s="24" t="n"/>
      <c r="Y2732" s="24" t="n"/>
    </row>
    <row r="2733">
      <c r="O2733" s="23" t="n"/>
      <c r="R2733" s="24" t="n"/>
      <c r="S2733" s="24" t="n"/>
      <c r="Y2733" s="24" t="n"/>
    </row>
    <row r="2734">
      <c r="O2734" s="23" t="n"/>
      <c r="R2734" s="24" t="n"/>
      <c r="S2734" s="24" t="n"/>
      <c r="Y2734" s="24" t="n"/>
    </row>
    <row r="2735">
      <c r="O2735" s="23" t="n"/>
      <c r="R2735" s="24" t="n"/>
      <c r="S2735" s="24" t="n"/>
      <c r="Y2735" s="24" t="n"/>
    </row>
    <row r="2736">
      <c r="O2736" s="23" t="n"/>
      <c r="R2736" s="24" t="n"/>
      <c r="S2736" s="24" t="n"/>
      <c r="Y2736" s="24" t="n"/>
    </row>
    <row r="2737">
      <c r="O2737" s="23" t="n"/>
      <c r="R2737" s="24" t="n"/>
      <c r="S2737" s="24" t="n"/>
      <c r="Y2737" s="24" t="n"/>
    </row>
    <row r="2738">
      <c r="O2738" s="23" t="n"/>
      <c r="R2738" s="24" t="n"/>
      <c r="S2738" s="24" t="n"/>
      <c r="Y2738" s="24" t="n"/>
    </row>
    <row r="2739">
      <c r="O2739" s="23" t="n"/>
      <c r="R2739" s="24" t="n"/>
      <c r="S2739" s="24" t="n"/>
      <c r="Y2739" s="24" t="n"/>
    </row>
    <row r="2740">
      <c r="O2740" s="23" t="n"/>
      <c r="R2740" s="24" t="n"/>
      <c r="S2740" s="24" t="n"/>
      <c r="Y2740" s="24" t="n"/>
    </row>
    <row r="2741">
      <c r="O2741" s="23" t="n"/>
      <c r="R2741" s="24" t="n"/>
      <c r="S2741" s="24" t="n"/>
      <c r="Y2741" s="24" t="n"/>
    </row>
    <row r="2742">
      <c r="O2742" s="23" t="n"/>
      <c r="R2742" s="24" t="n"/>
      <c r="S2742" s="24" t="n"/>
      <c r="Y2742" s="24" t="n"/>
    </row>
    <row r="2743">
      <c r="O2743" s="23" t="n"/>
      <c r="R2743" s="24" t="n"/>
      <c r="S2743" s="24" t="n"/>
      <c r="Y2743" s="24" t="n"/>
    </row>
    <row r="2744">
      <c r="O2744" s="23" t="n"/>
      <c r="R2744" s="24" t="n"/>
      <c r="S2744" s="24" t="n"/>
      <c r="Y2744" s="24" t="n"/>
    </row>
    <row r="2745">
      <c r="O2745" s="23" t="n"/>
      <c r="R2745" s="24" t="n"/>
      <c r="S2745" s="24" t="n"/>
      <c r="Y2745" s="24" t="n"/>
    </row>
    <row r="2746">
      <c r="O2746" s="23" t="n"/>
      <c r="R2746" s="24" t="n"/>
      <c r="S2746" s="24" t="n"/>
      <c r="Y2746" s="24" t="n"/>
    </row>
    <row r="2747">
      <c r="O2747" s="23" t="n"/>
      <c r="R2747" s="24" t="n"/>
      <c r="S2747" s="24" t="n"/>
      <c r="Y2747" s="24" t="n"/>
    </row>
    <row r="2748">
      <c r="O2748" s="23" t="n"/>
      <c r="R2748" s="24" t="n"/>
      <c r="S2748" s="24" t="n"/>
      <c r="Y2748" s="24" t="n"/>
    </row>
    <row r="2749">
      <c r="O2749" s="23" t="n"/>
      <c r="R2749" s="24" t="n"/>
      <c r="S2749" s="24" t="n"/>
      <c r="Y2749" s="24" t="n"/>
    </row>
    <row r="2750">
      <c r="O2750" s="23" t="n"/>
      <c r="R2750" s="24" t="n"/>
      <c r="S2750" s="24" t="n"/>
      <c r="Y2750" s="24" t="n"/>
    </row>
    <row r="2751">
      <c r="O2751" s="23" t="n"/>
      <c r="R2751" s="24" t="n"/>
      <c r="S2751" s="24" t="n"/>
      <c r="Y2751" s="24" t="n"/>
    </row>
    <row r="2752">
      <c r="O2752" s="23" t="n"/>
      <c r="R2752" s="24" t="n"/>
      <c r="S2752" s="24" t="n"/>
      <c r="Y2752" s="24" t="n"/>
    </row>
    <row r="2753">
      <c r="O2753" s="23" t="n"/>
      <c r="R2753" s="24" t="n"/>
      <c r="S2753" s="24" t="n"/>
      <c r="Y2753" s="24" t="n"/>
    </row>
    <row r="2754">
      <c r="O2754" s="23" t="n"/>
      <c r="R2754" s="24" t="n"/>
      <c r="S2754" s="24" t="n"/>
      <c r="Y2754" s="24" t="n"/>
    </row>
    <row r="2755">
      <c r="O2755" s="23" t="n"/>
      <c r="R2755" s="24" t="n"/>
      <c r="S2755" s="24" t="n"/>
      <c r="Y2755" s="24" t="n"/>
    </row>
    <row r="2756">
      <c r="O2756" s="23" t="n"/>
      <c r="R2756" s="24" t="n"/>
      <c r="S2756" s="24" t="n"/>
      <c r="Y2756" s="24" t="n"/>
    </row>
    <row r="2757">
      <c r="O2757" s="23" t="n"/>
      <c r="R2757" s="24" t="n"/>
      <c r="S2757" s="24" t="n"/>
      <c r="Y2757" s="24" t="n"/>
    </row>
    <row r="2758">
      <c r="O2758" s="23" t="n"/>
      <c r="R2758" s="24" t="n"/>
      <c r="S2758" s="24" t="n"/>
      <c r="Y2758" s="24" t="n"/>
    </row>
    <row r="2759">
      <c r="O2759" s="23" t="n"/>
      <c r="R2759" s="24" t="n"/>
      <c r="S2759" s="24" t="n"/>
      <c r="Y2759" s="24" t="n"/>
    </row>
    <row r="2760">
      <c r="O2760" s="23" t="n"/>
      <c r="R2760" s="24" t="n"/>
      <c r="S2760" s="24" t="n"/>
      <c r="Y2760" s="24" t="n"/>
    </row>
    <row r="2761">
      <c r="O2761" s="23" t="n"/>
      <c r="R2761" s="24" t="n"/>
      <c r="S2761" s="24" t="n"/>
      <c r="Y2761" s="24" t="n"/>
    </row>
    <row r="2762">
      <c r="O2762" s="23" t="n"/>
      <c r="R2762" s="24" t="n"/>
      <c r="S2762" s="24" t="n"/>
      <c r="Y2762" s="24" t="n"/>
    </row>
    <row r="2763">
      <c r="O2763" s="23" t="n"/>
      <c r="R2763" s="24" t="n"/>
      <c r="S2763" s="24" t="n"/>
      <c r="Y2763" s="24" t="n"/>
    </row>
    <row r="2764">
      <c r="O2764" s="23" t="n"/>
      <c r="R2764" s="24" t="n"/>
      <c r="S2764" s="24" t="n"/>
      <c r="Y2764" s="24" t="n"/>
    </row>
    <row r="2765">
      <c r="O2765" s="23" t="n"/>
      <c r="R2765" s="24" t="n"/>
      <c r="S2765" s="24" t="n"/>
      <c r="Y2765" s="24" t="n"/>
    </row>
    <row r="2766">
      <c r="O2766" s="23" t="n"/>
      <c r="R2766" s="24" t="n"/>
      <c r="S2766" s="24" t="n"/>
      <c r="Y2766" s="24" t="n"/>
    </row>
    <row r="2767">
      <c r="O2767" s="23" t="n"/>
      <c r="R2767" s="24" t="n"/>
      <c r="S2767" s="24" t="n"/>
      <c r="Y2767" s="24" t="n"/>
    </row>
    <row r="2768">
      <c r="O2768" s="23" t="n"/>
      <c r="R2768" s="24" t="n"/>
      <c r="S2768" s="24" t="n"/>
      <c r="Y2768" s="24" t="n"/>
    </row>
    <row r="2769">
      <c r="O2769" s="23" t="n"/>
      <c r="R2769" s="24" t="n"/>
      <c r="S2769" s="24" t="n"/>
      <c r="Y2769" s="24" t="n"/>
    </row>
    <row r="2770">
      <c r="O2770" s="23" t="n"/>
      <c r="R2770" s="24" t="n"/>
      <c r="S2770" s="24" t="n"/>
      <c r="Y2770" s="24" t="n"/>
    </row>
    <row r="2771">
      <c r="O2771" s="23" t="n"/>
      <c r="R2771" s="24" t="n"/>
      <c r="S2771" s="24" t="n"/>
      <c r="Y2771" s="24" t="n"/>
    </row>
    <row r="2772">
      <c r="O2772" s="23" t="n"/>
      <c r="R2772" s="24" t="n"/>
      <c r="S2772" s="24" t="n"/>
      <c r="Y2772" s="24" t="n"/>
    </row>
    <row r="2773">
      <c r="O2773" s="23" t="n"/>
      <c r="R2773" s="24" t="n"/>
      <c r="S2773" s="24" t="n"/>
      <c r="Y2773" s="24" t="n"/>
    </row>
    <row r="2774">
      <c r="O2774" s="23" t="n"/>
      <c r="R2774" s="24" t="n"/>
      <c r="S2774" s="24" t="n"/>
      <c r="Y2774" s="24" t="n"/>
    </row>
    <row r="2775">
      <c r="O2775" s="23" t="n"/>
      <c r="R2775" s="24" t="n"/>
      <c r="S2775" s="24" t="n"/>
      <c r="Y2775" s="24" t="n"/>
    </row>
    <row r="2776">
      <c r="O2776" s="23" t="n"/>
      <c r="R2776" s="24" t="n"/>
      <c r="S2776" s="24" t="n"/>
      <c r="Y2776" s="24" t="n"/>
    </row>
    <row r="2777">
      <c r="O2777" s="23" t="n"/>
      <c r="R2777" s="24" t="n"/>
      <c r="S2777" s="24" t="n"/>
      <c r="Y2777" s="24" t="n"/>
    </row>
    <row r="2778">
      <c r="O2778" s="23" t="n"/>
      <c r="R2778" s="24" t="n"/>
      <c r="S2778" s="24" t="n"/>
      <c r="Y2778" s="24" t="n"/>
    </row>
    <row r="2779">
      <c r="O2779" s="23" t="n"/>
      <c r="R2779" s="24" t="n"/>
      <c r="S2779" s="24" t="n"/>
      <c r="Y2779" s="24" t="n"/>
    </row>
    <row r="2780">
      <c r="O2780" s="23" t="n"/>
      <c r="R2780" s="24" t="n"/>
      <c r="S2780" s="24" t="n"/>
      <c r="Y2780" s="24" t="n"/>
    </row>
    <row r="2781">
      <c r="O2781" s="23" t="n"/>
      <c r="R2781" s="24" t="n"/>
      <c r="S2781" s="24" t="n"/>
      <c r="Y2781" s="24" t="n"/>
    </row>
    <row r="2782">
      <c r="O2782" s="23" t="n"/>
      <c r="R2782" s="24" t="n"/>
      <c r="S2782" s="24" t="n"/>
      <c r="Y2782" s="24" t="n"/>
    </row>
    <row r="2783">
      <c r="O2783" s="23" t="n"/>
      <c r="R2783" s="24" t="n"/>
      <c r="S2783" s="24" t="n"/>
      <c r="Y2783" s="24" t="n"/>
    </row>
    <row r="2784">
      <c r="O2784" s="23" t="n"/>
      <c r="R2784" s="24" t="n"/>
      <c r="S2784" s="24" t="n"/>
      <c r="Y2784" s="24" t="n"/>
    </row>
    <row r="2785">
      <c r="O2785" s="23" t="n"/>
      <c r="R2785" s="24" t="n"/>
      <c r="S2785" s="24" t="n"/>
      <c r="Y2785" s="24" t="n"/>
    </row>
    <row r="2786">
      <c r="O2786" s="23" t="n"/>
      <c r="R2786" s="24" t="n"/>
      <c r="S2786" s="24" t="n"/>
      <c r="Y2786" s="24" t="n"/>
    </row>
    <row r="2787">
      <c r="O2787" s="23" t="n"/>
      <c r="R2787" s="24" t="n"/>
      <c r="S2787" s="24" t="n"/>
      <c r="Y2787" s="24" t="n"/>
    </row>
    <row r="2788">
      <c r="O2788" s="23" t="n"/>
      <c r="R2788" s="24" t="n"/>
      <c r="S2788" s="24" t="n"/>
      <c r="Y2788" s="24" t="n"/>
    </row>
    <row r="2789">
      <c r="O2789" s="23" t="n"/>
      <c r="R2789" s="24" t="n"/>
      <c r="S2789" s="24" t="n"/>
      <c r="Y2789" s="24" t="n"/>
    </row>
    <row r="2790">
      <c r="O2790" s="23" t="n"/>
      <c r="R2790" s="24" t="n"/>
      <c r="S2790" s="24" t="n"/>
      <c r="Y2790" s="24" t="n"/>
    </row>
    <row r="2791">
      <c r="O2791" s="23" t="n"/>
      <c r="R2791" s="24" t="n"/>
      <c r="S2791" s="24" t="n"/>
      <c r="Y2791" s="24" t="n"/>
    </row>
    <row r="2792">
      <c r="O2792" s="23" t="n"/>
      <c r="R2792" s="24" t="n"/>
      <c r="S2792" s="24" t="n"/>
      <c r="Y2792" s="24" t="n"/>
    </row>
    <row r="2793">
      <c r="O2793" s="23" t="n"/>
      <c r="R2793" s="24" t="n"/>
      <c r="S2793" s="24" t="n"/>
      <c r="Y2793" s="24" t="n"/>
    </row>
    <row r="2794">
      <c r="O2794" s="23" t="n"/>
      <c r="R2794" s="24" t="n"/>
      <c r="S2794" s="24" t="n"/>
      <c r="Y2794" s="24" t="n"/>
    </row>
    <row r="2795">
      <c r="O2795" s="23" t="n"/>
      <c r="R2795" s="24" t="n"/>
      <c r="S2795" s="24" t="n"/>
      <c r="Y2795" s="24" t="n"/>
    </row>
    <row r="2796">
      <c r="O2796" s="23" t="n"/>
      <c r="R2796" s="24" t="n"/>
      <c r="S2796" s="24" t="n"/>
      <c r="Y2796" s="24" t="n"/>
    </row>
    <row r="2797">
      <c r="O2797" s="23" t="n"/>
      <c r="R2797" s="24" t="n"/>
      <c r="S2797" s="24" t="n"/>
      <c r="Y2797" s="24" t="n"/>
    </row>
    <row r="2798">
      <c r="O2798" s="23" t="n"/>
      <c r="R2798" s="24" t="n"/>
      <c r="S2798" s="24" t="n"/>
      <c r="Y2798" s="24" t="n"/>
    </row>
    <row r="2799">
      <c r="O2799" s="23" t="n"/>
      <c r="R2799" s="24" t="n"/>
      <c r="S2799" s="24" t="n"/>
      <c r="Y2799" s="24" t="n"/>
    </row>
    <row r="2800">
      <c r="O2800" s="23" t="n"/>
      <c r="R2800" s="24" t="n"/>
      <c r="S2800" s="24" t="n"/>
      <c r="Y2800" s="24" t="n"/>
    </row>
    <row r="2801">
      <c r="O2801" s="23" t="n"/>
      <c r="R2801" s="24" t="n"/>
      <c r="S2801" s="24" t="n"/>
      <c r="Y2801" s="24" t="n"/>
    </row>
    <row r="2802">
      <c r="O2802" s="23" t="n"/>
      <c r="R2802" s="24" t="n"/>
      <c r="S2802" s="24" t="n"/>
      <c r="Y2802" s="24" t="n"/>
    </row>
    <row r="2803">
      <c r="O2803" s="23" t="n"/>
      <c r="R2803" s="24" t="n"/>
      <c r="S2803" s="24" t="n"/>
      <c r="Y2803" s="24" t="n"/>
    </row>
    <row r="2804">
      <c r="O2804" s="23" t="n"/>
      <c r="R2804" s="24" t="n"/>
      <c r="S2804" s="24" t="n"/>
      <c r="Y2804" s="24" t="n"/>
    </row>
    <row r="2805">
      <c r="O2805" s="23" t="n"/>
      <c r="R2805" s="24" t="n"/>
      <c r="S2805" s="24" t="n"/>
      <c r="Y2805" s="24" t="n"/>
    </row>
    <row r="2806">
      <c r="O2806" s="23" t="n"/>
      <c r="R2806" s="24" t="n"/>
      <c r="S2806" s="24" t="n"/>
      <c r="Y2806" s="24" t="n"/>
    </row>
    <row r="2807">
      <c r="O2807" s="23" t="n"/>
      <c r="R2807" s="24" t="n"/>
      <c r="S2807" s="24" t="n"/>
      <c r="Y2807" s="24" t="n"/>
    </row>
    <row r="2808">
      <c r="O2808" s="23" t="n"/>
      <c r="R2808" s="24" t="n"/>
      <c r="S2808" s="24" t="n"/>
      <c r="Y2808" s="24" t="n"/>
    </row>
    <row r="2809">
      <c r="O2809" s="23" t="n"/>
      <c r="R2809" s="24" t="n"/>
      <c r="S2809" s="24" t="n"/>
      <c r="Y2809" s="24" t="n"/>
    </row>
    <row r="2810">
      <c r="O2810" s="23" t="n"/>
      <c r="R2810" s="24" t="n"/>
      <c r="S2810" s="24" t="n"/>
      <c r="Y2810" s="24" t="n"/>
    </row>
    <row r="2811">
      <c r="O2811" s="23" t="n"/>
      <c r="R2811" s="24" t="n"/>
      <c r="S2811" s="24" t="n"/>
      <c r="Y2811" s="24" t="n"/>
    </row>
    <row r="2812">
      <c r="O2812" s="23" t="n"/>
      <c r="R2812" s="24" t="n"/>
      <c r="S2812" s="24" t="n"/>
      <c r="Y2812" s="24" t="n"/>
    </row>
    <row r="2813">
      <c r="O2813" s="23" t="n"/>
      <c r="R2813" s="24" t="n"/>
      <c r="S2813" s="24" t="n"/>
      <c r="Y2813" s="24" t="n"/>
    </row>
    <row r="2814">
      <c r="O2814" s="23" t="n"/>
      <c r="R2814" s="24" t="n"/>
      <c r="S2814" s="24" t="n"/>
      <c r="Y2814" s="24" t="n"/>
    </row>
    <row r="2815">
      <c r="O2815" s="23" t="n"/>
      <c r="R2815" s="24" t="n"/>
      <c r="S2815" s="24" t="n"/>
      <c r="Y2815" s="24" t="n"/>
    </row>
    <row r="2816">
      <c r="O2816" s="23" t="n"/>
      <c r="R2816" s="24" t="n"/>
      <c r="S2816" s="24" t="n"/>
      <c r="Y2816" s="24" t="n"/>
    </row>
    <row r="2817">
      <c r="O2817" s="23" t="n"/>
      <c r="R2817" s="24" t="n"/>
      <c r="S2817" s="24" t="n"/>
      <c r="Y2817" s="24" t="n"/>
    </row>
    <row r="2818">
      <c r="O2818" s="23" t="n"/>
      <c r="R2818" s="24" t="n"/>
      <c r="S2818" s="24" t="n"/>
      <c r="Y2818" s="24" t="n"/>
    </row>
    <row r="2819">
      <c r="O2819" s="23" t="n"/>
      <c r="R2819" s="24" t="n"/>
      <c r="S2819" s="24" t="n"/>
      <c r="Y2819" s="24" t="n"/>
    </row>
    <row r="2820">
      <c r="O2820" s="23" t="n"/>
      <c r="R2820" s="24" t="n"/>
      <c r="S2820" s="24" t="n"/>
      <c r="Y2820" s="24" t="n"/>
    </row>
    <row r="2821">
      <c r="O2821" s="23" t="n"/>
      <c r="R2821" s="24" t="n"/>
      <c r="S2821" s="24" t="n"/>
      <c r="Y2821" s="24" t="n"/>
    </row>
    <row r="2822">
      <c r="O2822" s="23" t="n"/>
      <c r="R2822" s="24" t="n"/>
      <c r="S2822" s="24" t="n"/>
      <c r="Y2822" s="24" t="n"/>
    </row>
    <row r="2823">
      <c r="O2823" s="23" t="n"/>
      <c r="R2823" s="24" t="n"/>
      <c r="S2823" s="24" t="n"/>
      <c r="Y2823" s="24" t="n"/>
    </row>
    <row r="2824">
      <c r="O2824" s="23" t="n"/>
      <c r="R2824" s="24" t="n"/>
      <c r="S2824" s="24" t="n"/>
      <c r="Y2824" s="24" t="n"/>
    </row>
    <row r="2825">
      <c r="O2825" s="23" t="n"/>
      <c r="R2825" s="24" t="n"/>
      <c r="S2825" s="24" t="n"/>
      <c r="Y2825" s="24" t="n"/>
    </row>
    <row r="2826">
      <c r="O2826" s="23" t="n"/>
      <c r="R2826" s="24" t="n"/>
      <c r="S2826" s="24" t="n"/>
      <c r="Y2826" s="24" t="n"/>
    </row>
    <row r="2827">
      <c r="O2827" s="23" t="n"/>
      <c r="R2827" s="24" t="n"/>
      <c r="S2827" s="24" t="n"/>
      <c r="Y2827" s="24" t="n"/>
    </row>
    <row r="2828">
      <c r="O2828" s="23" t="n"/>
      <c r="R2828" s="24" t="n"/>
      <c r="S2828" s="24" t="n"/>
      <c r="Y2828" s="24" t="n"/>
    </row>
    <row r="2829">
      <c r="O2829" s="23" t="n"/>
      <c r="R2829" s="24" t="n"/>
      <c r="S2829" s="24" t="n"/>
      <c r="Y2829" s="24" t="n"/>
    </row>
    <row r="2830">
      <c r="O2830" s="23" t="n"/>
      <c r="R2830" s="24" t="n"/>
      <c r="S2830" s="24" t="n"/>
      <c r="Y2830" s="24" t="n"/>
    </row>
    <row r="2831">
      <c r="O2831" s="23" t="n"/>
      <c r="R2831" s="24" t="n"/>
      <c r="S2831" s="24" t="n"/>
      <c r="Y2831" s="24" t="n"/>
    </row>
    <row r="2832">
      <c r="O2832" s="23" t="n"/>
      <c r="R2832" s="24" t="n"/>
      <c r="S2832" s="24" t="n"/>
      <c r="Y2832" s="24" t="n"/>
    </row>
    <row r="2833">
      <c r="O2833" s="23" t="n"/>
      <c r="R2833" s="24" t="n"/>
      <c r="S2833" s="24" t="n"/>
      <c r="Y2833" s="24" t="n"/>
    </row>
    <row r="2834">
      <c r="O2834" s="23" t="n"/>
      <c r="R2834" s="24" t="n"/>
      <c r="S2834" s="24" t="n"/>
      <c r="Y2834" s="24" t="n"/>
    </row>
    <row r="2835">
      <c r="O2835" s="23" t="n"/>
      <c r="R2835" s="24" t="n"/>
      <c r="S2835" s="24" t="n"/>
      <c r="Y2835" s="24" t="n"/>
    </row>
    <row r="2836">
      <c r="O2836" s="23" t="n"/>
      <c r="R2836" s="24" t="n"/>
      <c r="S2836" s="24" t="n"/>
      <c r="Y2836" s="24" t="n"/>
    </row>
    <row r="2837">
      <c r="O2837" s="23" t="n"/>
      <c r="R2837" s="24" t="n"/>
      <c r="S2837" s="24" t="n"/>
      <c r="Y2837" s="24" t="n"/>
    </row>
    <row r="2838">
      <c r="O2838" s="23" t="n"/>
      <c r="R2838" s="24" t="n"/>
      <c r="S2838" s="24" t="n"/>
      <c r="Y2838" s="24" t="n"/>
    </row>
    <row r="2839">
      <c r="O2839" s="23" t="n"/>
      <c r="R2839" s="24" t="n"/>
      <c r="S2839" s="24" t="n"/>
      <c r="Y2839" s="24" t="n"/>
    </row>
    <row r="2840">
      <c r="O2840" s="23" t="n"/>
      <c r="R2840" s="24" t="n"/>
      <c r="S2840" s="24" t="n"/>
      <c r="Y2840" s="24" t="n"/>
    </row>
    <row r="2841">
      <c r="O2841" s="23" t="n"/>
      <c r="R2841" s="24" t="n"/>
      <c r="S2841" s="24" t="n"/>
      <c r="Y2841" s="24" t="n"/>
    </row>
    <row r="2842">
      <c r="O2842" s="23" t="n"/>
      <c r="R2842" s="24" t="n"/>
      <c r="S2842" s="24" t="n"/>
      <c r="Y2842" s="24" t="n"/>
    </row>
    <row r="2843">
      <c r="O2843" s="23" t="n"/>
      <c r="R2843" s="24" t="n"/>
      <c r="S2843" s="24" t="n"/>
      <c r="Y2843" s="24" t="n"/>
    </row>
    <row r="2844">
      <c r="O2844" s="23" t="n"/>
      <c r="R2844" s="24" t="n"/>
      <c r="S2844" s="24" t="n"/>
      <c r="Y2844" s="24" t="n"/>
    </row>
    <row r="2845">
      <c r="O2845" s="23" t="n"/>
      <c r="R2845" s="24" t="n"/>
      <c r="S2845" s="24" t="n"/>
      <c r="Y2845" s="24" t="n"/>
    </row>
    <row r="2846">
      <c r="O2846" s="23" t="n"/>
      <c r="R2846" s="24" t="n"/>
      <c r="S2846" s="24" t="n"/>
      <c r="Y2846" s="24" t="n"/>
    </row>
    <row r="2847">
      <c r="O2847" s="23" t="n"/>
      <c r="R2847" s="24" t="n"/>
      <c r="S2847" s="24" t="n"/>
      <c r="Y2847" s="24" t="n"/>
    </row>
    <row r="2848">
      <c r="O2848" s="23" t="n"/>
      <c r="R2848" s="24" t="n"/>
      <c r="S2848" s="24" t="n"/>
      <c r="Y2848" s="24" t="n"/>
    </row>
    <row r="2849">
      <c r="O2849" s="23" t="n"/>
      <c r="R2849" s="24" t="n"/>
      <c r="S2849" s="24" t="n"/>
      <c r="Y2849" s="24" t="n"/>
    </row>
    <row r="2850">
      <c r="O2850" s="23" t="n"/>
      <c r="R2850" s="24" t="n"/>
      <c r="S2850" s="24" t="n"/>
      <c r="Y2850" s="24" t="n"/>
    </row>
    <row r="2851">
      <c r="O2851" s="23" t="n"/>
      <c r="R2851" s="24" t="n"/>
      <c r="S2851" s="24" t="n"/>
      <c r="Y2851" s="24" t="n"/>
    </row>
    <row r="2852">
      <c r="O2852" s="23" t="n"/>
      <c r="R2852" s="24" t="n"/>
      <c r="S2852" s="24" t="n"/>
      <c r="Y2852" s="24" t="n"/>
    </row>
    <row r="2853">
      <c r="O2853" s="23" t="n"/>
      <c r="R2853" s="24" t="n"/>
      <c r="S2853" s="24" t="n"/>
      <c r="Y2853" s="24" t="n"/>
    </row>
    <row r="2854">
      <c r="O2854" s="23" t="n"/>
      <c r="R2854" s="24" t="n"/>
      <c r="S2854" s="24" t="n"/>
      <c r="Y2854" s="24" t="n"/>
    </row>
    <row r="2855">
      <c r="O2855" s="23" t="n"/>
      <c r="R2855" s="24" t="n"/>
      <c r="S2855" s="24" t="n"/>
      <c r="Y2855" s="24" t="n"/>
    </row>
    <row r="2856">
      <c r="O2856" s="23" t="n"/>
      <c r="R2856" s="24" t="n"/>
      <c r="S2856" s="24" t="n"/>
      <c r="Y2856" s="24" t="n"/>
    </row>
    <row r="2857">
      <c r="O2857" s="23" t="n"/>
      <c r="R2857" s="24" t="n"/>
      <c r="S2857" s="24" t="n"/>
      <c r="Y2857" s="24" t="n"/>
    </row>
    <row r="2858">
      <c r="O2858" s="23" t="n"/>
      <c r="R2858" s="24" t="n"/>
      <c r="S2858" s="24" t="n"/>
      <c r="Y2858" s="24" t="n"/>
    </row>
    <row r="2859">
      <c r="O2859" s="23" t="n"/>
      <c r="R2859" s="24" t="n"/>
      <c r="S2859" s="24" t="n"/>
      <c r="Y2859" s="24" t="n"/>
    </row>
    <row r="2860">
      <c r="O2860" s="23" t="n"/>
      <c r="R2860" s="24" t="n"/>
      <c r="S2860" s="24" t="n"/>
      <c r="Y2860" s="24" t="n"/>
    </row>
    <row r="2861">
      <c r="O2861" s="23" t="n"/>
      <c r="R2861" s="24" t="n"/>
      <c r="S2861" s="24" t="n"/>
      <c r="Y2861" s="24" t="n"/>
    </row>
    <row r="2862">
      <c r="O2862" s="23" t="n"/>
      <c r="R2862" s="24" t="n"/>
      <c r="S2862" s="24" t="n"/>
      <c r="Y2862" s="24" t="n"/>
    </row>
    <row r="2863">
      <c r="O2863" s="23" t="n"/>
      <c r="R2863" s="24" t="n"/>
      <c r="S2863" s="24" t="n"/>
      <c r="Y2863" s="24" t="n"/>
    </row>
    <row r="2864">
      <c r="O2864" s="23" t="n"/>
      <c r="R2864" s="24" t="n"/>
      <c r="S2864" s="24" t="n"/>
      <c r="Y2864" s="24" t="n"/>
    </row>
    <row r="2865">
      <c r="O2865" s="23" t="n"/>
      <c r="R2865" s="24" t="n"/>
      <c r="S2865" s="24" t="n"/>
      <c r="Y2865" s="24" t="n"/>
    </row>
    <row r="2866">
      <c r="O2866" s="23" t="n"/>
      <c r="R2866" s="24" t="n"/>
      <c r="S2866" s="24" t="n"/>
      <c r="Y2866" s="24" t="n"/>
    </row>
    <row r="2867">
      <c r="O2867" s="23" t="n"/>
      <c r="R2867" s="24" t="n"/>
      <c r="S2867" s="24" t="n"/>
      <c r="Y2867" s="24" t="n"/>
    </row>
    <row r="2868">
      <c r="O2868" s="23" t="n"/>
      <c r="R2868" s="24" t="n"/>
      <c r="S2868" s="24" t="n"/>
      <c r="Y2868" s="24" t="n"/>
    </row>
    <row r="2869">
      <c r="O2869" s="23" t="n"/>
      <c r="R2869" s="24" t="n"/>
      <c r="S2869" s="24" t="n"/>
      <c r="Y2869" s="24" t="n"/>
    </row>
    <row r="2870">
      <c r="O2870" s="23" t="n"/>
      <c r="R2870" s="24" t="n"/>
      <c r="S2870" s="24" t="n"/>
      <c r="Y2870" s="24" t="n"/>
    </row>
    <row r="2871">
      <c r="O2871" s="23" t="n"/>
      <c r="R2871" s="24" t="n"/>
      <c r="S2871" s="24" t="n"/>
      <c r="Y2871" s="24" t="n"/>
    </row>
    <row r="2872">
      <c r="O2872" s="23" t="n"/>
      <c r="R2872" s="24" t="n"/>
      <c r="S2872" s="24" t="n"/>
      <c r="Y2872" s="24" t="n"/>
    </row>
    <row r="2873">
      <c r="O2873" s="23" t="n"/>
      <c r="R2873" s="24" t="n"/>
      <c r="S2873" s="24" t="n"/>
      <c r="Y2873" s="24" t="n"/>
    </row>
    <row r="2874">
      <c r="O2874" s="23" t="n"/>
      <c r="R2874" s="24" t="n"/>
      <c r="S2874" s="24" t="n"/>
      <c r="Y2874" s="24" t="n"/>
    </row>
    <row r="2875">
      <c r="O2875" s="23" t="n"/>
      <c r="R2875" s="24" t="n"/>
      <c r="S2875" s="24" t="n"/>
      <c r="Y2875" s="24" t="n"/>
    </row>
    <row r="2876">
      <c r="O2876" s="23" t="n"/>
      <c r="R2876" s="24" t="n"/>
      <c r="S2876" s="24" t="n"/>
      <c r="Y2876" s="24" t="n"/>
    </row>
    <row r="2877">
      <c r="O2877" s="23" t="n"/>
      <c r="R2877" s="24" t="n"/>
      <c r="S2877" s="24" t="n"/>
      <c r="Y2877" s="24" t="n"/>
    </row>
    <row r="2878">
      <c r="O2878" s="23" t="n"/>
      <c r="R2878" s="24" t="n"/>
      <c r="S2878" s="24" t="n"/>
      <c r="Y2878" s="24" t="n"/>
    </row>
    <row r="2879">
      <c r="O2879" s="23" t="n"/>
      <c r="R2879" s="24" t="n"/>
      <c r="S2879" s="24" t="n"/>
      <c r="Y2879" s="24" t="n"/>
    </row>
    <row r="2880">
      <c r="O2880" s="23" t="n"/>
      <c r="R2880" s="24" t="n"/>
      <c r="S2880" s="24" t="n"/>
      <c r="Y2880" s="24" t="n"/>
    </row>
    <row r="2881">
      <c r="O2881" s="23" t="n"/>
      <c r="R2881" s="24" t="n"/>
      <c r="S2881" s="24" t="n"/>
      <c r="Y2881" s="24" t="n"/>
    </row>
    <row r="2882">
      <c r="O2882" s="23" t="n"/>
      <c r="R2882" s="24" t="n"/>
      <c r="S2882" s="24" t="n"/>
      <c r="Y2882" s="24" t="n"/>
    </row>
    <row r="2883">
      <c r="O2883" s="23" t="n"/>
      <c r="R2883" s="24" t="n"/>
      <c r="S2883" s="24" t="n"/>
      <c r="Y2883" s="24" t="n"/>
    </row>
    <row r="2884">
      <c r="O2884" s="23" t="n"/>
      <c r="R2884" s="24" t="n"/>
      <c r="S2884" s="24" t="n"/>
      <c r="Y2884" s="24" t="n"/>
    </row>
    <row r="2885">
      <c r="O2885" s="23" t="n"/>
      <c r="R2885" s="24" t="n"/>
      <c r="S2885" s="24" t="n"/>
      <c r="Y2885" s="24" t="n"/>
    </row>
    <row r="2886">
      <c r="O2886" s="23" t="n"/>
      <c r="R2886" s="24" t="n"/>
      <c r="S2886" s="24" t="n"/>
      <c r="Y2886" s="24" t="n"/>
    </row>
    <row r="2887">
      <c r="O2887" s="23" t="n"/>
      <c r="R2887" s="24" t="n"/>
      <c r="S2887" s="24" t="n"/>
      <c r="Y2887" s="24" t="n"/>
    </row>
    <row r="2888">
      <c r="O2888" s="23" t="n"/>
      <c r="R2888" s="24" t="n"/>
      <c r="S2888" s="24" t="n"/>
      <c r="Y2888" s="24" t="n"/>
    </row>
    <row r="2889">
      <c r="O2889" s="23" t="n"/>
      <c r="R2889" s="24" t="n"/>
      <c r="S2889" s="24" t="n"/>
      <c r="Y2889" s="24" t="n"/>
    </row>
    <row r="2890">
      <c r="O2890" s="23" t="n"/>
      <c r="R2890" s="24" t="n"/>
      <c r="S2890" s="24" t="n"/>
      <c r="Y2890" s="24" t="n"/>
    </row>
    <row r="2891">
      <c r="O2891" s="23" t="n"/>
      <c r="R2891" s="24" t="n"/>
      <c r="S2891" s="24" t="n"/>
      <c r="Y2891" s="24" t="n"/>
    </row>
    <row r="2892">
      <c r="O2892" s="23" t="n"/>
      <c r="R2892" s="24" t="n"/>
      <c r="S2892" s="24" t="n"/>
      <c r="Y2892" s="24" t="n"/>
    </row>
    <row r="2893">
      <c r="O2893" s="23" t="n"/>
      <c r="R2893" s="24" t="n"/>
      <c r="S2893" s="24" t="n"/>
      <c r="Y2893" s="24" t="n"/>
    </row>
    <row r="2894">
      <c r="O2894" s="23" t="n"/>
      <c r="R2894" s="24" t="n"/>
      <c r="S2894" s="24" t="n"/>
      <c r="Y2894" s="24" t="n"/>
    </row>
    <row r="2895">
      <c r="O2895" s="23" t="n"/>
      <c r="R2895" s="24" t="n"/>
      <c r="S2895" s="24" t="n"/>
      <c r="Y2895" s="24" t="n"/>
    </row>
    <row r="2896">
      <c r="O2896" s="23" t="n"/>
      <c r="R2896" s="24" t="n"/>
      <c r="S2896" s="24" t="n"/>
      <c r="Y2896" s="24" t="n"/>
    </row>
    <row r="2897">
      <c r="O2897" s="23" t="n"/>
      <c r="R2897" s="24" t="n"/>
      <c r="S2897" s="24" t="n"/>
      <c r="Y2897" s="24" t="n"/>
    </row>
    <row r="2898">
      <c r="O2898" s="23" t="n"/>
      <c r="R2898" s="24" t="n"/>
      <c r="S2898" s="24" t="n"/>
      <c r="Y2898" s="24" t="n"/>
    </row>
    <row r="2899">
      <c r="O2899" s="23" t="n"/>
      <c r="R2899" s="24" t="n"/>
      <c r="S2899" s="24" t="n"/>
      <c r="Y2899" s="24" t="n"/>
    </row>
    <row r="2900">
      <c r="O2900" s="23" t="n"/>
      <c r="R2900" s="24" t="n"/>
      <c r="S2900" s="24" t="n"/>
      <c r="Y2900" s="24" t="n"/>
    </row>
    <row r="2901">
      <c r="O2901" s="23" t="n"/>
      <c r="R2901" s="24" t="n"/>
      <c r="S2901" s="24" t="n"/>
      <c r="Y2901" s="24" t="n"/>
    </row>
    <row r="2902">
      <c r="O2902" s="23" t="n"/>
      <c r="R2902" s="24" t="n"/>
      <c r="S2902" s="24" t="n"/>
      <c r="Y2902" s="24" t="n"/>
    </row>
    <row r="2903">
      <c r="O2903" s="23" t="n"/>
      <c r="R2903" s="24" t="n"/>
      <c r="S2903" s="24" t="n"/>
      <c r="Y2903" s="24" t="n"/>
    </row>
    <row r="2904">
      <c r="O2904" s="23" t="n"/>
      <c r="R2904" s="24" t="n"/>
      <c r="S2904" s="24" t="n"/>
      <c r="Y2904" s="24" t="n"/>
    </row>
    <row r="2905">
      <c r="O2905" s="23" t="n"/>
      <c r="R2905" s="24" t="n"/>
      <c r="S2905" s="24" t="n"/>
      <c r="Y2905" s="24" t="n"/>
    </row>
    <row r="2906">
      <c r="O2906" s="23" t="n"/>
      <c r="R2906" s="24" t="n"/>
      <c r="S2906" s="24" t="n"/>
      <c r="Y2906" s="24" t="n"/>
    </row>
    <row r="2907">
      <c r="O2907" s="23" t="n"/>
      <c r="R2907" s="24" t="n"/>
      <c r="S2907" s="24" t="n"/>
      <c r="Y2907" s="24" t="n"/>
    </row>
    <row r="2908">
      <c r="O2908" s="23" t="n"/>
      <c r="R2908" s="24" t="n"/>
      <c r="S2908" s="24" t="n"/>
      <c r="Y2908" s="24" t="n"/>
    </row>
    <row r="2909">
      <c r="O2909" s="23" t="n"/>
      <c r="R2909" s="24" t="n"/>
      <c r="S2909" s="24" t="n"/>
      <c r="Y2909" s="24" t="n"/>
    </row>
    <row r="2910">
      <c r="O2910" s="23" t="n"/>
      <c r="R2910" s="24" t="n"/>
      <c r="S2910" s="24" t="n"/>
      <c r="Y2910" s="24" t="n"/>
    </row>
    <row r="2911">
      <c r="O2911" s="23" t="n"/>
      <c r="R2911" s="24" t="n"/>
      <c r="S2911" s="24" t="n"/>
      <c r="Y2911" s="24" t="n"/>
    </row>
    <row r="2912">
      <c r="O2912" s="23" t="n"/>
      <c r="R2912" s="24" t="n"/>
      <c r="S2912" s="24" t="n"/>
      <c r="Y2912" s="24" t="n"/>
    </row>
    <row r="2913">
      <c r="O2913" s="23" t="n"/>
      <c r="R2913" s="24" t="n"/>
      <c r="S2913" s="24" t="n"/>
      <c r="Y2913" s="24" t="n"/>
    </row>
    <row r="2914">
      <c r="O2914" s="23" t="n"/>
      <c r="R2914" s="24" t="n"/>
      <c r="S2914" s="24" t="n"/>
      <c r="Y2914" s="24" t="n"/>
    </row>
    <row r="2915">
      <c r="O2915" s="23" t="n"/>
      <c r="R2915" s="24" t="n"/>
      <c r="S2915" s="24" t="n"/>
      <c r="Y2915" s="24" t="n"/>
    </row>
    <row r="2916">
      <c r="O2916" s="23" t="n"/>
      <c r="R2916" s="24" t="n"/>
      <c r="S2916" s="24" t="n"/>
      <c r="Y2916" s="24" t="n"/>
    </row>
    <row r="2917">
      <c r="O2917" s="23" t="n"/>
      <c r="R2917" s="24" t="n"/>
      <c r="S2917" s="24" t="n"/>
      <c r="Y2917" s="24" t="n"/>
    </row>
    <row r="2918">
      <c r="O2918" s="23" t="n"/>
      <c r="R2918" s="24" t="n"/>
      <c r="S2918" s="24" t="n"/>
      <c r="Y2918" s="24" t="n"/>
    </row>
    <row r="2919">
      <c r="O2919" s="23" t="n"/>
      <c r="R2919" s="24" t="n"/>
      <c r="S2919" s="24" t="n"/>
      <c r="Y2919" s="24" t="n"/>
    </row>
    <row r="2920">
      <c r="O2920" s="23" t="n"/>
      <c r="R2920" s="24" t="n"/>
      <c r="S2920" s="24" t="n"/>
      <c r="Y2920" s="24" t="n"/>
    </row>
    <row r="2921">
      <c r="O2921" s="23" t="n"/>
      <c r="R2921" s="24" t="n"/>
      <c r="S2921" s="24" t="n"/>
      <c r="Y2921" s="24" t="n"/>
    </row>
    <row r="2922">
      <c r="O2922" s="23" t="n"/>
      <c r="R2922" s="24" t="n"/>
      <c r="S2922" s="24" t="n"/>
      <c r="Y2922" s="24" t="n"/>
    </row>
    <row r="2923">
      <c r="O2923" s="23" t="n"/>
      <c r="R2923" s="24" t="n"/>
      <c r="S2923" s="24" t="n"/>
      <c r="Y2923" s="24" t="n"/>
    </row>
    <row r="2924">
      <c r="O2924" s="23" t="n"/>
      <c r="R2924" s="24" t="n"/>
      <c r="S2924" s="24" t="n"/>
      <c r="Y2924" s="24" t="n"/>
    </row>
    <row r="2925">
      <c r="O2925" s="23" t="n"/>
      <c r="R2925" s="24" t="n"/>
      <c r="S2925" s="24" t="n"/>
      <c r="Y2925" s="24" t="n"/>
    </row>
    <row r="2926">
      <c r="O2926" s="23" t="n"/>
      <c r="R2926" s="24" t="n"/>
      <c r="S2926" s="24" t="n"/>
      <c r="Y2926" s="24" t="n"/>
    </row>
    <row r="2927">
      <c r="O2927" s="23" t="n"/>
      <c r="R2927" s="24" t="n"/>
      <c r="S2927" s="24" t="n"/>
      <c r="Y2927" s="24" t="n"/>
    </row>
    <row r="2928">
      <c r="O2928" s="23" t="n"/>
      <c r="R2928" s="24" t="n"/>
      <c r="S2928" s="24" t="n"/>
      <c r="Y2928" s="24" t="n"/>
    </row>
    <row r="2929">
      <c r="O2929" s="23" t="n"/>
      <c r="R2929" s="24" t="n"/>
      <c r="S2929" s="24" t="n"/>
      <c r="Y2929" s="24" t="n"/>
    </row>
    <row r="2930">
      <c r="O2930" s="23" t="n"/>
      <c r="R2930" s="24" t="n"/>
      <c r="S2930" s="24" t="n"/>
      <c r="Y2930" s="24" t="n"/>
    </row>
    <row r="2931">
      <c r="O2931" s="23" t="n"/>
      <c r="R2931" s="24" t="n"/>
      <c r="S2931" s="24" t="n"/>
      <c r="Y2931" s="24" t="n"/>
    </row>
    <row r="2932">
      <c r="O2932" s="23" t="n"/>
      <c r="R2932" s="24" t="n"/>
      <c r="S2932" s="24" t="n"/>
      <c r="Y2932" s="24" t="n"/>
    </row>
    <row r="2933">
      <c r="O2933" s="23" t="n"/>
      <c r="R2933" s="24" t="n"/>
      <c r="S2933" s="24" t="n"/>
      <c r="Y2933" s="24" t="n"/>
    </row>
    <row r="2934">
      <c r="O2934" s="23" t="n"/>
      <c r="R2934" s="24" t="n"/>
      <c r="S2934" s="24" t="n"/>
      <c r="Y2934" s="24" t="n"/>
    </row>
    <row r="2935">
      <c r="O2935" s="23" t="n"/>
      <c r="R2935" s="24" t="n"/>
      <c r="S2935" s="24" t="n"/>
      <c r="Y2935" s="24" t="n"/>
    </row>
    <row r="2936">
      <c r="O2936" s="23" t="n"/>
      <c r="R2936" s="24" t="n"/>
      <c r="S2936" s="24" t="n"/>
      <c r="Y2936" s="24" t="n"/>
    </row>
    <row r="2937">
      <c r="O2937" s="23" t="n"/>
      <c r="R2937" s="24" t="n"/>
      <c r="S2937" s="24" t="n"/>
      <c r="Y2937" s="24" t="n"/>
    </row>
    <row r="2938">
      <c r="O2938" s="23" t="n"/>
      <c r="R2938" s="24" t="n"/>
      <c r="S2938" s="24" t="n"/>
      <c r="Y2938" s="24" t="n"/>
    </row>
    <row r="2939">
      <c r="O2939" s="23" t="n"/>
      <c r="R2939" s="24" t="n"/>
      <c r="S2939" s="24" t="n"/>
      <c r="Y2939" s="24" t="n"/>
    </row>
    <row r="2940">
      <c r="O2940" s="23" t="n"/>
      <c r="R2940" s="24" t="n"/>
      <c r="S2940" s="24" t="n"/>
      <c r="Y2940" s="24" t="n"/>
    </row>
    <row r="2941">
      <c r="O2941" s="23" t="n"/>
      <c r="R2941" s="24" t="n"/>
      <c r="S2941" s="24" t="n"/>
      <c r="Y2941" s="24" t="n"/>
    </row>
    <row r="2942">
      <c r="O2942" s="23" t="n"/>
      <c r="R2942" s="24" t="n"/>
      <c r="S2942" s="24" t="n"/>
      <c r="Y2942" s="24" t="n"/>
    </row>
    <row r="2943">
      <c r="O2943" s="23" t="n"/>
      <c r="R2943" s="24" t="n"/>
      <c r="S2943" s="24" t="n"/>
      <c r="Y2943" s="24" t="n"/>
    </row>
    <row r="2944">
      <c r="O2944" s="23" t="n"/>
      <c r="R2944" s="24" t="n"/>
      <c r="S2944" s="24" t="n"/>
      <c r="Y2944" s="24" t="n"/>
    </row>
    <row r="2945">
      <c r="O2945" s="23" t="n"/>
      <c r="R2945" s="24" t="n"/>
      <c r="S2945" s="24" t="n"/>
      <c r="Y2945" s="24" t="n"/>
    </row>
    <row r="2946">
      <c r="O2946" s="23" t="n"/>
      <c r="R2946" s="24" t="n"/>
      <c r="S2946" s="24" t="n"/>
      <c r="Y2946" s="24" t="n"/>
    </row>
    <row r="2947">
      <c r="O2947" s="23" t="n"/>
      <c r="R2947" s="24" t="n"/>
      <c r="S2947" s="24" t="n"/>
      <c r="Y2947" s="24" t="n"/>
    </row>
    <row r="2948">
      <c r="O2948" s="23" t="n"/>
      <c r="R2948" s="24" t="n"/>
      <c r="S2948" s="24" t="n"/>
      <c r="Y2948" s="24" t="n"/>
    </row>
    <row r="2949">
      <c r="O2949" s="23" t="n"/>
      <c r="R2949" s="24" t="n"/>
      <c r="S2949" s="24" t="n"/>
      <c r="Y2949" s="24" t="n"/>
    </row>
    <row r="2950">
      <c r="O2950" s="23" t="n"/>
      <c r="R2950" s="24" t="n"/>
      <c r="S2950" s="24" t="n"/>
      <c r="Y2950" s="24" t="n"/>
    </row>
    <row r="2951">
      <c r="O2951" s="23" t="n"/>
      <c r="R2951" s="24" t="n"/>
      <c r="S2951" s="24" t="n"/>
      <c r="Y2951" s="24" t="n"/>
    </row>
    <row r="2952">
      <c r="O2952" s="23" t="n"/>
      <c r="R2952" s="24" t="n"/>
      <c r="S2952" s="24" t="n"/>
      <c r="Y2952" s="24" t="n"/>
    </row>
    <row r="2953">
      <c r="O2953" s="23" t="n"/>
      <c r="R2953" s="24" t="n"/>
      <c r="S2953" s="24" t="n"/>
      <c r="Y2953" s="24" t="n"/>
    </row>
    <row r="2954">
      <c r="O2954" s="23" t="n"/>
      <c r="R2954" s="24" t="n"/>
      <c r="S2954" s="24" t="n"/>
      <c r="Y2954" s="24" t="n"/>
    </row>
    <row r="2955">
      <c r="O2955" s="23" t="n"/>
      <c r="R2955" s="24" t="n"/>
      <c r="S2955" s="24" t="n"/>
      <c r="Y2955" s="24" t="n"/>
    </row>
    <row r="2956">
      <c r="O2956" s="23" t="n"/>
      <c r="R2956" s="24" t="n"/>
      <c r="S2956" s="24" t="n"/>
      <c r="Y2956" s="24" t="n"/>
    </row>
    <row r="2957">
      <c r="O2957" s="23" t="n"/>
      <c r="R2957" s="24" t="n"/>
      <c r="S2957" s="24" t="n"/>
      <c r="Y2957" s="24" t="n"/>
    </row>
    <row r="2958">
      <c r="O2958" s="23" t="n"/>
      <c r="R2958" s="24" t="n"/>
      <c r="S2958" s="24" t="n"/>
      <c r="Y2958" s="24" t="n"/>
    </row>
    <row r="2959">
      <c r="O2959" s="23" t="n"/>
      <c r="R2959" s="24" t="n"/>
      <c r="S2959" s="24" t="n"/>
      <c r="Y2959" s="24" t="n"/>
    </row>
    <row r="2960">
      <c r="O2960" s="23" t="n"/>
      <c r="R2960" s="24" t="n"/>
      <c r="S2960" s="24" t="n"/>
      <c r="Y2960" s="24" t="n"/>
    </row>
    <row r="2961">
      <c r="O2961" s="23" t="n"/>
      <c r="R2961" s="24" t="n"/>
      <c r="S2961" s="24" t="n"/>
      <c r="Y2961" s="24" t="n"/>
    </row>
    <row r="2962">
      <c r="O2962" s="23" t="n"/>
      <c r="R2962" s="24" t="n"/>
      <c r="S2962" s="24" t="n"/>
      <c r="Y2962" s="24" t="n"/>
    </row>
    <row r="2963">
      <c r="O2963" s="23" t="n"/>
      <c r="R2963" s="24" t="n"/>
      <c r="S2963" s="24" t="n"/>
      <c r="Y2963" s="24" t="n"/>
    </row>
    <row r="2964">
      <c r="O2964" s="23" t="n"/>
      <c r="R2964" s="24" t="n"/>
      <c r="S2964" s="24" t="n"/>
      <c r="Y2964" s="24" t="n"/>
    </row>
    <row r="2965">
      <c r="O2965" s="23" t="n"/>
      <c r="R2965" s="24" t="n"/>
      <c r="S2965" s="24" t="n"/>
      <c r="Y2965" s="24" t="n"/>
    </row>
    <row r="2966">
      <c r="O2966" s="23" t="n"/>
      <c r="R2966" s="24" t="n"/>
      <c r="S2966" s="24" t="n"/>
      <c r="Y2966" s="24" t="n"/>
    </row>
    <row r="2967">
      <c r="O2967" s="23" t="n"/>
      <c r="R2967" s="24" t="n"/>
      <c r="S2967" s="24" t="n"/>
      <c r="Y2967" s="24" t="n"/>
    </row>
    <row r="2968">
      <c r="O2968" s="23" t="n"/>
      <c r="R2968" s="24" t="n"/>
      <c r="S2968" s="24" t="n"/>
      <c r="Y2968" s="24" t="n"/>
    </row>
    <row r="2969">
      <c r="O2969" s="23" t="n"/>
      <c r="R2969" s="24" t="n"/>
      <c r="S2969" s="24" t="n"/>
      <c r="Y2969" s="24" t="n"/>
    </row>
    <row r="2970">
      <c r="O2970" s="23" t="n"/>
      <c r="R2970" s="24" t="n"/>
      <c r="S2970" s="24" t="n"/>
      <c r="Y2970" s="24" t="n"/>
    </row>
    <row r="2971">
      <c r="O2971" s="23" t="n"/>
      <c r="R2971" s="24" t="n"/>
      <c r="S2971" s="24" t="n"/>
      <c r="Y2971" s="24" t="n"/>
    </row>
    <row r="2972">
      <c r="O2972" s="23" t="n"/>
      <c r="R2972" s="24" t="n"/>
      <c r="S2972" s="24" t="n"/>
      <c r="Y2972" s="24" t="n"/>
    </row>
    <row r="2973">
      <c r="O2973" s="23" t="n"/>
      <c r="R2973" s="24" t="n"/>
      <c r="S2973" s="24" t="n"/>
      <c r="Y2973" s="24" t="n"/>
    </row>
    <row r="2974">
      <c r="O2974" s="23" t="n"/>
      <c r="R2974" s="24" t="n"/>
      <c r="S2974" s="24" t="n"/>
      <c r="Y2974" s="24" t="n"/>
    </row>
    <row r="2975">
      <c r="O2975" s="23" t="n"/>
      <c r="R2975" s="24" t="n"/>
      <c r="S2975" s="24" t="n"/>
      <c r="Y2975" s="24" t="n"/>
    </row>
    <row r="2976">
      <c r="O2976" s="23" t="n"/>
      <c r="R2976" s="24" t="n"/>
      <c r="S2976" s="24" t="n"/>
      <c r="Y2976" s="24" t="n"/>
    </row>
    <row r="2977">
      <c r="O2977" s="23" t="n"/>
      <c r="R2977" s="24" t="n"/>
      <c r="S2977" s="24" t="n"/>
      <c r="Y2977" s="24" t="n"/>
    </row>
    <row r="2978">
      <c r="O2978" s="23" t="n"/>
      <c r="R2978" s="24" t="n"/>
      <c r="S2978" s="24" t="n"/>
      <c r="Y2978" s="24" t="n"/>
    </row>
    <row r="2979">
      <c r="O2979" s="23" t="n"/>
      <c r="R2979" s="24" t="n"/>
      <c r="S2979" s="24" t="n"/>
      <c r="Y2979" s="24" t="n"/>
    </row>
    <row r="2980">
      <c r="O2980" s="23" t="n"/>
      <c r="R2980" s="24" t="n"/>
      <c r="S2980" s="24" t="n"/>
      <c r="Y2980" s="24" t="n"/>
    </row>
    <row r="2981">
      <c r="O2981" s="23" t="n"/>
      <c r="R2981" s="24" t="n"/>
      <c r="S2981" s="24" t="n"/>
      <c r="Y2981" s="24" t="n"/>
    </row>
    <row r="2982">
      <c r="O2982" s="23" t="n"/>
      <c r="R2982" s="24" t="n"/>
      <c r="S2982" s="24" t="n"/>
      <c r="Y2982" s="24" t="n"/>
    </row>
    <row r="2983">
      <c r="O2983" s="23" t="n"/>
      <c r="R2983" s="24" t="n"/>
      <c r="S2983" s="24" t="n"/>
      <c r="Y2983" s="24" t="n"/>
    </row>
    <row r="2984">
      <c r="O2984" s="23" t="n"/>
      <c r="R2984" s="24" t="n"/>
      <c r="S2984" s="24" t="n"/>
      <c r="Y2984" s="24" t="n"/>
    </row>
    <row r="2985">
      <c r="O2985" s="23" t="n"/>
      <c r="R2985" s="24" t="n"/>
      <c r="S2985" s="24" t="n"/>
      <c r="Y2985" s="24" t="n"/>
    </row>
    <row r="2986">
      <c r="O2986" s="23" t="n"/>
      <c r="R2986" s="24" t="n"/>
      <c r="S2986" s="24" t="n"/>
      <c r="Y2986" s="24" t="n"/>
    </row>
    <row r="2987">
      <c r="O2987" s="23" t="n"/>
      <c r="R2987" s="24" t="n"/>
      <c r="S2987" s="24" t="n"/>
      <c r="Y2987" s="24" t="n"/>
    </row>
    <row r="2988">
      <c r="O2988" s="23" t="n"/>
      <c r="R2988" s="24" t="n"/>
      <c r="S2988" s="24" t="n"/>
      <c r="Y2988" s="24" t="n"/>
    </row>
    <row r="2989">
      <c r="O2989" s="23" t="n"/>
      <c r="R2989" s="24" t="n"/>
      <c r="S2989" s="24" t="n"/>
      <c r="Y2989" s="24" t="n"/>
    </row>
    <row r="2990">
      <c r="O2990" s="23" t="n"/>
      <c r="R2990" s="24" t="n"/>
      <c r="S2990" s="24" t="n"/>
      <c r="Y2990" s="24" t="n"/>
    </row>
    <row r="2991">
      <c r="O2991" s="23" t="n"/>
      <c r="R2991" s="24" t="n"/>
      <c r="S2991" s="24" t="n"/>
      <c r="Y2991" s="24" t="n"/>
    </row>
    <row r="2992">
      <c r="O2992" s="23" t="n"/>
      <c r="R2992" s="24" t="n"/>
      <c r="S2992" s="24" t="n"/>
      <c r="Y2992" s="24" t="n"/>
    </row>
    <row r="2993">
      <c r="O2993" s="23" t="n"/>
      <c r="R2993" s="24" t="n"/>
      <c r="S2993" s="24" t="n"/>
      <c r="Y2993" s="24" t="n"/>
    </row>
    <row r="2994">
      <c r="O2994" s="23" t="n"/>
      <c r="R2994" s="24" t="n"/>
      <c r="S2994" s="24" t="n"/>
      <c r="Y2994" s="24" t="n"/>
    </row>
    <row r="2995">
      <c r="O2995" s="23" t="n"/>
      <c r="R2995" s="24" t="n"/>
      <c r="S2995" s="24" t="n"/>
      <c r="Y2995" s="24" t="n"/>
    </row>
    <row r="2996">
      <c r="O2996" s="23" t="n"/>
      <c r="R2996" s="24" t="n"/>
      <c r="S2996" s="24" t="n"/>
      <c r="Y2996" s="24" t="n"/>
    </row>
    <row r="2997">
      <c r="O2997" s="23" t="n"/>
      <c r="R2997" s="24" t="n"/>
      <c r="S2997" s="24" t="n"/>
      <c r="Y2997" s="24" t="n"/>
    </row>
    <row r="2998">
      <c r="O2998" s="23" t="n"/>
      <c r="R2998" s="24" t="n"/>
      <c r="S2998" s="24" t="n"/>
      <c r="Y2998" s="24" t="n"/>
    </row>
    <row r="2999">
      <c r="O2999" s="23" t="n"/>
      <c r="R2999" s="24" t="n"/>
      <c r="S2999" s="24" t="n"/>
      <c r="Y2999" s="24" t="n"/>
    </row>
    <row r="3000">
      <c r="O3000" s="23" t="n"/>
      <c r="R3000" s="24" t="n"/>
      <c r="S3000" s="24" t="n"/>
      <c r="Y3000" s="24" t="n"/>
    </row>
    <row r="3001">
      <c r="O3001" s="23" t="n"/>
      <c r="R3001" s="24" t="n"/>
      <c r="S3001" s="24" t="n"/>
      <c r="Y3001" s="24" t="n"/>
    </row>
    <row r="3002">
      <c r="O3002" s="23" t="n"/>
      <c r="R3002" s="24" t="n"/>
      <c r="S3002" s="24" t="n"/>
      <c r="Y3002" s="24" t="n"/>
    </row>
    <row r="3003">
      <c r="O3003" s="23" t="n"/>
      <c r="R3003" s="24" t="n"/>
      <c r="S3003" s="24" t="n"/>
      <c r="Y3003" s="24" t="n"/>
    </row>
    <row r="3004">
      <c r="O3004" s="23" t="n"/>
      <c r="R3004" s="24" t="n"/>
      <c r="S3004" s="24" t="n"/>
      <c r="Y3004" s="24" t="n"/>
    </row>
    <row r="3005">
      <c r="O3005" s="23" t="n"/>
      <c r="R3005" s="24" t="n"/>
      <c r="S3005" s="24" t="n"/>
      <c r="Y3005" s="24" t="n"/>
    </row>
    <row r="3006">
      <c r="O3006" s="23" t="n"/>
      <c r="R3006" s="24" t="n"/>
      <c r="S3006" s="24" t="n"/>
      <c r="Y3006" s="24" t="n"/>
    </row>
    <row r="3007">
      <c r="O3007" s="23" t="n"/>
      <c r="R3007" s="24" t="n"/>
      <c r="S3007" s="24" t="n"/>
      <c r="Y3007" s="24" t="n"/>
    </row>
    <row r="3008">
      <c r="O3008" s="23" t="n"/>
      <c r="R3008" s="24" t="n"/>
      <c r="S3008" s="24" t="n"/>
      <c r="Y3008" s="24" t="n"/>
    </row>
    <row r="3009">
      <c r="O3009" s="23" t="n"/>
      <c r="R3009" s="24" t="n"/>
      <c r="S3009" s="24" t="n"/>
      <c r="Y3009" s="24" t="n"/>
    </row>
    <row r="3010">
      <c r="O3010" s="23" t="n"/>
      <c r="R3010" s="24" t="n"/>
      <c r="S3010" s="24" t="n"/>
      <c r="Y3010" s="24" t="n"/>
    </row>
    <row r="3011">
      <c r="O3011" s="23" t="n"/>
      <c r="R3011" s="24" t="n"/>
      <c r="S3011" s="24" t="n"/>
      <c r="Y3011" s="24" t="n"/>
    </row>
    <row r="3012">
      <c r="O3012" s="23" t="n"/>
      <c r="R3012" s="24" t="n"/>
      <c r="S3012" s="24" t="n"/>
      <c r="Y3012" s="24" t="n"/>
    </row>
    <row r="3013">
      <c r="O3013" s="23" t="n"/>
      <c r="R3013" s="24" t="n"/>
      <c r="S3013" s="24" t="n"/>
      <c r="Y3013" s="24" t="n"/>
    </row>
    <row r="3014">
      <c r="O3014" s="23" t="n"/>
      <c r="R3014" s="24" t="n"/>
      <c r="S3014" s="24" t="n"/>
      <c r="Y3014" s="24" t="n"/>
    </row>
    <row r="3015">
      <c r="O3015" s="23" t="n"/>
      <c r="R3015" s="24" t="n"/>
      <c r="S3015" s="24" t="n"/>
      <c r="Y3015" s="24" t="n"/>
    </row>
    <row r="3016">
      <c r="O3016" s="23" t="n"/>
      <c r="R3016" s="24" t="n"/>
      <c r="S3016" s="24" t="n"/>
      <c r="Y3016" s="24" t="n"/>
    </row>
    <row r="3017">
      <c r="O3017" s="23" t="n"/>
      <c r="R3017" s="24" t="n"/>
      <c r="S3017" s="24" t="n"/>
      <c r="Y3017" s="24" t="n"/>
    </row>
    <row r="3018">
      <c r="O3018" s="23" t="n"/>
      <c r="R3018" s="24" t="n"/>
      <c r="S3018" s="24" t="n"/>
      <c r="Y3018" s="24" t="n"/>
    </row>
    <row r="3019">
      <c r="O3019" s="23" t="n"/>
      <c r="R3019" s="24" t="n"/>
      <c r="S3019" s="24" t="n"/>
      <c r="Y3019" s="24" t="n"/>
    </row>
    <row r="3020">
      <c r="O3020" s="23" t="n"/>
      <c r="R3020" s="24" t="n"/>
      <c r="S3020" s="24" t="n"/>
      <c r="Y3020" s="24" t="n"/>
    </row>
    <row r="3021">
      <c r="O3021" s="23" t="n"/>
      <c r="R3021" s="24" t="n"/>
      <c r="S3021" s="24" t="n"/>
      <c r="Y3021" s="24" t="n"/>
    </row>
    <row r="3022">
      <c r="O3022" s="23" t="n"/>
      <c r="R3022" s="24" t="n"/>
      <c r="S3022" s="24" t="n"/>
      <c r="Y3022" s="24" t="n"/>
    </row>
    <row r="3023">
      <c r="O3023" s="23" t="n"/>
      <c r="R3023" s="24" t="n"/>
      <c r="S3023" s="24" t="n"/>
      <c r="Y3023" s="24" t="n"/>
    </row>
    <row r="3024">
      <c r="O3024" s="23" t="n"/>
      <c r="R3024" s="24" t="n"/>
      <c r="S3024" s="24" t="n"/>
      <c r="Y3024" s="24" t="n"/>
    </row>
    <row r="3025">
      <c r="O3025" s="23" t="n"/>
      <c r="R3025" s="24" t="n"/>
      <c r="S3025" s="24" t="n"/>
      <c r="Y3025" s="24" t="n"/>
    </row>
    <row r="3026">
      <c r="O3026" s="23" t="n"/>
      <c r="R3026" s="24" t="n"/>
      <c r="S3026" s="24" t="n"/>
      <c r="Y3026" s="24" t="n"/>
    </row>
    <row r="3027">
      <c r="O3027" s="23" t="n"/>
      <c r="R3027" s="24" t="n"/>
      <c r="S3027" s="24" t="n"/>
      <c r="Y3027" s="24" t="n"/>
    </row>
    <row r="3028">
      <c r="O3028" s="23" t="n"/>
      <c r="R3028" s="24" t="n"/>
      <c r="S3028" s="24" t="n"/>
      <c r="Y3028" s="24" t="n"/>
    </row>
    <row r="3029">
      <c r="O3029" s="23" t="n"/>
      <c r="R3029" s="24" t="n"/>
      <c r="S3029" s="24" t="n"/>
      <c r="Y3029" s="24" t="n"/>
    </row>
    <row r="3030">
      <c r="O3030" s="23" t="n"/>
      <c r="R3030" s="24" t="n"/>
      <c r="S3030" s="24" t="n"/>
      <c r="Y3030" s="24" t="n"/>
    </row>
    <row r="3031">
      <c r="O3031" s="23" t="n"/>
      <c r="R3031" s="24" t="n"/>
      <c r="S3031" s="24" t="n"/>
      <c r="Y3031" s="24" t="n"/>
    </row>
    <row r="3032">
      <c r="O3032" s="23" t="n"/>
      <c r="R3032" s="24" t="n"/>
      <c r="S3032" s="24" t="n"/>
      <c r="Y3032" s="24" t="n"/>
    </row>
    <row r="3033">
      <c r="O3033" s="23" t="n"/>
      <c r="R3033" s="24" t="n"/>
      <c r="S3033" s="24" t="n"/>
      <c r="Y3033" s="24" t="n"/>
    </row>
    <row r="3034">
      <c r="O3034" s="23" t="n"/>
      <c r="R3034" s="24" t="n"/>
      <c r="S3034" s="24" t="n"/>
      <c r="Y3034" s="24" t="n"/>
    </row>
    <row r="3035">
      <c r="O3035" s="23" t="n"/>
      <c r="R3035" s="24" t="n"/>
      <c r="S3035" s="24" t="n"/>
      <c r="Y3035" s="24" t="n"/>
    </row>
    <row r="3036">
      <c r="O3036" s="23" t="n"/>
      <c r="R3036" s="24" t="n"/>
      <c r="S3036" s="24" t="n"/>
      <c r="Y3036" s="24" t="n"/>
    </row>
    <row r="3037">
      <c r="O3037" s="23" t="n"/>
      <c r="R3037" s="24" t="n"/>
      <c r="S3037" s="24" t="n"/>
      <c r="Y3037" s="24" t="n"/>
    </row>
    <row r="3038">
      <c r="O3038" s="23" t="n"/>
      <c r="R3038" s="24" t="n"/>
      <c r="S3038" s="24" t="n"/>
      <c r="Y3038" s="24" t="n"/>
    </row>
    <row r="3039">
      <c r="O3039" s="23" t="n"/>
      <c r="R3039" s="24" t="n"/>
      <c r="S3039" s="24" t="n"/>
      <c r="Y3039" s="24" t="n"/>
    </row>
    <row r="3040">
      <c r="O3040" s="23" t="n"/>
      <c r="R3040" s="24" t="n"/>
      <c r="S3040" s="24" t="n"/>
      <c r="Y3040" s="24" t="n"/>
    </row>
    <row r="3041">
      <c r="O3041" s="23" t="n"/>
      <c r="R3041" s="24" t="n"/>
      <c r="S3041" s="24" t="n"/>
      <c r="Y3041" s="24" t="n"/>
    </row>
    <row r="3042">
      <c r="O3042" s="23" t="n"/>
      <c r="R3042" s="24" t="n"/>
      <c r="S3042" s="24" t="n"/>
      <c r="Y3042" s="24" t="n"/>
    </row>
    <row r="3043">
      <c r="O3043" s="23" t="n"/>
      <c r="R3043" s="24" t="n"/>
      <c r="S3043" s="24" t="n"/>
      <c r="Y3043" s="24" t="n"/>
    </row>
    <row r="3044">
      <c r="O3044" s="23" t="n"/>
      <c r="R3044" s="24" t="n"/>
      <c r="S3044" s="24" t="n"/>
      <c r="Y3044" s="24" t="n"/>
    </row>
    <row r="3045">
      <c r="O3045" s="23" t="n"/>
      <c r="R3045" s="24" t="n"/>
      <c r="S3045" s="24" t="n"/>
      <c r="Y3045" s="24" t="n"/>
    </row>
    <row r="3046">
      <c r="O3046" s="23" t="n"/>
      <c r="R3046" s="24" t="n"/>
      <c r="S3046" s="24" t="n"/>
      <c r="Y3046" s="24" t="n"/>
    </row>
    <row r="3047">
      <c r="O3047" s="23" t="n"/>
      <c r="R3047" s="24" t="n"/>
      <c r="S3047" s="24" t="n"/>
      <c r="Y3047" s="24" t="n"/>
    </row>
    <row r="3048">
      <c r="O3048" s="23" t="n"/>
      <c r="R3048" s="24" t="n"/>
      <c r="S3048" s="24" t="n"/>
      <c r="Y3048" s="24" t="n"/>
    </row>
    <row r="3049">
      <c r="O3049" s="23" t="n"/>
      <c r="R3049" s="24" t="n"/>
      <c r="S3049" s="24" t="n"/>
      <c r="Y3049" s="24" t="n"/>
    </row>
    <row r="3050">
      <c r="O3050" s="23" t="n"/>
      <c r="R3050" s="24" t="n"/>
      <c r="S3050" s="24" t="n"/>
      <c r="Y3050" s="24" t="n"/>
    </row>
    <row r="3051">
      <c r="O3051" s="23" t="n"/>
      <c r="R3051" s="24" t="n"/>
      <c r="S3051" s="24" t="n"/>
      <c r="Y3051" s="24" t="n"/>
    </row>
    <row r="3052">
      <c r="O3052" s="23" t="n"/>
      <c r="R3052" s="24" t="n"/>
      <c r="S3052" s="24" t="n"/>
      <c r="Y3052" s="24" t="n"/>
    </row>
    <row r="3053">
      <c r="O3053" s="23" t="n"/>
      <c r="R3053" s="24" t="n"/>
      <c r="S3053" s="24" t="n"/>
      <c r="Y3053" s="24" t="n"/>
    </row>
    <row r="3054">
      <c r="O3054" s="23" t="n"/>
      <c r="R3054" s="24" t="n"/>
      <c r="S3054" s="24" t="n"/>
      <c r="Y3054" s="24" t="n"/>
    </row>
    <row r="3055">
      <c r="O3055" s="23" t="n"/>
      <c r="R3055" s="24" t="n"/>
      <c r="S3055" s="24" t="n"/>
      <c r="Y3055" s="24" t="n"/>
    </row>
    <row r="3056">
      <c r="O3056" s="23" t="n"/>
      <c r="R3056" s="24" t="n"/>
      <c r="S3056" s="24" t="n"/>
      <c r="Y3056" s="24" t="n"/>
    </row>
    <row r="3057">
      <c r="O3057" s="23" t="n"/>
      <c r="R3057" s="24" t="n"/>
      <c r="S3057" s="24" t="n"/>
      <c r="Y3057" s="24" t="n"/>
    </row>
    <row r="3058">
      <c r="O3058" s="23" t="n"/>
      <c r="R3058" s="24" t="n"/>
      <c r="S3058" s="24" t="n"/>
      <c r="Y3058" s="24" t="n"/>
    </row>
    <row r="3059">
      <c r="O3059" s="23" t="n"/>
      <c r="R3059" s="24" t="n"/>
      <c r="S3059" s="24" t="n"/>
      <c r="Y3059" s="24" t="n"/>
    </row>
    <row r="3060">
      <c r="O3060" s="23" t="n"/>
      <c r="R3060" s="24" t="n"/>
      <c r="S3060" s="24" t="n"/>
      <c r="Y3060" s="24" t="n"/>
    </row>
    <row r="3061">
      <c r="O3061" s="23" t="n"/>
      <c r="R3061" s="24" t="n"/>
      <c r="S3061" s="24" t="n"/>
      <c r="Y3061" s="24" t="n"/>
    </row>
    <row r="3062">
      <c r="O3062" s="23" t="n"/>
      <c r="R3062" s="24" t="n"/>
      <c r="S3062" s="24" t="n"/>
      <c r="Y3062" s="24" t="n"/>
    </row>
    <row r="3063">
      <c r="O3063" s="23" t="n"/>
      <c r="R3063" s="24" t="n"/>
      <c r="S3063" s="24" t="n"/>
      <c r="Y3063" s="24" t="n"/>
    </row>
    <row r="3064">
      <c r="O3064" s="23" t="n"/>
      <c r="R3064" s="24" t="n"/>
      <c r="S3064" s="24" t="n"/>
      <c r="Y3064" s="24" t="n"/>
    </row>
    <row r="3065">
      <c r="O3065" s="23" t="n"/>
      <c r="R3065" s="24" t="n"/>
      <c r="S3065" s="24" t="n"/>
      <c r="Y3065" s="24" t="n"/>
    </row>
    <row r="3066">
      <c r="O3066" s="23" t="n"/>
      <c r="R3066" s="24" t="n"/>
      <c r="S3066" s="24" t="n"/>
      <c r="Y3066" s="24" t="n"/>
    </row>
    <row r="3067">
      <c r="O3067" s="23" t="n"/>
      <c r="R3067" s="24" t="n"/>
      <c r="S3067" s="24" t="n"/>
      <c r="Y3067" s="24" t="n"/>
    </row>
    <row r="3068">
      <c r="O3068" s="23" t="n"/>
      <c r="R3068" s="24" t="n"/>
      <c r="S3068" s="24" t="n"/>
      <c r="Y3068" s="24" t="n"/>
    </row>
    <row r="3069">
      <c r="O3069" s="23" t="n"/>
      <c r="R3069" s="24" t="n"/>
      <c r="S3069" s="24" t="n"/>
      <c r="Y3069" s="24" t="n"/>
    </row>
    <row r="3070">
      <c r="O3070" s="23" t="n"/>
      <c r="R3070" s="24" t="n"/>
      <c r="S3070" s="24" t="n"/>
      <c r="Y3070" s="24" t="n"/>
    </row>
    <row r="3071">
      <c r="O3071" s="23" t="n"/>
      <c r="R3071" s="24" t="n"/>
      <c r="S3071" s="24" t="n"/>
      <c r="Y3071" s="24" t="n"/>
    </row>
    <row r="3072">
      <c r="O3072" s="23" t="n"/>
      <c r="R3072" s="24" t="n"/>
      <c r="S3072" s="24" t="n"/>
      <c r="Y3072" s="24" t="n"/>
    </row>
    <row r="3073">
      <c r="O3073" s="23" t="n"/>
      <c r="R3073" s="24" t="n"/>
      <c r="S3073" s="24" t="n"/>
      <c r="Y3073" s="24" t="n"/>
    </row>
    <row r="3074">
      <c r="O3074" s="23" t="n"/>
      <c r="R3074" s="24" t="n"/>
      <c r="S3074" s="24" t="n"/>
      <c r="Y3074" s="24" t="n"/>
    </row>
    <row r="3075">
      <c r="O3075" s="23" t="n"/>
      <c r="R3075" s="24" t="n"/>
      <c r="S3075" s="24" t="n"/>
      <c r="Y3075" s="24" t="n"/>
    </row>
    <row r="3076">
      <c r="O3076" s="23" t="n"/>
      <c r="R3076" s="24" t="n"/>
      <c r="S3076" s="24" t="n"/>
      <c r="Y3076" s="24" t="n"/>
    </row>
    <row r="3077">
      <c r="O3077" s="23" t="n"/>
      <c r="R3077" s="24" t="n"/>
      <c r="S3077" s="24" t="n"/>
      <c r="Y3077" s="24" t="n"/>
    </row>
    <row r="3078">
      <c r="O3078" s="23" t="n"/>
      <c r="R3078" s="24" t="n"/>
      <c r="S3078" s="24" t="n"/>
      <c r="Y3078" s="24" t="n"/>
    </row>
    <row r="3079">
      <c r="O3079" s="23" t="n"/>
      <c r="R3079" s="24" t="n"/>
      <c r="S3079" s="24" t="n"/>
      <c r="Y3079" s="24" t="n"/>
    </row>
    <row r="3080">
      <c r="O3080" s="23" t="n"/>
      <c r="R3080" s="24" t="n"/>
      <c r="S3080" s="24" t="n"/>
      <c r="Y3080" s="24" t="n"/>
    </row>
    <row r="3081">
      <c r="O3081" s="23" t="n"/>
      <c r="R3081" s="24" t="n"/>
      <c r="S3081" s="24" t="n"/>
      <c r="Y3081" s="24" t="n"/>
    </row>
    <row r="3082">
      <c r="O3082" s="23" t="n"/>
      <c r="R3082" s="24" t="n"/>
      <c r="S3082" s="24" t="n"/>
      <c r="Y3082" s="24" t="n"/>
    </row>
    <row r="3083">
      <c r="O3083" s="23" t="n"/>
      <c r="R3083" s="24" t="n"/>
      <c r="S3083" s="24" t="n"/>
      <c r="Y3083" s="24" t="n"/>
    </row>
    <row r="3084">
      <c r="O3084" s="23" t="n"/>
      <c r="R3084" s="24" t="n"/>
      <c r="S3084" s="24" t="n"/>
      <c r="Y3084" s="24" t="n"/>
    </row>
    <row r="3085">
      <c r="O3085" s="23" t="n"/>
      <c r="R3085" s="24" t="n"/>
      <c r="S3085" s="24" t="n"/>
      <c r="Y3085" s="24" t="n"/>
    </row>
    <row r="3086">
      <c r="O3086" s="23" t="n"/>
      <c r="R3086" s="24" t="n"/>
      <c r="S3086" s="24" t="n"/>
      <c r="Y3086" s="24" t="n"/>
    </row>
    <row r="3087">
      <c r="O3087" s="23" t="n"/>
      <c r="R3087" s="24" t="n"/>
      <c r="S3087" s="24" t="n"/>
      <c r="Y3087" s="24" t="n"/>
    </row>
    <row r="3088">
      <c r="O3088" s="23" t="n"/>
      <c r="R3088" s="24" t="n"/>
      <c r="S3088" s="24" t="n"/>
      <c r="Y3088" s="24" t="n"/>
    </row>
    <row r="3089">
      <c r="O3089" s="23" t="n"/>
      <c r="R3089" s="24" t="n"/>
      <c r="S3089" s="24" t="n"/>
      <c r="Y3089" s="24" t="n"/>
    </row>
    <row r="3090">
      <c r="O3090" s="23" t="n"/>
      <c r="R3090" s="24" t="n"/>
      <c r="S3090" s="24" t="n"/>
      <c r="Y3090" s="24" t="n"/>
    </row>
    <row r="3091">
      <c r="O3091" s="23" t="n"/>
      <c r="R3091" s="24" t="n"/>
      <c r="S3091" s="24" t="n"/>
      <c r="Y3091" s="24" t="n"/>
    </row>
    <row r="3092">
      <c r="O3092" s="23" t="n"/>
      <c r="R3092" s="24" t="n"/>
      <c r="S3092" s="24" t="n"/>
      <c r="Y3092" s="24" t="n"/>
    </row>
    <row r="3093">
      <c r="O3093" s="23" t="n"/>
      <c r="R3093" s="24" t="n"/>
      <c r="S3093" s="24" t="n"/>
      <c r="Y3093" s="24" t="n"/>
    </row>
    <row r="3094">
      <c r="O3094" s="23" t="n"/>
      <c r="R3094" s="24" t="n"/>
      <c r="S3094" s="24" t="n"/>
      <c r="Y3094" s="24" t="n"/>
    </row>
    <row r="3095">
      <c r="O3095" s="23" t="n"/>
      <c r="R3095" s="24" t="n"/>
      <c r="S3095" s="24" t="n"/>
      <c r="Y3095" s="24" t="n"/>
    </row>
    <row r="3096">
      <c r="O3096" s="23" t="n"/>
      <c r="R3096" s="24" t="n"/>
      <c r="S3096" s="24" t="n"/>
      <c r="Y3096" s="24" t="n"/>
    </row>
    <row r="3097">
      <c r="O3097" s="23" t="n"/>
      <c r="R3097" s="24" t="n"/>
      <c r="S3097" s="24" t="n"/>
      <c r="Y3097" s="24" t="n"/>
    </row>
    <row r="3098">
      <c r="O3098" s="23" t="n"/>
      <c r="R3098" s="24" t="n"/>
      <c r="S3098" s="24" t="n"/>
      <c r="Y3098" s="24" t="n"/>
    </row>
    <row r="3099">
      <c r="O3099" s="23" t="n"/>
      <c r="R3099" s="24" t="n"/>
      <c r="S3099" s="24" t="n"/>
      <c r="Y3099" s="24" t="n"/>
    </row>
    <row r="3100">
      <c r="O3100" s="23" t="n"/>
      <c r="R3100" s="24" t="n"/>
      <c r="S3100" s="24" t="n"/>
      <c r="Y3100" s="24" t="n"/>
    </row>
    <row r="3101">
      <c r="O3101" s="23" t="n"/>
      <c r="R3101" s="24" t="n"/>
      <c r="S3101" s="24" t="n"/>
      <c r="Y3101" s="24" t="n"/>
    </row>
    <row r="3102">
      <c r="O3102" s="23" t="n"/>
      <c r="R3102" s="24" t="n"/>
      <c r="S3102" s="24" t="n"/>
      <c r="Y3102" s="24" t="n"/>
    </row>
    <row r="3103">
      <c r="O3103" s="23" t="n"/>
      <c r="R3103" s="24" t="n"/>
      <c r="S3103" s="24" t="n"/>
      <c r="Y3103" s="24" t="n"/>
    </row>
    <row r="3104">
      <c r="O3104" s="23" t="n"/>
      <c r="R3104" s="24" t="n"/>
      <c r="S3104" s="24" t="n"/>
      <c r="Y3104" s="24" t="n"/>
    </row>
    <row r="3105">
      <c r="O3105" s="23" t="n"/>
      <c r="R3105" s="24" t="n"/>
      <c r="S3105" s="24" t="n"/>
      <c r="Y3105" s="24" t="n"/>
    </row>
    <row r="3106">
      <c r="O3106" s="23" t="n"/>
      <c r="R3106" s="24" t="n"/>
      <c r="S3106" s="24" t="n"/>
      <c r="Y3106" s="24" t="n"/>
    </row>
    <row r="3107">
      <c r="O3107" s="23" t="n"/>
      <c r="R3107" s="24" t="n"/>
      <c r="S3107" s="24" t="n"/>
      <c r="Y3107" s="24" t="n"/>
    </row>
    <row r="3108">
      <c r="O3108" s="23" t="n"/>
      <c r="R3108" s="24" t="n"/>
      <c r="S3108" s="24" t="n"/>
      <c r="Y3108" s="24" t="n"/>
    </row>
    <row r="3109">
      <c r="O3109" s="23" t="n"/>
      <c r="R3109" s="24" t="n"/>
      <c r="S3109" s="24" t="n"/>
      <c r="Y3109" s="24" t="n"/>
    </row>
    <row r="3110">
      <c r="O3110" s="23" t="n"/>
      <c r="R3110" s="24" t="n"/>
      <c r="S3110" s="24" t="n"/>
      <c r="Y3110" s="24" t="n"/>
    </row>
    <row r="3111">
      <c r="O3111" s="23" t="n"/>
      <c r="R3111" s="24" t="n"/>
      <c r="S3111" s="24" t="n"/>
      <c r="Y3111" s="24" t="n"/>
    </row>
    <row r="3112">
      <c r="O3112" s="23" t="n"/>
      <c r="R3112" s="24" t="n"/>
      <c r="S3112" s="24" t="n"/>
      <c r="Y3112" s="24" t="n"/>
    </row>
    <row r="3113">
      <c r="O3113" s="23" t="n"/>
      <c r="R3113" s="24" t="n"/>
      <c r="S3113" s="24" t="n"/>
      <c r="Y3113" s="24" t="n"/>
    </row>
    <row r="3114">
      <c r="O3114" s="23" t="n"/>
      <c r="R3114" s="24" t="n"/>
      <c r="S3114" s="24" t="n"/>
      <c r="Y3114" s="24" t="n"/>
    </row>
    <row r="3115">
      <c r="O3115" s="23" t="n"/>
      <c r="R3115" s="24" t="n"/>
      <c r="S3115" s="24" t="n"/>
      <c r="Y3115" s="24" t="n"/>
    </row>
    <row r="3116">
      <c r="O3116" s="23" t="n"/>
      <c r="R3116" s="24" t="n"/>
      <c r="S3116" s="24" t="n"/>
      <c r="Y3116" s="24" t="n"/>
    </row>
    <row r="3117">
      <c r="O3117" s="23" t="n"/>
      <c r="R3117" s="24" t="n"/>
      <c r="S3117" s="24" t="n"/>
      <c r="Y3117" s="24" t="n"/>
    </row>
    <row r="3118">
      <c r="O3118" s="23" t="n"/>
      <c r="R3118" s="24" t="n"/>
      <c r="S3118" s="24" t="n"/>
      <c r="Y3118" s="24" t="n"/>
    </row>
    <row r="3119">
      <c r="O3119" s="23" t="n"/>
      <c r="R3119" s="24" t="n"/>
      <c r="S3119" s="24" t="n"/>
      <c r="Y3119" s="24" t="n"/>
    </row>
    <row r="3120">
      <c r="O3120" s="23" t="n"/>
      <c r="R3120" s="24" t="n"/>
      <c r="S3120" s="24" t="n"/>
      <c r="Y3120" s="24" t="n"/>
    </row>
    <row r="3121">
      <c r="O3121" s="23" t="n"/>
      <c r="R3121" s="24" t="n"/>
      <c r="S3121" s="24" t="n"/>
      <c r="Y3121" s="24" t="n"/>
    </row>
    <row r="3122">
      <c r="O3122" s="23" t="n"/>
      <c r="R3122" s="24" t="n"/>
      <c r="S3122" s="24" t="n"/>
      <c r="Y3122" s="24" t="n"/>
    </row>
    <row r="3123">
      <c r="O3123" s="23" t="n"/>
      <c r="R3123" s="24" t="n"/>
      <c r="S3123" s="24" t="n"/>
      <c r="Y3123" s="24" t="n"/>
    </row>
    <row r="3124">
      <c r="O3124" s="23" t="n"/>
      <c r="R3124" s="24" t="n"/>
      <c r="S3124" s="24" t="n"/>
      <c r="Y3124" s="24" t="n"/>
    </row>
    <row r="3125">
      <c r="O3125" s="23" t="n"/>
      <c r="R3125" s="24" t="n"/>
      <c r="S3125" s="24" t="n"/>
      <c r="Y3125" s="24" t="n"/>
    </row>
    <row r="3126">
      <c r="O3126" s="23" t="n"/>
      <c r="R3126" s="24" t="n"/>
      <c r="S3126" s="24" t="n"/>
      <c r="Y3126" s="24" t="n"/>
    </row>
    <row r="3127">
      <c r="O3127" s="23" t="n"/>
      <c r="R3127" s="24" t="n"/>
      <c r="S3127" s="24" t="n"/>
      <c r="Y3127" s="24" t="n"/>
    </row>
    <row r="3128">
      <c r="O3128" s="23" t="n"/>
      <c r="R3128" s="24" t="n"/>
      <c r="S3128" s="24" t="n"/>
      <c r="Y3128" s="24" t="n"/>
    </row>
    <row r="3129">
      <c r="O3129" s="23" t="n"/>
      <c r="R3129" s="24" t="n"/>
      <c r="S3129" s="24" t="n"/>
      <c r="Y3129" s="24" t="n"/>
    </row>
    <row r="3130">
      <c r="O3130" s="23" t="n"/>
      <c r="R3130" s="24" t="n"/>
      <c r="S3130" s="24" t="n"/>
      <c r="Y3130" s="24" t="n"/>
    </row>
    <row r="3131">
      <c r="O3131" s="23" t="n"/>
      <c r="R3131" s="24" t="n"/>
      <c r="S3131" s="24" t="n"/>
      <c r="Y3131" s="24" t="n"/>
    </row>
    <row r="3132">
      <c r="O3132" s="23" t="n"/>
      <c r="R3132" s="24" t="n"/>
      <c r="S3132" s="24" t="n"/>
      <c r="Y3132" s="24" t="n"/>
    </row>
    <row r="3133">
      <c r="O3133" s="23" t="n"/>
      <c r="R3133" s="24" t="n"/>
      <c r="S3133" s="24" t="n"/>
      <c r="Y3133" s="24" t="n"/>
    </row>
    <row r="3134">
      <c r="O3134" s="23" t="n"/>
      <c r="R3134" s="24" t="n"/>
      <c r="S3134" s="24" t="n"/>
      <c r="Y3134" s="24" t="n"/>
    </row>
    <row r="3135">
      <c r="O3135" s="23" t="n"/>
      <c r="R3135" s="24" t="n"/>
      <c r="S3135" s="24" t="n"/>
      <c r="Y3135" s="24" t="n"/>
    </row>
    <row r="3136">
      <c r="O3136" s="23" t="n"/>
      <c r="R3136" s="24" t="n"/>
      <c r="S3136" s="24" t="n"/>
      <c r="Y3136" s="24" t="n"/>
    </row>
    <row r="3137">
      <c r="O3137" s="23" t="n"/>
      <c r="R3137" s="24" t="n"/>
      <c r="S3137" s="24" t="n"/>
      <c r="Y3137" s="24" t="n"/>
    </row>
    <row r="3138">
      <c r="O3138" s="23" t="n"/>
      <c r="R3138" s="24" t="n"/>
      <c r="S3138" s="24" t="n"/>
      <c r="Y3138" s="24" t="n"/>
    </row>
    <row r="3139">
      <c r="O3139" s="23" t="n"/>
      <c r="R3139" s="24" t="n"/>
      <c r="S3139" s="24" t="n"/>
      <c r="Y3139" s="24" t="n"/>
    </row>
    <row r="3140">
      <c r="O3140" s="23" t="n"/>
      <c r="R3140" s="24" t="n"/>
      <c r="S3140" s="24" t="n"/>
      <c r="Y3140" s="24" t="n"/>
    </row>
    <row r="3141">
      <c r="O3141" s="23" t="n"/>
      <c r="R3141" s="24" t="n"/>
      <c r="S3141" s="24" t="n"/>
      <c r="Y3141" s="24" t="n"/>
    </row>
    <row r="3142">
      <c r="O3142" s="23" t="n"/>
      <c r="R3142" s="24" t="n"/>
      <c r="S3142" s="24" t="n"/>
      <c r="Y3142" s="24" t="n"/>
    </row>
    <row r="3143">
      <c r="O3143" s="23" t="n"/>
      <c r="R3143" s="24" t="n"/>
      <c r="S3143" s="24" t="n"/>
      <c r="Y3143" s="24" t="n"/>
    </row>
    <row r="3144">
      <c r="O3144" s="23" t="n"/>
      <c r="R3144" s="24" t="n"/>
      <c r="S3144" s="24" t="n"/>
      <c r="Y3144" s="24" t="n"/>
    </row>
    <row r="3145">
      <c r="O3145" s="23" t="n"/>
      <c r="R3145" s="24" t="n"/>
      <c r="S3145" s="24" t="n"/>
      <c r="Y3145" s="24" t="n"/>
    </row>
    <row r="3146">
      <c r="O3146" s="23" t="n"/>
      <c r="R3146" s="24" t="n"/>
      <c r="S3146" s="24" t="n"/>
      <c r="Y3146" s="24" t="n"/>
    </row>
    <row r="3147">
      <c r="O3147" s="23" t="n"/>
      <c r="R3147" s="24" t="n"/>
      <c r="S3147" s="24" t="n"/>
      <c r="Y3147" s="24" t="n"/>
    </row>
    <row r="3148">
      <c r="O3148" s="23" t="n"/>
      <c r="R3148" s="24" t="n"/>
      <c r="S3148" s="24" t="n"/>
      <c r="Y3148" s="24" t="n"/>
    </row>
    <row r="3149">
      <c r="O3149" s="23" t="n"/>
      <c r="R3149" s="24" t="n"/>
      <c r="S3149" s="24" t="n"/>
      <c r="Y3149" s="24" t="n"/>
    </row>
    <row r="3150">
      <c r="O3150" s="23" t="n"/>
      <c r="R3150" s="24" t="n"/>
      <c r="S3150" s="24" t="n"/>
      <c r="Y3150" s="24" t="n"/>
    </row>
    <row r="3151">
      <c r="O3151" s="23" t="n"/>
      <c r="R3151" s="24" t="n"/>
      <c r="S3151" s="24" t="n"/>
      <c r="Y3151" s="24" t="n"/>
    </row>
    <row r="3152">
      <c r="O3152" s="23" t="n"/>
      <c r="R3152" s="24" t="n"/>
      <c r="S3152" s="24" t="n"/>
      <c r="Y3152" s="24" t="n"/>
    </row>
    <row r="3153">
      <c r="O3153" s="23" t="n"/>
      <c r="R3153" s="24" t="n"/>
      <c r="S3153" s="24" t="n"/>
      <c r="Y3153" s="24" t="n"/>
    </row>
    <row r="3154">
      <c r="O3154" s="23" t="n"/>
      <c r="R3154" s="24" t="n"/>
      <c r="S3154" s="24" t="n"/>
      <c r="Y3154" s="24" t="n"/>
    </row>
    <row r="3155">
      <c r="O3155" s="23" t="n"/>
      <c r="R3155" s="24" t="n"/>
      <c r="S3155" s="24" t="n"/>
      <c r="Y3155" s="24" t="n"/>
    </row>
    <row r="3156">
      <c r="O3156" s="23" t="n"/>
      <c r="R3156" s="24" t="n"/>
      <c r="S3156" s="24" t="n"/>
      <c r="Y3156" s="24" t="n"/>
    </row>
    <row r="3157">
      <c r="O3157" s="23" t="n"/>
      <c r="R3157" s="24" t="n"/>
      <c r="S3157" s="24" t="n"/>
      <c r="Y3157" s="24" t="n"/>
    </row>
    <row r="3158">
      <c r="O3158" s="23" t="n"/>
      <c r="R3158" s="24" t="n"/>
      <c r="S3158" s="24" t="n"/>
      <c r="Y3158" s="24" t="n"/>
    </row>
    <row r="3159">
      <c r="O3159" s="23" t="n"/>
      <c r="R3159" s="24" t="n"/>
      <c r="S3159" s="24" t="n"/>
      <c r="Y3159" s="24" t="n"/>
    </row>
    <row r="3160">
      <c r="O3160" s="23" t="n"/>
      <c r="R3160" s="24" t="n"/>
      <c r="S3160" s="24" t="n"/>
      <c r="Y3160" s="24" t="n"/>
    </row>
    <row r="3161">
      <c r="O3161" s="23" t="n"/>
      <c r="R3161" s="24" t="n"/>
      <c r="S3161" s="24" t="n"/>
      <c r="Y3161" s="24" t="n"/>
    </row>
    <row r="3162">
      <c r="O3162" s="23" t="n"/>
      <c r="R3162" s="24" t="n"/>
      <c r="S3162" s="24" t="n"/>
      <c r="Y3162" s="24" t="n"/>
    </row>
    <row r="3163">
      <c r="O3163" s="23" t="n"/>
      <c r="R3163" s="24" t="n"/>
      <c r="S3163" s="24" t="n"/>
      <c r="Y3163" s="24" t="n"/>
    </row>
    <row r="3164">
      <c r="O3164" s="23" t="n"/>
      <c r="R3164" s="24" t="n"/>
      <c r="S3164" s="24" t="n"/>
      <c r="Y3164" s="24" t="n"/>
    </row>
    <row r="3165">
      <c r="O3165" s="23" t="n"/>
      <c r="R3165" s="24" t="n"/>
      <c r="S3165" s="24" t="n"/>
      <c r="Y3165" s="24" t="n"/>
    </row>
    <row r="3166">
      <c r="O3166" s="23" t="n"/>
      <c r="R3166" s="24" t="n"/>
      <c r="S3166" s="24" t="n"/>
      <c r="Y3166" s="24" t="n"/>
    </row>
    <row r="3167">
      <c r="O3167" s="23" t="n"/>
      <c r="R3167" s="24" t="n"/>
      <c r="S3167" s="24" t="n"/>
      <c r="Y3167" s="24" t="n"/>
    </row>
    <row r="3168">
      <c r="O3168" s="23" t="n"/>
      <c r="R3168" s="24" t="n"/>
      <c r="S3168" s="24" t="n"/>
      <c r="Y3168" s="24" t="n"/>
    </row>
    <row r="3169">
      <c r="O3169" s="23" t="n"/>
      <c r="R3169" s="24" t="n"/>
      <c r="S3169" s="24" t="n"/>
      <c r="Y3169" s="24" t="n"/>
    </row>
    <row r="3170">
      <c r="O3170" s="23" t="n"/>
      <c r="R3170" s="24" t="n"/>
      <c r="S3170" s="24" t="n"/>
      <c r="Y3170" s="24" t="n"/>
    </row>
    <row r="3171">
      <c r="O3171" s="23" t="n"/>
      <c r="R3171" s="24" t="n"/>
      <c r="S3171" s="24" t="n"/>
      <c r="Y3171" s="24" t="n"/>
    </row>
    <row r="3172">
      <c r="O3172" s="23" t="n"/>
      <c r="R3172" s="24" t="n"/>
      <c r="S3172" s="24" t="n"/>
      <c r="Y3172" s="24" t="n"/>
    </row>
    <row r="3173">
      <c r="O3173" s="23" t="n"/>
      <c r="R3173" s="24" t="n"/>
      <c r="S3173" s="24" t="n"/>
      <c r="Y3173" s="24" t="n"/>
    </row>
    <row r="3174">
      <c r="O3174" s="23" t="n"/>
      <c r="R3174" s="24" t="n"/>
      <c r="S3174" s="24" t="n"/>
      <c r="Y3174" s="24" t="n"/>
    </row>
    <row r="3175">
      <c r="O3175" s="23" t="n"/>
      <c r="R3175" s="24" t="n"/>
      <c r="S3175" s="24" t="n"/>
      <c r="Y3175" s="24" t="n"/>
    </row>
    <row r="3176">
      <c r="O3176" s="23" t="n"/>
      <c r="R3176" s="24" t="n"/>
      <c r="S3176" s="24" t="n"/>
      <c r="Y3176" s="24" t="n"/>
    </row>
    <row r="3177">
      <c r="O3177" s="23" t="n"/>
      <c r="R3177" s="24" t="n"/>
      <c r="S3177" s="24" t="n"/>
      <c r="Y3177" s="24" t="n"/>
    </row>
    <row r="3178">
      <c r="O3178" s="23" t="n"/>
      <c r="R3178" s="24" t="n"/>
      <c r="S3178" s="24" t="n"/>
      <c r="Y3178" s="24" t="n"/>
    </row>
    <row r="3179">
      <c r="O3179" s="23" t="n"/>
      <c r="R3179" s="24" t="n"/>
      <c r="S3179" s="24" t="n"/>
      <c r="Y3179" s="24" t="n"/>
    </row>
    <row r="3180">
      <c r="O3180" s="23" t="n"/>
      <c r="R3180" s="24" t="n"/>
      <c r="S3180" s="24" t="n"/>
      <c r="Y3180" s="24" t="n"/>
    </row>
    <row r="3181">
      <c r="O3181" s="23" t="n"/>
      <c r="R3181" s="24" t="n"/>
      <c r="S3181" s="24" t="n"/>
      <c r="Y3181" s="24" t="n"/>
    </row>
    <row r="3182">
      <c r="O3182" s="23" t="n"/>
      <c r="R3182" s="24" t="n"/>
      <c r="S3182" s="24" t="n"/>
      <c r="Y3182" s="24" t="n"/>
    </row>
    <row r="3183">
      <c r="O3183" s="23" t="n"/>
      <c r="R3183" s="24" t="n"/>
      <c r="S3183" s="24" t="n"/>
      <c r="Y3183" s="24" t="n"/>
    </row>
    <row r="3184">
      <c r="O3184" s="23" t="n"/>
      <c r="R3184" s="24" t="n"/>
      <c r="S3184" s="24" t="n"/>
      <c r="Y3184" s="24" t="n"/>
    </row>
    <row r="3185">
      <c r="O3185" s="23" t="n"/>
      <c r="R3185" s="24" t="n"/>
      <c r="S3185" s="24" t="n"/>
      <c r="Y3185" s="24" t="n"/>
    </row>
    <row r="3186">
      <c r="O3186" s="23" t="n"/>
      <c r="R3186" s="24" t="n"/>
      <c r="S3186" s="24" t="n"/>
      <c r="Y3186" s="24" t="n"/>
    </row>
    <row r="3187">
      <c r="O3187" s="23" t="n"/>
      <c r="R3187" s="24" t="n"/>
      <c r="S3187" s="24" t="n"/>
      <c r="Y3187" s="24" t="n"/>
    </row>
    <row r="3188">
      <c r="O3188" s="23" t="n"/>
      <c r="R3188" s="24" t="n"/>
      <c r="S3188" s="24" t="n"/>
      <c r="Y3188" s="24" t="n"/>
    </row>
    <row r="3189">
      <c r="O3189" s="23" t="n"/>
      <c r="R3189" s="24" t="n"/>
      <c r="S3189" s="24" t="n"/>
      <c r="Y3189" s="24" t="n"/>
    </row>
    <row r="3190">
      <c r="O3190" s="23" t="n"/>
      <c r="R3190" s="24" t="n"/>
      <c r="S3190" s="24" t="n"/>
      <c r="Y3190" s="24" t="n"/>
    </row>
    <row r="3191">
      <c r="O3191" s="23" t="n"/>
      <c r="R3191" s="24" t="n"/>
      <c r="S3191" s="24" t="n"/>
      <c r="Y3191" s="24" t="n"/>
    </row>
    <row r="3192">
      <c r="O3192" s="23" t="n"/>
      <c r="R3192" s="24" t="n"/>
      <c r="S3192" s="24" t="n"/>
      <c r="Y3192" s="24" t="n"/>
    </row>
    <row r="3193">
      <c r="O3193" s="23" t="n"/>
      <c r="R3193" s="24" t="n"/>
      <c r="S3193" s="24" t="n"/>
      <c r="Y3193" s="24" t="n"/>
    </row>
    <row r="3194">
      <c r="O3194" s="23" t="n"/>
      <c r="R3194" s="24" t="n"/>
      <c r="S3194" s="24" t="n"/>
      <c r="Y3194" s="24" t="n"/>
    </row>
    <row r="3195">
      <c r="O3195" s="23" t="n"/>
      <c r="R3195" s="24" t="n"/>
      <c r="S3195" s="24" t="n"/>
      <c r="Y3195" s="24" t="n"/>
    </row>
    <row r="3196">
      <c r="O3196" s="23" t="n"/>
      <c r="R3196" s="24" t="n"/>
      <c r="S3196" s="24" t="n"/>
      <c r="Y3196" s="24" t="n"/>
    </row>
    <row r="3197">
      <c r="O3197" s="23" t="n"/>
      <c r="R3197" s="24" t="n"/>
      <c r="S3197" s="24" t="n"/>
      <c r="Y3197" s="24" t="n"/>
    </row>
    <row r="3198">
      <c r="O3198" s="23" t="n"/>
      <c r="R3198" s="24" t="n"/>
      <c r="S3198" s="24" t="n"/>
      <c r="Y3198" s="24" t="n"/>
    </row>
    <row r="3199">
      <c r="O3199" s="23" t="n"/>
      <c r="R3199" s="24" t="n"/>
      <c r="S3199" s="24" t="n"/>
      <c r="Y3199" s="24" t="n"/>
    </row>
    <row r="3200">
      <c r="O3200" s="23" t="n"/>
      <c r="R3200" s="24" t="n"/>
      <c r="S3200" s="24" t="n"/>
      <c r="Y3200" s="24" t="n"/>
    </row>
    <row r="3201">
      <c r="O3201" s="23" t="n"/>
      <c r="R3201" s="24" t="n"/>
      <c r="S3201" s="24" t="n"/>
      <c r="Y3201" s="24" t="n"/>
    </row>
    <row r="3202">
      <c r="O3202" s="23" t="n"/>
      <c r="R3202" s="24" t="n"/>
      <c r="S3202" s="24" t="n"/>
      <c r="Y3202" s="24" t="n"/>
    </row>
    <row r="3203">
      <c r="O3203" s="23" t="n"/>
      <c r="R3203" s="24" t="n"/>
      <c r="S3203" s="24" t="n"/>
      <c r="Y3203" s="24" t="n"/>
    </row>
    <row r="3204">
      <c r="O3204" s="23" t="n"/>
      <c r="R3204" s="24" t="n"/>
      <c r="S3204" s="24" t="n"/>
      <c r="Y3204" s="24" t="n"/>
    </row>
    <row r="3205">
      <c r="O3205" s="23" t="n"/>
      <c r="R3205" s="24" t="n"/>
      <c r="S3205" s="24" t="n"/>
      <c r="Y3205" s="24" t="n"/>
    </row>
    <row r="3206">
      <c r="O3206" s="23" t="n"/>
      <c r="R3206" s="24" t="n"/>
      <c r="S3206" s="24" t="n"/>
      <c r="Y3206" s="24" t="n"/>
    </row>
    <row r="3207">
      <c r="O3207" s="23" t="n"/>
      <c r="R3207" s="24" t="n"/>
      <c r="S3207" s="24" t="n"/>
      <c r="Y3207" s="24" t="n"/>
    </row>
    <row r="3208">
      <c r="O3208" s="23" t="n"/>
      <c r="R3208" s="24" t="n"/>
      <c r="S3208" s="24" t="n"/>
      <c r="Y3208" s="24" t="n"/>
    </row>
    <row r="3209">
      <c r="O3209" s="23" t="n"/>
      <c r="R3209" s="24" t="n"/>
      <c r="S3209" s="24" t="n"/>
      <c r="Y3209" s="24" t="n"/>
    </row>
    <row r="3210">
      <c r="O3210" s="23" t="n"/>
      <c r="R3210" s="24" t="n"/>
      <c r="S3210" s="24" t="n"/>
      <c r="Y3210" s="24" t="n"/>
    </row>
    <row r="3211">
      <c r="O3211" s="23" t="n"/>
      <c r="R3211" s="24" t="n"/>
      <c r="S3211" s="24" t="n"/>
      <c r="Y3211" s="24" t="n"/>
    </row>
    <row r="3212">
      <c r="O3212" s="23" t="n"/>
      <c r="R3212" s="24" t="n"/>
      <c r="S3212" s="24" t="n"/>
      <c r="Y3212" s="24" t="n"/>
    </row>
    <row r="3213">
      <c r="O3213" s="23" t="n"/>
      <c r="R3213" s="24" t="n"/>
      <c r="S3213" s="24" t="n"/>
      <c r="Y3213" s="24" t="n"/>
    </row>
    <row r="3214">
      <c r="O3214" s="23" t="n"/>
      <c r="R3214" s="24" t="n"/>
      <c r="S3214" s="24" t="n"/>
      <c r="Y3214" s="24" t="n"/>
    </row>
    <row r="3215">
      <c r="O3215" s="23" t="n"/>
      <c r="R3215" s="24" t="n"/>
      <c r="S3215" s="24" t="n"/>
      <c r="Y3215" s="24" t="n"/>
    </row>
    <row r="3216">
      <c r="O3216" s="23" t="n"/>
      <c r="R3216" s="24" t="n"/>
      <c r="S3216" s="24" t="n"/>
      <c r="Y3216" s="24" t="n"/>
    </row>
    <row r="3217">
      <c r="O3217" s="23" t="n"/>
      <c r="R3217" s="24" t="n"/>
      <c r="S3217" s="24" t="n"/>
      <c r="Y3217" s="24" t="n"/>
    </row>
    <row r="3218">
      <c r="O3218" s="23" t="n"/>
      <c r="R3218" s="24" t="n"/>
      <c r="S3218" s="24" t="n"/>
      <c r="Y3218" s="24" t="n"/>
    </row>
    <row r="3219">
      <c r="O3219" s="23" t="n"/>
      <c r="R3219" s="24" t="n"/>
      <c r="S3219" s="24" t="n"/>
      <c r="Y3219" s="24" t="n"/>
    </row>
    <row r="3220">
      <c r="O3220" s="23" t="n"/>
      <c r="R3220" s="24" t="n"/>
      <c r="S3220" s="24" t="n"/>
      <c r="Y3220" s="24" t="n"/>
    </row>
    <row r="3221">
      <c r="O3221" s="23" t="n"/>
      <c r="R3221" s="24" t="n"/>
      <c r="S3221" s="24" t="n"/>
      <c r="Y3221" s="24" t="n"/>
    </row>
    <row r="3222">
      <c r="O3222" s="23" t="n"/>
      <c r="R3222" s="24" t="n"/>
      <c r="S3222" s="24" t="n"/>
      <c r="Y3222" s="24" t="n"/>
    </row>
    <row r="3223">
      <c r="O3223" s="23" t="n"/>
      <c r="R3223" s="24" t="n"/>
      <c r="S3223" s="24" t="n"/>
      <c r="Y3223" s="24" t="n"/>
    </row>
    <row r="3224">
      <c r="O3224" s="23" t="n"/>
      <c r="R3224" s="24" t="n"/>
      <c r="S3224" s="24" t="n"/>
      <c r="Y3224" s="24" t="n"/>
    </row>
    <row r="3225">
      <c r="O3225" s="23" t="n"/>
      <c r="R3225" s="24" t="n"/>
      <c r="S3225" s="24" t="n"/>
      <c r="Y3225" s="24" t="n"/>
    </row>
    <row r="3226">
      <c r="O3226" s="23" t="n"/>
      <c r="R3226" s="24" t="n"/>
      <c r="S3226" s="24" t="n"/>
      <c r="Y3226" s="24" t="n"/>
    </row>
    <row r="3227">
      <c r="O3227" s="23" t="n"/>
      <c r="R3227" s="24" t="n"/>
      <c r="S3227" s="24" t="n"/>
      <c r="Y3227" s="24" t="n"/>
    </row>
    <row r="3228">
      <c r="O3228" s="23" t="n"/>
      <c r="R3228" s="24" t="n"/>
      <c r="S3228" s="24" t="n"/>
      <c r="Y3228" s="24" t="n"/>
    </row>
    <row r="3229">
      <c r="O3229" s="23" t="n"/>
      <c r="R3229" s="24" t="n"/>
      <c r="S3229" s="24" t="n"/>
      <c r="Y3229" s="24" t="n"/>
    </row>
    <row r="3230">
      <c r="O3230" s="23" t="n"/>
      <c r="R3230" s="24" t="n"/>
      <c r="S3230" s="24" t="n"/>
      <c r="Y3230" s="24" t="n"/>
    </row>
    <row r="3231">
      <c r="O3231" s="23" t="n"/>
      <c r="R3231" s="24" t="n"/>
      <c r="S3231" s="24" t="n"/>
      <c r="Y3231" s="24" t="n"/>
    </row>
    <row r="3232">
      <c r="O3232" s="23" t="n"/>
      <c r="R3232" s="24" t="n"/>
      <c r="S3232" s="24" t="n"/>
      <c r="Y3232" s="24" t="n"/>
    </row>
    <row r="3233">
      <c r="O3233" s="23" t="n"/>
      <c r="R3233" s="24" t="n"/>
      <c r="S3233" s="24" t="n"/>
      <c r="Y3233" s="24" t="n"/>
    </row>
    <row r="3234">
      <c r="O3234" s="23" t="n"/>
      <c r="R3234" s="24" t="n"/>
      <c r="S3234" s="24" t="n"/>
      <c r="Y3234" s="24" t="n"/>
    </row>
    <row r="3235">
      <c r="O3235" s="23" t="n"/>
      <c r="R3235" s="24" t="n"/>
      <c r="S3235" s="24" t="n"/>
      <c r="Y3235" s="24" t="n"/>
    </row>
    <row r="3236">
      <c r="O3236" s="23" t="n"/>
      <c r="R3236" s="24" t="n"/>
      <c r="S3236" s="24" t="n"/>
      <c r="Y3236" s="24" t="n"/>
    </row>
    <row r="3237">
      <c r="O3237" s="23" t="n"/>
      <c r="R3237" s="24" t="n"/>
      <c r="S3237" s="24" t="n"/>
      <c r="Y3237" s="24" t="n"/>
    </row>
    <row r="3238">
      <c r="O3238" s="23" t="n"/>
      <c r="R3238" s="24" t="n"/>
      <c r="S3238" s="24" t="n"/>
      <c r="Y3238" s="24" t="n"/>
    </row>
    <row r="3239">
      <c r="O3239" s="23" t="n"/>
      <c r="R3239" s="24" t="n"/>
      <c r="S3239" s="24" t="n"/>
      <c r="Y3239" s="24" t="n"/>
    </row>
    <row r="3240">
      <c r="O3240" s="23" t="n"/>
      <c r="R3240" s="24" t="n"/>
      <c r="S3240" s="24" t="n"/>
      <c r="Y3240" s="24" t="n"/>
    </row>
    <row r="3241">
      <c r="O3241" s="23" t="n"/>
      <c r="R3241" s="24" t="n"/>
      <c r="S3241" s="24" t="n"/>
      <c r="Y3241" s="24" t="n"/>
    </row>
    <row r="3242">
      <c r="O3242" s="23" t="n"/>
      <c r="R3242" s="24" t="n"/>
      <c r="S3242" s="24" t="n"/>
      <c r="Y3242" s="24" t="n"/>
    </row>
    <row r="3243">
      <c r="O3243" s="23" t="n"/>
      <c r="R3243" s="24" t="n"/>
      <c r="S3243" s="24" t="n"/>
      <c r="Y3243" s="24" t="n"/>
    </row>
    <row r="3244">
      <c r="O3244" s="23" t="n"/>
      <c r="R3244" s="24" t="n"/>
      <c r="S3244" s="24" t="n"/>
      <c r="Y3244" s="24" t="n"/>
    </row>
    <row r="3245">
      <c r="O3245" s="23" t="n"/>
      <c r="R3245" s="24" t="n"/>
      <c r="S3245" s="24" t="n"/>
      <c r="Y3245" s="24" t="n"/>
    </row>
    <row r="3246">
      <c r="O3246" s="23" t="n"/>
      <c r="R3246" s="24" t="n"/>
      <c r="S3246" s="24" t="n"/>
      <c r="Y3246" s="24" t="n"/>
    </row>
    <row r="3247">
      <c r="O3247" s="23" t="n"/>
      <c r="R3247" s="24" t="n"/>
      <c r="S3247" s="24" t="n"/>
      <c r="Y3247" s="24" t="n"/>
    </row>
    <row r="3248">
      <c r="O3248" s="23" t="n"/>
      <c r="R3248" s="24" t="n"/>
      <c r="S3248" s="24" t="n"/>
      <c r="Y3248" s="24" t="n"/>
    </row>
    <row r="3249">
      <c r="O3249" s="23" t="n"/>
      <c r="R3249" s="24" t="n"/>
      <c r="S3249" s="24" t="n"/>
      <c r="Y3249" s="24" t="n"/>
    </row>
    <row r="3250">
      <c r="O3250" s="23" t="n"/>
      <c r="R3250" s="24" t="n"/>
      <c r="S3250" s="24" t="n"/>
      <c r="Y3250" s="24" t="n"/>
    </row>
    <row r="3251">
      <c r="O3251" s="23" t="n"/>
      <c r="R3251" s="24" t="n"/>
      <c r="S3251" s="24" t="n"/>
      <c r="Y3251" s="24" t="n"/>
    </row>
    <row r="3252">
      <c r="O3252" s="23" t="n"/>
      <c r="R3252" s="24" t="n"/>
      <c r="S3252" s="24" t="n"/>
      <c r="Y3252" s="24" t="n"/>
    </row>
    <row r="3253">
      <c r="O3253" s="23" t="n"/>
      <c r="R3253" s="24" t="n"/>
      <c r="S3253" s="24" t="n"/>
      <c r="Y3253" s="24" t="n"/>
    </row>
    <row r="3254">
      <c r="O3254" s="23" t="n"/>
      <c r="R3254" s="24" t="n"/>
      <c r="S3254" s="24" t="n"/>
      <c r="Y3254" s="24" t="n"/>
    </row>
    <row r="3255">
      <c r="O3255" s="23" t="n"/>
      <c r="R3255" s="24" t="n"/>
      <c r="S3255" s="24" t="n"/>
      <c r="Y3255" s="24" t="n"/>
    </row>
    <row r="3256">
      <c r="O3256" s="23" t="n"/>
      <c r="R3256" s="24" t="n"/>
      <c r="S3256" s="24" t="n"/>
      <c r="Y3256" s="24" t="n"/>
    </row>
    <row r="3257">
      <c r="O3257" s="23" t="n"/>
      <c r="R3257" s="24" t="n"/>
      <c r="S3257" s="24" t="n"/>
      <c r="Y3257" s="24" t="n"/>
    </row>
    <row r="3258">
      <c r="O3258" s="23" t="n"/>
      <c r="R3258" s="24" t="n"/>
      <c r="S3258" s="24" t="n"/>
      <c r="Y3258" s="24" t="n"/>
    </row>
    <row r="3259">
      <c r="O3259" s="23" t="n"/>
      <c r="R3259" s="24" t="n"/>
      <c r="S3259" s="24" t="n"/>
      <c r="Y3259" s="24" t="n"/>
    </row>
    <row r="3260">
      <c r="O3260" s="23" t="n"/>
      <c r="R3260" s="24" t="n"/>
      <c r="S3260" s="24" t="n"/>
      <c r="Y3260" s="24" t="n"/>
    </row>
    <row r="3261">
      <c r="O3261" s="23" t="n"/>
      <c r="R3261" s="24" t="n"/>
      <c r="S3261" s="24" t="n"/>
      <c r="Y3261" s="24" t="n"/>
    </row>
    <row r="3262">
      <c r="O3262" s="23" t="n"/>
      <c r="R3262" s="24" t="n"/>
      <c r="S3262" s="24" t="n"/>
      <c r="Y3262" s="24" t="n"/>
    </row>
    <row r="3263">
      <c r="O3263" s="23" t="n"/>
      <c r="R3263" s="24" t="n"/>
      <c r="S3263" s="24" t="n"/>
      <c r="Y3263" s="24" t="n"/>
    </row>
    <row r="3264">
      <c r="O3264" s="23" t="n"/>
      <c r="R3264" s="24" t="n"/>
      <c r="S3264" s="24" t="n"/>
      <c r="Y3264" s="24" t="n"/>
    </row>
    <row r="3265">
      <c r="O3265" s="23" t="n"/>
      <c r="R3265" s="24" t="n"/>
      <c r="S3265" s="24" t="n"/>
      <c r="Y3265" s="24" t="n"/>
    </row>
    <row r="3266">
      <c r="O3266" s="23" t="n"/>
      <c r="R3266" s="24" t="n"/>
      <c r="S3266" s="24" t="n"/>
      <c r="Y3266" s="24" t="n"/>
    </row>
    <row r="3267">
      <c r="O3267" s="23" t="n"/>
      <c r="R3267" s="24" t="n"/>
      <c r="S3267" s="24" t="n"/>
      <c r="Y3267" s="24" t="n"/>
    </row>
    <row r="3268">
      <c r="O3268" s="23" t="n"/>
      <c r="R3268" s="24" t="n"/>
      <c r="S3268" s="24" t="n"/>
      <c r="Y3268" s="24" t="n"/>
    </row>
    <row r="3269">
      <c r="O3269" s="23" t="n"/>
      <c r="R3269" s="24" t="n"/>
      <c r="S3269" s="24" t="n"/>
      <c r="Y3269" s="24" t="n"/>
    </row>
    <row r="3270">
      <c r="O3270" s="23" t="n"/>
      <c r="R3270" s="24" t="n"/>
      <c r="S3270" s="24" t="n"/>
      <c r="Y3270" s="24" t="n"/>
    </row>
    <row r="3271">
      <c r="O3271" s="23" t="n"/>
      <c r="R3271" s="24" t="n"/>
      <c r="S3271" s="24" t="n"/>
      <c r="Y3271" s="24" t="n"/>
    </row>
    <row r="3272">
      <c r="O3272" s="23" t="n"/>
      <c r="R3272" s="24" t="n"/>
      <c r="S3272" s="24" t="n"/>
      <c r="Y3272" s="24" t="n"/>
    </row>
    <row r="3273">
      <c r="O3273" s="23" t="n"/>
      <c r="R3273" s="24" t="n"/>
      <c r="S3273" s="24" t="n"/>
      <c r="Y3273" s="24" t="n"/>
    </row>
    <row r="3274">
      <c r="O3274" s="23" t="n"/>
      <c r="R3274" s="24" t="n"/>
      <c r="S3274" s="24" t="n"/>
      <c r="Y3274" s="24" t="n"/>
    </row>
    <row r="3275">
      <c r="O3275" s="23" t="n"/>
      <c r="R3275" s="24" t="n"/>
      <c r="S3275" s="24" t="n"/>
      <c r="Y3275" s="24" t="n"/>
    </row>
    <row r="3276">
      <c r="O3276" s="23" t="n"/>
      <c r="R3276" s="24" t="n"/>
      <c r="S3276" s="24" t="n"/>
      <c r="Y3276" s="24" t="n"/>
    </row>
    <row r="3277">
      <c r="O3277" s="23" t="n"/>
      <c r="R3277" s="24" t="n"/>
      <c r="S3277" s="24" t="n"/>
      <c r="Y3277" s="24" t="n"/>
    </row>
    <row r="3278">
      <c r="O3278" s="23" t="n"/>
      <c r="R3278" s="24" t="n"/>
      <c r="S3278" s="24" t="n"/>
      <c r="Y3278" s="24" t="n"/>
    </row>
    <row r="3279">
      <c r="O3279" s="23" t="n"/>
      <c r="R3279" s="24" t="n"/>
      <c r="S3279" s="24" t="n"/>
      <c r="Y3279" s="24" t="n"/>
    </row>
    <row r="3280">
      <c r="O3280" s="23" t="n"/>
      <c r="R3280" s="24" t="n"/>
      <c r="S3280" s="24" t="n"/>
      <c r="Y3280" s="24" t="n"/>
    </row>
    <row r="3281">
      <c r="O3281" s="23" t="n"/>
      <c r="R3281" s="24" t="n"/>
      <c r="S3281" s="24" t="n"/>
      <c r="Y3281" s="24" t="n"/>
    </row>
    <row r="3282">
      <c r="O3282" s="23" t="n"/>
      <c r="R3282" s="24" t="n"/>
      <c r="S3282" s="24" t="n"/>
      <c r="Y3282" s="24" t="n"/>
    </row>
    <row r="3283">
      <c r="O3283" s="23" t="n"/>
      <c r="R3283" s="24" t="n"/>
      <c r="S3283" s="24" t="n"/>
      <c r="Y3283" s="24" t="n"/>
    </row>
    <row r="3284">
      <c r="O3284" s="23" t="n"/>
      <c r="R3284" s="24" t="n"/>
      <c r="S3284" s="24" t="n"/>
      <c r="Y3284" s="24" t="n"/>
    </row>
    <row r="3285">
      <c r="O3285" s="23" t="n"/>
      <c r="R3285" s="24" t="n"/>
      <c r="S3285" s="24" t="n"/>
      <c r="Y3285" s="24" t="n"/>
    </row>
    <row r="3286">
      <c r="O3286" s="23" t="n"/>
      <c r="R3286" s="24" t="n"/>
      <c r="S3286" s="24" t="n"/>
      <c r="Y3286" s="24" t="n"/>
    </row>
    <row r="3287">
      <c r="O3287" s="23" t="n"/>
      <c r="R3287" s="24" t="n"/>
      <c r="S3287" s="24" t="n"/>
      <c r="Y3287" s="24" t="n"/>
    </row>
    <row r="3288">
      <c r="O3288" s="23" t="n"/>
      <c r="R3288" s="24" t="n"/>
      <c r="S3288" s="24" t="n"/>
      <c r="Y3288" s="24" t="n"/>
    </row>
    <row r="3289">
      <c r="O3289" s="23" t="n"/>
      <c r="R3289" s="24" t="n"/>
      <c r="S3289" s="24" t="n"/>
      <c r="Y3289" s="24" t="n"/>
    </row>
    <row r="3290">
      <c r="O3290" s="23" t="n"/>
      <c r="R3290" s="24" t="n"/>
      <c r="S3290" s="24" t="n"/>
      <c r="Y3290" s="24" t="n"/>
    </row>
    <row r="3291">
      <c r="O3291" s="23" t="n"/>
      <c r="R3291" s="24" t="n"/>
      <c r="S3291" s="24" t="n"/>
      <c r="Y3291" s="24" t="n"/>
    </row>
    <row r="3292">
      <c r="O3292" s="23" t="n"/>
      <c r="R3292" s="24" t="n"/>
      <c r="S3292" s="24" t="n"/>
      <c r="Y3292" s="24" t="n"/>
    </row>
    <row r="3293">
      <c r="O3293" s="23" t="n"/>
      <c r="R3293" s="24" t="n"/>
      <c r="S3293" s="24" t="n"/>
      <c r="Y3293" s="24" t="n"/>
    </row>
    <row r="3294">
      <c r="O3294" s="23" t="n"/>
      <c r="R3294" s="24" t="n"/>
      <c r="S3294" s="24" t="n"/>
      <c r="Y3294" s="24" t="n"/>
    </row>
    <row r="3295">
      <c r="O3295" s="23" t="n"/>
      <c r="R3295" s="24" t="n"/>
      <c r="S3295" s="24" t="n"/>
      <c r="Y3295" s="24" t="n"/>
    </row>
    <row r="3296">
      <c r="O3296" s="23" t="n"/>
      <c r="R3296" s="24" t="n"/>
      <c r="S3296" s="24" t="n"/>
      <c r="Y3296" s="24" t="n"/>
    </row>
    <row r="3297">
      <c r="O3297" s="23" t="n"/>
      <c r="R3297" s="24" t="n"/>
      <c r="S3297" s="24" t="n"/>
      <c r="Y3297" s="24" t="n"/>
    </row>
    <row r="3298">
      <c r="O3298" s="23" t="n"/>
      <c r="R3298" s="24" t="n"/>
      <c r="S3298" s="24" t="n"/>
      <c r="Y3298" s="24" t="n"/>
    </row>
    <row r="3299">
      <c r="O3299" s="23" t="n"/>
      <c r="R3299" s="24" t="n"/>
      <c r="S3299" s="24" t="n"/>
      <c r="Y3299" s="24" t="n"/>
    </row>
    <row r="3300">
      <c r="O3300" s="23" t="n"/>
      <c r="R3300" s="24" t="n"/>
      <c r="S3300" s="24" t="n"/>
      <c r="Y3300" s="24" t="n"/>
    </row>
    <row r="3301">
      <c r="O3301" s="23" t="n"/>
      <c r="R3301" s="24" t="n"/>
      <c r="S3301" s="24" t="n"/>
      <c r="Y3301" s="24" t="n"/>
    </row>
    <row r="3302">
      <c r="O3302" s="23" t="n"/>
      <c r="R3302" s="24" t="n"/>
      <c r="S3302" s="24" t="n"/>
      <c r="Y3302" s="24" t="n"/>
    </row>
    <row r="3303">
      <c r="O3303" s="23" t="n"/>
      <c r="R3303" s="24" t="n"/>
      <c r="S3303" s="24" t="n"/>
      <c r="Y3303" s="24" t="n"/>
    </row>
    <row r="3304">
      <c r="O3304" s="23" t="n"/>
      <c r="R3304" s="24" t="n"/>
      <c r="S3304" s="24" t="n"/>
      <c r="Y3304" s="24" t="n"/>
    </row>
    <row r="3305">
      <c r="O3305" s="23" t="n"/>
      <c r="R3305" s="24" t="n"/>
      <c r="S3305" s="24" t="n"/>
      <c r="Y3305" s="24" t="n"/>
    </row>
    <row r="3306">
      <c r="O3306" s="23" t="n"/>
      <c r="R3306" s="24" t="n"/>
      <c r="S3306" s="24" t="n"/>
      <c r="Y3306" s="24" t="n"/>
    </row>
    <row r="3307">
      <c r="O3307" s="23" t="n"/>
      <c r="R3307" s="24" t="n"/>
      <c r="S3307" s="24" t="n"/>
      <c r="Y3307" s="24" t="n"/>
    </row>
    <row r="3308">
      <c r="O3308" s="23" t="n"/>
      <c r="R3308" s="24" t="n"/>
      <c r="S3308" s="24" t="n"/>
      <c r="Y3308" s="24" t="n"/>
    </row>
    <row r="3309">
      <c r="O3309" s="23" t="n"/>
      <c r="R3309" s="24" t="n"/>
      <c r="S3309" s="24" t="n"/>
      <c r="Y3309" s="24" t="n"/>
    </row>
    <row r="3310">
      <c r="O3310" s="23" t="n"/>
      <c r="R3310" s="24" t="n"/>
      <c r="S3310" s="24" t="n"/>
      <c r="Y3310" s="24" t="n"/>
    </row>
    <row r="3311">
      <c r="O3311" s="23" t="n"/>
      <c r="R3311" s="24" t="n"/>
      <c r="S3311" s="24" t="n"/>
      <c r="Y3311" s="24" t="n"/>
    </row>
    <row r="3312">
      <c r="O3312" s="23" t="n"/>
      <c r="R3312" s="24" t="n"/>
      <c r="S3312" s="24" t="n"/>
      <c r="Y3312" s="24" t="n"/>
    </row>
    <row r="3313">
      <c r="O3313" s="23" t="n"/>
      <c r="R3313" s="24" t="n"/>
      <c r="S3313" s="24" t="n"/>
      <c r="Y3313" s="24" t="n"/>
    </row>
    <row r="3314">
      <c r="O3314" s="23" t="n"/>
      <c r="R3314" s="24" t="n"/>
      <c r="S3314" s="24" t="n"/>
      <c r="Y3314" s="24" t="n"/>
    </row>
    <row r="3315">
      <c r="O3315" s="23" t="n"/>
      <c r="R3315" s="24" t="n"/>
      <c r="S3315" s="24" t="n"/>
      <c r="Y3315" s="24" t="n"/>
    </row>
    <row r="3316">
      <c r="O3316" s="23" t="n"/>
      <c r="R3316" s="24" t="n"/>
      <c r="S3316" s="24" t="n"/>
      <c r="Y3316" s="24" t="n"/>
    </row>
    <row r="3317">
      <c r="O3317" s="23" t="n"/>
      <c r="R3317" s="24" t="n"/>
      <c r="S3317" s="24" t="n"/>
      <c r="Y3317" s="24" t="n"/>
    </row>
    <row r="3318">
      <c r="O3318" s="23" t="n"/>
      <c r="R3318" s="24" t="n"/>
      <c r="S3318" s="24" t="n"/>
      <c r="Y3318" s="24" t="n"/>
    </row>
    <row r="3319">
      <c r="O3319" s="23" t="n"/>
      <c r="R3319" s="24" t="n"/>
      <c r="S3319" s="24" t="n"/>
      <c r="Y3319" s="24" t="n"/>
    </row>
    <row r="3320">
      <c r="O3320" s="23" t="n"/>
      <c r="R3320" s="24" t="n"/>
      <c r="S3320" s="24" t="n"/>
      <c r="Y3320" s="24" t="n"/>
    </row>
    <row r="3321">
      <c r="O3321" s="23" t="n"/>
      <c r="R3321" s="24" t="n"/>
      <c r="S3321" s="24" t="n"/>
      <c r="Y3321" s="24" t="n"/>
    </row>
    <row r="3322">
      <c r="O3322" s="23" t="n"/>
      <c r="R3322" s="24" t="n"/>
      <c r="S3322" s="24" t="n"/>
      <c r="Y3322" s="24" t="n"/>
    </row>
    <row r="3323">
      <c r="O3323" s="23" t="n"/>
      <c r="R3323" s="24" t="n"/>
      <c r="S3323" s="24" t="n"/>
      <c r="Y3323" s="24" t="n"/>
    </row>
    <row r="3324">
      <c r="O3324" s="23" t="n"/>
      <c r="R3324" s="24" t="n"/>
      <c r="S3324" s="24" t="n"/>
      <c r="Y3324" s="24" t="n"/>
    </row>
    <row r="3325">
      <c r="O3325" s="23" t="n"/>
      <c r="R3325" s="24" t="n"/>
      <c r="S3325" s="24" t="n"/>
      <c r="Y3325" s="24" t="n"/>
    </row>
    <row r="3326">
      <c r="O3326" s="23" t="n"/>
      <c r="R3326" s="24" t="n"/>
      <c r="S3326" s="24" t="n"/>
      <c r="Y3326" s="24" t="n"/>
    </row>
    <row r="3327">
      <c r="O3327" s="23" t="n"/>
      <c r="R3327" s="24" t="n"/>
      <c r="S3327" s="24" t="n"/>
      <c r="Y3327" s="24" t="n"/>
    </row>
    <row r="3328">
      <c r="O3328" s="23" t="n"/>
      <c r="R3328" s="24" t="n"/>
      <c r="S3328" s="24" t="n"/>
      <c r="Y3328" s="24" t="n"/>
    </row>
    <row r="3329">
      <c r="O3329" s="23" t="n"/>
      <c r="R3329" s="24" t="n"/>
      <c r="S3329" s="24" t="n"/>
      <c r="Y3329" s="24" t="n"/>
    </row>
    <row r="3330">
      <c r="O3330" s="23" t="n"/>
      <c r="R3330" s="24" t="n"/>
      <c r="S3330" s="24" t="n"/>
      <c r="Y3330" s="24" t="n"/>
    </row>
    <row r="3331">
      <c r="O3331" s="23" t="n"/>
      <c r="R3331" s="24" t="n"/>
      <c r="S3331" s="24" t="n"/>
      <c r="Y3331" s="24" t="n"/>
    </row>
    <row r="3332">
      <c r="O3332" s="23" t="n"/>
      <c r="R3332" s="24" t="n"/>
      <c r="S3332" s="24" t="n"/>
      <c r="Y3332" s="24" t="n"/>
    </row>
    <row r="3333">
      <c r="O3333" s="23" t="n"/>
      <c r="R3333" s="24" t="n"/>
      <c r="S3333" s="24" t="n"/>
      <c r="Y3333" s="24" t="n"/>
    </row>
    <row r="3334">
      <c r="O3334" s="23" t="n"/>
      <c r="R3334" s="24" t="n"/>
      <c r="S3334" s="24" t="n"/>
      <c r="Y3334" s="24" t="n"/>
    </row>
    <row r="3335">
      <c r="O3335" s="23" t="n"/>
      <c r="R3335" s="24" t="n"/>
      <c r="S3335" s="24" t="n"/>
      <c r="Y3335" s="24" t="n"/>
    </row>
    <row r="3336">
      <c r="O3336" s="23" t="n"/>
      <c r="R3336" s="24" t="n"/>
      <c r="S3336" s="24" t="n"/>
      <c r="Y3336" s="24" t="n"/>
    </row>
    <row r="3337">
      <c r="O3337" s="23" t="n"/>
      <c r="R3337" s="24" t="n"/>
      <c r="S3337" s="24" t="n"/>
      <c r="Y3337" s="24" t="n"/>
    </row>
    <row r="3338">
      <c r="O3338" s="23" t="n"/>
      <c r="R3338" s="24" t="n"/>
      <c r="S3338" s="24" t="n"/>
      <c r="Y3338" s="24" t="n"/>
    </row>
    <row r="3339">
      <c r="O3339" s="23" t="n"/>
      <c r="R3339" s="24" t="n"/>
      <c r="S3339" s="24" t="n"/>
      <c r="Y3339" s="24" t="n"/>
    </row>
    <row r="3340">
      <c r="O3340" s="23" t="n"/>
      <c r="R3340" s="24" t="n"/>
      <c r="S3340" s="24" t="n"/>
      <c r="Y3340" s="24" t="n"/>
    </row>
    <row r="3341">
      <c r="O3341" s="23" t="n"/>
      <c r="R3341" s="24" t="n"/>
      <c r="S3341" s="24" t="n"/>
      <c r="Y3341" s="24" t="n"/>
    </row>
    <row r="3342">
      <c r="O3342" s="23" t="n"/>
      <c r="R3342" s="24" t="n"/>
      <c r="S3342" s="24" t="n"/>
      <c r="Y3342" s="24" t="n"/>
    </row>
    <row r="3343">
      <c r="O3343" s="23" t="n"/>
      <c r="R3343" s="24" t="n"/>
      <c r="S3343" s="24" t="n"/>
      <c r="Y3343" s="24" t="n"/>
    </row>
    <row r="3344">
      <c r="O3344" s="23" t="n"/>
      <c r="R3344" s="24" t="n"/>
      <c r="S3344" s="24" t="n"/>
      <c r="Y3344" s="24" t="n"/>
    </row>
    <row r="3345">
      <c r="O3345" s="23" t="n"/>
      <c r="R3345" s="24" t="n"/>
      <c r="S3345" s="24" t="n"/>
      <c r="Y3345" s="24" t="n"/>
    </row>
    <row r="3346">
      <c r="O3346" s="23" t="n"/>
      <c r="R3346" s="24" t="n"/>
      <c r="S3346" s="24" t="n"/>
      <c r="Y3346" s="24" t="n"/>
    </row>
    <row r="3347">
      <c r="O3347" s="23" t="n"/>
      <c r="R3347" s="24" t="n"/>
      <c r="S3347" s="24" t="n"/>
      <c r="Y3347" s="24" t="n"/>
    </row>
    <row r="3348">
      <c r="O3348" s="23" t="n"/>
      <c r="R3348" s="24" t="n"/>
      <c r="S3348" s="24" t="n"/>
      <c r="Y3348" s="24" t="n"/>
    </row>
    <row r="3349">
      <c r="O3349" s="23" t="n"/>
      <c r="R3349" s="24" t="n"/>
      <c r="S3349" s="24" t="n"/>
      <c r="Y3349" s="24" t="n"/>
    </row>
    <row r="3350">
      <c r="O3350" s="23" t="n"/>
      <c r="R3350" s="24" t="n"/>
      <c r="S3350" s="24" t="n"/>
      <c r="Y3350" s="24" t="n"/>
    </row>
    <row r="3351">
      <c r="O3351" s="23" t="n"/>
      <c r="R3351" s="24" t="n"/>
      <c r="S3351" s="24" t="n"/>
      <c r="Y3351" s="24" t="n"/>
    </row>
    <row r="3352">
      <c r="O3352" s="23" t="n"/>
      <c r="R3352" s="24" t="n"/>
      <c r="S3352" s="24" t="n"/>
      <c r="Y3352" s="24" t="n"/>
    </row>
    <row r="3353">
      <c r="O3353" s="23" t="n"/>
      <c r="R3353" s="24" t="n"/>
      <c r="S3353" s="24" t="n"/>
      <c r="Y3353" s="24" t="n"/>
    </row>
    <row r="3354">
      <c r="O3354" s="23" t="n"/>
      <c r="R3354" s="24" t="n"/>
      <c r="S3354" s="24" t="n"/>
      <c r="Y3354" s="24" t="n"/>
    </row>
    <row r="3355">
      <c r="O3355" s="23" t="n"/>
      <c r="R3355" s="24" t="n"/>
      <c r="S3355" s="24" t="n"/>
      <c r="Y3355" s="24" t="n"/>
    </row>
    <row r="3356">
      <c r="O3356" s="23" t="n"/>
      <c r="R3356" s="24" t="n"/>
      <c r="S3356" s="24" t="n"/>
      <c r="Y3356" s="24" t="n"/>
    </row>
    <row r="3357">
      <c r="O3357" s="23" t="n"/>
      <c r="R3357" s="24" t="n"/>
      <c r="S3357" s="24" t="n"/>
      <c r="Y3357" s="24" t="n"/>
    </row>
    <row r="3358">
      <c r="O3358" s="23" t="n"/>
      <c r="R3358" s="24" t="n"/>
      <c r="S3358" s="24" t="n"/>
      <c r="Y3358" s="24" t="n"/>
    </row>
    <row r="3359">
      <c r="O3359" s="23" t="n"/>
      <c r="R3359" s="24" t="n"/>
      <c r="S3359" s="24" t="n"/>
      <c r="Y3359" s="24" t="n"/>
    </row>
    <row r="3360">
      <c r="O3360" s="23" t="n"/>
      <c r="R3360" s="24" t="n"/>
      <c r="S3360" s="24" t="n"/>
      <c r="Y3360" s="24" t="n"/>
    </row>
    <row r="3361">
      <c r="O3361" s="23" t="n"/>
      <c r="R3361" s="24" t="n"/>
      <c r="S3361" s="24" t="n"/>
      <c r="Y3361" s="24" t="n"/>
    </row>
    <row r="3362">
      <c r="O3362" s="23" t="n"/>
      <c r="R3362" s="24" t="n"/>
      <c r="S3362" s="24" t="n"/>
      <c r="Y3362" s="24" t="n"/>
    </row>
    <row r="3363">
      <c r="O3363" s="23" t="n"/>
      <c r="R3363" s="24" t="n"/>
      <c r="S3363" s="24" t="n"/>
      <c r="Y3363" s="24" t="n"/>
    </row>
    <row r="3364">
      <c r="O3364" s="23" t="n"/>
      <c r="R3364" s="24" t="n"/>
      <c r="S3364" s="24" t="n"/>
      <c r="Y3364" s="24" t="n"/>
    </row>
    <row r="3365">
      <c r="O3365" s="23" t="n"/>
      <c r="R3365" s="24" t="n"/>
      <c r="S3365" s="24" t="n"/>
      <c r="Y3365" s="24" t="n"/>
    </row>
    <row r="3366">
      <c r="O3366" s="23" t="n"/>
      <c r="R3366" s="24" t="n"/>
      <c r="S3366" s="24" t="n"/>
      <c r="Y3366" s="24" t="n"/>
    </row>
    <row r="3367">
      <c r="O3367" s="23" t="n"/>
      <c r="R3367" s="24" t="n"/>
      <c r="S3367" s="24" t="n"/>
      <c r="Y3367" s="24" t="n"/>
    </row>
    <row r="3368">
      <c r="O3368" s="23" t="n"/>
      <c r="R3368" s="24" t="n"/>
      <c r="S3368" s="24" t="n"/>
      <c r="Y3368" s="24" t="n"/>
    </row>
    <row r="3369">
      <c r="O3369" s="23" t="n"/>
      <c r="R3369" s="24" t="n"/>
      <c r="S3369" s="24" t="n"/>
      <c r="Y3369" s="24" t="n"/>
    </row>
    <row r="3370">
      <c r="O3370" s="23" t="n"/>
      <c r="R3370" s="24" t="n"/>
      <c r="S3370" s="24" t="n"/>
      <c r="Y3370" s="24" t="n"/>
    </row>
    <row r="3371">
      <c r="O3371" s="23" t="n"/>
      <c r="R3371" s="24" t="n"/>
      <c r="S3371" s="24" t="n"/>
      <c r="Y3371" s="24" t="n"/>
    </row>
    <row r="3372">
      <c r="O3372" s="23" t="n"/>
      <c r="R3372" s="24" t="n"/>
      <c r="S3372" s="24" t="n"/>
      <c r="Y3372" s="24" t="n"/>
    </row>
    <row r="3373">
      <c r="O3373" s="23" t="n"/>
      <c r="R3373" s="24" t="n"/>
      <c r="S3373" s="24" t="n"/>
      <c r="Y3373" s="24" t="n"/>
    </row>
    <row r="3374">
      <c r="O3374" s="23" t="n"/>
      <c r="R3374" s="24" t="n"/>
      <c r="S3374" s="24" t="n"/>
      <c r="Y3374" s="24" t="n"/>
    </row>
    <row r="3375">
      <c r="O3375" s="23" t="n"/>
      <c r="R3375" s="24" t="n"/>
      <c r="S3375" s="24" t="n"/>
      <c r="Y3375" s="24" t="n"/>
    </row>
    <row r="3376">
      <c r="O3376" s="23" t="n"/>
      <c r="R3376" s="24" t="n"/>
      <c r="S3376" s="24" t="n"/>
      <c r="Y3376" s="24" t="n"/>
    </row>
    <row r="3377">
      <c r="O3377" s="23" t="n"/>
      <c r="R3377" s="24" t="n"/>
      <c r="S3377" s="24" t="n"/>
      <c r="Y3377" s="24" t="n"/>
    </row>
    <row r="3378">
      <c r="O3378" s="23" t="n"/>
      <c r="R3378" s="24" t="n"/>
      <c r="S3378" s="24" t="n"/>
      <c r="Y3378" s="24" t="n"/>
    </row>
    <row r="3379">
      <c r="O3379" s="23" t="n"/>
      <c r="R3379" s="24" t="n"/>
      <c r="S3379" s="24" t="n"/>
      <c r="Y3379" s="24" t="n"/>
    </row>
    <row r="3380">
      <c r="O3380" s="23" t="n"/>
      <c r="R3380" s="24" t="n"/>
      <c r="S3380" s="24" t="n"/>
      <c r="Y3380" s="24" t="n"/>
    </row>
    <row r="3381">
      <c r="O3381" s="23" t="n"/>
      <c r="R3381" s="24" t="n"/>
      <c r="S3381" s="24" t="n"/>
      <c r="Y3381" s="24" t="n"/>
    </row>
    <row r="3382">
      <c r="O3382" s="23" t="n"/>
      <c r="R3382" s="24" t="n"/>
      <c r="S3382" s="24" t="n"/>
      <c r="Y3382" s="24" t="n"/>
    </row>
    <row r="3383">
      <c r="O3383" s="23" t="n"/>
      <c r="R3383" s="24" t="n"/>
      <c r="S3383" s="24" t="n"/>
      <c r="Y3383" s="24" t="n"/>
    </row>
    <row r="3384">
      <c r="O3384" s="23" t="n"/>
      <c r="R3384" s="24" t="n"/>
      <c r="S3384" s="24" t="n"/>
      <c r="Y3384" s="24" t="n"/>
    </row>
    <row r="3385">
      <c r="O3385" s="23" t="n"/>
      <c r="R3385" s="24" t="n"/>
      <c r="S3385" s="24" t="n"/>
      <c r="Y3385" s="24" t="n"/>
    </row>
    <row r="3386">
      <c r="O3386" s="23" t="n"/>
      <c r="R3386" s="24" t="n"/>
      <c r="S3386" s="24" t="n"/>
      <c r="Y3386" s="24" t="n"/>
    </row>
    <row r="3387">
      <c r="O3387" s="23" t="n"/>
      <c r="R3387" s="24" t="n"/>
      <c r="S3387" s="24" t="n"/>
      <c r="Y3387" s="24" t="n"/>
    </row>
    <row r="3388">
      <c r="O3388" s="23" t="n"/>
      <c r="R3388" s="24" t="n"/>
      <c r="S3388" s="24" t="n"/>
      <c r="Y3388" s="24" t="n"/>
    </row>
    <row r="3389">
      <c r="O3389" s="23" t="n"/>
      <c r="R3389" s="24" t="n"/>
      <c r="S3389" s="24" t="n"/>
      <c r="Y3389" s="24" t="n"/>
    </row>
    <row r="3390">
      <c r="O3390" s="23" t="n"/>
      <c r="R3390" s="24" t="n"/>
      <c r="S3390" s="24" t="n"/>
      <c r="Y3390" s="24" t="n"/>
    </row>
    <row r="3391">
      <c r="O3391" s="23" t="n"/>
      <c r="R3391" s="24" t="n"/>
      <c r="S3391" s="24" t="n"/>
      <c r="Y3391" s="24" t="n"/>
    </row>
    <row r="3392">
      <c r="O3392" s="23" t="n"/>
      <c r="R3392" s="24" t="n"/>
      <c r="S3392" s="24" t="n"/>
      <c r="Y3392" s="24" t="n"/>
    </row>
    <row r="3393">
      <c r="O3393" s="23" t="n"/>
      <c r="R3393" s="24" t="n"/>
      <c r="S3393" s="24" t="n"/>
      <c r="Y3393" s="24" t="n"/>
    </row>
    <row r="3394">
      <c r="O3394" s="23" t="n"/>
      <c r="R3394" s="24" t="n"/>
      <c r="S3394" s="24" t="n"/>
      <c r="Y3394" s="24" t="n"/>
    </row>
    <row r="3395">
      <c r="O3395" s="23" t="n"/>
      <c r="R3395" s="24" t="n"/>
      <c r="S3395" s="24" t="n"/>
      <c r="Y3395" s="24" t="n"/>
    </row>
    <row r="3396">
      <c r="O3396" s="23" t="n"/>
      <c r="R3396" s="24" t="n"/>
      <c r="S3396" s="24" t="n"/>
      <c r="Y3396" s="24" t="n"/>
    </row>
    <row r="3397">
      <c r="O3397" s="23" t="n"/>
      <c r="R3397" s="24" t="n"/>
      <c r="S3397" s="24" t="n"/>
      <c r="Y3397" s="24" t="n"/>
    </row>
    <row r="3398">
      <c r="O3398" s="23" t="n"/>
      <c r="R3398" s="24" t="n"/>
      <c r="S3398" s="24" t="n"/>
      <c r="Y3398" s="24" t="n"/>
    </row>
    <row r="3399">
      <c r="O3399" s="23" t="n"/>
      <c r="R3399" s="24" t="n"/>
      <c r="S3399" s="24" t="n"/>
      <c r="Y3399" s="24" t="n"/>
    </row>
    <row r="3400">
      <c r="O3400" s="23" t="n"/>
      <c r="R3400" s="24" t="n"/>
      <c r="S3400" s="24" t="n"/>
      <c r="Y3400" s="24" t="n"/>
    </row>
    <row r="3401">
      <c r="O3401" s="23" t="n"/>
      <c r="R3401" s="24" t="n"/>
      <c r="S3401" s="24" t="n"/>
      <c r="Y3401" s="24" t="n"/>
    </row>
    <row r="3402">
      <c r="O3402" s="23" t="n"/>
      <c r="R3402" s="24" t="n"/>
      <c r="S3402" s="24" t="n"/>
      <c r="Y3402" s="24" t="n"/>
    </row>
    <row r="3403">
      <c r="O3403" s="23" t="n"/>
      <c r="R3403" s="24" t="n"/>
      <c r="S3403" s="24" t="n"/>
      <c r="Y3403" s="24" t="n"/>
    </row>
    <row r="3404">
      <c r="O3404" s="23" t="n"/>
      <c r="R3404" s="24" t="n"/>
      <c r="S3404" s="24" t="n"/>
      <c r="Y3404" s="24" t="n"/>
    </row>
    <row r="3405">
      <c r="O3405" s="23" t="n"/>
      <c r="R3405" s="24" t="n"/>
      <c r="S3405" s="24" t="n"/>
      <c r="Y3405" s="24" t="n"/>
    </row>
    <row r="3406">
      <c r="O3406" s="23" t="n"/>
      <c r="R3406" s="24" t="n"/>
      <c r="S3406" s="24" t="n"/>
      <c r="Y3406" s="24" t="n"/>
    </row>
    <row r="3407">
      <c r="O3407" s="23" t="n"/>
      <c r="R3407" s="24" t="n"/>
      <c r="S3407" s="24" t="n"/>
      <c r="Y3407" s="24" t="n"/>
    </row>
    <row r="3408">
      <c r="O3408" s="23" t="n"/>
      <c r="R3408" s="24" t="n"/>
      <c r="S3408" s="24" t="n"/>
      <c r="Y3408" s="24" t="n"/>
    </row>
    <row r="3409">
      <c r="O3409" s="23" t="n"/>
      <c r="R3409" s="24" t="n"/>
      <c r="S3409" s="24" t="n"/>
      <c r="Y3409" s="24" t="n"/>
    </row>
    <row r="3410">
      <c r="O3410" s="23" t="n"/>
      <c r="R3410" s="24" t="n"/>
      <c r="S3410" s="24" t="n"/>
      <c r="Y3410" s="24" t="n"/>
    </row>
    <row r="3411">
      <c r="O3411" s="23" t="n"/>
      <c r="R3411" s="24" t="n"/>
      <c r="S3411" s="24" t="n"/>
      <c r="Y3411" s="24" t="n"/>
    </row>
    <row r="3412">
      <c r="O3412" s="23" t="n"/>
      <c r="R3412" s="24" t="n"/>
      <c r="S3412" s="24" t="n"/>
      <c r="Y3412" s="24" t="n"/>
    </row>
    <row r="3413">
      <c r="O3413" s="23" t="n"/>
      <c r="R3413" s="24" t="n"/>
      <c r="S3413" s="24" t="n"/>
      <c r="Y3413" s="24" t="n"/>
    </row>
    <row r="3414">
      <c r="O3414" s="23" t="n"/>
      <c r="R3414" s="24" t="n"/>
      <c r="S3414" s="24" t="n"/>
      <c r="Y3414" s="24" t="n"/>
    </row>
    <row r="3415">
      <c r="O3415" s="23" t="n"/>
      <c r="R3415" s="24" t="n"/>
      <c r="S3415" s="24" t="n"/>
      <c r="Y3415" s="24" t="n"/>
    </row>
    <row r="3416">
      <c r="O3416" s="23" t="n"/>
      <c r="R3416" s="24" t="n"/>
      <c r="S3416" s="24" t="n"/>
      <c r="Y3416" s="24" t="n"/>
    </row>
    <row r="3417">
      <c r="O3417" s="23" t="n"/>
      <c r="R3417" s="24" t="n"/>
      <c r="S3417" s="24" t="n"/>
      <c r="Y3417" s="24" t="n"/>
    </row>
    <row r="3418">
      <c r="O3418" s="23" t="n"/>
      <c r="R3418" s="24" t="n"/>
      <c r="S3418" s="24" t="n"/>
      <c r="Y3418" s="24" t="n"/>
    </row>
    <row r="3419">
      <c r="O3419" s="23" t="n"/>
      <c r="R3419" s="24" t="n"/>
      <c r="S3419" s="24" t="n"/>
      <c r="Y3419" s="24" t="n"/>
    </row>
    <row r="3420">
      <c r="O3420" s="23" t="n"/>
      <c r="R3420" s="24" t="n"/>
      <c r="S3420" s="24" t="n"/>
      <c r="Y3420" s="24" t="n"/>
    </row>
    <row r="3421">
      <c r="O3421" s="23" t="n"/>
      <c r="R3421" s="24" t="n"/>
      <c r="S3421" s="24" t="n"/>
      <c r="Y3421" s="24" t="n"/>
    </row>
    <row r="3422">
      <c r="O3422" s="23" t="n"/>
      <c r="R3422" s="24" t="n"/>
      <c r="S3422" s="24" t="n"/>
      <c r="Y3422" s="24" t="n"/>
    </row>
    <row r="3423">
      <c r="O3423" s="23" t="n"/>
      <c r="R3423" s="24" t="n"/>
      <c r="S3423" s="24" t="n"/>
      <c r="Y3423" s="24" t="n"/>
    </row>
    <row r="3424">
      <c r="O3424" s="23" t="n"/>
      <c r="R3424" s="24" t="n"/>
      <c r="S3424" s="24" t="n"/>
      <c r="Y3424" s="24" t="n"/>
    </row>
    <row r="3425">
      <c r="O3425" s="23" t="n"/>
      <c r="R3425" s="24" t="n"/>
      <c r="S3425" s="24" t="n"/>
      <c r="Y3425" s="24" t="n"/>
    </row>
    <row r="3426">
      <c r="O3426" s="23" t="n"/>
      <c r="R3426" s="24" t="n"/>
      <c r="S3426" s="24" t="n"/>
      <c r="Y3426" s="24" t="n"/>
    </row>
    <row r="3427">
      <c r="O3427" s="23" t="n"/>
      <c r="R3427" s="24" t="n"/>
      <c r="S3427" s="24" t="n"/>
      <c r="Y3427" s="24" t="n"/>
    </row>
    <row r="3428">
      <c r="O3428" s="23" t="n"/>
      <c r="R3428" s="24" t="n"/>
      <c r="S3428" s="24" t="n"/>
      <c r="Y3428" s="24" t="n"/>
    </row>
    <row r="3429">
      <c r="O3429" s="23" t="n"/>
      <c r="R3429" s="24" t="n"/>
      <c r="S3429" s="24" t="n"/>
      <c r="Y3429" s="24" t="n"/>
    </row>
    <row r="3430">
      <c r="O3430" s="23" t="n"/>
      <c r="R3430" s="24" t="n"/>
      <c r="S3430" s="24" t="n"/>
      <c r="Y3430" s="24" t="n"/>
    </row>
    <row r="3431">
      <c r="O3431" s="23" t="n"/>
      <c r="R3431" s="24" t="n"/>
      <c r="S3431" s="24" t="n"/>
      <c r="Y3431" s="24" t="n"/>
    </row>
    <row r="3432">
      <c r="O3432" s="23" t="n"/>
      <c r="R3432" s="24" t="n"/>
      <c r="S3432" s="24" t="n"/>
      <c r="Y3432" s="24" t="n"/>
    </row>
    <row r="3433">
      <c r="O3433" s="23" t="n"/>
      <c r="R3433" s="24" t="n"/>
      <c r="S3433" s="24" t="n"/>
      <c r="Y3433" s="24" t="n"/>
    </row>
    <row r="3434">
      <c r="O3434" s="23" t="n"/>
      <c r="R3434" s="24" t="n"/>
      <c r="S3434" s="24" t="n"/>
      <c r="Y3434" s="24" t="n"/>
    </row>
    <row r="3435">
      <c r="O3435" s="23" t="n"/>
      <c r="R3435" s="24" t="n"/>
      <c r="S3435" s="24" t="n"/>
      <c r="Y3435" s="24" t="n"/>
    </row>
    <row r="3436">
      <c r="O3436" s="23" t="n"/>
      <c r="R3436" s="24" t="n"/>
      <c r="S3436" s="24" t="n"/>
      <c r="Y3436" s="24" t="n"/>
    </row>
    <row r="3437">
      <c r="O3437" s="23" t="n"/>
      <c r="R3437" s="24" t="n"/>
      <c r="S3437" s="24" t="n"/>
      <c r="Y3437" s="24" t="n"/>
    </row>
    <row r="3438">
      <c r="O3438" s="23" t="n"/>
      <c r="R3438" s="24" t="n"/>
      <c r="S3438" s="24" t="n"/>
      <c r="Y3438" s="24" t="n"/>
    </row>
    <row r="3439">
      <c r="O3439" s="23" t="n"/>
      <c r="R3439" s="24" t="n"/>
      <c r="S3439" s="24" t="n"/>
      <c r="Y3439" s="24" t="n"/>
    </row>
    <row r="3440">
      <c r="O3440" s="23" t="n"/>
      <c r="R3440" s="24" t="n"/>
      <c r="S3440" s="24" t="n"/>
      <c r="Y3440" s="24" t="n"/>
    </row>
    <row r="3441">
      <c r="O3441" s="23" t="n"/>
      <c r="R3441" s="24" t="n"/>
      <c r="S3441" s="24" t="n"/>
      <c r="Y3441" s="24" t="n"/>
    </row>
    <row r="3442">
      <c r="O3442" s="23" t="n"/>
      <c r="R3442" s="24" t="n"/>
      <c r="S3442" s="24" t="n"/>
      <c r="Y3442" s="24" t="n"/>
    </row>
    <row r="3443">
      <c r="O3443" s="23" t="n"/>
      <c r="R3443" s="24" t="n"/>
      <c r="S3443" s="24" t="n"/>
      <c r="Y3443" s="24" t="n"/>
    </row>
    <row r="3444">
      <c r="O3444" s="23" t="n"/>
      <c r="R3444" s="24" t="n"/>
      <c r="S3444" s="24" t="n"/>
      <c r="Y3444" s="24" t="n"/>
    </row>
    <row r="3445">
      <c r="O3445" s="23" t="n"/>
      <c r="R3445" s="24" t="n"/>
      <c r="S3445" s="24" t="n"/>
      <c r="Y3445" s="24" t="n"/>
    </row>
    <row r="3446">
      <c r="O3446" s="23" t="n"/>
      <c r="R3446" s="24" t="n"/>
      <c r="S3446" s="24" t="n"/>
      <c r="Y3446" s="24" t="n"/>
    </row>
    <row r="3447">
      <c r="O3447" s="23" t="n"/>
      <c r="R3447" s="24" t="n"/>
      <c r="S3447" s="24" t="n"/>
      <c r="Y3447" s="24" t="n"/>
    </row>
    <row r="3448">
      <c r="O3448" s="23" t="n"/>
      <c r="R3448" s="24" t="n"/>
      <c r="S3448" s="24" t="n"/>
      <c r="Y3448" s="24" t="n"/>
    </row>
    <row r="3449">
      <c r="O3449" s="23" t="n"/>
      <c r="R3449" s="24" t="n"/>
      <c r="S3449" s="24" t="n"/>
      <c r="Y3449" s="24" t="n"/>
    </row>
    <row r="3450">
      <c r="O3450" s="23" t="n"/>
      <c r="R3450" s="24" t="n"/>
      <c r="S3450" s="24" t="n"/>
      <c r="Y3450" s="24" t="n"/>
    </row>
    <row r="3451">
      <c r="O3451" s="23" t="n"/>
      <c r="R3451" s="24" t="n"/>
      <c r="S3451" s="24" t="n"/>
      <c r="Y3451" s="24" t="n"/>
    </row>
    <row r="3452">
      <c r="O3452" s="23" t="n"/>
      <c r="R3452" s="24" t="n"/>
      <c r="S3452" s="24" t="n"/>
      <c r="Y3452" s="24" t="n"/>
    </row>
    <row r="3453">
      <c r="O3453" s="23" t="n"/>
      <c r="R3453" s="24" t="n"/>
      <c r="S3453" s="24" t="n"/>
      <c r="Y3453" s="24" t="n"/>
    </row>
    <row r="3454">
      <c r="O3454" s="23" t="n"/>
      <c r="R3454" s="24" t="n"/>
      <c r="S3454" s="24" t="n"/>
      <c r="Y3454" s="24" t="n"/>
    </row>
    <row r="3455">
      <c r="O3455" s="23" t="n"/>
      <c r="R3455" s="24" t="n"/>
      <c r="S3455" s="24" t="n"/>
      <c r="Y3455" s="24" t="n"/>
    </row>
    <row r="3456">
      <c r="O3456" s="23" t="n"/>
      <c r="R3456" s="24" t="n"/>
      <c r="S3456" s="24" t="n"/>
      <c r="Y3456" s="24" t="n"/>
    </row>
    <row r="3457">
      <c r="O3457" s="23" t="n"/>
      <c r="R3457" s="24" t="n"/>
      <c r="S3457" s="24" t="n"/>
      <c r="Y3457" s="24" t="n"/>
    </row>
    <row r="3458">
      <c r="O3458" s="23" t="n"/>
      <c r="R3458" s="24" t="n"/>
      <c r="S3458" s="24" t="n"/>
      <c r="Y3458" s="24" t="n"/>
    </row>
    <row r="3459">
      <c r="O3459" s="23" t="n"/>
      <c r="R3459" s="24" t="n"/>
      <c r="S3459" s="24" t="n"/>
      <c r="Y3459" s="24" t="n"/>
    </row>
    <row r="3460">
      <c r="O3460" s="23" t="n"/>
      <c r="R3460" s="24" t="n"/>
      <c r="S3460" s="24" t="n"/>
      <c r="Y3460" s="24" t="n"/>
    </row>
    <row r="3461">
      <c r="O3461" s="23" t="n"/>
      <c r="R3461" s="24" t="n"/>
      <c r="S3461" s="24" t="n"/>
      <c r="Y3461" s="24" t="n"/>
    </row>
    <row r="3462">
      <c r="O3462" s="23" t="n"/>
      <c r="R3462" s="24" t="n"/>
      <c r="S3462" s="24" t="n"/>
      <c r="Y3462" s="24" t="n"/>
    </row>
    <row r="3463">
      <c r="O3463" s="23" t="n"/>
      <c r="R3463" s="24" t="n"/>
      <c r="S3463" s="24" t="n"/>
      <c r="Y3463" s="24" t="n"/>
    </row>
    <row r="3464">
      <c r="O3464" s="23" t="n"/>
      <c r="R3464" s="24" t="n"/>
      <c r="S3464" s="24" t="n"/>
      <c r="Y3464" s="24" t="n"/>
    </row>
    <row r="3465">
      <c r="O3465" s="23" t="n"/>
      <c r="R3465" s="24" t="n"/>
      <c r="S3465" s="24" t="n"/>
      <c r="Y3465" s="24" t="n"/>
    </row>
    <row r="3466">
      <c r="O3466" s="23" t="n"/>
      <c r="R3466" s="24" t="n"/>
      <c r="S3466" s="24" t="n"/>
      <c r="Y3466" s="24" t="n"/>
    </row>
    <row r="3467">
      <c r="O3467" s="23" t="n"/>
      <c r="R3467" s="24" t="n"/>
      <c r="S3467" s="24" t="n"/>
      <c r="Y3467" s="24" t="n"/>
    </row>
    <row r="3468">
      <c r="O3468" s="23" t="n"/>
      <c r="R3468" s="24" t="n"/>
      <c r="S3468" s="24" t="n"/>
      <c r="Y3468" s="24" t="n"/>
    </row>
    <row r="3469">
      <c r="O3469" s="23" t="n"/>
      <c r="R3469" s="24" t="n"/>
      <c r="S3469" s="24" t="n"/>
      <c r="Y3469" s="24" t="n"/>
    </row>
    <row r="3470">
      <c r="O3470" s="23" t="n"/>
      <c r="R3470" s="24" t="n"/>
      <c r="S3470" s="24" t="n"/>
      <c r="Y3470" s="24" t="n"/>
    </row>
    <row r="3471">
      <c r="O3471" s="23" t="n"/>
      <c r="R3471" s="24" t="n"/>
      <c r="S3471" s="24" t="n"/>
      <c r="Y3471" s="24" t="n"/>
    </row>
    <row r="3472">
      <c r="O3472" s="23" t="n"/>
      <c r="R3472" s="24" t="n"/>
      <c r="S3472" s="24" t="n"/>
      <c r="Y3472" s="24" t="n"/>
    </row>
    <row r="3473">
      <c r="O3473" s="23" t="n"/>
      <c r="R3473" s="24" t="n"/>
      <c r="S3473" s="24" t="n"/>
      <c r="Y3473" s="24" t="n"/>
    </row>
    <row r="3474">
      <c r="O3474" s="23" t="n"/>
      <c r="R3474" s="24" t="n"/>
      <c r="S3474" s="24" t="n"/>
      <c r="Y3474" s="24" t="n"/>
    </row>
    <row r="3475">
      <c r="O3475" s="23" t="n"/>
      <c r="R3475" s="24" t="n"/>
      <c r="S3475" s="24" t="n"/>
      <c r="Y3475" s="24" t="n"/>
    </row>
    <row r="3476">
      <c r="O3476" s="23" t="n"/>
      <c r="R3476" s="24" t="n"/>
      <c r="S3476" s="24" t="n"/>
      <c r="Y3476" s="24" t="n"/>
    </row>
    <row r="3477">
      <c r="O3477" s="23" t="n"/>
      <c r="R3477" s="24" t="n"/>
      <c r="S3477" s="24" t="n"/>
      <c r="Y3477" s="24" t="n"/>
    </row>
    <row r="3478">
      <c r="O3478" s="23" t="n"/>
      <c r="R3478" s="24" t="n"/>
      <c r="S3478" s="24" t="n"/>
      <c r="Y3478" s="24" t="n"/>
    </row>
    <row r="3479">
      <c r="O3479" s="23" t="n"/>
      <c r="R3479" s="24" t="n"/>
      <c r="S3479" s="24" t="n"/>
      <c r="Y3479" s="24" t="n"/>
    </row>
    <row r="3480">
      <c r="O3480" s="23" t="n"/>
      <c r="R3480" s="24" t="n"/>
      <c r="S3480" s="24" t="n"/>
      <c r="Y3480" s="24" t="n"/>
    </row>
    <row r="3481">
      <c r="O3481" s="23" t="n"/>
      <c r="R3481" s="24" t="n"/>
      <c r="S3481" s="24" t="n"/>
      <c r="Y3481" s="24" t="n"/>
    </row>
    <row r="3482">
      <c r="O3482" s="23" t="n"/>
      <c r="R3482" s="24" t="n"/>
      <c r="S3482" s="24" t="n"/>
      <c r="Y3482" s="24" t="n"/>
    </row>
    <row r="3483">
      <c r="O3483" s="23" t="n"/>
      <c r="R3483" s="24" t="n"/>
      <c r="S3483" s="24" t="n"/>
      <c r="Y3483" s="24" t="n"/>
    </row>
    <row r="3484">
      <c r="O3484" s="23" t="n"/>
      <c r="R3484" s="24" t="n"/>
      <c r="S3484" s="24" t="n"/>
      <c r="Y3484" s="24" t="n"/>
    </row>
    <row r="3485">
      <c r="O3485" s="23" t="n"/>
      <c r="R3485" s="24" t="n"/>
      <c r="S3485" s="24" t="n"/>
      <c r="Y3485" s="24" t="n"/>
    </row>
    <row r="3486">
      <c r="O3486" s="23" t="n"/>
      <c r="R3486" s="24" t="n"/>
      <c r="S3486" s="24" t="n"/>
      <c r="Y3486" s="24" t="n"/>
    </row>
    <row r="3487">
      <c r="O3487" s="23" t="n"/>
      <c r="R3487" s="24" t="n"/>
      <c r="S3487" s="24" t="n"/>
      <c r="Y3487" s="24" t="n"/>
    </row>
    <row r="3488">
      <c r="O3488" s="23" t="n"/>
      <c r="R3488" s="24" t="n"/>
      <c r="S3488" s="24" t="n"/>
      <c r="Y3488" s="24" t="n"/>
    </row>
    <row r="3489">
      <c r="O3489" s="23" t="n"/>
      <c r="R3489" s="24" t="n"/>
      <c r="S3489" s="24" t="n"/>
      <c r="Y3489" s="24" t="n"/>
    </row>
    <row r="3490">
      <c r="O3490" s="23" t="n"/>
      <c r="R3490" s="24" t="n"/>
      <c r="S3490" s="24" t="n"/>
      <c r="Y3490" s="24" t="n"/>
    </row>
    <row r="3491">
      <c r="O3491" s="23" t="n"/>
      <c r="R3491" s="24" t="n"/>
      <c r="S3491" s="24" t="n"/>
      <c r="Y3491" s="24" t="n"/>
    </row>
    <row r="3492">
      <c r="O3492" s="23" t="n"/>
      <c r="R3492" s="24" t="n"/>
      <c r="S3492" s="24" t="n"/>
      <c r="Y3492" s="24" t="n"/>
    </row>
    <row r="3493">
      <c r="O3493" s="23" t="n"/>
      <c r="R3493" s="24" t="n"/>
      <c r="S3493" s="24" t="n"/>
      <c r="Y3493" s="24" t="n"/>
    </row>
    <row r="3494">
      <c r="O3494" s="23" t="n"/>
      <c r="R3494" s="24" t="n"/>
      <c r="S3494" s="24" t="n"/>
      <c r="Y3494" s="24" t="n"/>
    </row>
    <row r="3495">
      <c r="O3495" s="23" t="n"/>
      <c r="R3495" s="24" t="n"/>
      <c r="S3495" s="24" t="n"/>
      <c r="Y3495" s="24" t="n"/>
    </row>
    <row r="3496">
      <c r="O3496" s="23" t="n"/>
      <c r="R3496" s="24" t="n"/>
      <c r="S3496" s="24" t="n"/>
      <c r="Y3496" s="24" t="n"/>
    </row>
    <row r="3497">
      <c r="O3497" s="23" t="n"/>
      <c r="R3497" s="24" t="n"/>
      <c r="S3497" s="24" t="n"/>
      <c r="Y3497" s="24" t="n"/>
    </row>
    <row r="3498">
      <c r="O3498" s="23" t="n"/>
      <c r="R3498" s="24" t="n"/>
      <c r="S3498" s="24" t="n"/>
      <c r="Y3498" s="24" t="n"/>
    </row>
    <row r="3499">
      <c r="O3499" s="23" t="n"/>
      <c r="R3499" s="24" t="n"/>
      <c r="S3499" s="24" t="n"/>
      <c r="Y3499" s="24" t="n"/>
    </row>
    <row r="3500">
      <c r="O3500" s="23" t="n"/>
      <c r="R3500" s="24" t="n"/>
      <c r="S3500" s="24" t="n"/>
      <c r="Y3500" s="24" t="n"/>
    </row>
    <row r="3501">
      <c r="O3501" s="23" t="n"/>
      <c r="R3501" s="24" t="n"/>
      <c r="S3501" s="24" t="n"/>
      <c r="Y3501" s="24" t="n"/>
    </row>
    <row r="3502">
      <c r="O3502" s="23" t="n"/>
      <c r="R3502" s="24" t="n"/>
      <c r="S3502" s="24" t="n"/>
      <c r="Y3502" s="24" t="n"/>
    </row>
    <row r="3503">
      <c r="O3503" s="23" t="n"/>
      <c r="R3503" s="24" t="n"/>
      <c r="S3503" s="24" t="n"/>
      <c r="Y3503" s="24" t="n"/>
    </row>
    <row r="3504">
      <c r="O3504" s="23" t="n"/>
      <c r="R3504" s="24" t="n"/>
      <c r="S3504" s="24" t="n"/>
      <c r="Y3504" s="24" t="n"/>
    </row>
    <row r="3505">
      <c r="O3505" s="23" t="n"/>
      <c r="R3505" s="24" t="n"/>
      <c r="S3505" s="24" t="n"/>
      <c r="Y3505" s="24" t="n"/>
    </row>
    <row r="3506">
      <c r="O3506" s="23" t="n"/>
      <c r="R3506" s="24" t="n"/>
      <c r="S3506" s="24" t="n"/>
      <c r="Y3506" s="24" t="n"/>
    </row>
    <row r="3507">
      <c r="O3507" s="23" t="n"/>
      <c r="R3507" s="24" t="n"/>
      <c r="S3507" s="24" t="n"/>
      <c r="Y3507" s="24" t="n"/>
    </row>
    <row r="3508">
      <c r="O3508" s="23" t="n"/>
      <c r="R3508" s="24" t="n"/>
      <c r="S3508" s="24" t="n"/>
      <c r="Y3508" s="24" t="n"/>
    </row>
    <row r="3509">
      <c r="O3509" s="23" t="n"/>
      <c r="R3509" s="24" t="n"/>
      <c r="S3509" s="24" t="n"/>
      <c r="Y3509" s="24" t="n"/>
    </row>
    <row r="3510">
      <c r="O3510" s="23" t="n"/>
      <c r="R3510" s="24" t="n"/>
      <c r="S3510" s="24" t="n"/>
      <c r="Y3510" s="24" t="n"/>
    </row>
    <row r="3511">
      <c r="O3511" s="23" t="n"/>
      <c r="R3511" s="24" t="n"/>
      <c r="S3511" s="24" t="n"/>
      <c r="Y3511" s="24" t="n"/>
    </row>
    <row r="3512">
      <c r="O3512" s="23" t="n"/>
      <c r="R3512" s="24" t="n"/>
      <c r="S3512" s="24" t="n"/>
      <c r="Y3512" s="24" t="n"/>
    </row>
    <row r="3513">
      <c r="O3513" s="23" t="n"/>
      <c r="R3513" s="24" t="n"/>
      <c r="S3513" s="24" t="n"/>
      <c r="Y3513" s="24" t="n"/>
    </row>
    <row r="3514">
      <c r="O3514" s="23" t="n"/>
      <c r="R3514" s="24" t="n"/>
      <c r="S3514" s="24" t="n"/>
      <c r="Y3514" s="24" t="n"/>
    </row>
    <row r="3515">
      <c r="O3515" s="23" t="n"/>
      <c r="R3515" s="24" t="n"/>
      <c r="S3515" s="24" t="n"/>
      <c r="Y3515" s="24" t="n"/>
    </row>
    <row r="3516">
      <c r="O3516" s="23" t="n"/>
      <c r="R3516" s="24" t="n"/>
      <c r="S3516" s="24" t="n"/>
      <c r="Y3516" s="24" t="n"/>
    </row>
    <row r="3517">
      <c r="O3517" s="23" t="n"/>
      <c r="R3517" s="24" t="n"/>
      <c r="S3517" s="24" t="n"/>
      <c r="Y3517" s="24" t="n"/>
    </row>
    <row r="3518">
      <c r="O3518" s="23" t="n"/>
      <c r="R3518" s="24" t="n"/>
      <c r="S3518" s="24" t="n"/>
      <c r="Y3518" s="24" t="n"/>
    </row>
    <row r="3519">
      <c r="O3519" s="23" t="n"/>
      <c r="R3519" s="24" t="n"/>
      <c r="S3519" s="24" t="n"/>
      <c r="Y3519" s="24" t="n"/>
    </row>
    <row r="3520">
      <c r="O3520" s="23" t="n"/>
      <c r="R3520" s="24" t="n"/>
      <c r="S3520" s="24" t="n"/>
      <c r="Y3520" s="24" t="n"/>
    </row>
    <row r="3521">
      <c r="O3521" s="23" t="n"/>
      <c r="R3521" s="24" t="n"/>
      <c r="S3521" s="24" t="n"/>
      <c r="Y3521" s="24" t="n"/>
    </row>
    <row r="3522">
      <c r="O3522" s="23" t="n"/>
      <c r="R3522" s="24" t="n"/>
      <c r="S3522" s="24" t="n"/>
      <c r="Y3522" s="24" t="n"/>
    </row>
    <row r="3523">
      <c r="O3523" s="23" t="n"/>
      <c r="R3523" s="24" t="n"/>
      <c r="S3523" s="24" t="n"/>
      <c r="Y3523" s="24" t="n"/>
    </row>
    <row r="3524">
      <c r="O3524" s="23" t="n"/>
      <c r="R3524" s="24" t="n"/>
      <c r="S3524" s="24" t="n"/>
      <c r="Y3524" s="24" t="n"/>
    </row>
    <row r="3525">
      <c r="O3525" s="23" t="n"/>
      <c r="R3525" s="24" t="n"/>
      <c r="S3525" s="24" t="n"/>
      <c r="Y3525" s="24" t="n"/>
    </row>
    <row r="3526">
      <c r="O3526" s="23" t="n"/>
      <c r="R3526" s="24" t="n"/>
      <c r="S3526" s="24" t="n"/>
      <c r="Y3526" s="24" t="n"/>
    </row>
    <row r="3527">
      <c r="O3527" s="23" t="n"/>
      <c r="R3527" s="24" t="n"/>
      <c r="S3527" s="24" t="n"/>
      <c r="Y3527" s="24" t="n"/>
    </row>
    <row r="3528">
      <c r="O3528" s="23" t="n"/>
      <c r="R3528" s="24" t="n"/>
      <c r="S3528" s="24" t="n"/>
      <c r="Y3528" s="24" t="n"/>
    </row>
    <row r="3529">
      <c r="O3529" s="23" t="n"/>
      <c r="R3529" s="24" t="n"/>
      <c r="S3529" s="24" t="n"/>
      <c r="Y3529" s="24" t="n"/>
    </row>
    <row r="3530">
      <c r="O3530" s="23" t="n"/>
      <c r="R3530" s="24" t="n"/>
      <c r="S3530" s="24" t="n"/>
      <c r="Y3530" s="24" t="n"/>
    </row>
    <row r="3531">
      <c r="O3531" s="23" t="n"/>
      <c r="R3531" s="24" t="n"/>
      <c r="S3531" s="24" t="n"/>
      <c r="Y3531" s="24" t="n"/>
    </row>
    <row r="3532">
      <c r="O3532" s="23" t="n"/>
      <c r="R3532" s="24" t="n"/>
      <c r="S3532" s="24" t="n"/>
      <c r="Y3532" s="24" t="n"/>
    </row>
    <row r="3533">
      <c r="O3533" s="23" t="n"/>
      <c r="R3533" s="24" t="n"/>
      <c r="S3533" s="24" t="n"/>
      <c r="Y3533" s="24" t="n"/>
    </row>
    <row r="3534">
      <c r="O3534" s="23" t="n"/>
      <c r="R3534" s="24" t="n"/>
      <c r="S3534" s="24" t="n"/>
      <c r="Y3534" s="24" t="n"/>
    </row>
    <row r="3535">
      <c r="O3535" s="23" t="n"/>
      <c r="R3535" s="24" t="n"/>
      <c r="S3535" s="24" t="n"/>
      <c r="Y3535" s="24" t="n"/>
    </row>
    <row r="3536">
      <c r="O3536" s="23" t="n"/>
      <c r="R3536" s="24" t="n"/>
      <c r="S3536" s="24" t="n"/>
      <c r="Y3536" s="24" t="n"/>
    </row>
    <row r="3537">
      <c r="O3537" s="23" t="n"/>
      <c r="R3537" s="24" t="n"/>
      <c r="S3537" s="24" t="n"/>
      <c r="Y3537" s="24" t="n"/>
    </row>
    <row r="3538">
      <c r="O3538" s="23" t="n"/>
      <c r="R3538" s="24" t="n"/>
      <c r="S3538" s="24" t="n"/>
      <c r="Y3538" s="24" t="n"/>
    </row>
    <row r="3539">
      <c r="O3539" s="23" t="n"/>
      <c r="R3539" s="24" t="n"/>
      <c r="S3539" s="24" t="n"/>
      <c r="Y3539" s="24" t="n"/>
    </row>
    <row r="3540">
      <c r="O3540" s="23" t="n"/>
      <c r="R3540" s="24" t="n"/>
      <c r="S3540" s="24" t="n"/>
      <c r="Y3540" s="24" t="n"/>
    </row>
    <row r="3541">
      <c r="O3541" s="23" t="n"/>
      <c r="R3541" s="24" t="n"/>
      <c r="S3541" s="24" t="n"/>
      <c r="Y3541" s="24" t="n"/>
    </row>
    <row r="3542">
      <c r="O3542" s="23" t="n"/>
      <c r="R3542" s="24" t="n"/>
      <c r="S3542" s="24" t="n"/>
      <c r="Y3542" s="24" t="n"/>
    </row>
    <row r="3543">
      <c r="O3543" s="23" t="n"/>
      <c r="R3543" s="24" t="n"/>
      <c r="S3543" s="24" t="n"/>
      <c r="Y3543" s="24" t="n"/>
    </row>
    <row r="3544">
      <c r="O3544" s="23" t="n"/>
      <c r="R3544" s="24" t="n"/>
      <c r="S3544" s="24" t="n"/>
      <c r="Y3544" s="24" t="n"/>
    </row>
    <row r="3545">
      <c r="O3545" s="23" t="n"/>
      <c r="R3545" s="24" t="n"/>
      <c r="S3545" s="24" t="n"/>
      <c r="Y3545" s="24" t="n"/>
    </row>
    <row r="3546">
      <c r="O3546" s="23" t="n"/>
      <c r="R3546" s="24" t="n"/>
      <c r="S3546" s="24" t="n"/>
      <c r="Y3546" s="24" t="n"/>
    </row>
    <row r="3547">
      <c r="O3547" s="23" t="n"/>
      <c r="R3547" s="24" t="n"/>
      <c r="S3547" s="24" t="n"/>
      <c r="Y3547" s="24" t="n"/>
    </row>
    <row r="3548">
      <c r="O3548" s="23" t="n"/>
      <c r="R3548" s="24" t="n"/>
      <c r="S3548" s="24" t="n"/>
      <c r="Y3548" s="24" t="n"/>
    </row>
    <row r="3549">
      <c r="O3549" s="23" t="n"/>
      <c r="R3549" s="24" t="n"/>
      <c r="S3549" s="24" t="n"/>
      <c r="Y3549" s="24" t="n"/>
    </row>
    <row r="3550">
      <c r="O3550" s="23" t="n"/>
      <c r="R3550" s="24" t="n"/>
      <c r="S3550" s="24" t="n"/>
      <c r="Y3550" s="24" t="n"/>
    </row>
    <row r="3551">
      <c r="O3551" s="23" t="n"/>
      <c r="R3551" s="24" t="n"/>
      <c r="S3551" s="24" t="n"/>
      <c r="Y3551" s="24" t="n"/>
    </row>
    <row r="3552">
      <c r="O3552" s="23" t="n"/>
      <c r="R3552" s="24" t="n"/>
      <c r="S3552" s="24" t="n"/>
      <c r="Y3552" s="24" t="n"/>
    </row>
    <row r="3553">
      <c r="O3553" s="23" t="n"/>
      <c r="R3553" s="24" t="n"/>
      <c r="S3553" s="24" t="n"/>
      <c r="Y3553" s="24" t="n"/>
    </row>
    <row r="3554">
      <c r="O3554" s="23" t="n"/>
      <c r="R3554" s="24" t="n"/>
      <c r="S3554" s="24" t="n"/>
      <c r="Y3554" s="24" t="n"/>
    </row>
    <row r="3555">
      <c r="O3555" s="23" t="n"/>
      <c r="R3555" s="24" t="n"/>
      <c r="S3555" s="24" t="n"/>
      <c r="Y3555" s="24" t="n"/>
    </row>
    <row r="3556">
      <c r="O3556" s="23" t="n"/>
      <c r="R3556" s="24" t="n"/>
      <c r="S3556" s="24" t="n"/>
      <c r="Y3556" s="24" t="n"/>
    </row>
    <row r="3557">
      <c r="O3557" s="23" t="n"/>
      <c r="R3557" s="24" t="n"/>
      <c r="S3557" s="24" t="n"/>
      <c r="Y3557" s="24" t="n"/>
    </row>
    <row r="3558">
      <c r="O3558" s="23" t="n"/>
      <c r="R3558" s="24" t="n"/>
      <c r="S3558" s="24" t="n"/>
      <c r="Y3558" s="24" t="n"/>
    </row>
    <row r="3559">
      <c r="O3559" s="23" t="n"/>
      <c r="R3559" s="24" t="n"/>
      <c r="S3559" s="24" t="n"/>
      <c r="Y3559" s="24" t="n"/>
    </row>
    <row r="3560">
      <c r="O3560" s="23" t="n"/>
      <c r="R3560" s="24" t="n"/>
      <c r="S3560" s="24" t="n"/>
      <c r="Y3560" s="24" t="n"/>
    </row>
    <row r="3561">
      <c r="O3561" s="23" t="n"/>
      <c r="R3561" s="24" t="n"/>
      <c r="S3561" s="24" t="n"/>
      <c r="Y3561" s="24" t="n"/>
    </row>
    <row r="3562">
      <c r="O3562" s="23" t="n"/>
      <c r="R3562" s="24" t="n"/>
      <c r="S3562" s="24" t="n"/>
      <c r="Y3562" s="24" t="n"/>
    </row>
    <row r="3563">
      <c r="O3563" s="23" t="n"/>
      <c r="R3563" s="24" t="n"/>
      <c r="S3563" s="24" t="n"/>
      <c r="Y3563" s="24" t="n"/>
    </row>
    <row r="3564">
      <c r="O3564" s="23" t="n"/>
      <c r="R3564" s="24" t="n"/>
      <c r="S3564" s="24" t="n"/>
      <c r="Y3564" s="24" t="n"/>
    </row>
    <row r="3565">
      <c r="O3565" s="23" t="n"/>
      <c r="R3565" s="24" t="n"/>
      <c r="S3565" s="24" t="n"/>
      <c r="Y3565" s="24" t="n"/>
    </row>
    <row r="3566">
      <c r="O3566" s="23" t="n"/>
      <c r="R3566" s="24" t="n"/>
      <c r="S3566" s="24" t="n"/>
      <c r="Y3566" s="24" t="n"/>
    </row>
    <row r="3567">
      <c r="O3567" s="23" t="n"/>
      <c r="R3567" s="24" t="n"/>
      <c r="S3567" s="24" t="n"/>
      <c r="Y3567" s="24" t="n"/>
    </row>
    <row r="3568">
      <c r="O3568" s="23" t="n"/>
      <c r="R3568" s="24" t="n"/>
      <c r="S3568" s="24" t="n"/>
      <c r="Y3568" s="24" t="n"/>
    </row>
    <row r="3569">
      <c r="O3569" s="23" t="n"/>
      <c r="R3569" s="24" t="n"/>
      <c r="S3569" s="24" t="n"/>
      <c r="Y3569" s="24" t="n"/>
    </row>
    <row r="3570">
      <c r="O3570" s="23" t="n"/>
      <c r="R3570" s="24" t="n"/>
      <c r="S3570" s="24" t="n"/>
      <c r="Y3570" s="24" t="n"/>
    </row>
    <row r="3571">
      <c r="O3571" s="23" t="n"/>
      <c r="R3571" s="24" t="n"/>
      <c r="S3571" s="24" t="n"/>
      <c r="Y3571" s="24" t="n"/>
    </row>
    <row r="3572">
      <c r="O3572" s="23" t="n"/>
      <c r="R3572" s="24" t="n"/>
      <c r="S3572" s="24" t="n"/>
      <c r="Y3572" s="24" t="n"/>
    </row>
    <row r="3573">
      <c r="O3573" s="23" t="n"/>
      <c r="R3573" s="24" t="n"/>
      <c r="S3573" s="24" t="n"/>
      <c r="Y3573" s="24" t="n"/>
    </row>
    <row r="3574">
      <c r="O3574" s="23" t="n"/>
      <c r="R3574" s="24" t="n"/>
      <c r="S3574" s="24" t="n"/>
      <c r="Y3574" s="24" t="n"/>
    </row>
    <row r="3575">
      <c r="O3575" s="23" t="n"/>
      <c r="R3575" s="24" t="n"/>
      <c r="S3575" s="24" t="n"/>
      <c r="Y3575" s="24" t="n"/>
    </row>
    <row r="3576">
      <c r="O3576" s="23" t="n"/>
      <c r="R3576" s="24" t="n"/>
      <c r="S3576" s="24" t="n"/>
      <c r="Y3576" s="24" t="n"/>
    </row>
    <row r="3577">
      <c r="O3577" s="23" t="n"/>
      <c r="R3577" s="24" t="n"/>
      <c r="S3577" s="24" t="n"/>
      <c r="Y3577" s="24" t="n"/>
    </row>
    <row r="3578">
      <c r="O3578" s="23" t="n"/>
      <c r="R3578" s="24" t="n"/>
      <c r="S3578" s="24" t="n"/>
      <c r="Y3578" s="24" t="n"/>
    </row>
    <row r="3579">
      <c r="O3579" s="23" t="n"/>
      <c r="R3579" s="24" t="n"/>
      <c r="S3579" s="24" t="n"/>
      <c r="Y3579" s="24" t="n"/>
    </row>
    <row r="3580">
      <c r="O3580" s="23" t="n"/>
      <c r="R3580" s="24" t="n"/>
      <c r="S3580" s="24" t="n"/>
      <c r="Y3580" s="24" t="n"/>
    </row>
    <row r="3581">
      <c r="O3581" s="23" t="n"/>
      <c r="R3581" s="24" t="n"/>
      <c r="S3581" s="24" t="n"/>
      <c r="Y3581" s="24" t="n"/>
    </row>
    <row r="3582">
      <c r="O3582" s="23" t="n"/>
      <c r="R3582" s="24" t="n"/>
      <c r="S3582" s="24" t="n"/>
      <c r="Y3582" s="24" t="n"/>
    </row>
    <row r="3583">
      <c r="O3583" s="23" t="n"/>
      <c r="R3583" s="24" t="n"/>
      <c r="S3583" s="24" t="n"/>
      <c r="Y3583" s="24" t="n"/>
    </row>
    <row r="3584">
      <c r="O3584" s="23" t="n"/>
      <c r="R3584" s="24" t="n"/>
      <c r="S3584" s="24" t="n"/>
      <c r="Y3584" s="24" t="n"/>
    </row>
    <row r="3585">
      <c r="O3585" s="23" t="n"/>
      <c r="R3585" s="24" t="n"/>
      <c r="S3585" s="24" t="n"/>
      <c r="Y3585" s="24" t="n"/>
    </row>
    <row r="3586">
      <c r="O3586" s="23" t="n"/>
      <c r="R3586" s="24" t="n"/>
      <c r="S3586" s="24" t="n"/>
      <c r="Y3586" s="24" t="n"/>
    </row>
    <row r="3587">
      <c r="O3587" s="23" t="n"/>
      <c r="R3587" s="24" t="n"/>
      <c r="S3587" s="24" t="n"/>
      <c r="Y3587" s="24" t="n"/>
    </row>
    <row r="3588">
      <c r="O3588" s="23" t="n"/>
      <c r="R3588" s="24" t="n"/>
      <c r="S3588" s="24" t="n"/>
      <c r="Y3588" s="24" t="n"/>
    </row>
    <row r="3589">
      <c r="O3589" s="23" t="n"/>
      <c r="R3589" s="24" t="n"/>
      <c r="S3589" s="24" t="n"/>
      <c r="Y3589" s="24" t="n"/>
    </row>
    <row r="3590">
      <c r="O3590" s="23" t="n"/>
      <c r="R3590" s="24" t="n"/>
      <c r="S3590" s="24" t="n"/>
      <c r="Y3590" s="24" t="n"/>
    </row>
    <row r="3591">
      <c r="O3591" s="23" t="n"/>
      <c r="R3591" s="24" t="n"/>
      <c r="S3591" s="24" t="n"/>
      <c r="Y3591" s="24" t="n"/>
    </row>
    <row r="3592">
      <c r="O3592" s="23" t="n"/>
      <c r="R3592" s="24" t="n"/>
      <c r="S3592" s="24" t="n"/>
      <c r="Y3592" s="24" t="n"/>
    </row>
    <row r="3593">
      <c r="O3593" s="23" t="n"/>
      <c r="R3593" s="24" t="n"/>
      <c r="S3593" s="24" t="n"/>
      <c r="Y3593" s="24" t="n"/>
    </row>
    <row r="3594">
      <c r="O3594" s="23" t="n"/>
      <c r="R3594" s="24" t="n"/>
      <c r="S3594" s="24" t="n"/>
      <c r="Y3594" s="24" t="n"/>
    </row>
    <row r="3595">
      <c r="O3595" s="23" t="n"/>
      <c r="R3595" s="24" t="n"/>
      <c r="S3595" s="24" t="n"/>
      <c r="Y3595" s="24" t="n"/>
    </row>
    <row r="3596">
      <c r="O3596" s="23" t="n"/>
      <c r="R3596" s="24" t="n"/>
      <c r="S3596" s="24" t="n"/>
      <c r="Y3596" s="24" t="n"/>
    </row>
    <row r="3597">
      <c r="O3597" s="23" t="n"/>
      <c r="R3597" s="24" t="n"/>
      <c r="S3597" s="24" t="n"/>
      <c r="Y3597" s="24" t="n"/>
    </row>
    <row r="3598">
      <c r="O3598" s="23" t="n"/>
      <c r="R3598" s="24" t="n"/>
      <c r="S3598" s="24" t="n"/>
      <c r="Y3598" s="24" t="n"/>
    </row>
    <row r="3599">
      <c r="O3599" s="23" t="n"/>
      <c r="R3599" s="24" t="n"/>
      <c r="S3599" s="24" t="n"/>
      <c r="Y3599" s="24" t="n"/>
    </row>
    <row r="3600">
      <c r="O3600" s="23" t="n"/>
      <c r="R3600" s="24" t="n"/>
      <c r="S3600" s="24" t="n"/>
      <c r="Y3600" s="24" t="n"/>
    </row>
    <row r="3601">
      <c r="O3601" s="23" t="n"/>
      <c r="R3601" s="24" t="n"/>
      <c r="S3601" s="24" t="n"/>
      <c r="Y3601" s="24" t="n"/>
    </row>
    <row r="3602">
      <c r="O3602" s="23" t="n"/>
      <c r="R3602" s="24" t="n"/>
      <c r="S3602" s="24" t="n"/>
      <c r="Y3602" s="24" t="n"/>
    </row>
    <row r="3603">
      <c r="O3603" s="23" t="n"/>
      <c r="R3603" s="24" t="n"/>
      <c r="S3603" s="24" t="n"/>
      <c r="Y3603" s="24" t="n"/>
    </row>
    <row r="3604">
      <c r="O3604" s="23" t="n"/>
      <c r="R3604" s="24" t="n"/>
      <c r="S3604" s="24" t="n"/>
      <c r="Y3604" s="24" t="n"/>
    </row>
    <row r="3605">
      <c r="O3605" s="23" t="n"/>
      <c r="R3605" s="24" t="n"/>
      <c r="S3605" s="24" t="n"/>
      <c r="Y3605" s="24" t="n"/>
    </row>
    <row r="3606">
      <c r="O3606" s="23" t="n"/>
      <c r="R3606" s="24" t="n"/>
      <c r="S3606" s="24" t="n"/>
      <c r="Y3606" s="24" t="n"/>
    </row>
    <row r="3607">
      <c r="O3607" s="23" t="n"/>
      <c r="R3607" s="24" t="n"/>
      <c r="S3607" s="24" t="n"/>
      <c r="Y3607" s="24" t="n"/>
    </row>
    <row r="3608">
      <c r="O3608" s="23" t="n"/>
      <c r="R3608" s="24" t="n"/>
      <c r="S3608" s="24" t="n"/>
      <c r="Y3608" s="24" t="n"/>
    </row>
    <row r="3609">
      <c r="O3609" s="23" t="n"/>
      <c r="R3609" s="24" t="n"/>
      <c r="S3609" s="24" t="n"/>
      <c r="Y3609" s="24" t="n"/>
    </row>
    <row r="3610">
      <c r="O3610" s="23" t="n"/>
      <c r="R3610" s="24" t="n"/>
      <c r="S3610" s="24" t="n"/>
      <c r="Y3610" s="24" t="n"/>
    </row>
    <row r="3611">
      <c r="O3611" s="23" t="n"/>
      <c r="R3611" s="24" t="n"/>
      <c r="S3611" s="24" t="n"/>
      <c r="Y3611" s="24" t="n"/>
    </row>
    <row r="3612">
      <c r="O3612" s="23" t="n"/>
      <c r="R3612" s="24" t="n"/>
      <c r="S3612" s="24" t="n"/>
      <c r="Y3612" s="24" t="n"/>
    </row>
    <row r="3613">
      <c r="O3613" s="23" t="n"/>
      <c r="R3613" s="24" t="n"/>
      <c r="S3613" s="24" t="n"/>
      <c r="Y3613" s="24" t="n"/>
    </row>
    <row r="3614">
      <c r="O3614" s="23" t="n"/>
      <c r="R3614" s="24" t="n"/>
      <c r="S3614" s="24" t="n"/>
      <c r="Y3614" s="24" t="n"/>
    </row>
    <row r="3615">
      <c r="O3615" s="23" t="n"/>
      <c r="R3615" s="24" t="n"/>
      <c r="S3615" s="24" t="n"/>
      <c r="Y3615" s="24" t="n"/>
    </row>
    <row r="3616">
      <c r="O3616" s="23" t="n"/>
      <c r="R3616" s="24" t="n"/>
      <c r="S3616" s="24" t="n"/>
      <c r="Y3616" s="24" t="n"/>
    </row>
    <row r="3617">
      <c r="O3617" s="23" t="n"/>
      <c r="R3617" s="24" t="n"/>
      <c r="S3617" s="24" t="n"/>
      <c r="Y3617" s="24" t="n"/>
    </row>
    <row r="3618">
      <c r="O3618" s="23" t="n"/>
      <c r="R3618" s="24" t="n"/>
      <c r="S3618" s="24" t="n"/>
      <c r="Y3618" s="24" t="n"/>
    </row>
    <row r="3619">
      <c r="O3619" s="23" t="n"/>
      <c r="R3619" s="24" t="n"/>
      <c r="S3619" s="24" t="n"/>
      <c r="Y3619" s="24" t="n"/>
    </row>
    <row r="3620">
      <c r="O3620" s="23" t="n"/>
      <c r="R3620" s="24" t="n"/>
      <c r="S3620" s="24" t="n"/>
      <c r="Y3620" s="24" t="n"/>
    </row>
    <row r="3621">
      <c r="O3621" s="23" t="n"/>
      <c r="R3621" s="24" t="n"/>
      <c r="S3621" s="24" t="n"/>
      <c r="Y3621" s="24" t="n"/>
    </row>
    <row r="3622">
      <c r="O3622" s="23" t="n"/>
      <c r="R3622" s="24" t="n"/>
      <c r="S3622" s="24" t="n"/>
      <c r="Y3622" s="24" t="n"/>
    </row>
    <row r="3623">
      <c r="O3623" s="23" t="n"/>
      <c r="R3623" s="24" t="n"/>
      <c r="S3623" s="24" t="n"/>
      <c r="Y3623" s="24" t="n"/>
    </row>
    <row r="3624">
      <c r="O3624" s="23" t="n"/>
      <c r="R3624" s="24" t="n"/>
      <c r="S3624" s="24" t="n"/>
      <c r="Y3624" s="24" t="n"/>
    </row>
    <row r="3625">
      <c r="O3625" s="23" t="n"/>
      <c r="R3625" s="24" t="n"/>
      <c r="S3625" s="24" t="n"/>
      <c r="Y3625" s="24" t="n"/>
    </row>
    <row r="3626">
      <c r="O3626" s="23" t="n"/>
      <c r="R3626" s="24" t="n"/>
      <c r="S3626" s="24" t="n"/>
      <c r="Y3626" s="24" t="n"/>
    </row>
    <row r="3627">
      <c r="O3627" s="23" t="n"/>
      <c r="R3627" s="24" t="n"/>
      <c r="S3627" s="24" t="n"/>
      <c r="Y3627" s="24" t="n"/>
    </row>
    <row r="3628">
      <c r="O3628" s="23" t="n"/>
      <c r="R3628" s="24" t="n"/>
      <c r="S3628" s="24" t="n"/>
      <c r="Y3628" s="24" t="n"/>
    </row>
    <row r="3629">
      <c r="O3629" s="23" t="n"/>
      <c r="R3629" s="24" t="n"/>
      <c r="S3629" s="24" t="n"/>
      <c r="Y3629" s="24" t="n"/>
    </row>
    <row r="3630">
      <c r="O3630" s="23" t="n"/>
      <c r="R3630" s="24" t="n"/>
      <c r="S3630" s="24" t="n"/>
      <c r="Y3630" s="24" t="n"/>
    </row>
    <row r="3631">
      <c r="O3631" s="23" t="n"/>
      <c r="R3631" s="24" t="n"/>
      <c r="S3631" s="24" t="n"/>
      <c r="Y3631" s="24" t="n"/>
    </row>
    <row r="3632">
      <c r="O3632" s="23" t="n"/>
      <c r="R3632" s="24" t="n"/>
      <c r="S3632" s="24" t="n"/>
      <c r="Y3632" s="24" t="n"/>
    </row>
    <row r="3633">
      <c r="O3633" s="23" t="n"/>
      <c r="R3633" s="24" t="n"/>
      <c r="S3633" s="24" t="n"/>
      <c r="Y3633" s="24" t="n"/>
    </row>
    <row r="3634">
      <c r="O3634" s="23" t="n"/>
      <c r="R3634" s="24" t="n"/>
      <c r="S3634" s="24" t="n"/>
      <c r="Y3634" s="24" t="n"/>
    </row>
    <row r="3635">
      <c r="O3635" s="23" t="n"/>
      <c r="R3635" s="24" t="n"/>
      <c r="S3635" s="24" t="n"/>
      <c r="Y3635" s="24" t="n"/>
    </row>
    <row r="3636">
      <c r="O3636" s="23" t="n"/>
      <c r="R3636" s="24" t="n"/>
      <c r="S3636" s="24" t="n"/>
      <c r="Y3636" s="24" t="n"/>
    </row>
    <row r="3637">
      <c r="O3637" s="23" t="n"/>
      <c r="R3637" s="24" t="n"/>
      <c r="S3637" s="24" t="n"/>
      <c r="Y3637" s="24" t="n"/>
    </row>
    <row r="3638">
      <c r="O3638" s="23" t="n"/>
      <c r="R3638" s="24" t="n"/>
      <c r="S3638" s="24" t="n"/>
      <c r="Y3638" s="24" t="n"/>
    </row>
    <row r="3639">
      <c r="O3639" s="23" t="n"/>
      <c r="R3639" s="24" t="n"/>
      <c r="S3639" s="24" t="n"/>
      <c r="Y3639" s="24" t="n"/>
    </row>
    <row r="3640">
      <c r="O3640" s="23" t="n"/>
      <c r="R3640" s="24" t="n"/>
      <c r="S3640" s="24" t="n"/>
      <c r="Y3640" s="24" t="n"/>
    </row>
    <row r="3641">
      <c r="O3641" s="23" t="n"/>
      <c r="R3641" s="24" t="n"/>
      <c r="S3641" s="24" t="n"/>
      <c r="Y3641" s="24" t="n"/>
    </row>
    <row r="3642">
      <c r="O3642" s="23" t="n"/>
      <c r="R3642" s="24" t="n"/>
      <c r="S3642" s="24" t="n"/>
      <c r="Y3642" s="24" t="n"/>
    </row>
    <row r="3643">
      <c r="O3643" s="23" t="n"/>
      <c r="R3643" s="24" t="n"/>
      <c r="S3643" s="24" t="n"/>
      <c r="Y3643" s="24" t="n"/>
    </row>
    <row r="3644">
      <c r="O3644" s="23" t="n"/>
      <c r="R3644" s="24" t="n"/>
      <c r="S3644" s="24" t="n"/>
      <c r="Y3644" s="24" t="n"/>
    </row>
    <row r="3645">
      <c r="O3645" s="23" t="n"/>
      <c r="R3645" s="24" t="n"/>
      <c r="S3645" s="24" t="n"/>
      <c r="Y3645" s="24" t="n"/>
    </row>
    <row r="3646">
      <c r="O3646" s="23" t="n"/>
      <c r="R3646" s="24" t="n"/>
      <c r="S3646" s="24" t="n"/>
      <c r="Y3646" s="24" t="n"/>
    </row>
    <row r="3647">
      <c r="O3647" s="23" t="n"/>
      <c r="R3647" s="24" t="n"/>
      <c r="S3647" s="24" t="n"/>
      <c r="Y3647" s="24" t="n"/>
    </row>
    <row r="3648">
      <c r="O3648" s="23" t="n"/>
      <c r="R3648" s="24" t="n"/>
      <c r="S3648" s="24" t="n"/>
      <c r="Y3648" s="24" t="n"/>
    </row>
    <row r="3649">
      <c r="O3649" s="23" t="n"/>
      <c r="R3649" s="24" t="n"/>
      <c r="S3649" s="24" t="n"/>
      <c r="Y3649" s="24" t="n"/>
    </row>
    <row r="3650">
      <c r="O3650" s="23" t="n"/>
      <c r="R3650" s="24" t="n"/>
      <c r="S3650" s="24" t="n"/>
      <c r="Y3650" s="24" t="n"/>
    </row>
    <row r="3651">
      <c r="O3651" s="23" t="n"/>
      <c r="R3651" s="24" t="n"/>
      <c r="S3651" s="24" t="n"/>
      <c r="Y3651" s="24" t="n"/>
    </row>
    <row r="3652">
      <c r="O3652" s="23" t="n"/>
      <c r="R3652" s="24" t="n"/>
      <c r="S3652" s="24" t="n"/>
      <c r="Y3652" s="24" t="n"/>
    </row>
    <row r="3653">
      <c r="O3653" s="23" t="n"/>
      <c r="R3653" s="24" t="n"/>
      <c r="S3653" s="24" t="n"/>
      <c r="Y3653" s="24" t="n"/>
    </row>
    <row r="3654">
      <c r="O3654" s="23" t="n"/>
      <c r="R3654" s="24" t="n"/>
      <c r="S3654" s="24" t="n"/>
      <c r="Y3654" s="24" t="n"/>
    </row>
    <row r="3655">
      <c r="O3655" s="23" t="n"/>
      <c r="R3655" s="24" t="n"/>
      <c r="S3655" s="24" t="n"/>
      <c r="Y3655" s="24" t="n"/>
    </row>
    <row r="3656">
      <c r="O3656" s="23" t="n"/>
      <c r="R3656" s="24" t="n"/>
      <c r="S3656" s="24" t="n"/>
      <c r="Y3656" s="24" t="n"/>
    </row>
    <row r="3657">
      <c r="O3657" s="23" t="n"/>
      <c r="R3657" s="24" t="n"/>
      <c r="S3657" s="24" t="n"/>
      <c r="Y3657" s="24" t="n"/>
    </row>
    <row r="3658">
      <c r="O3658" s="23" t="n"/>
      <c r="R3658" s="24" t="n"/>
      <c r="S3658" s="24" t="n"/>
      <c r="Y3658" s="24" t="n"/>
    </row>
    <row r="3659">
      <c r="O3659" s="23" t="n"/>
      <c r="R3659" s="24" t="n"/>
      <c r="S3659" s="24" t="n"/>
      <c r="Y3659" s="24" t="n"/>
    </row>
    <row r="3660">
      <c r="O3660" s="23" t="n"/>
      <c r="R3660" s="24" t="n"/>
      <c r="S3660" s="24" t="n"/>
      <c r="Y3660" s="24" t="n"/>
    </row>
    <row r="3661">
      <c r="O3661" s="23" t="n"/>
      <c r="R3661" s="24" t="n"/>
      <c r="S3661" s="24" t="n"/>
      <c r="Y3661" s="24" t="n"/>
    </row>
    <row r="3662">
      <c r="O3662" s="23" t="n"/>
      <c r="R3662" s="24" t="n"/>
      <c r="S3662" s="24" t="n"/>
      <c r="Y3662" s="24" t="n"/>
    </row>
    <row r="3663">
      <c r="O3663" s="23" t="n"/>
      <c r="R3663" s="24" t="n"/>
      <c r="S3663" s="24" t="n"/>
      <c r="Y3663" s="24" t="n"/>
    </row>
    <row r="3664">
      <c r="O3664" s="23" t="n"/>
      <c r="R3664" s="24" t="n"/>
      <c r="S3664" s="24" t="n"/>
      <c r="Y3664" s="24" t="n"/>
    </row>
    <row r="3665">
      <c r="O3665" s="23" t="n"/>
      <c r="R3665" s="24" t="n"/>
      <c r="S3665" s="24" t="n"/>
      <c r="Y3665" s="24" t="n"/>
    </row>
    <row r="3666">
      <c r="O3666" s="23" t="n"/>
      <c r="R3666" s="24" t="n"/>
      <c r="S3666" s="24" t="n"/>
      <c r="Y3666" s="24" t="n"/>
    </row>
    <row r="3667">
      <c r="O3667" s="23" t="n"/>
      <c r="R3667" s="24" t="n"/>
      <c r="S3667" s="24" t="n"/>
      <c r="Y3667" s="24" t="n"/>
    </row>
    <row r="3668">
      <c r="O3668" s="23" t="n"/>
      <c r="R3668" s="24" t="n"/>
      <c r="S3668" s="24" t="n"/>
      <c r="Y3668" s="24" t="n"/>
    </row>
    <row r="3669">
      <c r="O3669" s="23" t="n"/>
      <c r="R3669" s="24" t="n"/>
      <c r="S3669" s="24" t="n"/>
      <c r="Y3669" s="24" t="n"/>
    </row>
    <row r="3670">
      <c r="O3670" s="23" t="n"/>
      <c r="R3670" s="24" t="n"/>
      <c r="S3670" s="24" t="n"/>
      <c r="Y3670" s="24" t="n"/>
    </row>
    <row r="3671">
      <c r="O3671" s="23" t="n"/>
      <c r="R3671" s="24" t="n"/>
      <c r="S3671" s="24" t="n"/>
      <c r="Y3671" s="24" t="n"/>
    </row>
    <row r="3672">
      <c r="O3672" s="23" t="n"/>
      <c r="R3672" s="24" t="n"/>
      <c r="S3672" s="24" t="n"/>
      <c r="Y3672" s="24" t="n"/>
    </row>
    <row r="3673">
      <c r="O3673" s="23" t="n"/>
      <c r="R3673" s="24" t="n"/>
      <c r="S3673" s="24" t="n"/>
      <c r="Y3673" s="24" t="n"/>
    </row>
    <row r="3674">
      <c r="O3674" s="23" t="n"/>
      <c r="R3674" s="24" t="n"/>
      <c r="S3674" s="24" t="n"/>
      <c r="Y3674" s="24" t="n"/>
    </row>
    <row r="3675">
      <c r="O3675" s="23" t="n"/>
      <c r="R3675" s="24" t="n"/>
      <c r="S3675" s="24" t="n"/>
      <c r="Y3675" s="24" t="n"/>
    </row>
    <row r="3676">
      <c r="O3676" s="23" t="n"/>
      <c r="R3676" s="24" t="n"/>
      <c r="S3676" s="24" t="n"/>
      <c r="Y3676" s="24" t="n"/>
    </row>
    <row r="3677">
      <c r="O3677" s="23" t="n"/>
      <c r="R3677" s="24" t="n"/>
      <c r="S3677" s="24" t="n"/>
      <c r="Y3677" s="24" t="n"/>
    </row>
    <row r="3678">
      <c r="O3678" s="23" t="n"/>
      <c r="R3678" s="24" t="n"/>
      <c r="S3678" s="24" t="n"/>
      <c r="Y3678" s="24" t="n"/>
    </row>
    <row r="3679">
      <c r="O3679" s="23" t="n"/>
      <c r="R3679" s="24" t="n"/>
      <c r="S3679" s="24" t="n"/>
      <c r="Y3679" s="24" t="n"/>
    </row>
    <row r="3680">
      <c r="O3680" s="23" t="n"/>
      <c r="R3680" s="24" t="n"/>
      <c r="S3680" s="24" t="n"/>
      <c r="Y3680" s="24" t="n"/>
    </row>
    <row r="3681">
      <c r="O3681" s="23" t="n"/>
      <c r="R3681" s="24" t="n"/>
      <c r="S3681" s="24" t="n"/>
      <c r="Y3681" s="24" t="n"/>
    </row>
    <row r="3682">
      <c r="O3682" s="23" t="n"/>
      <c r="R3682" s="24" t="n"/>
      <c r="S3682" s="24" t="n"/>
      <c r="Y3682" s="24" t="n"/>
    </row>
    <row r="3683">
      <c r="O3683" s="23" t="n"/>
      <c r="R3683" s="24" t="n"/>
      <c r="S3683" s="24" t="n"/>
      <c r="Y3683" s="24" t="n"/>
    </row>
    <row r="3684">
      <c r="O3684" s="23" t="n"/>
      <c r="R3684" s="24" t="n"/>
      <c r="S3684" s="24" t="n"/>
      <c r="Y3684" s="24" t="n"/>
    </row>
    <row r="3685">
      <c r="O3685" s="23" t="n"/>
      <c r="R3685" s="24" t="n"/>
      <c r="S3685" s="24" t="n"/>
      <c r="Y3685" s="24" t="n"/>
    </row>
    <row r="3686">
      <c r="O3686" s="23" t="n"/>
      <c r="R3686" s="24" t="n"/>
      <c r="S3686" s="24" t="n"/>
      <c r="Y3686" s="24" t="n"/>
    </row>
    <row r="3687">
      <c r="O3687" s="23" t="n"/>
      <c r="R3687" s="24" t="n"/>
      <c r="S3687" s="24" t="n"/>
      <c r="Y3687" s="24" t="n"/>
    </row>
    <row r="3688">
      <c r="O3688" s="23" t="n"/>
      <c r="R3688" s="24" t="n"/>
      <c r="S3688" s="24" t="n"/>
      <c r="Y3688" s="24" t="n"/>
    </row>
    <row r="3689">
      <c r="O3689" s="23" t="n"/>
      <c r="R3689" s="24" t="n"/>
      <c r="S3689" s="24" t="n"/>
      <c r="Y3689" s="24" t="n"/>
    </row>
    <row r="3690">
      <c r="O3690" s="23" t="n"/>
      <c r="R3690" s="24" t="n"/>
      <c r="S3690" s="24" t="n"/>
      <c r="Y3690" s="24" t="n"/>
    </row>
    <row r="3691">
      <c r="O3691" s="23" t="n"/>
      <c r="R3691" s="24" t="n"/>
      <c r="S3691" s="24" t="n"/>
      <c r="Y3691" s="24" t="n"/>
    </row>
    <row r="3692">
      <c r="O3692" s="23" t="n"/>
      <c r="R3692" s="24" t="n"/>
      <c r="S3692" s="24" t="n"/>
      <c r="Y3692" s="24" t="n"/>
    </row>
    <row r="3693">
      <c r="O3693" s="23" t="n"/>
      <c r="R3693" s="24" t="n"/>
      <c r="S3693" s="24" t="n"/>
      <c r="Y3693" s="24" t="n"/>
    </row>
    <row r="3694">
      <c r="O3694" s="23" t="n"/>
      <c r="R3694" s="24" t="n"/>
      <c r="S3694" s="24" t="n"/>
      <c r="Y3694" s="24" t="n"/>
    </row>
    <row r="3695">
      <c r="O3695" s="23" t="n"/>
      <c r="R3695" s="24" t="n"/>
      <c r="S3695" s="24" t="n"/>
      <c r="Y3695" s="24" t="n"/>
    </row>
    <row r="3696">
      <c r="O3696" s="23" t="n"/>
      <c r="R3696" s="24" t="n"/>
      <c r="S3696" s="24" t="n"/>
      <c r="Y3696" s="24" t="n"/>
    </row>
    <row r="3697">
      <c r="O3697" s="23" t="n"/>
      <c r="R3697" s="24" t="n"/>
      <c r="S3697" s="24" t="n"/>
      <c r="Y3697" s="24" t="n"/>
    </row>
    <row r="3698">
      <c r="O3698" s="23" t="n"/>
      <c r="R3698" s="24" t="n"/>
      <c r="S3698" s="24" t="n"/>
      <c r="Y3698" s="24" t="n"/>
    </row>
    <row r="3699">
      <c r="O3699" s="23" t="n"/>
      <c r="R3699" s="24" t="n"/>
      <c r="S3699" s="24" t="n"/>
      <c r="Y3699" s="24" t="n"/>
    </row>
    <row r="3700">
      <c r="O3700" s="23" t="n"/>
      <c r="R3700" s="24" t="n"/>
      <c r="S3700" s="24" t="n"/>
      <c r="Y3700" s="24" t="n"/>
    </row>
    <row r="3701">
      <c r="O3701" s="23" t="n"/>
      <c r="R3701" s="24" t="n"/>
      <c r="S3701" s="24" t="n"/>
      <c r="Y3701" s="24" t="n"/>
    </row>
    <row r="3702">
      <c r="O3702" s="23" t="n"/>
      <c r="R3702" s="24" t="n"/>
      <c r="S3702" s="24" t="n"/>
      <c r="Y3702" s="24" t="n"/>
    </row>
    <row r="3703">
      <c r="O3703" s="23" t="n"/>
      <c r="R3703" s="24" t="n"/>
      <c r="S3703" s="24" t="n"/>
      <c r="Y3703" s="24" t="n"/>
    </row>
    <row r="3704">
      <c r="O3704" s="23" t="n"/>
      <c r="R3704" s="24" t="n"/>
      <c r="S3704" s="24" t="n"/>
      <c r="Y3704" s="24" t="n"/>
    </row>
    <row r="3705">
      <c r="O3705" s="23" t="n"/>
      <c r="R3705" s="24" t="n"/>
      <c r="S3705" s="24" t="n"/>
      <c r="Y3705" s="24" t="n"/>
    </row>
    <row r="3706">
      <c r="O3706" s="23" t="n"/>
      <c r="R3706" s="24" t="n"/>
      <c r="S3706" s="24" t="n"/>
      <c r="Y3706" s="24" t="n"/>
    </row>
    <row r="3707">
      <c r="O3707" s="23" t="n"/>
      <c r="R3707" s="24" t="n"/>
      <c r="S3707" s="24" t="n"/>
      <c r="Y3707" s="24" t="n"/>
    </row>
    <row r="3708">
      <c r="O3708" s="23" t="n"/>
      <c r="R3708" s="24" t="n"/>
      <c r="S3708" s="24" t="n"/>
      <c r="Y3708" s="24" t="n"/>
    </row>
    <row r="3709">
      <c r="O3709" s="23" t="n"/>
      <c r="R3709" s="24" t="n"/>
      <c r="S3709" s="24" t="n"/>
      <c r="Y3709" s="24" t="n"/>
    </row>
    <row r="3710">
      <c r="O3710" s="23" t="n"/>
      <c r="R3710" s="24" t="n"/>
      <c r="S3710" s="24" t="n"/>
      <c r="Y3710" s="24" t="n"/>
    </row>
    <row r="3711">
      <c r="O3711" s="23" t="n"/>
      <c r="R3711" s="24" t="n"/>
      <c r="S3711" s="24" t="n"/>
      <c r="Y3711" s="24" t="n"/>
    </row>
    <row r="3712">
      <c r="O3712" s="23" t="n"/>
      <c r="R3712" s="24" t="n"/>
      <c r="S3712" s="24" t="n"/>
      <c r="Y3712" s="24" t="n"/>
    </row>
    <row r="3713">
      <c r="O3713" s="23" t="n"/>
      <c r="R3713" s="24" t="n"/>
      <c r="S3713" s="24" t="n"/>
      <c r="Y3713" s="24" t="n"/>
    </row>
    <row r="3714">
      <c r="O3714" s="23" t="n"/>
      <c r="R3714" s="24" t="n"/>
      <c r="S3714" s="24" t="n"/>
      <c r="Y3714" s="24" t="n"/>
    </row>
    <row r="3715">
      <c r="O3715" s="23" t="n"/>
      <c r="R3715" s="24" t="n"/>
      <c r="S3715" s="24" t="n"/>
      <c r="Y3715" s="24" t="n"/>
    </row>
    <row r="3716">
      <c r="O3716" s="23" t="n"/>
      <c r="R3716" s="24" t="n"/>
      <c r="S3716" s="24" t="n"/>
      <c r="Y3716" s="24" t="n"/>
    </row>
    <row r="3717">
      <c r="O3717" s="23" t="n"/>
      <c r="R3717" s="24" t="n"/>
      <c r="S3717" s="24" t="n"/>
      <c r="Y3717" s="24" t="n"/>
    </row>
    <row r="3718">
      <c r="O3718" s="23" t="n"/>
      <c r="R3718" s="24" t="n"/>
      <c r="S3718" s="24" t="n"/>
      <c r="Y3718" s="24" t="n"/>
    </row>
    <row r="3719">
      <c r="O3719" s="23" t="n"/>
      <c r="R3719" s="24" t="n"/>
      <c r="S3719" s="24" t="n"/>
      <c r="Y3719" s="24" t="n"/>
    </row>
    <row r="3720">
      <c r="O3720" s="23" t="n"/>
      <c r="R3720" s="24" t="n"/>
      <c r="S3720" s="24" t="n"/>
      <c r="Y3720" s="24" t="n"/>
    </row>
    <row r="3721">
      <c r="O3721" s="23" t="n"/>
      <c r="R3721" s="24" t="n"/>
      <c r="S3721" s="24" t="n"/>
      <c r="Y3721" s="24" t="n"/>
    </row>
    <row r="3722">
      <c r="O3722" s="23" t="n"/>
      <c r="R3722" s="24" t="n"/>
      <c r="S3722" s="24" t="n"/>
      <c r="Y3722" s="24" t="n"/>
    </row>
    <row r="3723">
      <c r="O3723" s="23" t="n"/>
      <c r="R3723" s="24" t="n"/>
      <c r="S3723" s="24" t="n"/>
      <c r="Y3723" s="24" t="n"/>
    </row>
    <row r="3724">
      <c r="O3724" s="23" t="n"/>
      <c r="R3724" s="24" t="n"/>
      <c r="S3724" s="24" t="n"/>
      <c r="Y3724" s="24" t="n"/>
    </row>
    <row r="3725">
      <c r="O3725" s="23" t="n"/>
      <c r="R3725" s="24" t="n"/>
      <c r="S3725" s="24" t="n"/>
      <c r="Y3725" s="24" t="n"/>
    </row>
    <row r="3726">
      <c r="O3726" s="23" t="n"/>
      <c r="R3726" s="24" t="n"/>
      <c r="S3726" s="24" t="n"/>
      <c r="Y3726" s="24" t="n"/>
    </row>
    <row r="3727">
      <c r="O3727" s="23" t="n"/>
      <c r="R3727" s="24" t="n"/>
      <c r="S3727" s="24" t="n"/>
      <c r="Y3727" s="24" t="n"/>
    </row>
    <row r="3728">
      <c r="O3728" s="23" t="n"/>
      <c r="R3728" s="24" t="n"/>
      <c r="S3728" s="24" t="n"/>
      <c r="Y3728" s="24" t="n"/>
    </row>
    <row r="3729">
      <c r="O3729" s="23" t="n"/>
      <c r="R3729" s="24" t="n"/>
      <c r="S3729" s="24" t="n"/>
      <c r="Y3729" s="24" t="n"/>
    </row>
    <row r="3730">
      <c r="O3730" s="23" t="n"/>
      <c r="R3730" s="24" t="n"/>
      <c r="S3730" s="24" t="n"/>
      <c r="Y3730" s="24" t="n"/>
    </row>
    <row r="3731">
      <c r="O3731" s="23" t="n"/>
      <c r="R3731" s="24" t="n"/>
      <c r="S3731" s="24" t="n"/>
      <c r="Y3731" s="24" t="n"/>
    </row>
    <row r="3732">
      <c r="O3732" s="23" t="n"/>
      <c r="R3732" s="24" t="n"/>
      <c r="S3732" s="24" t="n"/>
      <c r="Y3732" s="24" t="n"/>
    </row>
    <row r="3733">
      <c r="O3733" s="23" t="n"/>
      <c r="R3733" s="24" t="n"/>
      <c r="S3733" s="24" t="n"/>
      <c r="Y3733" s="24" t="n"/>
    </row>
    <row r="3734">
      <c r="O3734" s="23" t="n"/>
      <c r="R3734" s="24" t="n"/>
      <c r="S3734" s="24" t="n"/>
      <c r="Y3734" s="24" t="n"/>
    </row>
    <row r="3735">
      <c r="O3735" s="23" t="n"/>
      <c r="R3735" s="24" t="n"/>
      <c r="S3735" s="24" t="n"/>
      <c r="Y3735" s="24" t="n"/>
    </row>
    <row r="3736">
      <c r="O3736" s="23" t="n"/>
      <c r="R3736" s="24" t="n"/>
      <c r="S3736" s="24" t="n"/>
      <c r="Y3736" s="24" t="n"/>
    </row>
    <row r="3737">
      <c r="O3737" s="23" t="n"/>
      <c r="R3737" s="24" t="n"/>
      <c r="S3737" s="24" t="n"/>
      <c r="Y3737" s="24" t="n"/>
    </row>
    <row r="3738">
      <c r="O3738" s="23" t="n"/>
      <c r="R3738" s="24" t="n"/>
      <c r="S3738" s="24" t="n"/>
      <c r="Y3738" s="24" t="n"/>
    </row>
    <row r="3739">
      <c r="O3739" s="23" t="n"/>
      <c r="R3739" s="24" t="n"/>
      <c r="S3739" s="24" t="n"/>
      <c r="Y3739" s="24" t="n"/>
    </row>
    <row r="3740">
      <c r="O3740" s="23" t="n"/>
      <c r="R3740" s="24" t="n"/>
      <c r="S3740" s="24" t="n"/>
      <c r="Y3740" s="24" t="n"/>
    </row>
    <row r="3741">
      <c r="O3741" s="23" t="n"/>
      <c r="R3741" s="24" t="n"/>
      <c r="S3741" s="24" t="n"/>
      <c r="Y3741" s="24" t="n"/>
    </row>
    <row r="3742">
      <c r="O3742" s="23" t="n"/>
      <c r="R3742" s="24" t="n"/>
      <c r="S3742" s="24" t="n"/>
      <c r="Y3742" s="24" t="n"/>
    </row>
    <row r="3743">
      <c r="O3743" s="23" t="n"/>
      <c r="R3743" s="24" t="n"/>
      <c r="S3743" s="24" t="n"/>
      <c r="Y3743" s="24" t="n"/>
    </row>
    <row r="3744">
      <c r="O3744" s="23" t="n"/>
      <c r="R3744" s="24" t="n"/>
      <c r="S3744" s="24" t="n"/>
      <c r="Y3744" s="24" t="n"/>
    </row>
    <row r="3745">
      <c r="O3745" s="23" t="n"/>
      <c r="R3745" s="24" t="n"/>
      <c r="S3745" s="24" t="n"/>
      <c r="Y3745" s="24" t="n"/>
    </row>
    <row r="3746">
      <c r="O3746" s="23" t="n"/>
      <c r="R3746" s="24" t="n"/>
      <c r="S3746" s="24" t="n"/>
      <c r="Y3746" s="24" t="n"/>
    </row>
    <row r="3747">
      <c r="O3747" s="23" t="n"/>
      <c r="R3747" s="24" t="n"/>
      <c r="S3747" s="24" t="n"/>
      <c r="Y3747" s="24" t="n"/>
    </row>
    <row r="3748">
      <c r="O3748" s="23" t="n"/>
      <c r="R3748" s="24" t="n"/>
      <c r="S3748" s="24" t="n"/>
      <c r="Y3748" s="24" t="n"/>
    </row>
    <row r="3749">
      <c r="O3749" s="23" t="n"/>
      <c r="R3749" s="24" t="n"/>
      <c r="S3749" s="24" t="n"/>
      <c r="Y3749" s="24" t="n"/>
    </row>
    <row r="3750">
      <c r="O3750" s="23" t="n"/>
      <c r="R3750" s="24" t="n"/>
      <c r="S3750" s="24" t="n"/>
      <c r="Y3750" s="24" t="n"/>
    </row>
    <row r="3751">
      <c r="O3751" s="23" t="n"/>
      <c r="R3751" s="24" t="n"/>
      <c r="S3751" s="24" t="n"/>
      <c r="Y3751" s="24" t="n"/>
    </row>
    <row r="3752">
      <c r="O3752" s="23" t="n"/>
      <c r="R3752" s="24" t="n"/>
      <c r="S3752" s="24" t="n"/>
      <c r="Y3752" s="24" t="n"/>
    </row>
    <row r="3753">
      <c r="O3753" s="23" t="n"/>
      <c r="R3753" s="24" t="n"/>
      <c r="S3753" s="24" t="n"/>
      <c r="Y3753" s="24" t="n"/>
    </row>
    <row r="3754">
      <c r="O3754" s="23" t="n"/>
      <c r="R3754" s="24" t="n"/>
      <c r="S3754" s="24" t="n"/>
      <c r="Y3754" s="24" t="n"/>
    </row>
    <row r="3755">
      <c r="O3755" s="23" t="n"/>
      <c r="R3755" s="24" t="n"/>
      <c r="S3755" s="24" t="n"/>
      <c r="Y3755" s="24" t="n"/>
    </row>
    <row r="3756">
      <c r="O3756" s="23" t="n"/>
      <c r="R3756" s="24" t="n"/>
      <c r="S3756" s="24" t="n"/>
      <c r="Y3756" s="24" t="n"/>
    </row>
    <row r="3757">
      <c r="O3757" s="23" t="n"/>
      <c r="R3757" s="24" t="n"/>
      <c r="S3757" s="24" t="n"/>
      <c r="Y3757" s="24" t="n"/>
    </row>
    <row r="3758">
      <c r="O3758" s="23" t="n"/>
      <c r="R3758" s="24" t="n"/>
      <c r="S3758" s="24" t="n"/>
      <c r="Y3758" s="24" t="n"/>
    </row>
    <row r="3759">
      <c r="O3759" s="23" t="n"/>
      <c r="R3759" s="24" t="n"/>
      <c r="S3759" s="24" t="n"/>
      <c r="Y3759" s="24" t="n"/>
    </row>
    <row r="3760">
      <c r="O3760" s="23" t="n"/>
      <c r="R3760" s="24" t="n"/>
      <c r="S3760" s="24" t="n"/>
      <c r="Y3760" s="24" t="n"/>
    </row>
    <row r="3761">
      <c r="O3761" s="23" t="n"/>
      <c r="R3761" s="24" t="n"/>
      <c r="S3761" s="24" t="n"/>
      <c r="Y3761" s="24" t="n"/>
    </row>
    <row r="3762">
      <c r="O3762" s="23" t="n"/>
      <c r="R3762" s="24" t="n"/>
      <c r="S3762" s="24" t="n"/>
      <c r="Y3762" s="24" t="n"/>
    </row>
    <row r="3763">
      <c r="O3763" s="23" t="n"/>
      <c r="R3763" s="24" t="n"/>
      <c r="S3763" s="24" t="n"/>
      <c r="Y3763" s="24" t="n"/>
    </row>
    <row r="3764">
      <c r="O3764" s="23" t="n"/>
      <c r="R3764" s="24" t="n"/>
      <c r="S3764" s="24" t="n"/>
      <c r="Y3764" s="24" t="n"/>
    </row>
    <row r="3765">
      <c r="O3765" s="23" t="n"/>
      <c r="R3765" s="24" t="n"/>
      <c r="S3765" s="24" t="n"/>
      <c r="Y3765" s="24" t="n"/>
    </row>
    <row r="3766">
      <c r="O3766" s="23" t="n"/>
      <c r="R3766" s="24" t="n"/>
      <c r="S3766" s="24" t="n"/>
      <c r="Y3766" s="24" t="n"/>
    </row>
    <row r="3767">
      <c r="O3767" s="23" t="n"/>
      <c r="R3767" s="24" t="n"/>
      <c r="S3767" s="24" t="n"/>
      <c r="Y3767" s="24" t="n"/>
    </row>
    <row r="3768">
      <c r="O3768" s="23" t="n"/>
      <c r="R3768" s="24" t="n"/>
      <c r="S3768" s="24" t="n"/>
      <c r="Y3768" s="24" t="n"/>
    </row>
    <row r="3769">
      <c r="O3769" s="23" t="n"/>
      <c r="R3769" s="24" t="n"/>
      <c r="S3769" s="24" t="n"/>
      <c r="Y3769" s="24" t="n"/>
    </row>
    <row r="3770">
      <c r="O3770" s="23" t="n"/>
      <c r="R3770" s="24" t="n"/>
      <c r="S3770" s="24" t="n"/>
      <c r="Y3770" s="24" t="n"/>
    </row>
    <row r="3771">
      <c r="O3771" s="23" t="n"/>
      <c r="R3771" s="24" t="n"/>
      <c r="S3771" s="24" t="n"/>
      <c r="Y3771" s="24" t="n"/>
    </row>
    <row r="3772">
      <c r="O3772" s="23" t="n"/>
      <c r="R3772" s="24" t="n"/>
      <c r="S3772" s="24" t="n"/>
      <c r="Y3772" s="24" t="n"/>
    </row>
    <row r="3773">
      <c r="O3773" s="23" t="n"/>
      <c r="R3773" s="24" t="n"/>
      <c r="S3773" s="24" t="n"/>
      <c r="Y3773" s="24" t="n"/>
    </row>
    <row r="3774">
      <c r="O3774" s="23" t="n"/>
      <c r="R3774" s="24" t="n"/>
      <c r="S3774" s="24" t="n"/>
      <c r="Y3774" s="24" t="n"/>
    </row>
    <row r="3775">
      <c r="O3775" s="23" t="n"/>
      <c r="R3775" s="24" t="n"/>
      <c r="S3775" s="24" t="n"/>
      <c r="Y3775" s="24" t="n"/>
    </row>
    <row r="3776">
      <c r="O3776" s="23" t="n"/>
      <c r="R3776" s="24" t="n"/>
      <c r="S3776" s="24" t="n"/>
      <c r="Y3776" s="24" t="n"/>
    </row>
    <row r="3777">
      <c r="O3777" s="23" t="n"/>
      <c r="R3777" s="24" t="n"/>
      <c r="S3777" s="24" t="n"/>
      <c r="Y3777" s="24" t="n"/>
    </row>
    <row r="3778">
      <c r="O3778" s="23" t="n"/>
      <c r="R3778" s="24" t="n"/>
      <c r="S3778" s="24" t="n"/>
      <c r="Y3778" s="24" t="n"/>
    </row>
    <row r="3779">
      <c r="O3779" s="23" t="n"/>
      <c r="R3779" s="24" t="n"/>
      <c r="S3779" s="24" t="n"/>
      <c r="Y3779" s="24" t="n"/>
    </row>
    <row r="3780">
      <c r="O3780" s="23" t="n"/>
      <c r="R3780" s="24" t="n"/>
      <c r="S3780" s="24" t="n"/>
      <c r="Y3780" s="24" t="n"/>
    </row>
    <row r="3781">
      <c r="O3781" s="23" t="n"/>
      <c r="R3781" s="24" t="n"/>
      <c r="S3781" s="24" t="n"/>
      <c r="Y3781" s="24" t="n"/>
    </row>
    <row r="3782">
      <c r="O3782" s="23" t="n"/>
      <c r="R3782" s="24" t="n"/>
      <c r="S3782" s="24" t="n"/>
      <c r="Y3782" s="24" t="n"/>
    </row>
    <row r="3783">
      <c r="O3783" s="23" t="n"/>
      <c r="R3783" s="24" t="n"/>
      <c r="S3783" s="24" t="n"/>
      <c r="Y3783" s="24" t="n"/>
    </row>
    <row r="3784">
      <c r="O3784" s="23" t="n"/>
      <c r="R3784" s="24" t="n"/>
      <c r="S3784" s="24" t="n"/>
      <c r="Y3784" s="24" t="n"/>
    </row>
    <row r="3785">
      <c r="O3785" s="23" t="n"/>
      <c r="R3785" s="24" t="n"/>
      <c r="S3785" s="24" t="n"/>
      <c r="Y3785" s="24" t="n"/>
    </row>
    <row r="3786">
      <c r="O3786" s="23" t="n"/>
      <c r="R3786" s="24" t="n"/>
      <c r="S3786" s="24" t="n"/>
      <c r="Y3786" s="24" t="n"/>
    </row>
    <row r="3787">
      <c r="O3787" s="23" t="n"/>
      <c r="R3787" s="24" t="n"/>
      <c r="S3787" s="24" t="n"/>
      <c r="Y3787" s="24" t="n"/>
    </row>
    <row r="3788">
      <c r="O3788" s="23" t="n"/>
      <c r="R3788" s="24" t="n"/>
      <c r="S3788" s="24" t="n"/>
      <c r="Y3788" s="24" t="n"/>
    </row>
    <row r="3789">
      <c r="O3789" s="23" t="n"/>
      <c r="R3789" s="24" t="n"/>
      <c r="S3789" s="24" t="n"/>
      <c r="Y3789" s="24" t="n"/>
    </row>
    <row r="3790">
      <c r="O3790" s="23" t="n"/>
      <c r="R3790" s="24" t="n"/>
      <c r="S3790" s="24" t="n"/>
      <c r="Y3790" s="24" t="n"/>
    </row>
    <row r="3791">
      <c r="O3791" s="23" t="n"/>
      <c r="R3791" s="24" t="n"/>
      <c r="S3791" s="24" t="n"/>
      <c r="Y3791" s="24" t="n"/>
    </row>
    <row r="3792">
      <c r="O3792" s="23" t="n"/>
      <c r="R3792" s="24" t="n"/>
      <c r="S3792" s="24" t="n"/>
      <c r="Y3792" s="24" t="n"/>
    </row>
    <row r="3793">
      <c r="O3793" s="23" t="n"/>
      <c r="R3793" s="24" t="n"/>
      <c r="S3793" s="24" t="n"/>
      <c r="Y3793" s="24" t="n"/>
    </row>
    <row r="3794">
      <c r="O3794" s="23" t="n"/>
      <c r="R3794" s="24" t="n"/>
      <c r="S3794" s="24" t="n"/>
      <c r="Y3794" s="24" t="n"/>
    </row>
    <row r="3795">
      <c r="O3795" s="23" t="n"/>
      <c r="R3795" s="24" t="n"/>
      <c r="S3795" s="24" t="n"/>
      <c r="Y3795" s="24" t="n"/>
    </row>
    <row r="3796">
      <c r="O3796" s="23" t="n"/>
      <c r="R3796" s="24" t="n"/>
      <c r="S3796" s="24" t="n"/>
      <c r="Y3796" s="24" t="n"/>
    </row>
    <row r="3797">
      <c r="O3797" s="23" t="n"/>
      <c r="R3797" s="24" t="n"/>
      <c r="S3797" s="24" t="n"/>
      <c r="Y3797" s="24" t="n"/>
    </row>
    <row r="3798">
      <c r="O3798" s="23" t="n"/>
      <c r="R3798" s="24" t="n"/>
      <c r="S3798" s="24" t="n"/>
      <c r="Y3798" s="24" t="n"/>
    </row>
    <row r="3799">
      <c r="O3799" s="23" t="n"/>
      <c r="R3799" s="24" t="n"/>
      <c r="S3799" s="24" t="n"/>
      <c r="Y3799" s="24" t="n"/>
    </row>
    <row r="3800">
      <c r="O3800" s="23" t="n"/>
      <c r="R3800" s="24" t="n"/>
      <c r="S3800" s="24" t="n"/>
      <c r="Y3800" s="24" t="n"/>
    </row>
    <row r="3801">
      <c r="O3801" s="23" t="n"/>
      <c r="R3801" s="24" t="n"/>
      <c r="S3801" s="24" t="n"/>
      <c r="Y3801" s="24" t="n"/>
    </row>
    <row r="3802">
      <c r="O3802" s="23" t="n"/>
      <c r="R3802" s="24" t="n"/>
      <c r="S3802" s="24" t="n"/>
      <c r="Y3802" s="24" t="n"/>
    </row>
    <row r="3803">
      <c r="O3803" s="23" t="n"/>
      <c r="R3803" s="24" t="n"/>
      <c r="S3803" s="24" t="n"/>
      <c r="Y3803" s="24" t="n"/>
    </row>
    <row r="3804">
      <c r="O3804" s="23" t="n"/>
      <c r="R3804" s="24" t="n"/>
      <c r="S3804" s="24" t="n"/>
      <c r="Y3804" s="24" t="n"/>
    </row>
    <row r="3805">
      <c r="O3805" s="23" t="n"/>
      <c r="R3805" s="24" t="n"/>
      <c r="S3805" s="24" t="n"/>
      <c r="Y3805" s="24" t="n"/>
    </row>
    <row r="3806">
      <c r="O3806" s="23" t="n"/>
      <c r="R3806" s="24" t="n"/>
      <c r="S3806" s="24" t="n"/>
      <c r="Y3806" s="24" t="n"/>
    </row>
    <row r="3807">
      <c r="O3807" s="23" t="n"/>
      <c r="R3807" s="24" t="n"/>
      <c r="S3807" s="24" t="n"/>
      <c r="Y3807" s="24" t="n"/>
    </row>
    <row r="3808">
      <c r="O3808" s="23" t="n"/>
      <c r="R3808" s="24" t="n"/>
      <c r="S3808" s="24" t="n"/>
      <c r="Y3808" s="24" t="n"/>
    </row>
    <row r="3809">
      <c r="O3809" s="23" t="n"/>
      <c r="R3809" s="24" t="n"/>
      <c r="S3809" s="24" t="n"/>
      <c r="Y3809" s="24" t="n"/>
    </row>
    <row r="3810">
      <c r="O3810" s="23" t="n"/>
      <c r="R3810" s="24" t="n"/>
      <c r="S3810" s="24" t="n"/>
      <c r="Y3810" s="24" t="n"/>
    </row>
    <row r="3811">
      <c r="O3811" s="23" t="n"/>
      <c r="R3811" s="24" t="n"/>
      <c r="S3811" s="24" t="n"/>
      <c r="Y3811" s="24" t="n"/>
    </row>
    <row r="3812">
      <c r="O3812" s="23" t="n"/>
      <c r="R3812" s="24" t="n"/>
      <c r="S3812" s="24" t="n"/>
      <c r="Y3812" s="24" t="n"/>
    </row>
    <row r="3813">
      <c r="O3813" s="23" t="n"/>
      <c r="R3813" s="24" t="n"/>
      <c r="S3813" s="24" t="n"/>
      <c r="Y3813" s="24" t="n"/>
    </row>
    <row r="3814">
      <c r="O3814" s="23" t="n"/>
      <c r="R3814" s="24" t="n"/>
      <c r="S3814" s="24" t="n"/>
      <c r="Y3814" s="24" t="n"/>
    </row>
    <row r="3815">
      <c r="O3815" s="23" t="n"/>
      <c r="R3815" s="24" t="n"/>
      <c r="S3815" s="24" t="n"/>
      <c r="Y3815" s="24" t="n"/>
    </row>
    <row r="3816">
      <c r="O3816" s="23" t="n"/>
      <c r="R3816" s="24" t="n"/>
      <c r="S3816" s="24" t="n"/>
      <c r="Y3816" s="24" t="n"/>
    </row>
    <row r="3817">
      <c r="O3817" s="23" t="n"/>
      <c r="R3817" s="24" t="n"/>
      <c r="S3817" s="24" t="n"/>
      <c r="Y3817" s="24" t="n"/>
    </row>
    <row r="3818">
      <c r="O3818" s="23" t="n"/>
      <c r="R3818" s="24" t="n"/>
      <c r="S3818" s="24" t="n"/>
      <c r="Y3818" s="24" t="n"/>
    </row>
    <row r="3819">
      <c r="O3819" s="23" t="n"/>
      <c r="R3819" s="24" t="n"/>
      <c r="S3819" s="24" t="n"/>
      <c r="Y3819" s="24" t="n"/>
    </row>
    <row r="3820">
      <c r="O3820" s="23" t="n"/>
      <c r="R3820" s="24" t="n"/>
      <c r="S3820" s="24" t="n"/>
      <c r="Y3820" s="24" t="n"/>
    </row>
    <row r="3821">
      <c r="O3821" s="23" t="n"/>
      <c r="R3821" s="24" t="n"/>
      <c r="S3821" s="24" t="n"/>
      <c r="Y3821" s="24" t="n"/>
    </row>
    <row r="3822">
      <c r="O3822" s="23" t="n"/>
      <c r="R3822" s="24" t="n"/>
      <c r="S3822" s="24" t="n"/>
      <c r="Y3822" s="24" t="n"/>
    </row>
    <row r="3823">
      <c r="O3823" s="23" t="n"/>
      <c r="R3823" s="24" t="n"/>
      <c r="S3823" s="24" t="n"/>
      <c r="Y3823" s="24" t="n"/>
    </row>
    <row r="3824">
      <c r="O3824" s="23" t="n"/>
      <c r="R3824" s="24" t="n"/>
      <c r="S3824" s="24" t="n"/>
      <c r="Y3824" s="24" t="n"/>
    </row>
    <row r="3825">
      <c r="O3825" s="23" t="n"/>
      <c r="R3825" s="24" t="n"/>
      <c r="S3825" s="24" t="n"/>
      <c r="Y3825" s="24" t="n"/>
    </row>
    <row r="3826">
      <c r="O3826" s="23" t="n"/>
      <c r="R3826" s="24" t="n"/>
      <c r="S3826" s="24" t="n"/>
      <c r="Y3826" s="24" t="n"/>
    </row>
    <row r="3827">
      <c r="O3827" s="23" t="n"/>
      <c r="R3827" s="24" t="n"/>
      <c r="S3827" s="24" t="n"/>
      <c r="Y3827" s="24" t="n"/>
    </row>
    <row r="3828">
      <c r="O3828" s="23" t="n"/>
      <c r="R3828" s="24" t="n"/>
      <c r="S3828" s="24" t="n"/>
      <c r="Y3828" s="24" t="n"/>
    </row>
    <row r="3829">
      <c r="O3829" s="23" t="n"/>
      <c r="R3829" s="24" t="n"/>
      <c r="S3829" s="24" t="n"/>
      <c r="Y3829" s="24" t="n"/>
    </row>
    <row r="3830">
      <c r="O3830" s="23" t="n"/>
      <c r="R3830" s="24" t="n"/>
      <c r="S3830" s="24" t="n"/>
      <c r="Y3830" s="24" t="n"/>
    </row>
    <row r="3831">
      <c r="O3831" s="23" t="n"/>
      <c r="R3831" s="24" t="n"/>
      <c r="S3831" s="24" t="n"/>
      <c r="Y3831" s="24" t="n"/>
    </row>
    <row r="3832">
      <c r="O3832" s="23" t="n"/>
      <c r="R3832" s="24" t="n"/>
      <c r="S3832" s="24" t="n"/>
      <c r="Y3832" s="24" t="n"/>
    </row>
    <row r="3833">
      <c r="O3833" s="23" t="n"/>
      <c r="R3833" s="24" t="n"/>
      <c r="S3833" s="24" t="n"/>
      <c r="Y3833" s="24" t="n"/>
    </row>
    <row r="3834">
      <c r="O3834" s="23" t="n"/>
      <c r="R3834" s="24" t="n"/>
      <c r="S3834" s="24" t="n"/>
      <c r="Y3834" s="24" t="n"/>
    </row>
    <row r="3835">
      <c r="O3835" s="23" t="n"/>
      <c r="R3835" s="24" t="n"/>
      <c r="S3835" s="24" t="n"/>
      <c r="Y3835" s="24" t="n"/>
    </row>
    <row r="3836">
      <c r="O3836" s="23" t="n"/>
      <c r="R3836" s="24" t="n"/>
      <c r="S3836" s="24" t="n"/>
      <c r="Y3836" s="24" t="n"/>
    </row>
    <row r="3837">
      <c r="O3837" s="23" t="n"/>
      <c r="R3837" s="24" t="n"/>
      <c r="S3837" s="24" t="n"/>
      <c r="Y3837" s="24" t="n"/>
    </row>
    <row r="3838">
      <c r="O3838" s="23" t="n"/>
      <c r="R3838" s="24" t="n"/>
      <c r="S3838" s="24" t="n"/>
      <c r="Y3838" s="24" t="n"/>
    </row>
    <row r="3839">
      <c r="O3839" s="23" t="n"/>
      <c r="R3839" s="24" t="n"/>
      <c r="S3839" s="24" t="n"/>
      <c r="Y3839" s="24" t="n"/>
    </row>
    <row r="3840">
      <c r="O3840" s="23" t="n"/>
      <c r="R3840" s="24" t="n"/>
      <c r="S3840" s="24" t="n"/>
      <c r="Y3840" s="24" t="n"/>
    </row>
    <row r="3841">
      <c r="O3841" s="23" t="n"/>
      <c r="R3841" s="24" t="n"/>
      <c r="S3841" s="24" t="n"/>
      <c r="Y3841" s="24" t="n"/>
    </row>
    <row r="3842">
      <c r="O3842" s="23" t="n"/>
      <c r="R3842" s="24" t="n"/>
      <c r="S3842" s="24" t="n"/>
      <c r="Y3842" s="24" t="n"/>
    </row>
    <row r="3843">
      <c r="O3843" s="23" t="n"/>
      <c r="R3843" s="24" t="n"/>
      <c r="S3843" s="24" t="n"/>
      <c r="Y3843" s="24" t="n"/>
    </row>
    <row r="3844">
      <c r="O3844" s="23" t="n"/>
      <c r="R3844" s="24" t="n"/>
      <c r="S3844" s="24" t="n"/>
      <c r="Y3844" s="24" t="n"/>
    </row>
    <row r="3845">
      <c r="O3845" s="23" t="n"/>
      <c r="R3845" s="24" t="n"/>
      <c r="S3845" s="24" t="n"/>
      <c r="Y3845" s="24" t="n"/>
    </row>
    <row r="3846">
      <c r="O3846" s="23" t="n"/>
      <c r="R3846" s="24" t="n"/>
      <c r="S3846" s="24" t="n"/>
      <c r="Y3846" s="24" t="n"/>
    </row>
    <row r="3847">
      <c r="O3847" s="23" t="n"/>
      <c r="R3847" s="24" t="n"/>
      <c r="S3847" s="24" t="n"/>
      <c r="Y3847" s="24" t="n"/>
    </row>
    <row r="3848">
      <c r="O3848" s="23" t="n"/>
      <c r="R3848" s="24" t="n"/>
      <c r="S3848" s="24" t="n"/>
      <c r="Y3848" s="24" t="n"/>
    </row>
    <row r="3849">
      <c r="O3849" s="23" t="n"/>
      <c r="R3849" s="24" t="n"/>
      <c r="S3849" s="24" t="n"/>
      <c r="Y3849" s="24" t="n"/>
    </row>
    <row r="3850">
      <c r="O3850" s="23" t="n"/>
      <c r="R3850" s="24" t="n"/>
      <c r="S3850" s="24" t="n"/>
      <c r="Y3850" s="24" t="n"/>
    </row>
    <row r="3851">
      <c r="O3851" s="23" t="n"/>
      <c r="R3851" s="24" t="n"/>
      <c r="S3851" s="24" t="n"/>
      <c r="Y3851" s="24" t="n"/>
    </row>
    <row r="3852">
      <c r="O3852" s="23" t="n"/>
      <c r="R3852" s="24" t="n"/>
      <c r="S3852" s="24" t="n"/>
      <c r="Y3852" s="24" t="n"/>
    </row>
    <row r="3853">
      <c r="O3853" s="23" t="n"/>
      <c r="R3853" s="24" t="n"/>
      <c r="S3853" s="24" t="n"/>
      <c r="Y3853" s="24" t="n"/>
    </row>
    <row r="3854">
      <c r="O3854" s="23" t="n"/>
      <c r="R3854" s="24" t="n"/>
      <c r="S3854" s="24" t="n"/>
      <c r="Y3854" s="24" t="n"/>
    </row>
    <row r="3855">
      <c r="O3855" s="23" t="n"/>
      <c r="R3855" s="24" t="n"/>
      <c r="S3855" s="24" t="n"/>
      <c r="Y3855" s="24" t="n"/>
    </row>
    <row r="3856">
      <c r="O3856" s="23" t="n"/>
      <c r="R3856" s="24" t="n"/>
      <c r="S3856" s="24" t="n"/>
      <c r="Y3856" s="24" t="n"/>
    </row>
    <row r="3857">
      <c r="O3857" s="23" t="n"/>
      <c r="R3857" s="24" t="n"/>
      <c r="S3857" s="24" t="n"/>
      <c r="Y3857" s="24" t="n"/>
    </row>
    <row r="3858">
      <c r="O3858" s="23" t="n"/>
      <c r="R3858" s="24" t="n"/>
      <c r="S3858" s="24" t="n"/>
      <c r="Y3858" s="24" t="n"/>
    </row>
    <row r="3859">
      <c r="O3859" s="23" t="n"/>
      <c r="R3859" s="24" t="n"/>
      <c r="S3859" s="24" t="n"/>
      <c r="Y3859" s="24" t="n"/>
    </row>
    <row r="3860">
      <c r="O3860" s="23" t="n"/>
      <c r="R3860" s="24" t="n"/>
      <c r="S3860" s="24" t="n"/>
      <c r="Y3860" s="24" t="n"/>
    </row>
    <row r="3861">
      <c r="O3861" s="23" t="n"/>
      <c r="R3861" s="24" t="n"/>
      <c r="S3861" s="24" t="n"/>
      <c r="Y3861" s="24" t="n"/>
    </row>
    <row r="3862">
      <c r="O3862" s="23" t="n"/>
      <c r="R3862" s="24" t="n"/>
      <c r="S3862" s="24" t="n"/>
      <c r="Y3862" s="24" t="n"/>
    </row>
    <row r="3863">
      <c r="O3863" s="23" t="n"/>
      <c r="R3863" s="24" t="n"/>
      <c r="S3863" s="24" t="n"/>
      <c r="Y3863" s="24" t="n"/>
    </row>
    <row r="3864">
      <c r="O3864" s="23" t="n"/>
      <c r="R3864" s="24" t="n"/>
      <c r="S3864" s="24" t="n"/>
      <c r="Y3864" s="24" t="n"/>
    </row>
    <row r="3865">
      <c r="O3865" s="23" t="n"/>
      <c r="R3865" s="24" t="n"/>
      <c r="S3865" s="24" t="n"/>
      <c r="Y3865" s="24" t="n"/>
    </row>
    <row r="3866">
      <c r="O3866" s="23" t="n"/>
      <c r="R3866" s="24" t="n"/>
      <c r="S3866" s="24" t="n"/>
      <c r="Y3866" s="24" t="n"/>
    </row>
    <row r="3867">
      <c r="O3867" s="23" t="n"/>
      <c r="R3867" s="24" t="n"/>
      <c r="S3867" s="24" t="n"/>
      <c r="Y3867" s="24" t="n"/>
    </row>
    <row r="3868">
      <c r="O3868" s="23" t="n"/>
      <c r="R3868" s="24" t="n"/>
      <c r="S3868" s="24" t="n"/>
      <c r="Y3868" s="24" t="n"/>
    </row>
    <row r="3869">
      <c r="O3869" s="23" t="n"/>
      <c r="R3869" s="24" t="n"/>
      <c r="S3869" s="24" t="n"/>
      <c r="Y3869" s="24" t="n"/>
    </row>
    <row r="3870">
      <c r="O3870" s="23" t="n"/>
      <c r="R3870" s="24" t="n"/>
      <c r="S3870" s="24" t="n"/>
      <c r="Y3870" s="24" t="n"/>
    </row>
    <row r="3871">
      <c r="O3871" s="23" t="n"/>
      <c r="R3871" s="24" t="n"/>
      <c r="S3871" s="24" t="n"/>
      <c r="Y3871" s="24" t="n"/>
    </row>
    <row r="3872">
      <c r="O3872" s="23" t="n"/>
      <c r="R3872" s="24" t="n"/>
      <c r="S3872" s="24" t="n"/>
      <c r="Y3872" s="24" t="n"/>
    </row>
    <row r="3873">
      <c r="O3873" s="23" t="n"/>
      <c r="R3873" s="24" t="n"/>
      <c r="S3873" s="24" t="n"/>
      <c r="Y3873" s="24" t="n"/>
    </row>
    <row r="3874">
      <c r="O3874" s="23" t="n"/>
      <c r="R3874" s="24" t="n"/>
      <c r="S3874" s="24" t="n"/>
      <c r="Y3874" s="24" t="n"/>
    </row>
    <row r="3875">
      <c r="O3875" s="23" t="n"/>
      <c r="R3875" s="24" t="n"/>
      <c r="S3875" s="24" t="n"/>
      <c r="Y3875" s="24" t="n"/>
    </row>
    <row r="3876">
      <c r="O3876" s="23" t="n"/>
      <c r="R3876" s="24" t="n"/>
      <c r="S3876" s="24" t="n"/>
      <c r="Y3876" s="24" t="n"/>
    </row>
    <row r="3877">
      <c r="O3877" s="23" t="n"/>
      <c r="R3877" s="24" t="n"/>
      <c r="S3877" s="24" t="n"/>
      <c r="Y3877" s="24" t="n"/>
    </row>
    <row r="3878">
      <c r="O3878" s="23" t="n"/>
      <c r="R3878" s="24" t="n"/>
      <c r="S3878" s="24" t="n"/>
      <c r="Y3878" s="24" t="n"/>
    </row>
    <row r="3879">
      <c r="O3879" s="23" t="n"/>
      <c r="R3879" s="24" t="n"/>
      <c r="S3879" s="24" t="n"/>
      <c r="Y3879" s="24" t="n"/>
    </row>
    <row r="3880">
      <c r="O3880" s="23" t="n"/>
      <c r="R3880" s="24" t="n"/>
      <c r="S3880" s="24" t="n"/>
      <c r="Y3880" s="24" t="n"/>
    </row>
    <row r="3881">
      <c r="O3881" s="23" t="n"/>
      <c r="R3881" s="24" t="n"/>
      <c r="S3881" s="24" t="n"/>
      <c r="Y3881" s="24" t="n"/>
    </row>
    <row r="3882">
      <c r="O3882" s="23" t="n"/>
      <c r="R3882" s="24" t="n"/>
      <c r="S3882" s="24" t="n"/>
      <c r="Y3882" s="24" t="n"/>
    </row>
    <row r="3883">
      <c r="O3883" s="23" t="n"/>
      <c r="R3883" s="24" t="n"/>
      <c r="S3883" s="24" t="n"/>
      <c r="Y3883" s="24" t="n"/>
    </row>
    <row r="3884">
      <c r="O3884" s="23" t="n"/>
      <c r="R3884" s="24" t="n"/>
      <c r="S3884" s="24" t="n"/>
      <c r="Y3884" s="24" t="n"/>
    </row>
    <row r="3885">
      <c r="O3885" s="23" t="n"/>
      <c r="R3885" s="24" t="n"/>
      <c r="S3885" s="24" t="n"/>
      <c r="Y3885" s="24" t="n"/>
    </row>
    <row r="3886">
      <c r="O3886" s="23" t="n"/>
      <c r="R3886" s="24" t="n"/>
      <c r="S3886" s="24" t="n"/>
      <c r="Y3886" s="24" t="n"/>
    </row>
    <row r="3887">
      <c r="O3887" s="23" t="n"/>
      <c r="R3887" s="24" t="n"/>
      <c r="S3887" s="24" t="n"/>
      <c r="Y3887" s="24" t="n"/>
    </row>
    <row r="3888">
      <c r="O3888" s="23" t="n"/>
      <c r="R3888" s="24" t="n"/>
      <c r="S3888" s="24" t="n"/>
      <c r="Y3888" s="24" t="n"/>
    </row>
    <row r="3889">
      <c r="O3889" s="23" t="n"/>
      <c r="R3889" s="24" t="n"/>
      <c r="S3889" s="24" t="n"/>
      <c r="Y3889" s="24" t="n"/>
    </row>
    <row r="3890">
      <c r="O3890" s="23" t="n"/>
      <c r="R3890" s="24" t="n"/>
      <c r="S3890" s="24" t="n"/>
      <c r="Y3890" s="24" t="n"/>
    </row>
    <row r="3891">
      <c r="O3891" s="23" t="n"/>
      <c r="R3891" s="24" t="n"/>
      <c r="S3891" s="24" t="n"/>
      <c r="Y3891" s="24" t="n"/>
    </row>
    <row r="3892">
      <c r="O3892" s="23" t="n"/>
      <c r="R3892" s="24" t="n"/>
      <c r="S3892" s="24" t="n"/>
      <c r="Y3892" s="24" t="n"/>
    </row>
    <row r="3893">
      <c r="O3893" s="23" t="n"/>
      <c r="R3893" s="24" t="n"/>
      <c r="S3893" s="24" t="n"/>
      <c r="Y3893" s="24" t="n"/>
    </row>
    <row r="3894">
      <c r="O3894" s="23" t="n"/>
      <c r="R3894" s="24" t="n"/>
      <c r="S3894" s="24" t="n"/>
      <c r="Y3894" s="24" t="n"/>
    </row>
    <row r="3895">
      <c r="O3895" s="23" t="n"/>
      <c r="R3895" s="24" t="n"/>
      <c r="S3895" s="24" t="n"/>
      <c r="Y3895" s="24" t="n"/>
    </row>
    <row r="3896">
      <c r="O3896" s="23" t="n"/>
      <c r="R3896" s="24" t="n"/>
      <c r="S3896" s="24" t="n"/>
      <c r="Y3896" s="24" t="n"/>
    </row>
    <row r="3897">
      <c r="O3897" s="23" t="n"/>
      <c r="R3897" s="24" t="n"/>
      <c r="S3897" s="24" t="n"/>
      <c r="Y3897" s="24" t="n"/>
    </row>
    <row r="3898">
      <c r="O3898" s="23" t="n"/>
      <c r="R3898" s="24" t="n"/>
      <c r="S3898" s="24" t="n"/>
      <c r="Y3898" s="24" t="n"/>
    </row>
    <row r="3899">
      <c r="O3899" s="23" t="n"/>
      <c r="R3899" s="24" t="n"/>
      <c r="S3899" s="24" t="n"/>
      <c r="Y3899" s="24" t="n"/>
    </row>
    <row r="3900">
      <c r="O3900" s="23" t="n"/>
      <c r="R3900" s="24" t="n"/>
      <c r="S3900" s="24" t="n"/>
      <c r="Y3900" s="24" t="n"/>
    </row>
    <row r="3901">
      <c r="O3901" s="23" t="n"/>
      <c r="R3901" s="24" t="n"/>
      <c r="S3901" s="24" t="n"/>
      <c r="Y3901" s="24" t="n"/>
    </row>
    <row r="3902">
      <c r="O3902" s="23" t="n"/>
      <c r="R3902" s="24" t="n"/>
      <c r="S3902" s="24" t="n"/>
      <c r="Y3902" s="24" t="n"/>
    </row>
    <row r="3903">
      <c r="O3903" s="23" t="n"/>
      <c r="R3903" s="24" t="n"/>
      <c r="S3903" s="24" t="n"/>
      <c r="Y3903" s="24" t="n"/>
    </row>
    <row r="3904">
      <c r="O3904" s="23" t="n"/>
      <c r="R3904" s="24" t="n"/>
      <c r="S3904" s="24" t="n"/>
      <c r="Y3904" s="24" t="n"/>
    </row>
    <row r="3905">
      <c r="O3905" s="23" t="n"/>
      <c r="R3905" s="24" t="n"/>
      <c r="S3905" s="24" t="n"/>
      <c r="Y3905" s="24" t="n"/>
    </row>
    <row r="3906">
      <c r="O3906" s="23" t="n"/>
      <c r="R3906" s="24" t="n"/>
      <c r="S3906" s="24" t="n"/>
      <c r="Y3906" s="24" t="n"/>
    </row>
    <row r="3907">
      <c r="O3907" s="23" t="n"/>
      <c r="R3907" s="24" t="n"/>
      <c r="S3907" s="24" t="n"/>
      <c r="Y3907" s="24" t="n"/>
    </row>
    <row r="3908">
      <c r="O3908" s="23" t="n"/>
      <c r="R3908" s="24" t="n"/>
      <c r="S3908" s="24" t="n"/>
      <c r="Y3908" s="24" t="n"/>
    </row>
    <row r="3909">
      <c r="O3909" s="23" t="n"/>
      <c r="R3909" s="24" t="n"/>
      <c r="S3909" s="24" t="n"/>
      <c r="Y3909" s="24" t="n"/>
    </row>
    <row r="3910">
      <c r="O3910" s="23" t="n"/>
      <c r="R3910" s="24" t="n"/>
      <c r="S3910" s="24" t="n"/>
      <c r="Y3910" s="24" t="n"/>
    </row>
    <row r="3911">
      <c r="O3911" s="23" t="n"/>
      <c r="R3911" s="24" t="n"/>
      <c r="S3911" s="24" t="n"/>
      <c r="Y3911" s="24" t="n"/>
    </row>
    <row r="3912">
      <c r="O3912" s="23" t="n"/>
      <c r="R3912" s="24" t="n"/>
      <c r="S3912" s="24" t="n"/>
      <c r="Y3912" s="24" t="n"/>
    </row>
    <row r="3913">
      <c r="O3913" s="23" t="n"/>
      <c r="R3913" s="24" t="n"/>
      <c r="S3913" s="24" t="n"/>
      <c r="Y3913" s="24" t="n"/>
    </row>
    <row r="3914">
      <c r="O3914" s="23" t="n"/>
      <c r="R3914" s="24" t="n"/>
      <c r="S3914" s="24" t="n"/>
      <c r="Y3914" s="24" t="n"/>
    </row>
    <row r="3915">
      <c r="O3915" s="23" t="n"/>
      <c r="R3915" s="24" t="n"/>
      <c r="S3915" s="24" t="n"/>
      <c r="Y3915" s="24" t="n"/>
    </row>
    <row r="3916">
      <c r="O3916" s="23" t="n"/>
      <c r="R3916" s="24" t="n"/>
      <c r="S3916" s="24" t="n"/>
      <c r="Y3916" s="24" t="n"/>
    </row>
    <row r="3917">
      <c r="O3917" s="23" t="n"/>
      <c r="R3917" s="24" t="n"/>
      <c r="S3917" s="24" t="n"/>
      <c r="Y3917" s="24" t="n"/>
    </row>
    <row r="3918">
      <c r="O3918" s="23" t="n"/>
      <c r="R3918" s="24" t="n"/>
      <c r="S3918" s="24" t="n"/>
      <c r="Y3918" s="24" t="n"/>
    </row>
    <row r="3919">
      <c r="O3919" s="23" t="n"/>
      <c r="R3919" s="24" t="n"/>
      <c r="S3919" s="24" t="n"/>
      <c r="Y3919" s="24" t="n"/>
    </row>
    <row r="3920">
      <c r="O3920" s="23" t="n"/>
      <c r="R3920" s="24" t="n"/>
      <c r="S3920" s="24" t="n"/>
      <c r="Y3920" s="24" t="n"/>
    </row>
    <row r="3921">
      <c r="O3921" s="23" t="n"/>
      <c r="R3921" s="24" t="n"/>
      <c r="S3921" s="24" t="n"/>
      <c r="Y3921" s="24" t="n"/>
    </row>
    <row r="3922">
      <c r="O3922" s="23" t="n"/>
      <c r="R3922" s="24" t="n"/>
      <c r="S3922" s="24" t="n"/>
      <c r="Y3922" s="24" t="n"/>
    </row>
    <row r="3923">
      <c r="O3923" s="23" t="n"/>
      <c r="R3923" s="24" t="n"/>
      <c r="S3923" s="24" t="n"/>
      <c r="Y3923" s="24" t="n"/>
    </row>
    <row r="3924">
      <c r="O3924" s="23" t="n"/>
      <c r="R3924" s="24" t="n"/>
      <c r="S3924" s="24" t="n"/>
      <c r="Y3924" s="24" t="n"/>
    </row>
    <row r="3925">
      <c r="O3925" s="23" t="n"/>
      <c r="R3925" s="24" t="n"/>
      <c r="S3925" s="24" t="n"/>
      <c r="Y3925" s="24" t="n"/>
    </row>
    <row r="3926">
      <c r="O3926" s="23" t="n"/>
      <c r="R3926" s="24" t="n"/>
      <c r="S3926" s="24" t="n"/>
      <c r="Y3926" s="24" t="n"/>
    </row>
    <row r="3927">
      <c r="O3927" s="23" t="n"/>
      <c r="R3927" s="24" t="n"/>
      <c r="S3927" s="24" t="n"/>
      <c r="Y3927" s="24" t="n"/>
    </row>
    <row r="3928">
      <c r="O3928" s="23" t="n"/>
      <c r="R3928" s="24" t="n"/>
      <c r="S3928" s="24" t="n"/>
      <c r="Y3928" s="24" t="n"/>
    </row>
    <row r="3929">
      <c r="O3929" s="23" t="n"/>
      <c r="R3929" s="24" t="n"/>
      <c r="S3929" s="24" t="n"/>
      <c r="Y3929" s="24" t="n"/>
    </row>
    <row r="3930">
      <c r="O3930" s="23" t="n"/>
      <c r="R3930" s="24" t="n"/>
      <c r="S3930" s="24" t="n"/>
      <c r="Y3930" s="24" t="n"/>
    </row>
    <row r="3931">
      <c r="O3931" s="23" t="n"/>
      <c r="R3931" s="24" t="n"/>
      <c r="S3931" s="24" t="n"/>
      <c r="Y3931" s="24" t="n"/>
    </row>
    <row r="3932">
      <c r="O3932" s="23" t="n"/>
      <c r="R3932" s="24" t="n"/>
      <c r="S3932" s="24" t="n"/>
      <c r="Y3932" s="24" t="n"/>
    </row>
    <row r="3933">
      <c r="O3933" s="23" t="n"/>
      <c r="R3933" s="24" t="n"/>
      <c r="S3933" s="24" t="n"/>
      <c r="Y3933" s="24" t="n"/>
    </row>
    <row r="3934">
      <c r="O3934" s="23" t="n"/>
      <c r="R3934" s="24" t="n"/>
      <c r="S3934" s="24" t="n"/>
      <c r="Y3934" s="24" t="n"/>
    </row>
    <row r="3935">
      <c r="O3935" s="23" t="n"/>
      <c r="R3935" s="24" t="n"/>
      <c r="S3935" s="24" t="n"/>
      <c r="Y3935" s="24" t="n"/>
    </row>
    <row r="3936">
      <c r="O3936" s="23" t="n"/>
      <c r="R3936" s="24" t="n"/>
      <c r="S3936" s="24" t="n"/>
      <c r="Y3936" s="24" t="n"/>
    </row>
    <row r="3937">
      <c r="O3937" s="23" t="n"/>
      <c r="R3937" s="24" t="n"/>
      <c r="S3937" s="24" t="n"/>
      <c r="Y3937" s="24" t="n"/>
    </row>
    <row r="3938">
      <c r="O3938" s="23" t="n"/>
      <c r="R3938" s="24" t="n"/>
      <c r="S3938" s="24" t="n"/>
      <c r="Y3938" s="24" t="n"/>
    </row>
    <row r="3939">
      <c r="O3939" s="23" t="n"/>
      <c r="R3939" s="24" t="n"/>
      <c r="S3939" s="24" t="n"/>
      <c r="Y3939" s="24" t="n"/>
    </row>
    <row r="3940">
      <c r="O3940" s="23" t="n"/>
      <c r="R3940" s="24" t="n"/>
      <c r="S3940" s="24" t="n"/>
      <c r="Y3940" s="24" t="n"/>
    </row>
    <row r="3941">
      <c r="O3941" s="23" t="n"/>
      <c r="R3941" s="24" t="n"/>
      <c r="S3941" s="24" t="n"/>
      <c r="Y3941" s="24" t="n"/>
    </row>
    <row r="3942">
      <c r="O3942" s="23" t="n"/>
      <c r="R3942" s="24" t="n"/>
      <c r="S3942" s="24" t="n"/>
      <c r="Y3942" s="24" t="n"/>
    </row>
    <row r="3943">
      <c r="O3943" s="23" t="n"/>
      <c r="R3943" s="24" t="n"/>
      <c r="S3943" s="24" t="n"/>
      <c r="Y3943" s="24" t="n"/>
    </row>
    <row r="3944">
      <c r="O3944" s="23" t="n"/>
      <c r="R3944" s="24" t="n"/>
      <c r="S3944" s="24" t="n"/>
      <c r="Y3944" s="24" t="n"/>
    </row>
    <row r="3945">
      <c r="O3945" s="23" t="n"/>
      <c r="R3945" s="24" t="n"/>
      <c r="S3945" s="24" t="n"/>
      <c r="Y3945" s="24" t="n"/>
    </row>
    <row r="3946">
      <c r="O3946" s="23" t="n"/>
      <c r="R3946" s="24" t="n"/>
      <c r="S3946" s="24" t="n"/>
      <c r="Y3946" s="24" t="n"/>
    </row>
    <row r="3947">
      <c r="O3947" s="23" t="n"/>
      <c r="R3947" s="24" t="n"/>
      <c r="S3947" s="24" t="n"/>
      <c r="Y3947" s="24" t="n"/>
    </row>
    <row r="3948">
      <c r="O3948" s="23" t="n"/>
      <c r="R3948" s="24" t="n"/>
      <c r="S3948" s="24" t="n"/>
      <c r="Y3948" s="24" t="n"/>
    </row>
    <row r="3949">
      <c r="O3949" s="23" t="n"/>
      <c r="R3949" s="24" t="n"/>
      <c r="S3949" s="24" t="n"/>
      <c r="Y3949" s="24" t="n"/>
    </row>
    <row r="3950">
      <c r="O3950" s="23" t="n"/>
      <c r="R3950" s="24" t="n"/>
      <c r="S3950" s="24" t="n"/>
      <c r="Y3950" s="24" t="n"/>
    </row>
    <row r="3951">
      <c r="O3951" s="23" t="n"/>
      <c r="R3951" s="24" t="n"/>
      <c r="S3951" s="24" t="n"/>
      <c r="Y3951" s="24" t="n"/>
    </row>
    <row r="3952">
      <c r="O3952" s="23" t="n"/>
      <c r="R3952" s="24" t="n"/>
      <c r="S3952" s="24" t="n"/>
      <c r="Y3952" s="24" t="n"/>
    </row>
    <row r="3953">
      <c r="O3953" s="23" t="n"/>
      <c r="R3953" s="24" t="n"/>
      <c r="S3953" s="24" t="n"/>
      <c r="Y3953" s="24" t="n"/>
    </row>
    <row r="3954">
      <c r="O3954" s="23" t="n"/>
      <c r="R3954" s="24" t="n"/>
      <c r="S3954" s="24" t="n"/>
      <c r="Y3954" s="24" t="n"/>
    </row>
    <row r="3955">
      <c r="O3955" s="23" t="n"/>
      <c r="R3955" s="24" t="n"/>
      <c r="S3955" s="24" t="n"/>
      <c r="Y3955" s="24" t="n"/>
    </row>
    <row r="3956">
      <c r="O3956" s="23" t="n"/>
      <c r="R3956" s="24" t="n"/>
      <c r="S3956" s="24" t="n"/>
      <c r="Y3956" s="24" t="n"/>
    </row>
    <row r="3957">
      <c r="O3957" s="23" t="n"/>
      <c r="R3957" s="24" t="n"/>
      <c r="S3957" s="24" t="n"/>
      <c r="Y3957" s="24" t="n"/>
    </row>
    <row r="3958">
      <c r="O3958" s="23" t="n"/>
      <c r="R3958" s="24" t="n"/>
      <c r="S3958" s="24" t="n"/>
      <c r="Y3958" s="24" t="n"/>
    </row>
    <row r="3959">
      <c r="O3959" s="23" t="n"/>
      <c r="R3959" s="24" t="n"/>
      <c r="S3959" s="24" t="n"/>
      <c r="Y3959" s="24" t="n"/>
    </row>
    <row r="3960">
      <c r="O3960" s="23" t="n"/>
      <c r="R3960" s="24" t="n"/>
      <c r="S3960" s="24" t="n"/>
      <c r="Y3960" s="24" t="n"/>
    </row>
    <row r="3961">
      <c r="O3961" s="23" t="n"/>
      <c r="R3961" s="24" t="n"/>
      <c r="S3961" s="24" t="n"/>
      <c r="Y3961" s="24" t="n"/>
    </row>
    <row r="3962">
      <c r="O3962" s="23" t="n"/>
      <c r="R3962" s="24" t="n"/>
      <c r="S3962" s="24" t="n"/>
      <c r="Y3962" s="24" t="n"/>
    </row>
    <row r="3963">
      <c r="O3963" s="23" t="n"/>
      <c r="R3963" s="24" t="n"/>
      <c r="S3963" s="24" t="n"/>
      <c r="Y3963" s="24" t="n"/>
    </row>
    <row r="3964">
      <c r="O3964" s="23" t="n"/>
      <c r="R3964" s="24" t="n"/>
      <c r="S3964" s="24" t="n"/>
      <c r="Y3964" s="24" t="n"/>
    </row>
    <row r="3965">
      <c r="O3965" s="23" t="n"/>
      <c r="R3965" s="24" t="n"/>
      <c r="S3965" s="24" t="n"/>
      <c r="Y3965" s="24" t="n"/>
    </row>
    <row r="3966">
      <c r="O3966" s="23" t="n"/>
      <c r="R3966" s="24" t="n"/>
      <c r="S3966" s="24" t="n"/>
      <c r="Y3966" s="24" t="n"/>
    </row>
    <row r="3967">
      <c r="O3967" s="23" t="n"/>
      <c r="R3967" s="24" t="n"/>
      <c r="S3967" s="24" t="n"/>
      <c r="Y3967" s="24" t="n"/>
    </row>
    <row r="3968">
      <c r="O3968" s="23" t="n"/>
      <c r="R3968" s="24" t="n"/>
      <c r="S3968" s="24" t="n"/>
      <c r="Y3968" s="24" t="n"/>
    </row>
    <row r="3969">
      <c r="O3969" s="23" t="n"/>
      <c r="R3969" s="24" t="n"/>
      <c r="S3969" s="24" t="n"/>
      <c r="Y3969" s="24" t="n"/>
    </row>
    <row r="3970">
      <c r="O3970" s="23" t="n"/>
      <c r="R3970" s="24" t="n"/>
      <c r="S3970" s="24" t="n"/>
      <c r="Y3970" s="24" t="n"/>
    </row>
    <row r="3971">
      <c r="O3971" s="23" t="n"/>
      <c r="R3971" s="24" t="n"/>
      <c r="S3971" s="24" t="n"/>
      <c r="Y3971" s="24" t="n"/>
    </row>
    <row r="3972">
      <c r="O3972" s="23" t="n"/>
      <c r="R3972" s="24" t="n"/>
      <c r="S3972" s="24" t="n"/>
      <c r="Y3972" s="24" t="n"/>
    </row>
    <row r="3973">
      <c r="O3973" s="23" t="n"/>
      <c r="R3973" s="24" t="n"/>
      <c r="S3973" s="24" t="n"/>
      <c r="Y3973" s="24" t="n"/>
    </row>
    <row r="3974">
      <c r="O3974" s="23" t="n"/>
      <c r="R3974" s="24" t="n"/>
      <c r="S3974" s="24" t="n"/>
      <c r="Y3974" s="24" t="n"/>
    </row>
    <row r="3975">
      <c r="O3975" s="23" t="n"/>
      <c r="R3975" s="24" t="n"/>
      <c r="S3975" s="24" t="n"/>
      <c r="Y3975" s="24" t="n"/>
    </row>
    <row r="3976">
      <c r="O3976" s="23" t="n"/>
      <c r="R3976" s="24" t="n"/>
      <c r="S3976" s="24" t="n"/>
      <c r="Y3976" s="24" t="n"/>
    </row>
    <row r="3977">
      <c r="O3977" s="23" t="n"/>
      <c r="R3977" s="24" t="n"/>
      <c r="S3977" s="24" t="n"/>
      <c r="Y3977" s="24" t="n"/>
    </row>
    <row r="3978">
      <c r="O3978" s="23" t="n"/>
      <c r="R3978" s="24" t="n"/>
      <c r="S3978" s="24" t="n"/>
      <c r="Y3978" s="24" t="n"/>
    </row>
    <row r="3979">
      <c r="O3979" s="23" t="n"/>
      <c r="R3979" s="24" t="n"/>
      <c r="S3979" s="24" t="n"/>
      <c r="Y3979" s="24" t="n"/>
    </row>
    <row r="3980">
      <c r="O3980" s="23" t="n"/>
      <c r="R3980" s="24" t="n"/>
      <c r="S3980" s="24" t="n"/>
      <c r="Y3980" s="24" t="n"/>
    </row>
    <row r="3981">
      <c r="O3981" s="23" t="n"/>
      <c r="R3981" s="24" t="n"/>
      <c r="S3981" s="24" t="n"/>
      <c r="Y3981" s="24" t="n"/>
    </row>
    <row r="3982">
      <c r="O3982" s="23" t="n"/>
      <c r="R3982" s="24" t="n"/>
      <c r="S3982" s="24" t="n"/>
      <c r="Y3982" s="24" t="n"/>
    </row>
    <row r="3983">
      <c r="O3983" s="23" t="n"/>
      <c r="R3983" s="24" t="n"/>
      <c r="S3983" s="24" t="n"/>
      <c r="Y3983" s="24" t="n"/>
    </row>
    <row r="3984">
      <c r="O3984" s="23" t="n"/>
      <c r="R3984" s="24" t="n"/>
      <c r="S3984" s="24" t="n"/>
      <c r="Y3984" s="24" t="n"/>
    </row>
    <row r="3985">
      <c r="O3985" s="23" t="n"/>
      <c r="R3985" s="24" t="n"/>
      <c r="S3985" s="24" t="n"/>
      <c r="Y3985" s="24" t="n"/>
    </row>
    <row r="3986">
      <c r="O3986" s="23" t="n"/>
      <c r="R3986" s="24" t="n"/>
      <c r="S3986" s="24" t="n"/>
      <c r="Y3986" s="24" t="n"/>
    </row>
    <row r="3987">
      <c r="O3987" s="23" t="n"/>
      <c r="R3987" s="24" t="n"/>
      <c r="S3987" s="24" t="n"/>
      <c r="Y3987" s="24" t="n"/>
    </row>
    <row r="3988">
      <c r="O3988" s="23" t="n"/>
      <c r="R3988" s="24" t="n"/>
      <c r="S3988" s="24" t="n"/>
      <c r="Y3988" s="24" t="n"/>
    </row>
    <row r="3989">
      <c r="O3989" s="23" t="n"/>
      <c r="R3989" s="24" t="n"/>
      <c r="S3989" s="24" t="n"/>
      <c r="Y3989" s="24" t="n"/>
    </row>
    <row r="3990">
      <c r="O3990" s="23" t="n"/>
      <c r="R3990" s="24" t="n"/>
      <c r="S3990" s="24" t="n"/>
      <c r="Y3990" s="24" t="n"/>
    </row>
    <row r="3991">
      <c r="O3991" s="23" t="n"/>
      <c r="R3991" s="24" t="n"/>
      <c r="S3991" s="24" t="n"/>
      <c r="Y3991" s="24" t="n"/>
    </row>
    <row r="3992">
      <c r="O3992" s="23" t="n"/>
      <c r="R3992" s="24" t="n"/>
      <c r="S3992" s="24" t="n"/>
      <c r="Y3992" s="24" t="n"/>
    </row>
    <row r="3993">
      <c r="O3993" s="23" t="n"/>
      <c r="R3993" s="24" t="n"/>
      <c r="S3993" s="24" t="n"/>
      <c r="Y3993" s="24" t="n"/>
    </row>
    <row r="3994">
      <c r="O3994" s="23" t="n"/>
      <c r="R3994" s="24" t="n"/>
      <c r="S3994" s="24" t="n"/>
      <c r="Y3994" s="24" t="n"/>
    </row>
    <row r="3995">
      <c r="O3995" s="23" t="n"/>
      <c r="R3995" s="24" t="n"/>
      <c r="S3995" s="24" t="n"/>
      <c r="Y3995" s="24" t="n"/>
    </row>
    <row r="3996">
      <c r="O3996" s="23" t="n"/>
      <c r="R3996" s="24" t="n"/>
      <c r="S3996" s="24" t="n"/>
      <c r="Y3996" s="24" t="n"/>
    </row>
    <row r="3997">
      <c r="O3997" s="23" t="n"/>
      <c r="R3997" s="24" t="n"/>
      <c r="S3997" s="24" t="n"/>
      <c r="Y3997" s="24" t="n"/>
    </row>
    <row r="3998">
      <c r="O3998" s="23" t="n"/>
      <c r="R3998" s="24" t="n"/>
      <c r="S3998" s="24" t="n"/>
      <c r="Y3998" s="24" t="n"/>
    </row>
    <row r="3999">
      <c r="O3999" s="23" t="n"/>
      <c r="R3999" s="24" t="n"/>
      <c r="S3999" s="24" t="n"/>
      <c r="Y3999" s="24" t="n"/>
    </row>
    <row r="4000">
      <c r="O4000" s="23" t="n"/>
      <c r="R4000" s="24" t="n"/>
      <c r="S4000" s="24" t="n"/>
      <c r="Y4000" s="24" t="n"/>
    </row>
    <row r="4001">
      <c r="O4001" s="23" t="n"/>
      <c r="R4001" s="24" t="n"/>
      <c r="S4001" s="24" t="n"/>
      <c r="Y4001" s="24" t="n"/>
    </row>
    <row r="4002">
      <c r="O4002" s="23" t="n"/>
      <c r="R4002" s="24" t="n"/>
      <c r="S4002" s="24" t="n"/>
      <c r="Y4002" s="24" t="n"/>
    </row>
    <row r="4003">
      <c r="O4003" s="23" t="n"/>
      <c r="R4003" s="24" t="n"/>
      <c r="S4003" s="24" t="n"/>
      <c r="Y4003" s="24" t="n"/>
    </row>
    <row r="4004">
      <c r="O4004" s="23" t="n"/>
      <c r="R4004" s="24" t="n"/>
      <c r="S4004" s="24" t="n"/>
      <c r="Y4004" s="24" t="n"/>
    </row>
    <row r="4005">
      <c r="O4005" s="23" t="n"/>
      <c r="R4005" s="24" t="n"/>
      <c r="S4005" s="24" t="n"/>
      <c r="Y4005" s="24" t="n"/>
    </row>
    <row r="4006">
      <c r="O4006" s="23" t="n"/>
      <c r="R4006" s="24" t="n"/>
      <c r="S4006" s="24" t="n"/>
      <c r="Y4006" s="24" t="n"/>
    </row>
    <row r="4007">
      <c r="O4007" s="23" t="n"/>
      <c r="R4007" s="24" t="n"/>
      <c r="S4007" s="24" t="n"/>
      <c r="Y4007" s="24" t="n"/>
    </row>
    <row r="4008">
      <c r="O4008" s="23" t="n"/>
      <c r="R4008" s="24" t="n"/>
      <c r="S4008" s="24" t="n"/>
      <c r="Y4008" s="24" t="n"/>
    </row>
    <row r="4009">
      <c r="O4009" s="23" t="n"/>
      <c r="R4009" s="24" t="n"/>
      <c r="S4009" s="24" t="n"/>
      <c r="Y4009" s="24" t="n"/>
    </row>
    <row r="4010">
      <c r="O4010" s="23" t="n"/>
      <c r="R4010" s="24" t="n"/>
      <c r="S4010" s="24" t="n"/>
      <c r="Y4010" s="24" t="n"/>
    </row>
    <row r="4011">
      <c r="O4011" s="23" t="n"/>
      <c r="R4011" s="24" t="n"/>
      <c r="S4011" s="24" t="n"/>
      <c r="Y4011" s="24" t="n"/>
    </row>
    <row r="4012">
      <c r="O4012" s="23" t="n"/>
      <c r="R4012" s="24" t="n"/>
      <c r="S4012" s="24" t="n"/>
      <c r="Y4012" s="24" t="n"/>
    </row>
    <row r="4013">
      <c r="O4013" s="23" t="n"/>
      <c r="R4013" s="24" t="n"/>
      <c r="S4013" s="24" t="n"/>
      <c r="Y4013" s="24" t="n"/>
    </row>
    <row r="4014">
      <c r="O4014" s="23" t="n"/>
      <c r="R4014" s="24" t="n"/>
      <c r="S4014" s="24" t="n"/>
      <c r="Y4014" s="24" t="n"/>
    </row>
    <row r="4015">
      <c r="O4015" s="23" t="n"/>
      <c r="R4015" s="24" t="n"/>
      <c r="S4015" s="24" t="n"/>
      <c r="Y4015" s="24" t="n"/>
    </row>
    <row r="4016">
      <c r="O4016" s="23" t="n"/>
      <c r="R4016" s="24" t="n"/>
      <c r="S4016" s="24" t="n"/>
      <c r="Y4016" s="24" t="n"/>
    </row>
    <row r="4017">
      <c r="O4017" s="23" t="n"/>
      <c r="R4017" s="24" t="n"/>
      <c r="S4017" s="24" t="n"/>
      <c r="Y4017" s="24" t="n"/>
    </row>
    <row r="4018">
      <c r="O4018" s="23" t="n"/>
      <c r="R4018" s="24" t="n"/>
      <c r="S4018" s="24" t="n"/>
      <c r="Y4018" s="24" t="n"/>
    </row>
    <row r="4019">
      <c r="O4019" s="23" t="n"/>
      <c r="R4019" s="24" t="n"/>
      <c r="S4019" s="24" t="n"/>
      <c r="Y4019" s="24" t="n"/>
    </row>
    <row r="4020">
      <c r="O4020" s="23" t="n"/>
      <c r="R4020" s="24" t="n"/>
      <c r="S4020" s="24" t="n"/>
      <c r="Y4020" s="24" t="n"/>
    </row>
    <row r="4021">
      <c r="O4021" s="23" t="n"/>
      <c r="R4021" s="24" t="n"/>
      <c r="S4021" s="24" t="n"/>
      <c r="Y4021" s="24" t="n"/>
    </row>
    <row r="4022">
      <c r="O4022" s="23" t="n"/>
      <c r="R4022" s="24" t="n"/>
      <c r="S4022" s="24" t="n"/>
      <c r="Y4022" s="24" t="n"/>
    </row>
    <row r="4023">
      <c r="O4023" s="23" t="n"/>
      <c r="R4023" s="24" t="n"/>
      <c r="S4023" s="24" t="n"/>
      <c r="Y4023" s="24" t="n"/>
    </row>
    <row r="4024">
      <c r="O4024" s="23" t="n"/>
      <c r="R4024" s="24" t="n"/>
      <c r="S4024" s="24" t="n"/>
      <c r="Y4024" s="24" t="n"/>
    </row>
    <row r="4025">
      <c r="O4025" s="23" t="n"/>
      <c r="R4025" s="24" t="n"/>
      <c r="S4025" s="24" t="n"/>
      <c r="Y4025" s="24" t="n"/>
    </row>
    <row r="4026">
      <c r="O4026" s="23" t="n"/>
      <c r="R4026" s="24" t="n"/>
      <c r="S4026" s="24" t="n"/>
      <c r="Y4026" s="24" t="n"/>
    </row>
    <row r="4027">
      <c r="O4027" s="23" t="n"/>
      <c r="R4027" s="24" t="n"/>
      <c r="S4027" s="24" t="n"/>
      <c r="Y4027" s="24" t="n"/>
    </row>
    <row r="4028">
      <c r="O4028" s="23" t="n"/>
      <c r="R4028" s="24" t="n"/>
      <c r="S4028" s="24" t="n"/>
      <c r="Y4028" s="24" t="n"/>
    </row>
    <row r="4029">
      <c r="O4029" s="23" t="n"/>
      <c r="R4029" s="24" t="n"/>
      <c r="S4029" s="24" t="n"/>
      <c r="Y4029" s="24" t="n"/>
    </row>
    <row r="4030">
      <c r="O4030" s="23" t="n"/>
      <c r="R4030" s="24" t="n"/>
      <c r="S4030" s="24" t="n"/>
      <c r="Y4030" s="24" t="n"/>
    </row>
    <row r="4031">
      <c r="O4031" s="23" t="n"/>
      <c r="R4031" s="24" t="n"/>
      <c r="S4031" s="24" t="n"/>
      <c r="Y4031" s="24" t="n"/>
    </row>
    <row r="4032">
      <c r="O4032" s="23" t="n"/>
      <c r="R4032" s="24" t="n"/>
      <c r="S4032" s="24" t="n"/>
      <c r="Y4032" s="24" t="n"/>
    </row>
    <row r="4033">
      <c r="O4033" s="23" t="n"/>
      <c r="R4033" s="24" t="n"/>
      <c r="S4033" s="24" t="n"/>
      <c r="Y4033" s="24" t="n"/>
    </row>
    <row r="4034">
      <c r="O4034" s="23" t="n"/>
      <c r="R4034" s="24" t="n"/>
      <c r="S4034" s="24" t="n"/>
      <c r="Y4034" s="24" t="n"/>
    </row>
    <row r="4035">
      <c r="O4035" s="23" t="n"/>
      <c r="R4035" s="24" t="n"/>
      <c r="S4035" s="24" t="n"/>
      <c r="Y4035" s="24" t="n"/>
    </row>
    <row r="4036">
      <c r="O4036" s="23" t="n"/>
      <c r="R4036" s="24" t="n"/>
      <c r="S4036" s="24" t="n"/>
      <c r="Y4036" s="24" t="n"/>
    </row>
    <row r="4037">
      <c r="O4037" s="23" t="n"/>
      <c r="R4037" s="24" t="n"/>
      <c r="S4037" s="24" t="n"/>
      <c r="Y4037" s="24" t="n"/>
    </row>
    <row r="4038">
      <c r="O4038" s="23" t="n"/>
      <c r="R4038" s="24" t="n"/>
      <c r="S4038" s="24" t="n"/>
      <c r="Y4038" s="24" t="n"/>
    </row>
    <row r="4039">
      <c r="O4039" s="23" t="n"/>
      <c r="R4039" s="24" t="n"/>
      <c r="S4039" s="24" t="n"/>
      <c r="Y4039" s="24" t="n"/>
    </row>
    <row r="4040">
      <c r="O4040" s="23" t="n"/>
      <c r="R4040" s="24" t="n"/>
      <c r="S4040" s="24" t="n"/>
      <c r="Y4040" s="24" t="n"/>
    </row>
    <row r="4041">
      <c r="O4041" s="23" t="n"/>
      <c r="R4041" s="24" t="n"/>
      <c r="S4041" s="24" t="n"/>
      <c r="Y4041" s="24" t="n"/>
    </row>
    <row r="4042">
      <c r="O4042" s="23" t="n"/>
      <c r="R4042" s="24" t="n"/>
      <c r="S4042" s="24" t="n"/>
      <c r="Y4042" s="24" t="n"/>
    </row>
    <row r="4043">
      <c r="O4043" s="23" t="n"/>
      <c r="R4043" s="24" t="n"/>
      <c r="S4043" s="24" t="n"/>
      <c r="Y4043" s="24" t="n"/>
    </row>
    <row r="4044">
      <c r="O4044" s="23" t="n"/>
      <c r="R4044" s="24" t="n"/>
      <c r="S4044" s="24" t="n"/>
      <c r="Y4044" s="24" t="n"/>
    </row>
    <row r="4045">
      <c r="O4045" s="23" t="n"/>
      <c r="R4045" s="24" t="n"/>
      <c r="S4045" s="24" t="n"/>
      <c r="Y4045" s="24" t="n"/>
    </row>
    <row r="4046">
      <c r="O4046" s="23" t="n"/>
      <c r="R4046" s="24" t="n"/>
      <c r="S4046" s="24" t="n"/>
      <c r="Y4046" s="24" t="n"/>
    </row>
    <row r="4047">
      <c r="O4047" s="23" t="n"/>
      <c r="R4047" s="24" t="n"/>
      <c r="S4047" s="24" t="n"/>
      <c r="Y4047" s="24" t="n"/>
    </row>
    <row r="4048">
      <c r="O4048" s="23" t="n"/>
      <c r="R4048" s="24" t="n"/>
      <c r="S4048" s="24" t="n"/>
      <c r="Y4048" s="24" t="n"/>
    </row>
    <row r="4049">
      <c r="O4049" s="23" t="n"/>
      <c r="R4049" s="24" t="n"/>
      <c r="S4049" s="24" t="n"/>
      <c r="Y4049" s="24" t="n"/>
    </row>
    <row r="4050">
      <c r="O4050" s="23" t="n"/>
      <c r="R4050" s="24" t="n"/>
      <c r="S4050" s="24" t="n"/>
      <c r="Y4050" s="24" t="n"/>
    </row>
    <row r="4051">
      <c r="O4051" s="23" t="n"/>
      <c r="R4051" s="24" t="n"/>
      <c r="S4051" s="24" t="n"/>
      <c r="Y4051" s="24" t="n"/>
    </row>
    <row r="4052">
      <c r="O4052" s="23" t="n"/>
      <c r="R4052" s="24" t="n"/>
      <c r="S4052" s="24" t="n"/>
      <c r="Y4052" s="24" t="n"/>
    </row>
    <row r="4053">
      <c r="O4053" s="23" t="n"/>
      <c r="R4053" s="24" t="n"/>
      <c r="S4053" s="24" t="n"/>
      <c r="Y4053" s="24" t="n"/>
    </row>
    <row r="4054">
      <c r="O4054" s="23" t="n"/>
      <c r="R4054" s="24" t="n"/>
      <c r="S4054" s="24" t="n"/>
      <c r="Y4054" s="24" t="n"/>
    </row>
    <row r="4055">
      <c r="O4055" s="23" t="n"/>
      <c r="R4055" s="24" t="n"/>
      <c r="S4055" s="24" t="n"/>
      <c r="Y4055" s="24" t="n"/>
    </row>
    <row r="4056">
      <c r="O4056" s="23" t="n"/>
      <c r="R4056" s="24" t="n"/>
      <c r="S4056" s="24" t="n"/>
      <c r="Y4056" s="24" t="n"/>
    </row>
    <row r="4057">
      <c r="O4057" s="23" t="n"/>
      <c r="R4057" s="24" t="n"/>
      <c r="S4057" s="24" t="n"/>
      <c r="Y4057" s="24" t="n"/>
    </row>
    <row r="4058">
      <c r="O4058" s="23" t="n"/>
      <c r="R4058" s="24" t="n"/>
      <c r="S4058" s="24" t="n"/>
      <c r="Y4058" s="24" t="n"/>
    </row>
    <row r="4059">
      <c r="O4059" s="23" t="n"/>
      <c r="R4059" s="24" t="n"/>
      <c r="S4059" s="24" t="n"/>
      <c r="Y4059" s="24" t="n"/>
    </row>
    <row r="4060">
      <c r="O4060" s="23" t="n"/>
      <c r="R4060" s="24" t="n"/>
      <c r="S4060" s="24" t="n"/>
      <c r="Y4060" s="24" t="n"/>
    </row>
    <row r="4061">
      <c r="O4061" s="23" t="n"/>
      <c r="R4061" s="24" t="n"/>
      <c r="S4061" s="24" t="n"/>
      <c r="Y4061" s="24" t="n"/>
    </row>
    <row r="4062">
      <c r="O4062" s="23" t="n"/>
      <c r="R4062" s="24" t="n"/>
      <c r="S4062" s="24" t="n"/>
      <c r="Y4062" s="24" t="n"/>
    </row>
    <row r="4063">
      <c r="O4063" s="23" t="n"/>
      <c r="R4063" s="24" t="n"/>
      <c r="S4063" s="24" t="n"/>
      <c r="Y4063" s="24" t="n"/>
    </row>
    <row r="4064">
      <c r="O4064" s="23" t="n"/>
      <c r="R4064" s="24" t="n"/>
      <c r="S4064" s="24" t="n"/>
      <c r="Y4064" s="24" t="n"/>
    </row>
    <row r="4065">
      <c r="O4065" s="23" t="n"/>
      <c r="R4065" s="24" t="n"/>
      <c r="S4065" s="24" t="n"/>
      <c r="Y4065" s="24" t="n"/>
    </row>
    <row r="4066">
      <c r="O4066" s="23" t="n"/>
      <c r="R4066" s="24" t="n"/>
      <c r="S4066" s="24" t="n"/>
      <c r="Y4066" s="24" t="n"/>
    </row>
    <row r="4067">
      <c r="O4067" s="23" t="n"/>
      <c r="R4067" s="24" t="n"/>
      <c r="S4067" s="24" t="n"/>
      <c r="Y4067" s="24" t="n"/>
    </row>
    <row r="4068">
      <c r="O4068" s="23" t="n"/>
      <c r="R4068" s="24" t="n"/>
      <c r="S4068" s="24" t="n"/>
      <c r="Y4068" s="24" t="n"/>
    </row>
    <row r="4069">
      <c r="O4069" s="23" t="n"/>
      <c r="R4069" s="24" t="n"/>
      <c r="S4069" s="24" t="n"/>
      <c r="Y4069" s="24" t="n"/>
    </row>
    <row r="4070">
      <c r="O4070" s="23" t="n"/>
      <c r="R4070" s="24" t="n"/>
      <c r="S4070" s="24" t="n"/>
      <c r="Y4070" s="24" t="n"/>
    </row>
    <row r="4071">
      <c r="O4071" s="23" t="n"/>
      <c r="R4071" s="24" t="n"/>
      <c r="S4071" s="24" t="n"/>
      <c r="Y4071" s="24" t="n"/>
    </row>
    <row r="4072">
      <c r="O4072" s="23" t="n"/>
      <c r="R4072" s="24" t="n"/>
      <c r="S4072" s="24" t="n"/>
      <c r="Y4072" s="24" t="n"/>
    </row>
    <row r="4073">
      <c r="O4073" s="23" t="n"/>
      <c r="R4073" s="24" t="n"/>
      <c r="S4073" s="24" t="n"/>
      <c r="Y4073" s="24" t="n"/>
    </row>
    <row r="4074">
      <c r="O4074" s="23" t="n"/>
      <c r="R4074" s="24" t="n"/>
      <c r="S4074" s="24" t="n"/>
      <c r="Y4074" s="24" t="n"/>
    </row>
    <row r="4075">
      <c r="O4075" s="23" t="n"/>
      <c r="R4075" s="24" t="n"/>
      <c r="S4075" s="24" t="n"/>
      <c r="Y4075" s="24" t="n"/>
    </row>
    <row r="4076">
      <c r="O4076" s="23" t="n"/>
      <c r="R4076" s="24" t="n"/>
      <c r="S4076" s="24" t="n"/>
      <c r="Y4076" s="24" t="n"/>
    </row>
    <row r="4077">
      <c r="O4077" s="23" t="n"/>
      <c r="R4077" s="24" t="n"/>
      <c r="S4077" s="24" t="n"/>
      <c r="Y4077" s="24" t="n"/>
    </row>
    <row r="4078">
      <c r="O4078" s="23" t="n"/>
      <c r="R4078" s="24" t="n"/>
      <c r="S4078" s="24" t="n"/>
      <c r="Y4078" s="24" t="n"/>
    </row>
    <row r="4079">
      <c r="O4079" s="23" t="n"/>
      <c r="R4079" s="24" t="n"/>
      <c r="S4079" s="24" t="n"/>
      <c r="Y4079" s="24" t="n"/>
    </row>
    <row r="4080">
      <c r="O4080" s="23" t="n"/>
      <c r="R4080" s="24" t="n"/>
      <c r="S4080" s="24" t="n"/>
      <c r="Y4080" s="24" t="n"/>
    </row>
    <row r="4081">
      <c r="O4081" s="23" t="n"/>
      <c r="R4081" s="24" t="n"/>
      <c r="S4081" s="24" t="n"/>
      <c r="Y4081" s="24" t="n"/>
    </row>
    <row r="4082">
      <c r="O4082" s="23" t="n"/>
      <c r="R4082" s="24" t="n"/>
      <c r="S4082" s="24" t="n"/>
      <c r="Y4082" s="24" t="n"/>
    </row>
    <row r="4083">
      <c r="O4083" s="23" t="n"/>
      <c r="R4083" s="24" t="n"/>
      <c r="S4083" s="24" t="n"/>
      <c r="Y4083" s="24" t="n"/>
    </row>
    <row r="4084">
      <c r="O4084" s="23" t="n"/>
      <c r="R4084" s="24" t="n"/>
      <c r="S4084" s="24" t="n"/>
      <c r="Y4084" s="24" t="n"/>
    </row>
    <row r="4085">
      <c r="O4085" s="23" t="n"/>
      <c r="R4085" s="24" t="n"/>
      <c r="S4085" s="24" t="n"/>
      <c r="Y4085" s="24" t="n"/>
    </row>
    <row r="4086">
      <c r="O4086" s="23" t="n"/>
      <c r="R4086" s="24" t="n"/>
      <c r="S4086" s="24" t="n"/>
      <c r="Y4086" s="24" t="n"/>
    </row>
    <row r="4087">
      <c r="O4087" s="23" t="n"/>
      <c r="R4087" s="24" t="n"/>
      <c r="S4087" s="24" t="n"/>
      <c r="Y4087" s="24" t="n"/>
    </row>
    <row r="4088">
      <c r="O4088" s="23" t="n"/>
      <c r="R4088" s="24" t="n"/>
      <c r="S4088" s="24" t="n"/>
      <c r="Y4088" s="24" t="n"/>
    </row>
    <row r="4089">
      <c r="O4089" s="23" t="n"/>
      <c r="R4089" s="24" t="n"/>
      <c r="S4089" s="24" t="n"/>
      <c r="Y4089" s="24" t="n"/>
    </row>
    <row r="4090">
      <c r="O4090" s="23" t="n"/>
      <c r="R4090" s="24" t="n"/>
      <c r="S4090" s="24" t="n"/>
      <c r="Y4090" s="24" t="n"/>
    </row>
    <row r="4091">
      <c r="O4091" s="23" t="n"/>
      <c r="R4091" s="24" t="n"/>
      <c r="S4091" s="24" t="n"/>
      <c r="Y4091" s="24" t="n"/>
    </row>
    <row r="4092">
      <c r="O4092" s="23" t="n"/>
      <c r="R4092" s="24" t="n"/>
      <c r="S4092" s="24" t="n"/>
      <c r="Y4092" s="24" t="n"/>
    </row>
    <row r="4093">
      <c r="O4093" s="23" t="n"/>
      <c r="R4093" s="24" t="n"/>
      <c r="S4093" s="24" t="n"/>
      <c r="Y4093" s="24" t="n"/>
    </row>
    <row r="4094">
      <c r="O4094" s="23" t="n"/>
      <c r="R4094" s="24" t="n"/>
      <c r="S4094" s="24" t="n"/>
      <c r="Y4094" s="24" t="n"/>
    </row>
    <row r="4095">
      <c r="O4095" s="23" t="n"/>
      <c r="R4095" s="24" t="n"/>
      <c r="S4095" s="24" t="n"/>
      <c r="Y4095" s="24" t="n"/>
    </row>
    <row r="4096">
      <c r="O4096" s="23" t="n"/>
      <c r="R4096" s="24" t="n"/>
      <c r="S4096" s="24" t="n"/>
      <c r="Y4096" s="24" t="n"/>
    </row>
    <row r="4097">
      <c r="O4097" s="23" t="n"/>
      <c r="R4097" s="24" t="n"/>
      <c r="S4097" s="24" t="n"/>
      <c r="Y4097" s="24" t="n"/>
    </row>
    <row r="4098">
      <c r="O4098" s="23" t="n"/>
      <c r="R4098" s="24" t="n"/>
      <c r="S4098" s="24" t="n"/>
      <c r="Y4098" s="24" t="n"/>
    </row>
    <row r="4099">
      <c r="O4099" s="23" t="n"/>
      <c r="R4099" s="24" t="n"/>
      <c r="S4099" s="24" t="n"/>
      <c r="Y4099" s="24" t="n"/>
    </row>
    <row r="4100">
      <c r="O4100" s="23" t="n"/>
      <c r="R4100" s="24" t="n"/>
      <c r="S4100" s="24" t="n"/>
      <c r="Y4100" s="24" t="n"/>
    </row>
    <row r="4101">
      <c r="O4101" s="23" t="n"/>
      <c r="R4101" s="24" t="n"/>
      <c r="S4101" s="24" t="n"/>
      <c r="Y4101" s="24" t="n"/>
    </row>
    <row r="4102">
      <c r="O4102" s="23" t="n"/>
      <c r="R4102" s="24" t="n"/>
      <c r="S4102" s="24" t="n"/>
      <c r="Y4102" s="24" t="n"/>
    </row>
    <row r="4103">
      <c r="O4103" s="23" t="n"/>
      <c r="R4103" s="24" t="n"/>
      <c r="S4103" s="24" t="n"/>
      <c r="Y4103" s="24" t="n"/>
    </row>
    <row r="4104">
      <c r="O4104" s="23" t="n"/>
      <c r="R4104" s="24" t="n"/>
      <c r="S4104" s="24" t="n"/>
      <c r="Y4104" s="24" t="n"/>
    </row>
    <row r="4105">
      <c r="O4105" s="23" t="n"/>
      <c r="R4105" s="24" t="n"/>
      <c r="S4105" s="24" t="n"/>
      <c r="Y4105" s="24" t="n"/>
    </row>
    <row r="4106">
      <c r="O4106" s="23" t="n"/>
      <c r="R4106" s="24" t="n"/>
      <c r="S4106" s="24" t="n"/>
      <c r="Y4106" s="24" t="n"/>
    </row>
    <row r="4107">
      <c r="O4107" s="23" t="n"/>
      <c r="R4107" s="24" t="n"/>
      <c r="S4107" s="24" t="n"/>
      <c r="Y4107" s="24" t="n"/>
    </row>
    <row r="4108">
      <c r="O4108" s="23" t="n"/>
      <c r="R4108" s="24" t="n"/>
      <c r="S4108" s="24" t="n"/>
      <c r="Y4108" s="24" t="n"/>
    </row>
    <row r="4109">
      <c r="O4109" s="23" t="n"/>
      <c r="R4109" s="24" t="n"/>
      <c r="S4109" s="24" t="n"/>
      <c r="Y4109" s="24" t="n"/>
    </row>
    <row r="4110">
      <c r="O4110" s="23" t="n"/>
      <c r="R4110" s="24" t="n"/>
      <c r="S4110" s="24" t="n"/>
      <c r="Y4110" s="24" t="n"/>
    </row>
    <row r="4111">
      <c r="O4111" s="23" t="n"/>
      <c r="R4111" s="24" t="n"/>
      <c r="S4111" s="24" t="n"/>
      <c r="Y4111" s="24" t="n"/>
    </row>
    <row r="4112">
      <c r="O4112" s="23" t="n"/>
      <c r="R4112" s="24" t="n"/>
      <c r="S4112" s="24" t="n"/>
      <c r="Y4112" s="24" t="n"/>
    </row>
    <row r="4113">
      <c r="O4113" s="23" t="n"/>
      <c r="R4113" s="24" t="n"/>
      <c r="S4113" s="24" t="n"/>
      <c r="Y4113" s="24" t="n"/>
    </row>
    <row r="4114">
      <c r="O4114" s="23" t="n"/>
      <c r="R4114" s="24" t="n"/>
      <c r="S4114" s="24" t="n"/>
      <c r="Y4114" s="24" t="n"/>
    </row>
    <row r="4115">
      <c r="O4115" s="23" t="n"/>
      <c r="R4115" s="24" t="n"/>
      <c r="S4115" s="24" t="n"/>
      <c r="Y4115" s="24" t="n"/>
    </row>
    <row r="4116">
      <c r="O4116" s="23" t="n"/>
      <c r="R4116" s="24" t="n"/>
      <c r="S4116" s="24" t="n"/>
      <c r="Y4116" s="24" t="n"/>
    </row>
    <row r="4117">
      <c r="O4117" s="23" t="n"/>
      <c r="R4117" s="24" t="n"/>
      <c r="S4117" s="24" t="n"/>
      <c r="Y4117" s="24" t="n"/>
    </row>
    <row r="4118">
      <c r="O4118" s="23" t="n"/>
      <c r="R4118" s="24" t="n"/>
      <c r="S4118" s="24" t="n"/>
      <c r="Y4118" s="24" t="n"/>
    </row>
    <row r="4119">
      <c r="O4119" s="23" t="n"/>
      <c r="R4119" s="24" t="n"/>
      <c r="S4119" s="24" t="n"/>
      <c r="Y4119" s="24" t="n"/>
    </row>
    <row r="4120">
      <c r="O4120" s="23" t="n"/>
      <c r="R4120" s="24" t="n"/>
      <c r="S4120" s="24" t="n"/>
      <c r="Y4120" s="24" t="n"/>
    </row>
    <row r="4121">
      <c r="O4121" s="23" t="n"/>
      <c r="R4121" s="24" t="n"/>
      <c r="S4121" s="24" t="n"/>
      <c r="Y4121" s="24" t="n"/>
    </row>
    <row r="4122">
      <c r="O4122" s="23" t="n"/>
      <c r="R4122" s="24" t="n"/>
      <c r="S4122" s="24" t="n"/>
      <c r="Y4122" s="24" t="n"/>
    </row>
    <row r="4123">
      <c r="O4123" s="23" t="n"/>
      <c r="R4123" s="24" t="n"/>
      <c r="S4123" s="24" t="n"/>
      <c r="Y4123" s="24" t="n"/>
    </row>
    <row r="4124">
      <c r="O4124" s="23" t="n"/>
      <c r="R4124" s="24" t="n"/>
      <c r="S4124" s="24" t="n"/>
      <c r="Y4124" s="24" t="n"/>
    </row>
    <row r="4125">
      <c r="O4125" s="23" t="n"/>
      <c r="R4125" s="24" t="n"/>
      <c r="S4125" s="24" t="n"/>
      <c r="Y4125" s="24" t="n"/>
    </row>
    <row r="4126">
      <c r="O4126" s="23" t="n"/>
      <c r="R4126" s="24" t="n"/>
      <c r="S4126" s="24" t="n"/>
      <c r="Y4126" s="24" t="n"/>
    </row>
    <row r="4127">
      <c r="O4127" s="23" t="n"/>
      <c r="R4127" s="24" t="n"/>
      <c r="S4127" s="24" t="n"/>
      <c r="Y4127" s="24" t="n"/>
    </row>
    <row r="4128">
      <c r="O4128" s="23" t="n"/>
      <c r="R4128" s="24" t="n"/>
      <c r="S4128" s="24" t="n"/>
      <c r="Y4128" s="24" t="n"/>
    </row>
    <row r="4129">
      <c r="O4129" s="23" t="n"/>
      <c r="R4129" s="24" t="n"/>
      <c r="S4129" s="24" t="n"/>
      <c r="Y4129" s="24" t="n"/>
    </row>
    <row r="4130">
      <c r="O4130" s="23" t="n"/>
      <c r="R4130" s="24" t="n"/>
      <c r="S4130" s="24" t="n"/>
      <c r="Y4130" s="24" t="n"/>
    </row>
    <row r="4131">
      <c r="O4131" s="23" t="n"/>
      <c r="R4131" s="24" t="n"/>
      <c r="S4131" s="24" t="n"/>
      <c r="Y4131" s="24" t="n"/>
    </row>
    <row r="4132">
      <c r="O4132" s="23" t="n"/>
      <c r="R4132" s="24" t="n"/>
      <c r="S4132" s="24" t="n"/>
      <c r="Y4132" s="24" t="n"/>
    </row>
    <row r="4133">
      <c r="O4133" s="23" t="n"/>
      <c r="R4133" s="24" t="n"/>
      <c r="S4133" s="24" t="n"/>
      <c r="Y4133" s="24" t="n"/>
    </row>
    <row r="4134">
      <c r="O4134" s="23" t="n"/>
      <c r="R4134" s="24" t="n"/>
      <c r="S4134" s="24" t="n"/>
      <c r="Y4134" s="24" t="n"/>
    </row>
    <row r="4135">
      <c r="O4135" s="23" t="n"/>
      <c r="R4135" s="24" t="n"/>
      <c r="S4135" s="24" t="n"/>
      <c r="Y4135" s="24" t="n"/>
    </row>
    <row r="4136">
      <c r="O4136" s="23" t="n"/>
      <c r="R4136" s="24" t="n"/>
      <c r="S4136" s="24" t="n"/>
      <c r="Y4136" s="24" t="n"/>
    </row>
    <row r="4137">
      <c r="O4137" s="23" t="n"/>
      <c r="R4137" s="24" t="n"/>
      <c r="S4137" s="24" t="n"/>
      <c r="Y4137" s="24" t="n"/>
    </row>
    <row r="4138">
      <c r="O4138" s="23" t="n"/>
      <c r="R4138" s="24" t="n"/>
      <c r="S4138" s="24" t="n"/>
      <c r="Y4138" s="24" t="n"/>
    </row>
    <row r="4139">
      <c r="O4139" s="23" t="n"/>
      <c r="R4139" s="24" t="n"/>
      <c r="S4139" s="24" t="n"/>
      <c r="Y4139" s="24" t="n"/>
    </row>
    <row r="4140">
      <c r="O4140" s="23" t="n"/>
      <c r="R4140" s="24" t="n"/>
      <c r="S4140" s="24" t="n"/>
      <c r="Y4140" s="24" t="n"/>
    </row>
    <row r="4141">
      <c r="O4141" s="23" t="n"/>
      <c r="R4141" s="24" t="n"/>
      <c r="S4141" s="24" t="n"/>
      <c r="Y4141" s="24" t="n"/>
    </row>
    <row r="4142">
      <c r="O4142" s="23" t="n"/>
      <c r="R4142" s="24" t="n"/>
      <c r="S4142" s="24" t="n"/>
      <c r="Y4142" s="24" t="n"/>
    </row>
    <row r="4143">
      <c r="O4143" s="23" t="n"/>
      <c r="R4143" s="24" t="n"/>
      <c r="S4143" s="24" t="n"/>
      <c r="Y4143" s="24" t="n"/>
    </row>
    <row r="4144">
      <c r="O4144" s="23" t="n"/>
      <c r="R4144" s="24" t="n"/>
      <c r="S4144" s="24" t="n"/>
      <c r="Y4144" s="24" t="n"/>
    </row>
    <row r="4145">
      <c r="O4145" s="23" t="n"/>
      <c r="R4145" s="24" t="n"/>
      <c r="S4145" s="24" t="n"/>
      <c r="Y4145" s="24" t="n"/>
    </row>
    <row r="4146">
      <c r="O4146" s="23" t="n"/>
      <c r="R4146" s="24" t="n"/>
      <c r="S4146" s="24" t="n"/>
      <c r="Y4146" s="24" t="n"/>
    </row>
    <row r="4147">
      <c r="O4147" s="23" t="n"/>
      <c r="R4147" s="24" t="n"/>
      <c r="S4147" s="24" t="n"/>
      <c r="Y4147" s="24" t="n"/>
    </row>
    <row r="4148">
      <c r="O4148" s="23" t="n"/>
      <c r="R4148" s="24" t="n"/>
      <c r="S4148" s="24" t="n"/>
      <c r="Y4148" s="24" t="n"/>
    </row>
    <row r="4149">
      <c r="O4149" s="23" t="n"/>
      <c r="R4149" s="24" t="n"/>
      <c r="S4149" s="24" t="n"/>
      <c r="Y4149" s="24" t="n"/>
    </row>
    <row r="4150">
      <c r="O4150" s="23" t="n"/>
      <c r="R4150" s="24" t="n"/>
      <c r="S4150" s="24" t="n"/>
      <c r="Y4150" s="24" t="n"/>
    </row>
    <row r="4151">
      <c r="O4151" s="23" t="n"/>
      <c r="R4151" s="24" t="n"/>
      <c r="S4151" s="24" t="n"/>
      <c r="Y4151" s="24" t="n"/>
    </row>
    <row r="4152">
      <c r="O4152" s="23" t="n"/>
      <c r="R4152" s="24" t="n"/>
      <c r="S4152" s="24" t="n"/>
      <c r="Y4152" s="24" t="n"/>
    </row>
    <row r="4153">
      <c r="O4153" s="23" t="n"/>
      <c r="R4153" s="24" t="n"/>
      <c r="S4153" s="24" t="n"/>
      <c r="Y4153" s="24" t="n"/>
    </row>
    <row r="4154">
      <c r="O4154" s="23" t="n"/>
      <c r="R4154" s="24" t="n"/>
      <c r="S4154" s="24" t="n"/>
      <c r="Y4154" s="24" t="n"/>
    </row>
    <row r="4155">
      <c r="O4155" s="23" t="n"/>
      <c r="R4155" s="24" t="n"/>
      <c r="S4155" s="24" t="n"/>
      <c r="Y4155" s="24" t="n"/>
    </row>
    <row r="4156">
      <c r="O4156" s="23" t="n"/>
      <c r="R4156" s="24" t="n"/>
      <c r="S4156" s="24" t="n"/>
      <c r="Y4156" s="24" t="n"/>
    </row>
    <row r="4157">
      <c r="O4157" s="23" t="n"/>
      <c r="R4157" s="24" t="n"/>
      <c r="S4157" s="24" t="n"/>
      <c r="Y4157" s="24" t="n"/>
    </row>
    <row r="4158">
      <c r="O4158" s="23" t="n"/>
      <c r="R4158" s="24" t="n"/>
      <c r="S4158" s="24" t="n"/>
      <c r="Y4158" s="24" t="n"/>
    </row>
    <row r="4159">
      <c r="O4159" s="23" t="n"/>
      <c r="R4159" s="24" t="n"/>
      <c r="S4159" s="24" t="n"/>
      <c r="Y4159" s="24" t="n"/>
    </row>
    <row r="4160">
      <c r="O4160" s="23" t="n"/>
      <c r="R4160" s="24" t="n"/>
      <c r="S4160" s="24" t="n"/>
      <c r="Y4160" s="24" t="n"/>
    </row>
    <row r="4161">
      <c r="O4161" s="23" t="n"/>
      <c r="R4161" s="24" t="n"/>
      <c r="S4161" s="24" t="n"/>
      <c r="Y4161" s="24" t="n"/>
    </row>
    <row r="4162">
      <c r="O4162" s="23" t="n"/>
      <c r="R4162" s="24" t="n"/>
      <c r="S4162" s="24" t="n"/>
      <c r="Y4162" s="24" t="n"/>
    </row>
    <row r="4163">
      <c r="O4163" s="23" t="n"/>
      <c r="R4163" s="24" t="n"/>
      <c r="S4163" s="24" t="n"/>
      <c r="Y4163" s="24" t="n"/>
    </row>
    <row r="4164">
      <c r="O4164" s="23" t="n"/>
      <c r="R4164" s="24" t="n"/>
      <c r="S4164" s="24" t="n"/>
      <c r="Y4164" s="24" t="n"/>
    </row>
    <row r="4165">
      <c r="O4165" s="23" t="n"/>
      <c r="R4165" s="24" t="n"/>
      <c r="S4165" s="24" t="n"/>
      <c r="Y4165" s="24" t="n"/>
    </row>
    <row r="4166">
      <c r="O4166" s="23" t="n"/>
      <c r="R4166" s="24" t="n"/>
      <c r="S4166" s="24" t="n"/>
      <c r="Y4166" s="24" t="n"/>
    </row>
    <row r="4167">
      <c r="O4167" s="23" t="n"/>
      <c r="R4167" s="24" t="n"/>
      <c r="S4167" s="24" t="n"/>
      <c r="Y4167" s="24" t="n"/>
    </row>
    <row r="4168">
      <c r="O4168" s="23" t="n"/>
      <c r="R4168" s="24" t="n"/>
      <c r="S4168" s="24" t="n"/>
      <c r="Y4168" s="24" t="n"/>
    </row>
    <row r="4169">
      <c r="O4169" s="23" t="n"/>
      <c r="R4169" s="24" t="n"/>
      <c r="S4169" s="24" t="n"/>
      <c r="Y4169" s="24" t="n"/>
    </row>
    <row r="4170">
      <c r="O4170" s="23" t="n"/>
      <c r="R4170" s="24" t="n"/>
      <c r="S4170" s="24" t="n"/>
      <c r="Y4170" s="24" t="n"/>
    </row>
    <row r="4171">
      <c r="O4171" s="23" t="n"/>
      <c r="R4171" s="24" t="n"/>
      <c r="S4171" s="24" t="n"/>
      <c r="Y4171" s="24" t="n"/>
    </row>
    <row r="4172">
      <c r="O4172" s="23" t="n"/>
      <c r="R4172" s="24" t="n"/>
      <c r="S4172" s="24" t="n"/>
      <c r="Y4172" s="24" t="n"/>
    </row>
    <row r="4173">
      <c r="O4173" s="23" t="n"/>
      <c r="R4173" s="24" t="n"/>
      <c r="S4173" s="24" t="n"/>
      <c r="Y4173" s="24" t="n"/>
    </row>
    <row r="4174">
      <c r="O4174" s="23" t="n"/>
      <c r="R4174" s="24" t="n"/>
      <c r="S4174" s="24" t="n"/>
      <c r="Y4174" s="24" t="n"/>
    </row>
    <row r="4175">
      <c r="O4175" s="23" t="n"/>
      <c r="R4175" s="24" t="n"/>
      <c r="S4175" s="24" t="n"/>
      <c r="Y4175" s="24" t="n"/>
    </row>
    <row r="4176">
      <c r="O4176" s="23" t="n"/>
      <c r="R4176" s="24" t="n"/>
      <c r="S4176" s="24" t="n"/>
      <c r="Y4176" s="24" t="n"/>
    </row>
    <row r="4177">
      <c r="O4177" s="23" t="n"/>
      <c r="R4177" s="24" t="n"/>
      <c r="S4177" s="24" t="n"/>
      <c r="Y4177" s="24" t="n"/>
    </row>
    <row r="4178">
      <c r="O4178" s="23" t="n"/>
      <c r="R4178" s="24" t="n"/>
      <c r="S4178" s="24" t="n"/>
      <c r="Y4178" s="24" t="n"/>
    </row>
    <row r="4179">
      <c r="O4179" s="23" t="n"/>
      <c r="R4179" s="24" t="n"/>
      <c r="S4179" s="24" t="n"/>
      <c r="Y4179" s="24" t="n"/>
    </row>
    <row r="4180">
      <c r="O4180" s="23" t="n"/>
      <c r="R4180" s="24" t="n"/>
      <c r="S4180" s="24" t="n"/>
      <c r="Y4180" s="24" t="n"/>
    </row>
    <row r="4181">
      <c r="O4181" s="23" t="n"/>
      <c r="R4181" s="24" t="n"/>
      <c r="S4181" s="24" t="n"/>
      <c r="Y4181" s="24" t="n"/>
    </row>
    <row r="4182">
      <c r="O4182" s="23" t="n"/>
      <c r="R4182" s="24" t="n"/>
      <c r="S4182" s="24" t="n"/>
      <c r="Y4182" s="24" t="n"/>
    </row>
    <row r="4183">
      <c r="O4183" s="23" t="n"/>
      <c r="R4183" s="24" t="n"/>
      <c r="S4183" s="24" t="n"/>
      <c r="Y4183" s="24" t="n"/>
    </row>
    <row r="4184">
      <c r="O4184" s="23" t="n"/>
      <c r="R4184" s="24" t="n"/>
      <c r="S4184" s="24" t="n"/>
      <c r="Y4184" s="24" t="n"/>
    </row>
    <row r="4185">
      <c r="O4185" s="23" t="n"/>
      <c r="R4185" s="24" t="n"/>
      <c r="S4185" s="24" t="n"/>
      <c r="Y4185" s="24" t="n"/>
    </row>
    <row r="4186">
      <c r="O4186" s="23" t="n"/>
      <c r="R4186" s="24" t="n"/>
      <c r="S4186" s="24" t="n"/>
      <c r="Y4186" s="24" t="n"/>
    </row>
    <row r="4187">
      <c r="O4187" s="23" t="n"/>
      <c r="R4187" s="24" t="n"/>
      <c r="S4187" s="24" t="n"/>
      <c r="Y4187" s="24" t="n"/>
    </row>
    <row r="4188">
      <c r="O4188" s="23" t="n"/>
      <c r="R4188" s="24" t="n"/>
      <c r="S4188" s="24" t="n"/>
      <c r="Y4188" s="24" t="n"/>
    </row>
    <row r="4189">
      <c r="O4189" s="23" t="n"/>
      <c r="R4189" s="24" t="n"/>
      <c r="S4189" s="24" t="n"/>
      <c r="Y4189" s="24" t="n"/>
    </row>
    <row r="4190">
      <c r="O4190" s="23" t="n"/>
      <c r="R4190" s="24" t="n"/>
      <c r="S4190" s="24" t="n"/>
      <c r="Y4190" s="24" t="n"/>
    </row>
    <row r="4191">
      <c r="O4191" s="23" t="n"/>
      <c r="R4191" s="24" t="n"/>
      <c r="S4191" s="24" t="n"/>
      <c r="Y4191" s="24" t="n"/>
    </row>
    <row r="4192">
      <c r="O4192" s="23" t="n"/>
      <c r="R4192" s="24" t="n"/>
      <c r="S4192" s="24" t="n"/>
      <c r="Y4192" s="24" t="n"/>
    </row>
    <row r="4193">
      <c r="O4193" s="23" t="n"/>
      <c r="R4193" s="24" t="n"/>
      <c r="S4193" s="24" t="n"/>
      <c r="Y4193" s="24" t="n"/>
    </row>
    <row r="4194">
      <c r="O4194" s="23" t="n"/>
      <c r="R4194" s="24" t="n"/>
      <c r="S4194" s="24" t="n"/>
      <c r="Y4194" s="24" t="n"/>
    </row>
    <row r="4195">
      <c r="O4195" s="23" t="n"/>
      <c r="R4195" s="24" t="n"/>
      <c r="S4195" s="24" t="n"/>
      <c r="Y4195" s="24" t="n"/>
    </row>
    <row r="4196">
      <c r="O4196" s="23" t="n"/>
      <c r="R4196" s="24" t="n"/>
      <c r="S4196" s="24" t="n"/>
      <c r="Y4196" s="24" t="n"/>
    </row>
    <row r="4197">
      <c r="O4197" s="23" t="n"/>
      <c r="R4197" s="24" t="n"/>
      <c r="S4197" s="24" t="n"/>
      <c r="Y4197" s="24" t="n"/>
    </row>
    <row r="4198">
      <c r="O4198" s="23" t="n"/>
      <c r="R4198" s="24" t="n"/>
      <c r="S4198" s="24" t="n"/>
      <c r="Y4198" s="24" t="n"/>
    </row>
    <row r="4199">
      <c r="O4199" s="23" t="n"/>
      <c r="R4199" s="24" t="n"/>
      <c r="S4199" s="24" t="n"/>
      <c r="Y4199" s="24" t="n"/>
    </row>
    <row r="4200">
      <c r="O4200" s="23" t="n"/>
      <c r="R4200" s="24" t="n"/>
      <c r="S4200" s="24" t="n"/>
      <c r="Y4200" s="24" t="n"/>
    </row>
    <row r="4201">
      <c r="O4201" s="23" t="n"/>
      <c r="R4201" s="24" t="n"/>
      <c r="S4201" s="24" t="n"/>
      <c r="Y4201" s="24" t="n"/>
    </row>
    <row r="4202">
      <c r="O4202" s="23" t="n"/>
      <c r="R4202" s="24" t="n"/>
      <c r="S4202" s="24" t="n"/>
      <c r="Y4202" s="24" t="n"/>
    </row>
    <row r="4203">
      <c r="O4203" s="23" t="n"/>
      <c r="R4203" s="24" t="n"/>
      <c r="S4203" s="24" t="n"/>
      <c r="Y4203" s="24" t="n"/>
    </row>
    <row r="4204">
      <c r="O4204" s="23" t="n"/>
      <c r="R4204" s="24" t="n"/>
      <c r="S4204" s="24" t="n"/>
      <c r="Y4204" s="24" t="n"/>
    </row>
    <row r="4205">
      <c r="O4205" s="23" t="n"/>
      <c r="R4205" s="24" t="n"/>
      <c r="S4205" s="24" t="n"/>
      <c r="Y4205" s="24" t="n"/>
    </row>
    <row r="4206">
      <c r="O4206" s="23" t="n"/>
      <c r="R4206" s="24" t="n"/>
      <c r="S4206" s="24" t="n"/>
      <c r="Y4206" s="24" t="n"/>
    </row>
    <row r="4207">
      <c r="O4207" s="23" t="n"/>
      <c r="R4207" s="24" t="n"/>
      <c r="S4207" s="24" t="n"/>
      <c r="Y4207" s="24" t="n"/>
    </row>
    <row r="4208">
      <c r="O4208" s="23" t="n"/>
      <c r="R4208" s="24" t="n"/>
      <c r="S4208" s="24" t="n"/>
      <c r="Y4208" s="24" t="n"/>
    </row>
    <row r="4209">
      <c r="O4209" s="23" t="n"/>
      <c r="R4209" s="24" t="n"/>
      <c r="S4209" s="24" t="n"/>
      <c r="Y4209" s="24" t="n"/>
    </row>
    <row r="4210">
      <c r="O4210" s="23" t="n"/>
      <c r="R4210" s="24" t="n"/>
      <c r="S4210" s="24" t="n"/>
      <c r="Y4210" s="24" t="n"/>
    </row>
    <row r="4211">
      <c r="O4211" s="23" t="n"/>
      <c r="R4211" s="24" t="n"/>
      <c r="S4211" s="24" t="n"/>
      <c r="Y4211" s="24" t="n"/>
    </row>
    <row r="4212">
      <c r="O4212" s="23" t="n"/>
      <c r="R4212" s="24" t="n"/>
      <c r="S4212" s="24" t="n"/>
      <c r="Y4212" s="24" t="n"/>
    </row>
    <row r="4213">
      <c r="O4213" s="23" t="n"/>
      <c r="R4213" s="24" t="n"/>
      <c r="S4213" s="24" t="n"/>
      <c r="Y4213" s="24" t="n"/>
    </row>
    <row r="4214">
      <c r="O4214" s="23" t="n"/>
      <c r="R4214" s="24" t="n"/>
      <c r="S4214" s="24" t="n"/>
      <c r="Y4214" s="24" t="n"/>
    </row>
    <row r="4215">
      <c r="O4215" s="23" t="n"/>
      <c r="R4215" s="24" t="n"/>
      <c r="S4215" s="24" t="n"/>
      <c r="Y4215" s="24" t="n"/>
    </row>
    <row r="4216">
      <c r="O4216" s="23" t="n"/>
      <c r="R4216" s="24" t="n"/>
      <c r="S4216" s="24" t="n"/>
      <c r="Y4216" s="24" t="n"/>
    </row>
    <row r="4217">
      <c r="O4217" s="23" t="n"/>
      <c r="R4217" s="24" t="n"/>
      <c r="S4217" s="24" t="n"/>
      <c r="Y4217" s="24" t="n"/>
    </row>
    <row r="4218">
      <c r="O4218" s="23" t="n"/>
      <c r="R4218" s="24" t="n"/>
      <c r="S4218" s="24" t="n"/>
      <c r="Y4218" s="24" t="n"/>
    </row>
    <row r="4219">
      <c r="O4219" s="23" t="n"/>
      <c r="R4219" s="24" t="n"/>
      <c r="S4219" s="24" t="n"/>
      <c r="Y4219" s="24" t="n"/>
    </row>
    <row r="4220">
      <c r="O4220" s="23" t="n"/>
      <c r="R4220" s="24" t="n"/>
      <c r="S4220" s="24" t="n"/>
      <c r="Y4220" s="24" t="n"/>
    </row>
    <row r="4221">
      <c r="O4221" s="23" t="n"/>
      <c r="R4221" s="24" t="n"/>
      <c r="S4221" s="24" t="n"/>
      <c r="Y4221" s="24" t="n"/>
    </row>
    <row r="4222">
      <c r="O4222" s="23" t="n"/>
      <c r="R4222" s="24" t="n"/>
      <c r="S4222" s="24" t="n"/>
      <c r="Y4222" s="24" t="n"/>
    </row>
    <row r="4223">
      <c r="O4223" s="23" t="n"/>
      <c r="R4223" s="24" t="n"/>
      <c r="S4223" s="24" t="n"/>
      <c r="Y4223" s="24" t="n"/>
    </row>
    <row r="4224">
      <c r="O4224" s="23" t="n"/>
      <c r="R4224" s="24" t="n"/>
      <c r="S4224" s="24" t="n"/>
      <c r="Y4224" s="24" t="n"/>
    </row>
    <row r="4225">
      <c r="O4225" s="23" t="n"/>
      <c r="R4225" s="24" t="n"/>
      <c r="S4225" s="24" t="n"/>
      <c r="Y4225" s="24" t="n"/>
    </row>
    <row r="4226">
      <c r="O4226" s="23" t="n"/>
      <c r="R4226" s="24" t="n"/>
      <c r="S4226" s="24" t="n"/>
      <c r="Y4226" s="24" t="n"/>
    </row>
    <row r="4227">
      <c r="O4227" s="23" t="n"/>
      <c r="R4227" s="24" t="n"/>
      <c r="S4227" s="24" t="n"/>
      <c r="Y4227" s="24" t="n"/>
    </row>
    <row r="4228">
      <c r="O4228" s="23" t="n"/>
      <c r="R4228" s="24" t="n"/>
      <c r="S4228" s="24" t="n"/>
      <c r="Y4228" s="24" t="n"/>
    </row>
    <row r="4229">
      <c r="O4229" s="23" t="n"/>
      <c r="R4229" s="24" t="n"/>
      <c r="S4229" s="24" t="n"/>
      <c r="Y4229" s="24" t="n"/>
    </row>
    <row r="4230">
      <c r="O4230" s="23" t="n"/>
      <c r="R4230" s="24" t="n"/>
      <c r="S4230" s="24" t="n"/>
      <c r="Y4230" s="24" t="n"/>
    </row>
    <row r="4231">
      <c r="O4231" s="23" t="n"/>
      <c r="R4231" s="24" t="n"/>
      <c r="S4231" s="24" t="n"/>
      <c r="Y4231" s="24" t="n"/>
    </row>
    <row r="4232">
      <c r="O4232" s="23" t="n"/>
      <c r="R4232" s="24" t="n"/>
      <c r="S4232" s="24" t="n"/>
      <c r="Y4232" s="24" t="n"/>
    </row>
    <row r="4233">
      <c r="O4233" s="23" t="n"/>
      <c r="R4233" s="24" t="n"/>
      <c r="S4233" s="24" t="n"/>
      <c r="Y4233" s="24" t="n"/>
    </row>
    <row r="4234">
      <c r="O4234" s="23" t="n"/>
      <c r="R4234" s="24" t="n"/>
      <c r="S4234" s="24" t="n"/>
      <c r="Y4234" s="24" t="n"/>
    </row>
    <row r="4235">
      <c r="O4235" s="23" t="n"/>
      <c r="R4235" s="24" t="n"/>
      <c r="S4235" s="24" t="n"/>
      <c r="Y4235" s="24" t="n"/>
    </row>
    <row r="4236">
      <c r="O4236" s="23" t="n"/>
      <c r="R4236" s="24" t="n"/>
      <c r="S4236" s="24" t="n"/>
      <c r="Y4236" s="24" t="n"/>
    </row>
    <row r="4237">
      <c r="O4237" s="23" t="n"/>
      <c r="R4237" s="24" t="n"/>
      <c r="S4237" s="24" t="n"/>
      <c r="Y4237" s="24" t="n"/>
    </row>
    <row r="4238">
      <c r="O4238" s="23" t="n"/>
      <c r="R4238" s="24" t="n"/>
      <c r="S4238" s="24" t="n"/>
      <c r="Y4238" s="24" t="n"/>
    </row>
    <row r="4239">
      <c r="O4239" s="23" t="n"/>
      <c r="R4239" s="24" t="n"/>
      <c r="S4239" s="24" t="n"/>
      <c r="Y4239" s="24" t="n"/>
    </row>
    <row r="4240">
      <c r="O4240" s="23" t="n"/>
      <c r="R4240" s="24" t="n"/>
      <c r="S4240" s="24" t="n"/>
      <c r="Y4240" s="24" t="n"/>
    </row>
    <row r="4241">
      <c r="O4241" s="23" t="n"/>
      <c r="R4241" s="24" t="n"/>
      <c r="S4241" s="24" t="n"/>
      <c r="Y4241" s="24" t="n"/>
    </row>
    <row r="4242">
      <c r="O4242" s="23" t="n"/>
      <c r="R4242" s="24" t="n"/>
      <c r="S4242" s="24" t="n"/>
      <c r="Y4242" s="24" t="n"/>
    </row>
    <row r="4243">
      <c r="O4243" s="23" t="n"/>
      <c r="R4243" s="24" t="n"/>
      <c r="S4243" s="24" t="n"/>
      <c r="Y4243" s="24" t="n"/>
    </row>
    <row r="4244">
      <c r="O4244" s="23" t="n"/>
      <c r="R4244" s="24" t="n"/>
      <c r="S4244" s="24" t="n"/>
      <c r="Y4244" s="24" t="n"/>
    </row>
    <row r="4245">
      <c r="O4245" s="23" t="n"/>
      <c r="R4245" s="24" t="n"/>
      <c r="S4245" s="24" t="n"/>
      <c r="Y4245" s="24" t="n"/>
    </row>
    <row r="4246">
      <c r="O4246" s="23" t="n"/>
      <c r="R4246" s="24" t="n"/>
      <c r="S4246" s="24" t="n"/>
      <c r="Y4246" s="24" t="n"/>
    </row>
    <row r="4247">
      <c r="O4247" s="23" t="n"/>
      <c r="R4247" s="24" t="n"/>
      <c r="S4247" s="24" t="n"/>
      <c r="Y4247" s="24" t="n"/>
    </row>
    <row r="4248">
      <c r="O4248" s="23" t="n"/>
      <c r="R4248" s="24" t="n"/>
      <c r="S4248" s="24" t="n"/>
      <c r="Y4248" s="24" t="n"/>
    </row>
    <row r="4249">
      <c r="O4249" s="23" t="n"/>
      <c r="R4249" s="24" t="n"/>
      <c r="S4249" s="24" t="n"/>
      <c r="Y4249" s="24" t="n"/>
    </row>
    <row r="4250">
      <c r="O4250" s="23" t="n"/>
      <c r="R4250" s="24" t="n"/>
      <c r="S4250" s="24" t="n"/>
      <c r="Y4250" s="24" t="n"/>
    </row>
    <row r="4251">
      <c r="O4251" s="23" t="n"/>
      <c r="R4251" s="24" t="n"/>
      <c r="S4251" s="24" t="n"/>
      <c r="Y4251" s="24" t="n"/>
    </row>
    <row r="4252">
      <c r="O4252" s="23" t="n"/>
      <c r="R4252" s="24" t="n"/>
      <c r="S4252" s="24" t="n"/>
      <c r="Y4252" s="24" t="n"/>
    </row>
    <row r="4253">
      <c r="O4253" s="23" t="n"/>
      <c r="R4253" s="24" t="n"/>
      <c r="S4253" s="24" t="n"/>
      <c r="Y4253" s="24" t="n"/>
    </row>
    <row r="4254">
      <c r="O4254" s="23" t="n"/>
      <c r="R4254" s="24" t="n"/>
      <c r="S4254" s="24" t="n"/>
      <c r="Y4254" s="24" t="n"/>
    </row>
    <row r="4255">
      <c r="O4255" s="23" t="n"/>
      <c r="R4255" s="24" t="n"/>
      <c r="S4255" s="24" t="n"/>
      <c r="Y4255" s="24" t="n"/>
    </row>
    <row r="4256">
      <c r="O4256" s="23" t="n"/>
      <c r="R4256" s="24" t="n"/>
      <c r="S4256" s="24" t="n"/>
      <c r="Y4256" s="24" t="n"/>
    </row>
    <row r="4257">
      <c r="O4257" s="23" t="n"/>
      <c r="R4257" s="24" t="n"/>
      <c r="S4257" s="24" t="n"/>
      <c r="Y4257" s="24" t="n"/>
    </row>
    <row r="4258">
      <c r="O4258" s="23" t="n"/>
      <c r="R4258" s="24" t="n"/>
      <c r="S4258" s="24" t="n"/>
      <c r="Y4258" s="24" t="n"/>
    </row>
    <row r="4259">
      <c r="O4259" s="23" t="n"/>
      <c r="R4259" s="24" t="n"/>
      <c r="S4259" s="24" t="n"/>
      <c r="Y4259" s="24" t="n"/>
    </row>
    <row r="4260">
      <c r="O4260" s="23" t="n"/>
      <c r="R4260" s="24" t="n"/>
      <c r="S4260" s="24" t="n"/>
      <c r="Y4260" s="24" t="n"/>
    </row>
    <row r="4261">
      <c r="O4261" s="23" t="n"/>
      <c r="R4261" s="24" t="n"/>
      <c r="S4261" s="24" t="n"/>
      <c r="Y4261" s="24" t="n"/>
    </row>
    <row r="4262">
      <c r="O4262" s="23" t="n"/>
      <c r="R4262" s="24" t="n"/>
      <c r="S4262" s="24" t="n"/>
      <c r="Y4262" s="24" t="n"/>
    </row>
    <row r="4263">
      <c r="O4263" s="23" t="n"/>
      <c r="R4263" s="24" t="n"/>
      <c r="S4263" s="24" t="n"/>
      <c r="Y4263" s="24" t="n"/>
    </row>
    <row r="4264">
      <c r="O4264" s="23" t="n"/>
      <c r="R4264" s="24" t="n"/>
      <c r="S4264" s="24" t="n"/>
      <c r="Y4264" s="24" t="n"/>
    </row>
    <row r="4265">
      <c r="O4265" s="23" t="n"/>
      <c r="R4265" s="24" t="n"/>
      <c r="S4265" s="24" t="n"/>
      <c r="Y4265" s="24" t="n"/>
    </row>
    <row r="4266">
      <c r="O4266" s="23" t="n"/>
      <c r="R4266" s="24" t="n"/>
      <c r="S4266" s="24" t="n"/>
      <c r="Y4266" s="24" t="n"/>
    </row>
    <row r="4267">
      <c r="O4267" s="23" t="n"/>
      <c r="R4267" s="24" t="n"/>
      <c r="S4267" s="24" t="n"/>
      <c r="Y4267" s="24" t="n"/>
    </row>
    <row r="4268">
      <c r="O4268" s="23" t="n"/>
      <c r="R4268" s="24" t="n"/>
      <c r="S4268" s="24" t="n"/>
      <c r="Y4268" s="24" t="n"/>
    </row>
    <row r="4269">
      <c r="O4269" s="23" t="n"/>
      <c r="R4269" s="24" t="n"/>
      <c r="S4269" s="24" t="n"/>
      <c r="Y4269" s="24" t="n"/>
    </row>
    <row r="4270">
      <c r="O4270" s="23" t="n"/>
      <c r="R4270" s="24" t="n"/>
      <c r="S4270" s="24" t="n"/>
      <c r="Y4270" s="24" t="n"/>
    </row>
    <row r="4271">
      <c r="O4271" s="23" t="n"/>
      <c r="R4271" s="24" t="n"/>
      <c r="S4271" s="24" t="n"/>
      <c r="Y4271" s="24" t="n"/>
    </row>
    <row r="4272">
      <c r="O4272" s="23" t="n"/>
      <c r="R4272" s="24" t="n"/>
      <c r="S4272" s="24" t="n"/>
      <c r="Y4272" s="24" t="n"/>
    </row>
    <row r="4273">
      <c r="O4273" s="23" t="n"/>
      <c r="R4273" s="24" t="n"/>
      <c r="S4273" s="24" t="n"/>
      <c r="Y4273" s="24" t="n"/>
    </row>
    <row r="4274">
      <c r="O4274" s="23" t="n"/>
      <c r="R4274" s="24" t="n"/>
      <c r="S4274" s="24" t="n"/>
      <c r="Y4274" s="24" t="n"/>
    </row>
    <row r="4275">
      <c r="O4275" s="23" t="n"/>
      <c r="R4275" s="24" t="n"/>
      <c r="S4275" s="24" t="n"/>
      <c r="Y4275" s="24" t="n"/>
    </row>
    <row r="4276">
      <c r="O4276" s="23" t="n"/>
      <c r="R4276" s="24" t="n"/>
      <c r="S4276" s="24" t="n"/>
      <c r="Y4276" s="24" t="n"/>
    </row>
    <row r="4277">
      <c r="O4277" s="23" t="n"/>
      <c r="R4277" s="24" t="n"/>
      <c r="S4277" s="24" t="n"/>
      <c r="Y4277" s="24" t="n"/>
    </row>
    <row r="4278">
      <c r="O4278" s="23" t="n"/>
      <c r="R4278" s="24" t="n"/>
      <c r="S4278" s="24" t="n"/>
      <c r="Y4278" s="24" t="n"/>
    </row>
    <row r="4279">
      <c r="O4279" s="23" t="n"/>
      <c r="R4279" s="24" t="n"/>
      <c r="S4279" s="24" t="n"/>
      <c r="Y4279" s="24" t="n"/>
    </row>
    <row r="4280">
      <c r="O4280" s="23" t="n"/>
      <c r="R4280" s="24" t="n"/>
      <c r="S4280" s="24" t="n"/>
      <c r="Y4280" s="24" t="n"/>
    </row>
    <row r="4281">
      <c r="O4281" s="23" t="n"/>
      <c r="R4281" s="24" t="n"/>
      <c r="S4281" s="24" t="n"/>
      <c r="Y4281" s="24" t="n"/>
    </row>
    <row r="4282">
      <c r="O4282" s="23" t="n"/>
      <c r="R4282" s="24" t="n"/>
      <c r="S4282" s="24" t="n"/>
      <c r="Y4282" s="24" t="n"/>
    </row>
    <row r="4283">
      <c r="O4283" s="23" t="n"/>
      <c r="R4283" s="24" t="n"/>
      <c r="S4283" s="24" t="n"/>
      <c r="Y4283" s="24" t="n"/>
    </row>
    <row r="4284">
      <c r="O4284" s="23" t="n"/>
      <c r="R4284" s="24" t="n"/>
      <c r="S4284" s="24" t="n"/>
      <c r="Y4284" s="24" t="n"/>
    </row>
    <row r="4285">
      <c r="O4285" s="23" t="n"/>
      <c r="R4285" s="24" t="n"/>
      <c r="S4285" s="24" t="n"/>
      <c r="Y4285" s="24" t="n"/>
    </row>
    <row r="4286">
      <c r="O4286" s="23" t="n"/>
      <c r="R4286" s="24" t="n"/>
      <c r="S4286" s="24" t="n"/>
      <c r="Y4286" s="24" t="n"/>
    </row>
    <row r="4287">
      <c r="O4287" s="23" t="n"/>
      <c r="R4287" s="24" t="n"/>
      <c r="S4287" s="24" t="n"/>
      <c r="Y4287" s="24" t="n"/>
    </row>
    <row r="4288">
      <c r="O4288" s="23" t="n"/>
      <c r="R4288" s="24" t="n"/>
      <c r="S4288" s="24" t="n"/>
      <c r="Y4288" s="24" t="n"/>
    </row>
    <row r="4289">
      <c r="O4289" s="23" t="n"/>
      <c r="R4289" s="24" t="n"/>
      <c r="S4289" s="24" t="n"/>
      <c r="Y4289" s="24" t="n"/>
    </row>
    <row r="4290">
      <c r="O4290" s="23" t="n"/>
      <c r="R4290" s="24" t="n"/>
      <c r="S4290" s="24" t="n"/>
      <c r="Y4290" s="24" t="n"/>
    </row>
    <row r="4291">
      <c r="O4291" s="23" t="n"/>
      <c r="R4291" s="24" t="n"/>
      <c r="S4291" s="24" t="n"/>
      <c r="Y4291" s="24" t="n"/>
    </row>
    <row r="4292">
      <c r="O4292" s="23" t="n"/>
      <c r="R4292" s="24" t="n"/>
      <c r="S4292" s="24" t="n"/>
      <c r="Y4292" s="24" t="n"/>
    </row>
    <row r="4293">
      <c r="O4293" s="23" t="n"/>
      <c r="R4293" s="24" t="n"/>
      <c r="S4293" s="24" t="n"/>
      <c r="Y4293" s="24" t="n"/>
    </row>
    <row r="4294">
      <c r="O4294" s="23" t="n"/>
      <c r="R4294" s="24" t="n"/>
      <c r="S4294" s="24" t="n"/>
      <c r="Y4294" s="24" t="n"/>
    </row>
    <row r="4295">
      <c r="O4295" s="23" t="n"/>
      <c r="R4295" s="24" t="n"/>
      <c r="S4295" s="24" t="n"/>
      <c r="Y4295" s="24" t="n"/>
    </row>
    <row r="4296">
      <c r="O4296" s="23" t="n"/>
      <c r="R4296" s="24" t="n"/>
      <c r="S4296" s="24" t="n"/>
      <c r="Y4296" s="24" t="n"/>
    </row>
    <row r="4297">
      <c r="O4297" s="23" t="n"/>
      <c r="R4297" s="24" t="n"/>
      <c r="S4297" s="24" t="n"/>
      <c r="Y4297" s="24" t="n"/>
    </row>
    <row r="4298">
      <c r="O4298" s="23" t="n"/>
      <c r="R4298" s="24" t="n"/>
      <c r="S4298" s="24" t="n"/>
      <c r="Y4298" s="24" t="n"/>
    </row>
    <row r="4299">
      <c r="O4299" s="23" t="n"/>
      <c r="R4299" s="24" t="n"/>
      <c r="S4299" s="24" t="n"/>
      <c r="Y4299" s="24" t="n"/>
    </row>
    <row r="4300">
      <c r="O4300" s="23" t="n"/>
      <c r="R4300" s="24" t="n"/>
      <c r="S4300" s="24" t="n"/>
      <c r="Y4300" s="24" t="n"/>
    </row>
    <row r="4301">
      <c r="O4301" s="23" t="n"/>
      <c r="R4301" s="24" t="n"/>
      <c r="S4301" s="24" t="n"/>
      <c r="Y4301" s="24" t="n"/>
    </row>
    <row r="4302">
      <c r="O4302" s="23" t="n"/>
      <c r="R4302" s="24" t="n"/>
      <c r="S4302" s="24" t="n"/>
      <c r="Y4302" s="24" t="n"/>
    </row>
    <row r="4303">
      <c r="O4303" s="23" t="n"/>
      <c r="R4303" s="24" t="n"/>
      <c r="S4303" s="24" t="n"/>
      <c r="Y4303" s="24" t="n"/>
    </row>
    <row r="4304">
      <c r="O4304" s="23" t="n"/>
      <c r="R4304" s="24" t="n"/>
      <c r="S4304" s="24" t="n"/>
      <c r="Y4304" s="24" t="n"/>
    </row>
    <row r="4305">
      <c r="O4305" s="23" t="n"/>
      <c r="R4305" s="24" t="n"/>
      <c r="S4305" s="24" t="n"/>
      <c r="Y4305" s="24" t="n"/>
    </row>
    <row r="4306">
      <c r="O4306" s="23" t="n"/>
      <c r="R4306" s="24" t="n"/>
      <c r="S4306" s="24" t="n"/>
      <c r="Y4306" s="24" t="n"/>
    </row>
    <row r="4307">
      <c r="O4307" s="23" t="n"/>
      <c r="R4307" s="24" t="n"/>
      <c r="S4307" s="24" t="n"/>
      <c r="Y4307" s="24" t="n"/>
    </row>
    <row r="4308">
      <c r="O4308" s="23" t="n"/>
      <c r="R4308" s="24" t="n"/>
      <c r="S4308" s="24" t="n"/>
      <c r="Y4308" s="24" t="n"/>
    </row>
    <row r="4309">
      <c r="O4309" s="23" t="n"/>
      <c r="R4309" s="24" t="n"/>
      <c r="S4309" s="24" t="n"/>
      <c r="Y4309" s="24" t="n"/>
    </row>
    <row r="4310">
      <c r="O4310" s="23" t="n"/>
      <c r="R4310" s="24" t="n"/>
      <c r="S4310" s="24" t="n"/>
      <c r="Y4310" s="24" t="n"/>
    </row>
    <row r="4311">
      <c r="O4311" s="23" t="n"/>
      <c r="R4311" s="24" t="n"/>
      <c r="S4311" s="24" t="n"/>
      <c r="Y4311" s="24" t="n"/>
    </row>
    <row r="4312">
      <c r="O4312" s="23" t="n"/>
      <c r="R4312" s="24" t="n"/>
      <c r="S4312" s="24" t="n"/>
      <c r="Y4312" s="24" t="n"/>
    </row>
    <row r="4313">
      <c r="O4313" s="23" t="n"/>
      <c r="R4313" s="24" t="n"/>
      <c r="S4313" s="24" t="n"/>
      <c r="Y4313" s="24" t="n"/>
    </row>
    <row r="4314">
      <c r="O4314" s="23" t="n"/>
      <c r="R4314" s="24" t="n"/>
      <c r="S4314" s="24" t="n"/>
      <c r="Y4314" s="24" t="n"/>
    </row>
    <row r="4315">
      <c r="O4315" s="23" t="n"/>
      <c r="R4315" s="24" t="n"/>
      <c r="S4315" s="24" t="n"/>
      <c r="Y4315" s="24" t="n"/>
    </row>
    <row r="4316">
      <c r="O4316" s="23" t="n"/>
      <c r="R4316" s="24" t="n"/>
      <c r="S4316" s="24" t="n"/>
      <c r="Y4316" s="24" t="n"/>
    </row>
    <row r="4317">
      <c r="O4317" s="23" t="n"/>
      <c r="R4317" s="24" t="n"/>
      <c r="S4317" s="24" t="n"/>
      <c r="Y4317" s="24" t="n"/>
    </row>
    <row r="4318">
      <c r="O4318" s="23" t="n"/>
      <c r="R4318" s="24" t="n"/>
      <c r="S4318" s="24" t="n"/>
      <c r="Y4318" s="24" t="n"/>
    </row>
    <row r="4319">
      <c r="O4319" s="23" t="n"/>
      <c r="R4319" s="24" t="n"/>
      <c r="S4319" s="24" t="n"/>
      <c r="Y4319" s="24" t="n"/>
    </row>
    <row r="4320">
      <c r="O4320" s="23" t="n"/>
      <c r="R4320" s="24" t="n"/>
      <c r="S4320" s="24" t="n"/>
      <c r="Y4320" s="24" t="n"/>
    </row>
    <row r="4321">
      <c r="O4321" s="23" t="n"/>
      <c r="R4321" s="24" t="n"/>
      <c r="S4321" s="24" t="n"/>
      <c r="Y4321" s="24" t="n"/>
    </row>
    <row r="4322">
      <c r="O4322" s="23" t="n"/>
      <c r="R4322" s="24" t="n"/>
      <c r="S4322" s="24" t="n"/>
      <c r="Y4322" s="24" t="n"/>
    </row>
    <row r="4323">
      <c r="O4323" s="23" t="n"/>
      <c r="R4323" s="24" t="n"/>
      <c r="S4323" s="24" t="n"/>
      <c r="Y4323" s="24" t="n"/>
    </row>
    <row r="4324">
      <c r="O4324" s="23" t="n"/>
      <c r="R4324" s="24" t="n"/>
      <c r="S4324" s="24" t="n"/>
      <c r="Y4324" s="24" t="n"/>
    </row>
    <row r="4325">
      <c r="O4325" s="23" t="n"/>
      <c r="R4325" s="24" t="n"/>
      <c r="S4325" s="24" t="n"/>
      <c r="Y4325" s="24" t="n"/>
    </row>
    <row r="4326">
      <c r="O4326" s="23" t="n"/>
      <c r="R4326" s="24" t="n"/>
      <c r="S4326" s="24" t="n"/>
      <c r="Y4326" s="24" t="n"/>
    </row>
    <row r="4327">
      <c r="O4327" s="23" t="n"/>
      <c r="R4327" s="24" t="n"/>
      <c r="S4327" s="24" t="n"/>
      <c r="Y4327" s="24" t="n"/>
    </row>
    <row r="4328">
      <c r="O4328" s="23" t="n"/>
      <c r="R4328" s="24" t="n"/>
      <c r="S4328" s="24" t="n"/>
      <c r="Y4328" s="24" t="n"/>
    </row>
    <row r="4329">
      <c r="O4329" s="23" t="n"/>
      <c r="R4329" s="24" t="n"/>
      <c r="S4329" s="24" t="n"/>
      <c r="Y4329" s="24" t="n"/>
    </row>
    <row r="4330">
      <c r="O4330" s="23" t="n"/>
      <c r="R4330" s="24" t="n"/>
      <c r="S4330" s="24" t="n"/>
      <c r="Y4330" s="24" t="n"/>
    </row>
    <row r="4331">
      <c r="O4331" s="23" t="n"/>
      <c r="R4331" s="24" t="n"/>
      <c r="S4331" s="24" t="n"/>
      <c r="Y4331" s="24" t="n"/>
    </row>
    <row r="4332">
      <c r="O4332" s="23" t="n"/>
      <c r="R4332" s="24" t="n"/>
      <c r="S4332" s="24" t="n"/>
      <c r="Y4332" s="24" t="n"/>
    </row>
    <row r="4333">
      <c r="O4333" s="23" t="n"/>
      <c r="R4333" s="24" t="n"/>
      <c r="S4333" s="24" t="n"/>
      <c r="Y4333" s="24" t="n"/>
    </row>
    <row r="4334">
      <c r="O4334" s="23" t="n"/>
      <c r="R4334" s="24" t="n"/>
      <c r="S4334" s="24" t="n"/>
      <c r="Y4334" s="24" t="n"/>
    </row>
    <row r="4335">
      <c r="O4335" s="23" t="n"/>
      <c r="R4335" s="24" t="n"/>
      <c r="S4335" s="24" t="n"/>
      <c r="Y4335" s="24" t="n"/>
    </row>
    <row r="4336">
      <c r="O4336" s="23" t="n"/>
      <c r="R4336" s="24" t="n"/>
      <c r="S4336" s="24" t="n"/>
      <c r="Y4336" s="24" t="n"/>
    </row>
    <row r="4337">
      <c r="O4337" s="23" t="n"/>
      <c r="R4337" s="24" t="n"/>
      <c r="S4337" s="24" t="n"/>
      <c r="Y4337" s="24" t="n"/>
    </row>
    <row r="4338">
      <c r="O4338" s="23" t="n"/>
      <c r="R4338" s="24" t="n"/>
      <c r="S4338" s="24" t="n"/>
      <c r="Y4338" s="24" t="n"/>
    </row>
    <row r="4339">
      <c r="O4339" s="23" t="n"/>
      <c r="R4339" s="24" t="n"/>
      <c r="S4339" s="24" t="n"/>
      <c r="Y4339" s="24" t="n"/>
    </row>
    <row r="4340">
      <c r="O4340" s="23" t="n"/>
      <c r="R4340" s="24" t="n"/>
      <c r="S4340" s="24" t="n"/>
      <c r="Y4340" s="24" t="n"/>
    </row>
    <row r="4341">
      <c r="O4341" s="23" t="n"/>
      <c r="R4341" s="24" t="n"/>
      <c r="S4341" s="24" t="n"/>
      <c r="Y4341" s="24" t="n"/>
    </row>
    <row r="4342">
      <c r="O4342" s="23" t="n"/>
      <c r="R4342" s="24" t="n"/>
      <c r="S4342" s="24" t="n"/>
      <c r="Y4342" s="24" t="n"/>
    </row>
    <row r="4343">
      <c r="O4343" s="23" t="n"/>
      <c r="R4343" s="24" t="n"/>
      <c r="S4343" s="24" t="n"/>
      <c r="Y4343" s="24" t="n"/>
    </row>
    <row r="4344">
      <c r="O4344" s="23" t="n"/>
      <c r="R4344" s="24" t="n"/>
      <c r="S4344" s="24" t="n"/>
      <c r="Y4344" s="24" t="n"/>
    </row>
    <row r="4345">
      <c r="O4345" s="23" t="n"/>
      <c r="R4345" s="24" t="n"/>
      <c r="S4345" s="24" t="n"/>
      <c r="Y4345" s="24" t="n"/>
    </row>
    <row r="4346">
      <c r="O4346" s="23" t="n"/>
      <c r="R4346" s="24" t="n"/>
      <c r="S4346" s="24" t="n"/>
      <c r="Y4346" s="24" t="n"/>
    </row>
    <row r="4347">
      <c r="O4347" s="23" t="n"/>
      <c r="R4347" s="24" t="n"/>
      <c r="S4347" s="24" t="n"/>
      <c r="Y4347" s="24" t="n"/>
    </row>
    <row r="4348">
      <c r="O4348" s="23" t="n"/>
      <c r="R4348" s="24" t="n"/>
      <c r="S4348" s="24" t="n"/>
      <c r="Y4348" s="24" t="n"/>
    </row>
    <row r="4349">
      <c r="O4349" s="23" t="n"/>
      <c r="R4349" s="24" t="n"/>
      <c r="S4349" s="24" t="n"/>
      <c r="Y4349" s="24" t="n"/>
    </row>
    <row r="4350">
      <c r="O4350" s="23" t="n"/>
      <c r="R4350" s="24" t="n"/>
      <c r="S4350" s="24" t="n"/>
      <c r="Y4350" s="24" t="n"/>
    </row>
    <row r="4351">
      <c r="O4351" s="23" t="n"/>
      <c r="R4351" s="24" t="n"/>
      <c r="S4351" s="24" t="n"/>
      <c r="Y4351" s="24" t="n"/>
    </row>
    <row r="4352">
      <c r="O4352" s="23" t="n"/>
      <c r="R4352" s="24" t="n"/>
      <c r="S4352" s="24" t="n"/>
      <c r="Y4352" s="24" t="n"/>
    </row>
    <row r="4353">
      <c r="O4353" s="23" t="n"/>
      <c r="R4353" s="24" t="n"/>
      <c r="S4353" s="24" t="n"/>
      <c r="Y4353" s="24" t="n"/>
    </row>
    <row r="4354">
      <c r="O4354" s="23" t="n"/>
      <c r="R4354" s="24" t="n"/>
      <c r="S4354" s="24" t="n"/>
      <c r="Y4354" s="24" t="n"/>
    </row>
    <row r="4355">
      <c r="O4355" s="23" t="n"/>
      <c r="R4355" s="24" t="n"/>
      <c r="S4355" s="24" t="n"/>
      <c r="Y4355" s="24" t="n"/>
    </row>
    <row r="4356">
      <c r="O4356" s="23" t="n"/>
      <c r="R4356" s="24" t="n"/>
      <c r="S4356" s="24" t="n"/>
      <c r="Y4356" s="24" t="n"/>
    </row>
    <row r="4357">
      <c r="O4357" s="23" t="n"/>
      <c r="R4357" s="24" t="n"/>
      <c r="S4357" s="24" t="n"/>
      <c r="Y4357" s="24" t="n"/>
    </row>
    <row r="4358">
      <c r="O4358" s="23" t="n"/>
      <c r="R4358" s="24" t="n"/>
      <c r="S4358" s="24" t="n"/>
      <c r="Y4358" s="24" t="n"/>
    </row>
    <row r="4359">
      <c r="O4359" s="23" t="n"/>
      <c r="R4359" s="24" t="n"/>
      <c r="S4359" s="24" t="n"/>
      <c r="Y4359" s="24" t="n"/>
    </row>
    <row r="4360">
      <c r="O4360" s="23" t="n"/>
      <c r="R4360" s="24" t="n"/>
      <c r="S4360" s="24" t="n"/>
      <c r="Y4360" s="24" t="n"/>
    </row>
    <row r="4361">
      <c r="O4361" s="23" t="n"/>
      <c r="R4361" s="24" t="n"/>
      <c r="S4361" s="24" t="n"/>
      <c r="Y4361" s="24" t="n"/>
    </row>
    <row r="4362">
      <c r="O4362" s="23" t="n"/>
      <c r="R4362" s="24" t="n"/>
      <c r="S4362" s="24" t="n"/>
      <c r="Y4362" s="24" t="n"/>
    </row>
    <row r="4363">
      <c r="O4363" s="23" t="n"/>
      <c r="R4363" s="24" t="n"/>
      <c r="S4363" s="24" t="n"/>
      <c r="Y4363" s="24" t="n"/>
    </row>
    <row r="4364">
      <c r="O4364" s="23" t="n"/>
      <c r="R4364" s="24" t="n"/>
      <c r="S4364" s="24" t="n"/>
      <c r="Y4364" s="24" t="n"/>
    </row>
    <row r="4365">
      <c r="O4365" s="23" t="n"/>
      <c r="R4365" s="24" t="n"/>
      <c r="S4365" s="24" t="n"/>
      <c r="Y4365" s="24" t="n"/>
    </row>
    <row r="4366">
      <c r="O4366" s="23" t="n"/>
      <c r="R4366" s="24" t="n"/>
      <c r="S4366" s="24" t="n"/>
      <c r="Y4366" s="24" t="n"/>
    </row>
    <row r="4367">
      <c r="O4367" s="23" t="n"/>
      <c r="R4367" s="24" t="n"/>
      <c r="S4367" s="24" t="n"/>
      <c r="Y4367" s="24" t="n"/>
    </row>
    <row r="4368">
      <c r="O4368" s="23" t="n"/>
      <c r="R4368" s="24" t="n"/>
      <c r="S4368" s="24" t="n"/>
      <c r="Y4368" s="24" t="n"/>
    </row>
    <row r="4369">
      <c r="O4369" s="23" t="n"/>
      <c r="R4369" s="24" t="n"/>
      <c r="S4369" s="24" t="n"/>
      <c r="Y4369" s="24" t="n"/>
    </row>
    <row r="4370">
      <c r="O4370" s="23" t="n"/>
      <c r="R4370" s="24" t="n"/>
      <c r="S4370" s="24" t="n"/>
      <c r="Y4370" s="24" t="n"/>
    </row>
    <row r="4371">
      <c r="O4371" s="23" t="n"/>
      <c r="R4371" s="24" t="n"/>
      <c r="S4371" s="24" t="n"/>
      <c r="Y4371" s="24" t="n"/>
    </row>
    <row r="4372">
      <c r="O4372" s="23" t="n"/>
      <c r="R4372" s="24" t="n"/>
      <c r="S4372" s="24" t="n"/>
      <c r="Y4372" s="24" t="n"/>
    </row>
    <row r="4373">
      <c r="O4373" s="23" t="n"/>
      <c r="R4373" s="24" t="n"/>
      <c r="S4373" s="24" t="n"/>
      <c r="Y4373" s="24" t="n"/>
    </row>
    <row r="4374">
      <c r="O4374" s="23" t="n"/>
      <c r="R4374" s="24" t="n"/>
      <c r="S4374" s="24" t="n"/>
      <c r="Y4374" s="24" t="n"/>
    </row>
    <row r="4375">
      <c r="O4375" s="23" t="n"/>
      <c r="R4375" s="24" t="n"/>
      <c r="S4375" s="24" t="n"/>
      <c r="Y4375" s="24" t="n"/>
    </row>
    <row r="4376">
      <c r="O4376" s="23" t="n"/>
      <c r="R4376" s="24" t="n"/>
      <c r="S4376" s="24" t="n"/>
      <c r="Y4376" s="24" t="n"/>
    </row>
    <row r="4377">
      <c r="O4377" s="23" t="n"/>
      <c r="R4377" s="24" t="n"/>
      <c r="S4377" s="24" t="n"/>
      <c r="Y4377" s="24" t="n"/>
    </row>
    <row r="4378">
      <c r="O4378" s="23" t="n"/>
      <c r="R4378" s="24" t="n"/>
      <c r="S4378" s="24" t="n"/>
      <c r="Y4378" s="24" t="n"/>
    </row>
    <row r="4379">
      <c r="O4379" s="23" t="n"/>
      <c r="R4379" s="24" t="n"/>
      <c r="S4379" s="24" t="n"/>
      <c r="Y4379" s="24" t="n"/>
    </row>
    <row r="4380">
      <c r="O4380" s="23" t="n"/>
      <c r="R4380" s="24" t="n"/>
      <c r="S4380" s="24" t="n"/>
      <c r="Y4380" s="24" t="n"/>
    </row>
    <row r="4381">
      <c r="O4381" s="23" t="n"/>
      <c r="R4381" s="24" t="n"/>
      <c r="S4381" s="24" t="n"/>
      <c r="Y4381" s="24" t="n"/>
    </row>
    <row r="4382">
      <c r="O4382" s="23" t="n"/>
      <c r="R4382" s="24" t="n"/>
      <c r="S4382" s="24" t="n"/>
      <c r="Y4382" s="24" t="n"/>
    </row>
    <row r="4383">
      <c r="O4383" s="23" t="n"/>
      <c r="R4383" s="24" t="n"/>
      <c r="S4383" s="24" t="n"/>
      <c r="Y4383" s="24" t="n"/>
    </row>
    <row r="4384">
      <c r="O4384" s="23" t="n"/>
      <c r="R4384" s="24" t="n"/>
      <c r="S4384" s="24" t="n"/>
      <c r="Y4384" s="24" t="n"/>
    </row>
    <row r="4385">
      <c r="O4385" s="23" t="n"/>
      <c r="R4385" s="24" t="n"/>
      <c r="S4385" s="24" t="n"/>
      <c r="Y4385" s="24" t="n"/>
    </row>
    <row r="4386">
      <c r="O4386" s="23" t="n"/>
      <c r="R4386" s="24" t="n"/>
      <c r="S4386" s="24" t="n"/>
      <c r="Y4386" s="24" t="n"/>
    </row>
    <row r="4387">
      <c r="O4387" s="23" t="n"/>
      <c r="R4387" s="24" t="n"/>
      <c r="S4387" s="24" t="n"/>
      <c r="Y4387" s="24" t="n"/>
    </row>
    <row r="4388">
      <c r="O4388" s="23" t="n"/>
      <c r="R4388" s="24" t="n"/>
      <c r="S4388" s="24" t="n"/>
      <c r="Y4388" s="24" t="n"/>
    </row>
    <row r="4389">
      <c r="O4389" s="23" t="n"/>
      <c r="R4389" s="24" t="n"/>
      <c r="S4389" s="24" t="n"/>
      <c r="Y4389" s="24" t="n"/>
    </row>
    <row r="4390">
      <c r="O4390" s="23" t="n"/>
      <c r="R4390" s="24" t="n"/>
      <c r="S4390" s="24" t="n"/>
      <c r="Y4390" s="24" t="n"/>
    </row>
    <row r="4391">
      <c r="O4391" s="23" t="n"/>
      <c r="R4391" s="24" t="n"/>
      <c r="S4391" s="24" t="n"/>
      <c r="Y4391" s="24" t="n"/>
    </row>
    <row r="4392">
      <c r="O4392" s="23" t="n"/>
      <c r="R4392" s="24" t="n"/>
      <c r="S4392" s="24" t="n"/>
      <c r="Y4392" s="24" t="n"/>
    </row>
    <row r="4393">
      <c r="O4393" s="23" t="n"/>
      <c r="R4393" s="24" t="n"/>
      <c r="S4393" s="24" t="n"/>
      <c r="Y4393" s="24" t="n"/>
    </row>
    <row r="4394">
      <c r="O4394" s="23" t="n"/>
      <c r="R4394" s="24" t="n"/>
      <c r="S4394" s="24" t="n"/>
      <c r="Y4394" s="24" t="n"/>
    </row>
    <row r="4395">
      <c r="O4395" s="23" t="n"/>
      <c r="R4395" s="24" t="n"/>
      <c r="S4395" s="24" t="n"/>
      <c r="Y4395" s="24" t="n"/>
    </row>
    <row r="4396">
      <c r="O4396" s="23" t="n"/>
      <c r="R4396" s="24" t="n"/>
      <c r="S4396" s="24" t="n"/>
      <c r="Y4396" s="24" t="n"/>
    </row>
    <row r="4397">
      <c r="O4397" s="23" t="n"/>
      <c r="R4397" s="24" t="n"/>
      <c r="S4397" s="24" t="n"/>
      <c r="Y4397" s="24" t="n"/>
    </row>
    <row r="4398">
      <c r="O4398" s="23" t="n"/>
      <c r="R4398" s="24" t="n"/>
      <c r="S4398" s="24" t="n"/>
      <c r="Y4398" s="24" t="n"/>
    </row>
    <row r="4399">
      <c r="O4399" s="23" t="n"/>
      <c r="R4399" s="24" t="n"/>
      <c r="S4399" s="24" t="n"/>
      <c r="Y4399" s="24" t="n"/>
    </row>
    <row r="4400">
      <c r="O4400" s="23" t="n"/>
      <c r="R4400" s="24" t="n"/>
      <c r="S4400" s="24" t="n"/>
      <c r="Y4400" s="24" t="n"/>
    </row>
    <row r="4401">
      <c r="O4401" s="23" t="n"/>
      <c r="R4401" s="24" t="n"/>
      <c r="S4401" s="24" t="n"/>
      <c r="Y4401" s="24" t="n"/>
    </row>
    <row r="4402">
      <c r="O4402" s="23" t="n"/>
      <c r="R4402" s="24" t="n"/>
      <c r="S4402" s="24" t="n"/>
      <c r="Y4402" s="24" t="n"/>
    </row>
    <row r="4403">
      <c r="O4403" s="23" t="n"/>
      <c r="R4403" s="24" t="n"/>
      <c r="S4403" s="24" t="n"/>
      <c r="Y4403" s="24" t="n"/>
    </row>
    <row r="4404">
      <c r="O4404" s="23" t="n"/>
      <c r="R4404" s="24" t="n"/>
      <c r="S4404" s="24" t="n"/>
      <c r="Y4404" s="24" t="n"/>
    </row>
    <row r="4405">
      <c r="O4405" s="23" t="n"/>
      <c r="R4405" s="24" t="n"/>
      <c r="S4405" s="24" t="n"/>
      <c r="Y4405" s="24" t="n"/>
    </row>
    <row r="4406">
      <c r="O4406" s="23" t="n"/>
      <c r="R4406" s="24" t="n"/>
      <c r="S4406" s="24" t="n"/>
      <c r="Y4406" s="24" t="n"/>
    </row>
    <row r="4407">
      <c r="O4407" s="23" t="n"/>
      <c r="R4407" s="24" t="n"/>
      <c r="S4407" s="24" t="n"/>
      <c r="Y4407" s="24" t="n"/>
    </row>
    <row r="4408">
      <c r="O4408" s="23" t="n"/>
      <c r="R4408" s="24" t="n"/>
      <c r="S4408" s="24" t="n"/>
      <c r="Y4408" s="24" t="n"/>
    </row>
    <row r="4409">
      <c r="O4409" s="23" t="n"/>
      <c r="R4409" s="24" t="n"/>
      <c r="S4409" s="24" t="n"/>
      <c r="Y4409" s="24" t="n"/>
    </row>
    <row r="4410">
      <c r="O4410" s="23" t="n"/>
      <c r="R4410" s="24" t="n"/>
      <c r="S4410" s="24" t="n"/>
      <c r="Y4410" s="24" t="n"/>
    </row>
    <row r="4411">
      <c r="O4411" s="23" t="n"/>
      <c r="R4411" s="24" t="n"/>
      <c r="S4411" s="24" t="n"/>
      <c r="Y4411" s="24" t="n"/>
    </row>
    <row r="4412">
      <c r="O4412" s="23" t="n"/>
      <c r="R4412" s="24" t="n"/>
      <c r="S4412" s="24" t="n"/>
      <c r="Y4412" s="24" t="n"/>
    </row>
    <row r="4413">
      <c r="O4413" s="23" t="n"/>
      <c r="R4413" s="24" t="n"/>
      <c r="S4413" s="24" t="n"/>
      <c r="Y4413" s="24" t="n"/>
    </row>
    <row r="4414">
      <c r="O4414" s="23" t="n"/>
      <c r="R4414" s="24" t="n"/>
      <c r="S4414" s="24" t="n"/>
      <c r="Y4414" s="24" t="n"/>
    </row>
    <row r="4415">
      <c r="O4415" s="23" t="n"/>
      <c r="R4415" s="24" t="n"/>
      <c r="S4415" s="24" t="n"/>
      <c r="Y4415" s="24" t="n"/>
    </row>
    <row r="4416">
      <c r="O4416" s="23" t="n"/>
      <c r="R4416" s="24" t="n"/>
      <c r="S4416" s="24" t="n"/>
      <c r="Y4416" s="24" t="n"/>
    </row>
    <row r="4417">
      <c r="O4417" s="23" t="n"/>
      <c r="R4417" s="24" t="n"/>
      <c r="S4417" s="24" t="n"/>
      <c r="Y4417" s="24" t="n"/>
    </row>
    <row r="4418">
      <c r="O4418" s="23" t="n"/>
      <c r="R4418" s="24" t="n"/>
      <c r="S4418" s="24" t="n"/>
      <c r="Y4418" s="24" t="n"/>
    </row>
    <row r="4419">
      <c r="O4419" s="23" t="n"/>
      <c r="R4419" s="24" t="n"/>
      <c r="S4419" s="24" t="n"/>
      <c r="Y4419" s="24" t="n"/>
    </row>
    <row r="4420">
      <c r="O4420" s="23" t="n"/>
      <c r="R4420" s="24" t="n"/>
      <c r="S4420" s="24" t="n"/>
      <c r="Y4420" s="24" t="n"/>
    </row>
    <row r="4421">
      <c r="O4421" s="23" t="n"/>
      <c r="R4421" s="24" t="n"/>
      <c r="S4421" s="24" t="n"/>
      <c r="Y4421" s="24" t="n"/>
    </row>
    <row r="4422">
      <c r="O4422" s="23" t="n"/>
      <c r="R4422" s="24" t="n"/>
      <c r="S4422" s="24" t="n"/>
      <c r="Y4422" s="24" t="n"/>
    </row>
    <row r="4423">
      <c r="O4423" s="23" t="n"/>
      <c r="R4423" s="24" t="n"/>
      <c r="S4423" s="24" t="n"/>
      <c r="Y4423" s="24" t="n"/>
    </row>
    <row r="4424">
      <c r="O4424" s="23" t="n"/>
      <c r="R4424" s="24" t="n"/>
      <c r="S4424" s="24" t="n"/>
      <c r="Y4424" s="24" t="n"/>
    </row>
    <row r="4425">
      <c r="O4425" s="23" t="n"/>
      <c r="R4425" s="24" t="n"/>
      <c r="S4425" s="24" t="n"/>
      <c r="Y4425" s="24" t="n"/>
    </row>
    <row r="4426">
      <c r="O4426" s="23" t="n"/>
      <c r="R4426" s="24" t="n"/>
      <c r="S4426" s="24" t="n"/>
      <c r="Y4426" s="24" t="n"/>
    </row>
    <row r="4427">
      <c r="O4427" s="23" t="n"/>
      <c r="R4427" s="24" t="n"/>
      <c r="S4427" s="24" t="n"/>
      <c r="Y4427" s="24" t="n"/>
    </row>
    <row r="4428">
      <c r="O4428" s="23" t="n"/>
      <c r="R4428" s="24" t="n"/>
      <c r="S4428" s="24" t="n"/>
      <c r="Y4428" s="24" t="n"/>
    </row>
    <row r="4429">
      <c r="O4429" s="23" t="n"/>
      <c r="R4429" s="24" t="n"/>
      <c r="S4429" s="24" t="n"/>
      <c r="Y4429" s="24" t="n"/>
    </row>
    <row r="4430">
      <c r="O4430" s="23" t="n"/>
      <c r="R4430" s="24" t="n"/>
      <c r="S4430" s="24" t="n"/>
      <c r="Y4430" s="24" t="n"/>
    </row>
    <row r="4431">
      <c r="O4431" s="23" t="n"/>
      <c r="R4431" s="24" t="n"/>
      <c r="S4431" s="24" t="n"/>
      <c r="Y4431" s="24" t="n"/>
    </row>
    <row r="4432">
      <c r="O4432" s="23" t="n"/>
      <c r="R4432" s="24" t="n"/>
      <c r="S4432" s="24" t="n"/>
      <c r="Y4432" s="24" t="n"/>
    </row>
    <row r="4433">
      <c r="O4433" s="23" t="n"/>
      <c r="R4433" s="24" t="n"/>
      <c r="S4433" s="24" t="n"/>
      <c r="Y4433" s="24" t="n"/>
    </row>
    <row r="4434">
      <c r="O4434" s="23" t="n"/>
      <c r="R4434" s="24" t="n"/>
      <c r="S4434" s="24" t="n"/>
      <c r="Y4434" s="24" t="n"/>
    </row>
    <row r="4435">
      <c r="O4435" s="23" t="n"/>
      <c r="R4435" s="24" t="n"/>
      <c r="S4435" s="24" t="n"/>
      <c r="Y4435" s="24" t="n"/>
    </row>
    <row r="4436">
      <c r="O4436" s="23" t="n"/>
      <c r="R4436" s="24" t="n"/>
      <c r="S4436" s="24" t="n"/>
      <c r="Y4436" s="24" t="n"/>
    </row>
    <row r="4437">
      <c r="O4437" s="23" t="n"/>
      <c r="R4437" s="24" t="n"/>
      <c r="S4437" s="24" t="n"/>
      <c r="Y4437" s="24" t="n"/>
    </row>
    <row r="4438">
      <c r="O4438" s="23" t="n"/>
      <c r="R4438" s="24" t="n"/>
      <c r="S4438" s="24" t="n"/>
      <c r="Y4438" s="24" t="n"/>
    </row>
    <row r="4439">
      <c r="O4439" s="23" t="n"/>
      <c r="R4439" s="24" t="n"/>
      <c r="S4439" s="24" t="n"/>
      <c r="Y4439" s="24" t="n"/>
    </row>
    <row r="4440">
      <c r="O4440" s="23" t="n"/>
      <c r="R4440" s="24" t="n"/>
      <c r="S4440" s="24" t="n"/>
      <c r="Y4440" s="24" t="n"/>
    </row>
    <row r="4441">
      <c r="O4441" s="23" t="n"/>
      <c r="R4441" s="24" t="n"/>
      <c r="S4441" s="24" t="n"/>
      <c r="Y4441" s="24" t="n"/>
    </row>
    <row r="4442">
      <c r="O4442" s="23" t="n"/>
      <c r="R4442" s="24" t="n"/>
      <c r="S4442" s="24" t="n"/>
      <c r="Y4442" s="24" t="n"/>
    </row>
    <row r="4443">
      <c r="O4443" s="23" t="n"/>
      <c r="R4443" s="24" t="n"/>
      <c r="S4443" s="24" t="n"/>
      <c r="Y4443" s="24" t="n"/>
    </row>
    <row r="4444">
      <c r="O4444" s="23" t="n"/>
      <c r="R4444" s="24" t="n"/>
      <c r="S4444" s="24" t="n"/>
      <c r="Y4444" s="24" t="n"/>
    </row>
    <row r="4445">
      <c r="O4445" s="23" t="n"/>
      <c r="R4445" s="24" t="n"/>
      <c r="S4445" s="24" t="n"/>
      <c r="Y4445" s="24" t="n"/>
    </row>
    <row r="4446">
      <c r="O4446" s="23" t="n"/>
      <c r="R4446" s="24" t="n"/>
      <c r="S4446" s="24" t="n"/>
      <c r="Y4446" s="24" t="n"/>
    </row>
    <row r="4447">
      <c r="O4447" s="23" t="n"/>
      <c r="R4447" s="24" t="n"/>
      <c r="S4447" s="24" t="n"/>
      <c r="Y4447" s="24" t="n"/>
    </row>
    <row r="4448">
      <c r="O4448" s="23" t="n"/>
      <c r="R4448" s="24" t="n"/>
      <c r="S4448" s="24" t="n"/>
      <c r="Y4448" s="24" t="n"/>
    </row>
    <row r="4449">
      <c r="O4449" s="23" t="n"/>
      <c r="R4449" s="24" t="n"/>
      <c r="S4449" s="24" t="n"/>
      <c r="Y4449" s="24" t="n"/>
    </row>
    <row r="4450">
      <c r="O4450" s="23" t="n"/>
      <c r="R4450" s="24" t="n"/>
      <c r="S4450" s="24" t="n"/>
      <c r="Y4450" s="24" t="n"/>
    </row>
    <row r="4451">
      <c r="O4451" s="23" t="n"/>
      <c r="R4451" s="24" t="n"/>
      <c r="S4451" s="24" t="n"/>
      <c r="Y4451" s="24" t="n"/>
    </row>
    <row r="4452">
      <c r="O4452" s="23" t="n"/>
      <c r="R4452" s="24" t="n"/>
      <c r="S4452" s="24" t="n"/>
      <c r="Y4452" s="24" t="n"/>
    </row>
    <row r="4453">
      <c r="O4453" s="23" t="n"/>
      <c r="R4453" s="24" t="n"/>
      <c r="S4453" s="24" t="n"/>
      <c r="Y4453" s="24" t="n"/>
    </row>
    <row r="4454">
      <c r="O4454" s="23" t="n"/>
      <c r="R4454" s="24" t="n"/>
      <c r="S4454" s="24" t="n"/>
      <c r="Y4454" s="24" t="n"/>
    </row>
    <row r="4455">
      <c r="O4455" s="23" t="n"/>
      <c r="R4455" s="24" t="n"/>
      <c r="S4455" s="24" t="n"/>
      <c r="Y4455" s="24" t="n"/>
    </row>
    <row r="4456">
      <c r="O4456" s="23" t="n"/>
      <c r="R4456" s="24" t="n"/>
      <c r="S4456" s="24" t="n"/>
      <c r="Y4456" s="24" t="n"/>
    </row>
    <row r="4457">
      <c r="O4457" s="23" t="n"/>
      <c r="R4457" s="24" t="n"/>
      <c r="S4457" s="24" t="n"/>
      <c r="Y4457" s="24" t="n"/>
    </row>
    <row r="4458">
      <c r="O4458" s="23" t="n"/>
      <c r="R4458" s="24" t="n"/>
      <c r="S4458" s="24" t="n"/>
      <c r="Y4458" s="24" t="n"/>
    </row>
    <row r="4459">
      <c r="O4459" s="23" t="n"/>
      <c r="R4459" s="24" t="n"/>
      <c r="S4459" s="24" t="n"/>
      <c r="Y4459" s="24" t="n"/>
    </row>
    <row r="4460">
      <c r="O4460" s="23" t="n"/>
      <c r="R4460" s="24" t="n"/>
      <c r="S4460" s="24" t="n"/>
      <c r="Y4460" s="24" t="n"/>
    </row>
    <row r="4461">
      <c r="O4461" s="23" t="n"/>
      <c r="R4461" s="24" t="n"/>
      <c r="S4461" s="24" t="n"/>
      <c r="Y4461" s="24" t="n"/>
    </row>
    <row r="4462">
      <c r="O4462" s="23" t="n"/>
      <c r="R4462" s="24" t="n"/>
      <c r="S4462" s="24" t="n"/>
      <c r="Y4462" s="24" t="n"/>
    </row>
    <row r="4463">
      <c r="O4463" s="23" t="n"/>
      <c r="R4463" s="24" t="n"/>
      <c r="S4463" s="24" t="n"/>
      <c r="Y4463" s="24" t="n"/>
    </row>
    <row r="4464">
      <c r="O4464" s="23" t="n"/>
      <c r="R4464" s="24" t="n"/>
      <c r="S4464" s="24" t="n"/>
      <c r="Y4464" s="24" t="n"/>
    </row>
    <row r="4465">
      <c r="O4465" s="23" t="n"/>
      <c r="R4465" s="24" t="n"/>
      <c r="S4465" s="24" t="n"/>
      <c r="Y4465" s="24" t="n"/>
    </row>
    <row r="4466">
      <c r="O4466" s="23" t="n"/>
      <c r="R4466" s="24" t="n"/>
      <c r="S4466" s="24" t="n"/>
      <c r="Y4466" s="24" t="n"/>
    </row>
    <row r="4467">
      <c r="O4467" s="23" t="n"/>
      <c r="R4467" s="24" t="n"/>
      <c r="S4467" s="24" t="n"/>
      <c r="Y4467" s="24" t="n"/>
    </row>
    <row r="4468">
      <c r="O4468" s="23" t="n"/>
      <c r="R4468" s="24" t="n"/>
      <c r="S4468" s="24" t="n"/>
      <c r="Y4468" s="24" t="n"/>
    </row>
    <row r="4469">
      <c r="O4469" s="23" t="n"/>
      <c r="R4469" s="24" t="n"/>
      <c r="S4469" s="24" t="n"/>
      <c r="Y4469" s="24" t="n"/>
    </row>
    <row r="4470">
      <c r="O4470" s="23" t="n"/>
      <c r="R4470" s="24" t="n"/>
      <c r="S4470" s="24" t="n"/>
      <c r="Y4470" s="24" t="n"/>
    </row>
    <row r="4471">
      <c r="O4471" s="23" t="n"/>
      <c r="R4471" s="24" t="n"/>
      <c r="S4471" s="24" t="n"/>
      <c r="Y4471" s="24" t="n"/>
    </row>
    <row r="4472">
      <c r="O4472" s="23" t="n"/>
      <c r="R4472" s="24" t="n"/>
      <c r="S4472" s="24" t="n"/>
      <c r="Y4472" s="24" t="n"/>
    </row>
    <row r="4473">
      <c r="O4473" s="23" t="n"/>
      <c r="R4473" s="24" t="n"/>
      <c r="S4473" s="24" t="n"/>
      <c r="Y4473" s="24" t="n"/>
    </row>
    <row r="4474">
      <c r="O4474" s="23" t="n"/>
      <c r="R4474" s="24" t="n"/>
      <c r="S4474" s="24" t="n"/>
      <c r="Y4474" s="24" t="n"/>
    </row>
    <row r="4475">
      <c r="O4475" s="23" t="n"/>
      <c r="R4475" s="24" t="n"/>
      <c r="S4475" s="24" t="n"/>
      <c r="Y4475" s="24" t="n"/>
    </row>
    <row r="4476">
      <c r="O4476" s="23" t="n"/>
      <c r="R4476" s="24" t="n"/>
      <c r="S4476" s="24" t="n"/>
      <c r="Y4476" s="24" t="n"/>
    </row>
    <row r="4477">
      <c r="O4477" s="23" t="n"/>
      <c r="R4477" s="24" t="n"/>
      <c r="S4477" s="24" t="n"/>
      <c r="Y4477" s="24" t="n"/>
    </row>
    <row r="4478">
      <c r="O4478" s="23" t="n"/>
      <c r="R4478" s="24" t="n"/>
      <c r="S4478" s="24" t="n"/>
      <c r="Y4478" s="24" t="n"/>
    </row>
    <row r="4479">
      <c r="O4479" s="23" t="n"/>
      <c r="R4479" s="24" t="n"/>
      <c r="S4479" s="24" t="n"/>
      <c r="Y4479" s="24" t="n"/>
    </row>
    <row r="4480">
      <c r="O4480" s="23" t="n"/>
      <c r="R4480" s="24" t="n"/>
      <c r="S4480" s="24" t="n"/>
      <c r="Y4480" s="24" t="n"/>
    </row>
    <row r="4481">
      <c r="O4481" s="23" t="n"/>
      <c r="R4481" s="24" t="n"/>
      <c r="S4481" s="24" t="n"/>
      <c r="Y4481" s="24" t="n"/>
    </row>
    <row r="4482">
      <c r="O4482" s="23" t="n"/>
      <c r="R4482" s="24" t="n"/>
      <c r="S4482" s="24" t="n"/>
      <c r="Y4482" s="24" t="n"/>
    </row>
    <row r="4483">
      <c r="O4483" s="23" t="n"/>
      <c r="R4483" s="24" t="n"/>
      <c r="S4483" s="24" t="n"/>
      <c r="Y4483" s="24" t="n"/>
    </row>
    <row r="4484">
      <c r="O4484" s="23" t="n"/>
      <c r="R4484" s="24" t="n"/>
      <c r="S4484" s="24" t="n"/>
      <c r="Y4484" s="24" t="n"/>
    </row>
    <row r="4485">
      <c r="O4485" s="23" t="n"/>
      <c r="R4485" s="24" t="n"/>
      <c r="S4485" s="24" t="n"/>
      <c r="Y4485" s="24" t="n"/>
    </row>
    <row r="4486">
      <c r="O4486" s="23" t="n"/>
      <c r="R4486" s="24" t="n"/>
      <c r="S4486" s="24" t="n"/>
      <c r="Y4486" s="24" t="n"/>
    </row>
    <row r="4487">
      <c r="O4487" s="23" t="n"/>
      <c r="R4487" s="24" t="n"/>
      <c r="S4487" s="24" t="n"/>
      <c r="Y4487" s="24" t="n"/>
    </row>
    <row r="4488">
      <c r="O4488" s="23" t="n"/>
      <c r="R4488" s="24" t="n"/>
      <c r="S4488" s="24" t="n"/>
      <c r="Y4488" s="24" t="n"/>
    </row>
    <row r="4489">
      <c r="O4489" s="23" t="n"/>
      <c r="R4489" s="24" t="n"/>
      <c r="S4489" s="24" t="n"/>
      <c r="Y4489" s="24" t="n"/>
    </row>
    <row r="4490">
      <c r="O4490" s="23" t="n"/>
      <c r="R4490" s="24" t="n"/>
      <c r="S4490" s="24" t="n"/>
      <c r="Y4490" s="24" t="n"/>
    </row>
    <row r="4491">
      <c r="O4491" s="23" t="n"/>
      <c r="R4491" s="24" t="n"/>
      <c r="S4491" s="24" t="n"/>
      <c r="Y4491" s="24" t="n"/>
    </row>
    <row r="4492">
      <c r="O4492" s="23" t="n"/>
      <c r="R4492" s="24" t="n"/>
      <c r="S4492" s="24" t="n"/>
      <c r="Y4492" s="24" t="n"/>
    </row>
    <row r="4493">
      <c r="O4493" s="23" t="n"/>
      <c r="R4493" s="24" t="n"/>
      <c r="S4493" s="24" t="n"/>
      <c r="Y4493" s="24" t="n"/>
    </row>
    <row r="4494">
      <c r="O4494" s="23" t="n"/>
      <c r="R4494" s="24" t="n"/>
      <c r="S4494" s="24" t="n"/>
      <c r="Y4494" s="24" t="n"/>
    </row>
    <row r="4495">
      <c r="O4495" s="23" t="n"/>
      <c r="R4495" s="24" t="n"/>
      <c r="S4495" s="24" t="n"/>
      <c r="Y4495" s="24" t="n"/>
    </row>
    <row r="4496">
      <c r="O4496" s="23" t="n"/>
      <c r="R4496" s="24" t="n"/>
      <c r="S4496" s="24" t="n"/>
      <c r="Y4496" s="24" t="n"/>
    </row>
    <row r="4497">
      <c r="O4497" s="23" t="n"/>
      <c r="R4497" s="24" t="n"/>
      <c r="S4497" s="24" t="n"/>
      <c r="Y4497" s="24" t="n"/>
    </row>
    <row r="4498">
      <c r="O4498" s="23" t="n"/>
      <c r="R4498" s="24" t="n"/>
      <c r="S4498" s="24" t="n"/>
      <c r="Y4498" s="24" t="n"/>
    </row>
    <row r="4499">
      <c r="O4499" s="23" t="n"/>
      <c r="R4499" s="24" t="n"/>
      <c r="S4499" s="24" t="n"/>
      <c r="Y4499" s="24" t="n"/>
    </row>
    <row r="4500">
      <c r="O4500" s="23" t="n"/>
      <c r="R4500" s="24" t="n"/>
      <c r="S4500" s="24" t="n"/>
      <c r="Y4500" s="24" t="n"/>
    </row>
    <row r="4501">
      <c r="O4501" s="23" t="n"/>
      <c r="R4501" s="24" t="n"/>
      <c r="S4501" s="24" t="n"/>
      <c r="Y4501" s="24" t="n"/>
    </row>
    <row r="4502">
      <c r="O4502" s="23" t="n"/>
      <c r="R4502" s="24" t="n"/>
      <c r="S4502" s="24" t="n"/>
      <c r="Y4502" s="24" t="n"/>
    </row>
    <row r="4503">
      <c r="O4503" s="23" t="n"/>
      <c r="R4503" s="24" t="n"/>
      <c r="S4503" s="24" t="n"/>
      <c r="Y4503" s="24" t="n"/>
    </row>
    <row r="4504">
      <c r="O4504" s="23" t="n"/>
      <c r="R4504" s="24" t="n"/>
      <c r="S4504" s="24" t="n"/>
      <c r="Y4504" s="24" t="n"/>
    </row>
    <row r="4505">
      <c r="O4505" s="23" t="n"/>
      <c r="R4505" s="24" t="n"/>
      <c r="S4505" s="24" t="n"/>
      <c r="Y4505" s="24" t="n"/>
    </row>
    <row r="4506">
      <c r="O4506" s="23" t="n"/>
      <c r="R4506" s="24" t="n"/>
      <c r="S4506" s="24" t="n"/>
      <c r="Y4506" s="24" t="n"/>
    </row>
    <row r="4507">
      <c r="O4507" s="23" t="n"/>
      <c r="R4507" s="24" t="n"/>
      <c r="S4507" s="24" t="n"/>
      <c r="Y4507" s="24" t="n"/>
    </row>
    <row r="4508">
      <c r="O4508" s="23" t="n"/>
      <c r="R4508" s="24" t="n"/>
      <c r="S4508" s="24" t="n"/>
      <c r="Y4508" s="24" t="n"/>
    </row>
    <row r="4509">
      <c r="O4509" s="23" t="n"/>
      <c r="R4509" s="24" t="n"/>
      <c r="S4509" s="24" t="n"/>
      <c r="Y4509" s="24" t="n"/>
    </row>
    <row r="4510">
      <c r="O4510" s="23" t="n"/>
      <c r="R4510" s="24" t="n"/>
      <c r="S4510" s="24" t="n"/>
      <c r="Y4510" s="24" t="n"/>
    </row>
    <row r="4511">
      <c r="O4511" s="23" t="n"/>
      <c r="R4511" s="24" t="n"/>
      <c r="S4511" s="24" t="n"/>
      <c r="Y4511" s="24" t="n"/>
    </row>
    <row r="4512">
      <c r="O4512" s="23" t="n"/>
      <c r="R4512" s="24" t="n"/>
      <c r="S4512" s="24" t="n"/>
      <c r="Y4512" s="24" t="n"/>
    </row>
    <row r="4513">
      <c r="O4513" s="23" t="n"/>
      <c r="R4513" s="24" t="n"/>
      <c r="S4513" s="24" t="n"/>
      <c r="Y4513" s="24" t="n"/>
    </row>
    <row r="4514">
      <c r="O4514" s="23" t="n"/>
      <c r="R4514" s="24" t="n"/>
      <c r="S4514" s="24" t="n"/>
      <c r="Y4514" s="24" t="n"/>
    </row>
    <row r="4515">
      <c r="O4515" s="23" t="n"/>
      <c r="R4515" s="24" t="n"/>
      <c r="S4515" s="24" t="n"/>
      <c r="Y4515" s="24" t="n"/>
    </row>
    <row r="4516">
      <c r="O4516" s="23" t="n"/>
      <c r="R4516" s="24" t="n"/>
      <c r="S4516" s="24" t="n"/>
      <c r="Y4516" s="24" t="n"/>
    </row>
    <row r="4517">
      <c r="O4517" s="23" t="n"/>
      <c r="R4517" s="24" t="n"/>
      <c r="S4517" s="24" t="n"/>
      <c r="Y4517" s="24" t="n"/>
    </row>
    <row r="4518">
      <c r="O4518" s="23" t="n"/>
      <c r="R4518" s="24" t="n"/>
      <c r="S4518" s="24" t="n"/>
      <c r="Y4518" s="24" t="n"/>
    </row>
    <row r="4519">
      <c r="O4519" s="23" t="n"/>
      <c r="R4519" s="24" t="n"/>
      <c r="S4519" s="24" t="n"/>
      <c r="Y4519" s="24" t="n"/>
    </row>
    <row r="4520">
      <c r="O4520" s="23" t="n"/>
      <c r="R4520" s="24" t="n"/>
      <c r="S4520" s="24" t="n"/>
      <c r="Y4520" s="24" t="n"/>
    </row>
    <row r="4521">
      <c r="O4521" s="23" t="n"/>
      <c r="R4521" s="24" t="n"/>
      <c r="S4521" s="24" t="n"/>
      <c r="Y4521" s="24" t="n"/>
    </row>
    <row r="4522">
      <c r="O4522" s="23" t="n"/>
      <c r="R4522" s="24" t="n"/>
      <c r="S4522" s="24" t="n"/>
      <c r="Y4522" s="24" t="n"/>
    </row>
    <row r="4523">
      <c r="O4523" s="23" t="n"/>
      <c r="R4523" s="24" t="n"/>
      <c r="S4523" s="24" t="n"/>
      <c r="Y4523" s="24" t="n"/>
    </row>
    <row r="4524">
      <c r="O4524" s="23" t="n"/>
      <c r="R4524" s="24" t="n"/>
      <c r="S4524" s="24" t="n"/>
      <c r="Y4524" s="24" t="n"/>
    </row>
    <row r="4525">
      <c r="O4525" s="23" t="n"/>
      <c r="R4525" s="24" t="n"/>
      <c r="S4525" s="24" t="n"/>
      <c r="Y4525" s="24" t="n"/>
    </row>
    <row r="4526">
      <c r="O4526" s="23" t="n"/>
      <c r="R4526" s="24" t="n"/>
      <c r="S4526" s="24" t="n"/>
      <c r="Y4526" s="24" t="n"/>
    </row>
    <row r="4527">
      <c r="O4527" s="23" t="n"/>
      <c r="R4527" s="24" t="n"/>
      <c r="S4527" s="24" t="n"/>
      <c r="Y4527" s="24" t="n"/>
    </row>
    <row r="4528">
      <c r="O4528" s="23" t="n"/>
      <c r="R4528" s="24" t="n"/>
      <c r="S4528" s="24" t="n"/>
      <c r="Y4528" s="24" t="n"/>
    </row>
    <row r="4529">
      <c r="O4529" s="23" t="n"/>
      <c r="R4529" s="24" t="n"/>
      <c r="S4529" s="24" t="n"/>
      <c r="Y4529" s="24" t="n"/>
    </row>
    <row r="4530">
      <c r="O4530" s="23" t="n"/>
      <c r="R4530" s="24" t="n"/>
      <c r="S4530" s="24" t="n"/>
      <c r="Y4530" s="24" t="n"/>
    </row>
    <row r="4531">
      <c r="O4531" s="23" t="n"/>
      <c r="R4531" s="24" t="n"/>
      <c r="S4531" s="24" t="n"/>
      <c r="Y4531" s="24" t="n"/>
    </row>
    <row r="4532">
      <c r="O4532" s="23" t="n"/>
      <c r="R4532" s="24" t="n"/>
      <c r="S4532" s="24" t="n"/>
      <c r="Y4532" s="24" t="n"/>
    </row>
    <row r="4533">
      <c r="O4533" s="23" t="n"/>
      <c r="R4533" s="24" t="n"/>
      <c r="S4533" s="24" t="n"/>
      <c r="Y4533" s="24" t="n"/>
    </row>
    <row r="4534">
      <c r="O4534" s="23" t="n"/>
      <c r="R4534" s="24" t="n"/>
      <c r="S4534" s="24" t="n"/>
      <c r="Y4534" s="24" t="n"/>
    </row>
    <row r="4535">
      <c r="O4535" s="23" t="n"/>
      <c r="R4535" s="24" t="n"/>
      <c r="S4535" s="24" t="n"/>
      <c r="Y4535" s="24" t="n"/>
    </row>
    <row r="4536">
      <c r="O4536" s="23" t="n"/>
      <c r="R4536" s="24" t="n"/>
      <c r="S4536" s="24" t="n"/>
      <c r="Y4536" s="24" t="n"/>
    </row>
    <row r="4537">
      <c r="O4537" s="23" t="n"/>
      <c r="R4537" s="24" t="n"/>
      <c r="S4537" s="24" t="n"/>
      <c r="Y4537" s="24" t="n"/>
    </row>
    <row r="4538">
      <c r="O4538" s="23" t="n"/>
      <c r="R4538" s="24" t="n"/>
      <c r="S4538" s="24" t="n"/>
      <c r="Y4538" s="24" t="n"/>
    </row>
    <row r="4539">
      <c r="O4539" s="23" t="n"/>
      <c r="R4539" s="24" t="n"/>
      <c r="S4539" s="24" t="n"/>
      <c r="Y4539" s="24" t="n"/>
    </row>
    <row r="4540">
      <c r="O4540" s="23" t="n"/>
      <c r="R4540" s="24" t="n"/>
      <c r="S4540" s="24" t="n"/>
      <c r="Y4540" s="24" t="n"/>
    </row>
    <row r="4541">
      <c r="O4541" s="23" t="n"/>
      <c r="R4541" s="24" t="n"/>
      <c r="S4541" s="24" t="n"/>
      <c r="Y4541" s="24" t="n"/>
    </row>
    <row r="4542">
      <c r="O4542" s="23" t="n"/>
      <c r="R4542" s="24" t="n"/>
      <c r="S4542" s="24" t="n"/>
      <c r="Y4542" s="24" t="n"/>
    </row>
    <row r="4543">
      <c r="O4543" s="23" t="n"/>
      <c r="R4543" s="24" t="n"/>
      <c r="S4543" s="24" t="n"/>
      <c r="Y4543" s="24" t="n"/>
    </row>
    <row r="4544">
      <c r="O4544" s="23" t="n"/>
      <c r="R4544" s="24" t="n"/>
      <c r="S4544" s="24" t="n"/>
      <c r="Y4544" s="24" t="n"/>
    </row>
    <row r="4545">
      <c r="O4545" s="23" t="n"/>
      <c r="R4545" s="24" t="n"/>
      <c r="S4545" s="24" t="n"/>
      <c r="Y4545" s="24" t="n"/>
    </row>
    <row r="4546">
      <c r="O4546" s="23" t="n"/>
      <c r="R4546" s="24" t="n"/>
      <c r="S4546" s="24" t="n"/>
      <c r="Y4546" s="24" t="n"/>
    </row>
    <row r="4547">
      <c r="O4547" s="23" t="n"/>
      <c r="R4547" s="24" t="n"/>
      <c r="S4547" s="24" t="n"/>
      <c r="Y4547" s="24" t="n"/>
    </row>
    <row r="4548">
      <c r="O4548" s="23" t="n"/>
      <c r="R4548" s="24" t="n"/>
      <c r="S4548" s="24" t="n"/>
      <c r="Y4548" s="24" t="n"/>
    </row>
    <row r="4549">
      <c r="O4549" s="23" t="n"/>
      <c r="R4549" s="24" t="n"/>
      <c r="S4549" s="24" t="n"/>
      <c r="Y4549" s="24" t="n"/>
    </row>
    <row r="4550">
      <c r="O4550" s="23" t="n"/>
      <c r="R4550" s="24" t="n"/>
      <c r="S4550" s="24" t="n"/>
      <c r="Y4550" s="24" t="n"/>
    </row>
    <row r="4551">
      <c r="O4551" s="23" t="n"/>
      <c r="R4551" s="24" t="n"/>
      <c r="S4551" s="24" t="n"/>
      <c r="Y4551" s="24" t="n"/>
    </row>
    <row r="4552">
      <c r="O4552" s="23" t="n"/>
      <c r="R4552" s="24" t="n"/>
      <c r="S4552" s="24" t="n"/>
      <c r="Y4552" s="24" t="n"/>
    </row>
    <row r="4553">
      <c r="O4553" s="23" t="n"/>
      <c r="R4553" s="24" t="n"/>
      <c r="S4553" s="24" t="n"/>
      <c r="Y4553" s="24" t="n"/>
    </row>
    <row r="4554">
      <c r="O4554" s="23" t="n"/>
      <c r="R4554" s="24" t="n"/>
      <c r="S4554" s="24" t="n"/>
      <c r="Y4554" s="24" t="n"/>
    </row>
    <row r="4555">
      <c r="O4555" s="23" t="n"/>
      <c r="R4555" s="24" t="n"/>
      <c r="S4555" s="24" t="n"/>
      <c r="Y4555" s="24" t="n"/>
    </row>
    <row r="4556">
      <c r="O4556" s="23" t="n"/>
      <c r="R4556" s="24" t="n"/>
      <c r="S4556" s="24" t="n"/>
      <c r="Y4556" s="24" t="n"/>
    </row>
    <row r="4557">
      <c r="O4557" s="23" t="n"/>
      <c r="R4557" s="24" t="n"/>
      <c r="S4557" s="24" t="n"/>
      <c r="Y4557" s="24" t="n"/>
    </row>
    <row r="4558">
      <c r="O4558" s="23" t="n"/>
      <c r="R4558" s="24" t="n"/>
      <c r="S4558" s="24" t="n"/>
      <c r="Y4558" s="24" t="n"/>
    </row>
    <row r="4559">
      <c r="O4559" s="23" t="n"/>
      <c r="R4559" s="24" t="n"/>
      <c r="S4559" s="24" t="n"/>
      <c r="Y4559" s="24" t="n"/>
    </row>
    <row r="4560">
      <c r="O4560" s="23" t="n"/>
      <c r="R4560" s="24" t="n"/>
      <c r="S4560" s="24" t="n"/>
      <c r="Y4560" s="24" t="n"/>
    </row>
    <row r="4561">
      <c r="O4561" s="23" t="n"/>
      <c r="R4561" s="24" t="n"/>
      <c r="S4561" s="24" t="n"/>
      <c r="Y4561" s="24" t="n"/>
    </row>
    <row r="4562">
      <c r="O4562" s="23" t="n"/>
      <c r="R4562" s="24" t="n"/>
      <c r="S4562" s="24" t="n"/>
      <c r="Y4562" s="24" t="n"/>
    </row>
    <row r="4563">
      <c r="O4563" s="23" t="n"/>
      <c r="R4563" s="24" t="n"/>
      <c r="S4563" s="24" t="n"/>
      <c r="Y4563" s="24" t="n"/>
    </row>
    <row r="4564">
      <c r="O4564" s="23" t="n"/>
      <c r="R4564" s="24" t="n"/>
      <c r="S4564" s="24" t="n"/>
      <c r="Y4564" s="24" t="n"/>
    </row>
    <row r="4565">
      <c r="O4565" s="23" t="n"/>
      <c r="R4565" s="24" t="n"/>
      <c r="S4565" s="24" t="n"/>
      <c r="Y4565" s="24" t="n"/>
    </row>
    <row r="4566">
      <c r="O4566" s="23" t="n"/>
      <c r="R4566" s="24" t="n"/>
      <c r="S4566" s="24" t="n"/>
      <c r="Y4566" s="24" t="n"/>
    </row>
    <row r="4567">
      <c r="O4567" s="23" t="n"/>
      <c r="R4567" s="24" t="n"/>
      <c r="S4567" s="24" t="n"/>
      <c r="Y4567" s="24" t="n"/>
    </row>
    <row r="4568">
      <c r="O4568" s="23" t="n"/>
      <c r="R4568" s="24" t="n"/>
      <c r="S4568" s="24" t="n"/>
      <c r="Y4568" s="24" t="n"/>
    </row>
    <row r="4569">
      <c r="O4569" s="23" t="n"/>
      <c r="R4569" s="24" t="n"/>
      <c r="S4569" s="24" t="n"/>
      <c r="Y4569" s="24" t="n"/>
    </row>
    <row r="4570">
      <c r="O4570" s="23" t="n"/>
      <c r="R4570" s="24" t="n"/>
      <c r="S4570" s="24" t="n"/>
      <c r="Y4570" s="24" t="n"/>
    </row>
    <row r="4571">
      <c r="O4571" s="23" t="n"/>
      <c r="R4571" s="24" t="n"/>
      <c r="S4571" s="24" t="n"/>
      <c r="Y4571" s="24" t="n"/>
    </row>
    <row r="4572">
      <c r="O4572" s="23" t="n"/>
      <c r="R4572" s="24" t="n"/>
      <c r="S4572" s="24" t="n"/>
      <c r="Y4572" s="24" t="n"/>
    </row>
    <row r="4573">
      <c r="O4573" s="23" t="n"/>
      <c r="R4573" s="24" t="n"/>
      <c r="S4573" s="24" t="n"/>
      <c r="Y4573" s="24" t="n"/>
    </row>
    <row r="4574">
      <c r="O4574" s="23" t="n"/>
      <c r="R4574" s="24" t="n"/>
      <c r="S4574" s="24" t="n"/>
      <c r="Y4574" s="24" t="n"/>
    </row>
    <row r="4575">
      <c r="O4575" s="23" t="n"/>
      <c r="R4575" s="24" t="n"/>
      <c r="S4575" s="24" t="n"/>
      <c r="Y4575" s="24" t="n"/>
    </row>
    <row r="4576">
      <c r="O4576" s="23" t="n"/>
      <c r="R4576" s="24" t="n"/>
      <c r="S4576" s="24" t="n"/>
      <c r="Y4576" s="24" t="n"/>
    </row>
    <row r="4577">
      <c r="O4577" s="23" t="n"/>
      <c r="R4577" s="24" t="n"/>
      <c r="S4577" s="24" t="n"/>
      <c r="Y4577" s="24" t="n"/>
    </row>
    <row r="4578">
      <c r="O4578" s="23" t="n"/>
      <c r="R4578" s="24" t="n"/>
      <c r="S4578" s="24" t="n"/>
      <c r="Y4578" s="24" t="n"/>
    </row>
    <row r="4579">
      <c r="O4579" s="23" t="n"/>
      <c r="R4579" s="24" t="n"/>
      <c r="S4579" s="24" t="n"/>
      <c r="Y4579" s="24" t="n"/>
    </row>
    <row r="4580">
      <c r="O4580" s="23" t="n"/>
      <c r="R4580" s="24" t="n"/>
      <c r="S4580" s="24" t="n"/>
      <c r="Y4580" s="24" t="n"/>
    </row>
    <row r="4581">
      <c r="O4581" s="23" t="n"/>
      <c r="R4581" s="24" t="n"/>
      <c r="S4581" s="24" t="n"/>
      <c r="Y4581" s="24" t="n"/>
    </row>
    <row r="4582">
      <c r="O4582" s="23" t="n"/>
      <c r="R4582" s="24" t="n"/>
      <c r="S4582" s="24" t="n"/>
      <c r="Y4582" s="24" t="n"/>
    </row>
    <row r="4583">
      <c r="O4583" s="23" t="n"/>
      <c r="R4583" s="24" t="n"/>
      <c r="S4583" s="24" t="n"/>
      <c r="Y4583" s="24" t="n"/>
    </row>
    <row r="4584">
      <c r="O4584" s="23" t="n"/>
      <c r="R4584" s="24" t="n"/>
      <c r="S4584" s="24" t="n"/>
      <c r="Y4584" s="24" t="n"/>
    </row>
    <row r="4585">
      <c r="O4585" s="23" t="n"/>
      <c r="R4585" s="24" t="n"/>
      <c r="S4585" s="24" t="n"/>
      <c r="Y4585" s="24" t="n"/>
    </row>
    <row r="4586">
      <c r="O4586" s="23" t="n"/>
      <c r="R4586" s="24" t="n"/>
      <c r="S4586" s="24" t="n"/>
      <c r="Y4586" s="24" t="n"/>
    </row>
    <row r="4587">
      <c r="O4587" s="23" t="n"/>
      <c r="R4587" s="24" t="n"/>
      <c r="S4587" s="24" t="n"/>
      <c r="Y4587" s="24" t="n"/>
    </row>
    <row r="4588">
      <c r="O4588" s="23" t="n"/>
      <c r="R4588" s="24" t="n"/>
      <c r="S4588" s="24" t="n"/>
      <c r="Y4588" s="24" t="n"/>
    </row>
    <row r="4589">
      <c r="O4589" s="23" t="n"/>
      <c r="R4589" s="24" t="n"/>
      <c r="S4589" s="24" t="n"/>
      <c r="Y4589" s="24" t="n"/>
    </row>
    <row r="4590">
      <c r="O4590" s="23" t="n"/>
      <c r="R4590" s="24" t="n"/>
      <c r="S4590" s="24" t="n"/>
      <c r="Y4590" s="24" t="n"/>
    </row>
    <row r="4591">
      <c r="O4591" s="23" t="n"/>
      <c r="R4591" s="24" t="n"/>
      <c r="S4591" s="24" t="n"/>
      <c r="Y4591" s="24" t="n"/>
    </row>
    <row r="4592">
      <c r="O4592" s="23" t="n"/>
      <c r="R4592" s="24" t="n"/>
      <c r="S4592" s="24" t="n"/>
      <c r="Y4592" s="24" t="n"/>
    </row>
    <row r="4593">
      <c r="O4593" s="23" t="n"/>
      <c r="R4593" s="24" t="n"/>
      <c r="S4593" s="24" t="n"/>
      <c r="Y4593" s="24" t="n"/>
    </row>
    <row r="4594">
      <c r="O4594" s="23" t="n"/>
      <c r="R4594" s="24" t="n"/>
      <c r="S4594" s="24" t="n"/>
      <c r="Y4594" s="24" t="n"/>
    </row>
    <row r="4595">
      <c r="O4595" s="23" t="n"/>
      <c r="R4595" s="24" t="n"/>
      <c r="S4595" s="24" t="n"/>
      <c r="Y4595" s="24" t="n"/>
    </row>
    <row r="4596">
      <c r="O4596" s="23" t="n"/>
      <c r="R4596" s="24" t="n"/>
      <c r="S4596" s="24" t="n"/>
      <c r="Y4596" s="24" t="n"/>
    </row>
    <row r="4597">
      <c r="O4597" s="23" t="n"/>
      <c r="R4597" s="24" t="n"/>
      <c r="S4597" s="24" t="n"/>
      <c r="Y4597" s="24" t="n"/>
    </row>
    <row r="4598">
      <c r="O4598" s="23" t="n"/>
      <c r="R4598" s="24" t="n"/>
      <c r="S4598" s="24" t="n"/>
      <c r="Y4598" s="24" t="n"/>
    </row>
    <row r="4599">
      <c r="O4599" s="23" t="n"/>
      <c r="R4599" s="24" t="n"/>
      <c r="S4599" s="24" t="n"/>
      <c r="Y4599" s="24" t="n"/>
    </row>
    <row r="4600">
      <c r="O4600" s="23" t="n"/>
      <c r="R4600" s="24" t="n"/>
      <c r="S4600" s="24" t="n"/>
      <c r="Y4600" s="24" t="n"/>
    </row>
    <row r="4601">
      <c r="O4601" s="23" t="n"/>
      <c r="R4601" s="24" t="n"/>
      <c r="S4601" s="24" t="n"/>
      <c r="Y4601" s="24" t="n"/>
    </row>
    <row r="4602">
      <c r="O4602" s="23" t="n"/>
      <c r="R4602" s="24" t="n"/>
      <c r="S4602" s="24" t="n"/>
      <c r="Y4602" s="24" t="n"/>
    </row>
    <row r="4603">
      <c r="O4603" s="23" t="n"/>
      <c r="R4603" s="24" t="n"/>
      <c r="S4603" s="24" t="n"/>
      <c r="Y4603" s="24" t="n"/>
    </row>
    <row r="4604">
      <c r="O4604" s="23" t="n"/>
      <c r="R4604" s="24" t="n"/>
      <c r="S4604" s="24" t="n"/>
      <c r="Y4604" s="24" t="n"/>
    </row>
    <row r="4605">
      <c r="O4605" s="23" t="n"/>
      <c r="R4605" s="24" t="n"/>
      <c r="S4605" s="24" t="n"/>
      <c r="Y4605" s="24" t="n"/>
    </row>
    <row r="4606">
      <c r="O4606" s="23" t="n"/>
      <c r="R4606" s="24" t="n"/>
      <c r="S4606" s="24" t="n"/>
      <c r="Y4606" s="24" t="n"/>
    </row>
    <row r="4607">
      <c r="O4607" s="23" t="n"/>
      <c r="R4607" s="24" t="n"/>
      <c r="S4607" s="24" t="n"/>
      <c r="Y4607" s="24" t="n"/>
    </row>
    <row r="4608">
      <c r="O4608" s="23" t="n"/>
      <c r="R4608" s="24" t="n"/>
      <c r="S4608" s="24" t="n"/>
      <c r="Y4608" s="24" t="n"/>
    </row>
    <row r="4609">
      <c r="O4609" s="23" t="n"/>
      <c r="R4609" s="24" t="n"/>
      <c r="S4609" s="24" t="n"/>
      <c r="Y4609" s="24" t="n"/>
    </row>
    <row r="4610">
      <c r="O4610" s="23" t="n"/>
      <c r="R4610" s="24" t="n"/>
      <c r="S4610" s="24" t="n"/>
      <c r="Y4610" s="24" t="n"/>
    </row>
    <row r="4611">
      <c r="O4611" s="23" t="n"/>
      <c r="R4611" s="24" t="n"/>
      <c r="S4611" s="24" t="n"/>
      <c r="Y4611" s="24" t="n"/>
    </row>
    <row r="4612">
      <c r="O4612" s="23" t="n"/>
      <c r="R4612" s="24" t="n"/>
      <c r="S4612" s="24" t="n"/>
      <c r="Y4612" s="24" t="n"/>
    </row>
    <row r="4613">
      <c r="O4613" s="23" t="n"/>
      <c r="R4613" s="24" t="n"/>
      <c r="S4613" s="24" t="n"/>
      <c r="Y4613" s="24" t="n"/>
    </row>
    <row r="4614">
      <c r="O4614" s="23" t="n"/>
      <c r="R4614" s="24" t="n"/>
      <c r="S4614" s="24" t="n"/>
      <c r="Y4614" s="24" t="n"/>
    </row>
    <row r="4615">
      <c r="O4615" s="23" t="n"/>
      <c r="R4615" s="24" t="n"/>
      <c r="S4615" s="24" t="n"/>
      <c r="Y4615" s="24" t="n"/>
    </row>
    <row r="4616">
      <c r="O4616" s="23" t="n"/>
      <c r="R4616" s="24" t="n"/>
      <c r="S4616" s="24" t="n"/>
      <c r="Y4616" s="24" t="n"/>
    </row>
    <row r="4617">
      <c r="O4617" s="23" t="n"/>
      <c r="R4617" s="24" t="n"/>
      <c r="S4617" s="24" t="n"/>
      <c r="Y4617" s="24" t="n"/>
    </row>
    <row r="4618">
      <c r="O4618" s="23" t="n"/>
      <c r="R4618" s="24" t="n"/>
      <c r="S4618" s="24" t="n"/>
      <c r="Y4618" s="24" t="n"/>
    </row>
    <row r="4619">
      <c r="O4619" s="23" t="n"/>
      <c r="R4619" s="24" t="n"/>
      <c r="S4619" s="24" t="n"/>
      <c r="Y4619" s="24" t="n"/>
    </row>
    <row r="4620">
      <c r="O4620" s="23" t="n"/>
      <c r="R4620" s="24" t="n"/>
      <c r="S4620" s="24" t="n"/>
      <c r="Y4620" s="24" t="n"/>
    </row>
    <row r="4621">
      <c r="O4621" s="23" t="n"/>
      <c r="R4621" s="24" t="n"/>
      <c r="S4621" s="24" t="n"/>
      <c r="Y4621" s="24" t="n"/>
    </row>
    <row r="4622">
      <c r="O4622" s="23" t="n"/>
      <c r="R4622" s="24" t="n"/>
      <c r="S4622" s="24" t="n"/>
      <c r="Y4622" s="24" t="n"/>
    </row>
    <row r="4623">
      <c r="O4623" s="23" t="n"/>
      <c r="R4623" s="24" t="n"/>
      <c r="S4623" s="24" t="n"/>
      <c r="Y4623" s="24" t="n"/>
    </row>
    <row r="4624">
      <c r="O4624" s="23" t="n"/>
      <c r="R4624" s="24" t="n"/>
      <c r="S4624" s="24" t="n"/>
      <c r="Y4624" s="24" t="n"/>
    </row>
    <row r="4625">
      <c r="O4625" s="23" t="n"/>
      <c r="R4625" s="24" t="n"/>
      <c r="S4625" s="24" t="n"/>
      <c r="Y4625" s="24" t="n"/>
    </row>
    <row r="4626">
      <c r="O4626" s="23" t="n"/>
      <c r="R4626" s="24" t="n"/>
      <c r="S4626" s="24" t="n"/>
      <c r="Y4626" s="24" t="n"/>
    </row>
    <row r="4627">
      <c r="O4627" s="23" t="n"/>
      <c r="R4627" s="24" t="n"/>
      <c r="S4627" s="24" t="n"/>
      <c r="Y4627" s="24" t="n"/>
    </row>
    <row r="4628">
      <c r="O4628" s="23" t="n"/>
      <c r="R4628" s="24" t="n"/>
      <c r="S4628" s="24" t="n"/>
      <c r="Y4628" s="24" t="n"/>
    </row>
    <row r="4629">
      <c r="O4629" s="23" t="n"/>
      <c r="R4629" s="24" t="n"/>
      <c r="S4629" s="24" t="n"/>
      <c r="Y4629" s="24" t="n"/>
    </row>
    <row r="4630">
      <c r="O4630" s="23" t="n"/>
      <c r="R4630" s="24" t="n"/>
      <c r="S4630" s="24" t="n"/>
      <c r="Y4630" s="24" t="n"/>
    </row>
    <row r="4631">
      <c r="O4631" s="23" t="n"/>
      <c r="R4631" s="24" t="n"/>
      <c r="S4631" s="24" t="n"/>
      <c r="Y4631" s="24" t="n"/>
    </row>
    <row r="4632">
      <c r="O4632" s="23" t="n"/>
      <c r="R4632" s="24" t="n"/>
      <c r="S4632" s="24" t="n"/>
      <c r="Y4632" s="24" t="n"/>
    </row>
    <row r="4633">
      <c r="O4633" s="23" t="n"/>
      <c r="R4633" s="24" t="n"/>
      <c r="S4633" s="24" t="n"/>
      <c r="Y4633" s="24" t="n"/>
    </row>
    <row r="4634">
      <c r="O4634" s="23" t="n"/>
      <c r="R4634" s="24" t="n"/>
      <c r="S4634" s="24" t="n"/>
      <c r="Y4634" s="24" t="n"/>
    </row>
    <row r="4635">
      <c r="O4635" s="23" t="n"/>
      <c r="R4635" s="24" t="n"/>
      <c r="S4635" s="24" t="n"/>
      <c r="Y4635" s="24" t="n"/>
    </row>
    <row r="4636">
      <c r="O4636" s="23" t="n"/>
      <c r="R4636" s="24" t="n"/>
      <c r="S4636" s="24" t="n"/>
      <c r="Y4636" s="24" t="n"/>
    </row>
    <row r="4637">
      <c r="O4637" s="23" t="n"/>
      <c r="R4637" s="24" t="n"/>
      <c r="S4637" s="24" t="n"/>
      <c r="Y4637" s="24" t="n"/>
    </row>
    <row r="4638">
      <c r="O4638" s="23" t="n"/>
      <c r="R4638" s="24" t="n"/>
      <c r="S4638" s="24" t="n"/>
      <c r="Y4638" s="24" t="n"/>
    </row>
    <row r="4639">
      <c r="O4639" s="23" t="n"/>
      <c r="R4639" s="24" t="n"/>
      <c r="S4639" s="24" t="n"/>
      <c r="Y4639" s="24" t="n"/>
    </row>
    <row r="4640">
      <c r="O4640" s="23" t="n"/>
      <c r="R4640" s="24" t="n"/>
      <c r="S4640" s="24" t="n"/>
      <c r="Y4640" s="24" t="n"/>
    </row>
    <row r="4641">
      <c r="O4641" s="23" t="n"/>
      <c r="R4641" s="24" t="n"/>
      <c r="S4641" s="24" t="n"/>
      <c r="Y4641" s="24" t="n"/>
    </row>
    <row r="4642">
      <c r="O4642" s="23" t="n"/>
      <c r="R4642" s="24" t="n"/>
      <c r="S4642" s="24" t="n"/>
      <c r="Y4642" s="24" t="n"/>
    </row>
    <row r="4643">
      <c r="O4643" s="23" t="n"/>
      <c r="R4643" s="24" t="n"/>
      <c r="S4643" s="24" t="n"/>
      <c r="Y4643" s="24" t="n"/>
    </row>
    <row r="4644">
      <c r="O4644" s="23" t="n"/>
      <c r="R4644" s="24" t="n"/>
      <c r="S4644" s="24" t="n"/>
      <c r="Y4644" s="24" t="n"/>
    </row>
    <row r="4645">
      <c r="O4645" s="23" t="n"/>
      <c r="R4645" s="24" t="n"/>
      <c r="S4645" s="24" t="n"/>
      <c r="Y4645" s="24" t="n"/>
    </row>
    <row r="4646">
      <c r="O4646" s="23" t="n"/>
      <c r="R4646" s="24" t="n"/>
      <c r="S4646" s="24" t="n"/>
      <c r="Y4646" s="24" t="n"/>
    </row>
    <row r="4647">
      <c r="O4647" s="23" t="n"/>
      <c r="R4647" s="24" t="n"/>
      <c r="S4647" s="24" t="n"/>
      <c r="Y4647" s="24" t="n"/>
    </row>
    <row r="4648">
      <c r="O4648" s="23" t="n"/>
      <c r="R4648" s="24" t="n"/>
      <c r="S4648" s="24" t="n"/>
      <c r="Y4648" s="24" t="n"/>
    </row>
    <row r="4649">
      <c r="O4649" s="23" t="n"/>
      <c r="R4649" s="24" t="n"/>
      <c r="S4649" s="24" t="n"/>
      <c r="Y4649" s="24" t="n"/>
    </row>
    <row r="4650">
      <c r="O4650" s="23" t="n"/>
      <c r="R4650" s="24" t="n"/>
      <c r="S4650" s="24" t="n"/>
      <c r="Y4650" s="24" t="n"/>
    </row>
    <row r="4651">
      <c r="O4651" s="23" t="n"/>
      <c r="R4651" s="24" t="n"/>
      <c r="S4651" s="24" t="n"/>
      <c r="Y4651" s="24" t="n"/>
    </row>
    <row r="4652">
      <c r="O4652" s="23" t="n"/>
      <c r="R4652" s="24" t="n"/>
      <c r="S4652" s="24" t="n"/>
      <c r="Y4652" s="24" t="n"/>
    </row>
    <row r="4653">
      <c r="O4653" s="23" t="n"/>
      <c r="R4653" s="24" t="n"/>
      <c r="S4653" s="24" t="n"/>
      <c r="Y4653" s="24" t="n"/>
    </row>
    <row r="4654">
      <c r="O4654" s="23" t="n"/>
      <c r="R4654" s="24" t="n"/>
      <c r="S4654" s="24" t="n"/>
      <c r="Y4654" s="24" t="n"/>
    </row>
    <row r="4655">
      <c r="O4655" s="23" t="n"/>
      <c r="R4655" s="24" t="n"/>
      <c r="S4655" s="24" t="n"/>
      <c r="Y4655" s="24" t="n"/>
    </row>
    <row r="4656">
      <c r="O4656" s="23" t="n"/>
      <c r="R4656" s="24" t="n"/>
      <c r="S4656" s="24" t="n"/>
      <c r="Y4656" s="24" t="n"/>
    </row>
    <row r="4657">
      <c r="O4657" s="23" t="n"/>
      <c r="R4657" s="24" t="n"/>
      <c r="S4657" s="24" t="n"/>
      <c r="Y4657" s="24" t="n"/>
    </row>
    <row r="4658">
      <c r="O4658" s="23" t="n"/>
      <c r="R4658" s="24" t="n"/>
      <c r="S4658" s="24" t="n"/>
      <c r="Y4658" s="24" t="n"/>
    </row>
    <row r="4659">
      <c r="O4659" s="23" t="n"/>
      <c r="R4659" s="24" t="n"/>
      <c r="S4659" s="24" t="n"/>
      <c r="Y4659" s="24" t="n"/>
    </row>
    <row r="4660">
      <c r="O4660" s="23" t="n"/>
      <c r="R4660" s="24" t="n"/>
      <c r="S4660" s="24" t="n"/>
      <c r="Y4660" s="24" t="n"/>
    </row>
    <row r="4661">
      <c r="O4661" s="23" t="n"/>
      <c r="R4661" s="24" t="n"/>
      <c r="S4661" s="24" t="n"/>
      <c r="Y4661" s="24" t="n"/>
    </row>
    <row r="4662">
      <c r="O4662" s="23" t="n"/>
      <c r="R4662" s="24" t="n"/>
      <c r="S4662" s="24" t="n"/>
      <c r="Y4662" s="24" t="n"/>
    </row>
    <row r="4663">
      <c r="O4663" s="23" t="n"/>
      <c r="R4663" s="24" t="n"/>
      <c r="S4663" s="24" t="n"/>
      <c r="Y4663" s="24" t="n"/>
    </row>
    <row r="4664">
      <c r="O4664" s="23" t="n"/>
      <c r="R4664" s="24" t="n"/>
      <c r="S4664" s="24" t="n"/>
      <c r="Y4664" s="24" t="n"/>
    </row>
    <row r="4665">
      <c r="O4665" s="23" t="n"/>
      <c r="R4665" s="24" t="n"/>
      <c r="S4665" s="24" t="n"/>
      <c r="Y4665" s="24" t="n"/>
    </row>
    <row r="4666">
      <c r="O4666" s="23" t="n"/>
      <c r="R4666" s="24" t="n"/>
      <c r="S4666" s="24" t="n"/>
      <c r="Y4666" s="24" t="n"/>
    </row>
    <row r="4667">
      <c r="O4667" s="23" t="n"/>
      <c r="R4667" s="24" t="n"/>
      <c r="S4667" s="24" t="n"/>
      <c r="Y4667" s="24" t="n"/>
    </row>
    <row r="4668">
      <c r="O4668" s="23" t="n"/>
      <c r="R4668" s="24" t="n"/>
      <c r="S4668" s="24" t="n"/>
      <c r="Y4668" s="24" t="n"/>
    </row>
    <row r="4669">
      <c r="O4669" s="23" t="n"/>
      <c r="R4669" s="24" t="n"/>
      <c r="S4669" s="24" t="n"/>
      <c r="Y4669" s="24" t="n"/>
    </row>
    <row r="4670">
      <c r="O4670" s="23" t="n"/>
      <c r="R4670" s="24" t="n"/>
      <c r="S4670" s="24" t="n"/>
      <c r="Y4670" s="24" t="n"/>
    </row>
    <row r="4671">
      <c r="O4671" s="23" t="n"/>
      <c r="R4671" s="24" t="n"/>
      <c r="S4671" s="24" t="n"/>
      <c r="Y4671" s="24" t="n"/>
    </row>
    <row r="4672">
      <c r="O4672" s="23" t="n"/>
      <c r="R4672" s="24" t="n"/>
      <c r="S4672" s="24" t="n"/>
      <c r="Y4672" s="24" t="n"/>
    </row>
    <row r="4673">
      <c r="O4673" s="23" t="n"/>
      <c r="R4673" s="24" t="n"/>
      <c r="S4673" s="24" t="n"/>
      <c r="Y4673" s="24" t="n"/>
    </row>
    <row r="4674">
      <c r="O4674" s="23" t="n"/>
      <c r="R4674" s="24" t="n"/>
      <c r="S4674" s="24" t="n"/>
      <c r="Y4674" s="24" t="n"/>
    </row>
    <row r="4675">
      <c r="O4675" s="23" t="n"/>
      <c r="R4675" s="24" t="n"/>
      <c r="S4675" s="24" t="n"/>
      <c r="Y4675" s="24" t="n"/>
    </row>
    <row r="4676">
      <c r="O4676" s="23" t="n"/>
      <c r="R4676" s="24" t="n"/>
      <c r="S4676" s="24" t="n"/>
      <c r="Y4676" s="24" t="n"/>
    </row>
    <row r="4677">
      <c r="O4677" s="23" t="n"/>
      <c r="R4677" s="24" t="n"/>
      <c r="S4677" s="24" t="n"/>
      <c r="Y4677" s="24" t="n"/>
    </row>
    <row r="4678">
      <c r="O4678" s="23" t="n"/>
      <c r="R4678" s="24" t="n"/>
      <c r="S4678" s="24" t="n"/>
      <c r="Y4678" s="24" t="n"/>
    </row>
    <row r="4679">
      <c r="O4679" s="23" t="n"/>
      <c r="R4679" s="24" t="n"/>
      <c r="S4679" s="24" t="n"/>
      <c r="Y4679" s="24" t="n"/>
    </row>
    <row r="4680">
      <c r="O4680" s="23" t="n"/>
      <c r="R4680" s="24" t="n"/>
      <c r="S4680" s="24" t="n"/>
      <c r="Y4680" s="24" t="n"/>
    </row>
    <row r="4681">
      <c r="O4681" s="23" t="n"/>
      <c r="R4681" s="24" t="n"/>
      <c r="S4681" s="24" t="n"/>
      <c r="Y4681" s="24" t="n"/>
    </row>
    <row r="4682">
      <c r="O4682" s="23" t="n"/>
      <c r="R4682" s="24" t="n"/>
      <c r="S4682" s="24" t="n"/>
      <c r="Y4682" s="24" t="n"/>
    </row>
    <row r="4683">
      <c r="O4683" s="23" t="n"/>
      <c r="R4683" s="24" t="n"/>
      <c r="S4683" s="24" t="n"/>
      <c r="Y4683" s="24" t="n"/>
    </row>
    <row r="4684">
      <c r="O4684" s="23" t="n"/>
      <c r="R4684" s="24" t="n"/>
      <c r="S4684" s="24" t="n"/>
      <c r="Y4684" s="24" t="n"/>
    </row>
    <row r="4685">
      <c r="O4685" s="23" t="n"/>
      <c r="R4685" s="24" t="n"/>
      <c r="S4685" s="24" t="n"/>
      <c r="Y4685" s="24" t="n"/>
    </row>
    <row r="4686">
      <c r="O4686" s="23" t="n"/>
      <c r="R4686" s="24" t="n"/>
      <c r="S4686" s="24" t="n"/>
      <c r="Y4686" s="24" t="n"/>
    </row>
    <row r="4687">
      <c r="O4687" s="23" t="n"/>
      <c r="R4687" s="24" t="n"/>
      <c r="S4687" s="24" t="n"/>
      <c r="Y4687" s="24" t="n"/>
    </row>
    <row r="4688">
      <c r="O4688" s="23" t="n"/>
      <c r="R4688" s="24" t="n"/>
      <c r="S4688" s="24" t="n"/>
      <c r="Y4688" s="24" t="n"/>
    </row>
    <row r="4689">
      <c r="O4689" s="23" t="n"/>
      <c r="R4689" s="24" t="n"/>
      <c r="S4689" s="24" t="n"/>
      <c r="Y4689" s="24" t="n"/>
    </row>
    <row r="4690">
      <c r="O4690" s="23" t="n"/>
      <c r="R4690" s="24" t="n"/>
      <c r="S4690" s="24" t="n"/>
      <c r="Y4690" s="24" t="n"/>
    </row>
    <row r="4691">
      <c r="O4691" s="23" t="n"/>
      <c r="R4691" s="24" t="n"/>
      <c r="S4691" s="24" t="n"/>
      <c r="Y4691" s="24" t="n"/>
    </row>
    <row r="4692">
      <c r="O4692" s="23" t="n"/>
      <c r="R4692" s="24" t="n"/>
      <c r="S4692" s="24" t="n"/>
      <c r="Y4692" s="24" t="n"/>
    </row>
    <row r="4693">
      <c r="O4693" s="23" t="n"/>
      <c r="R4693" s="24" t="n"/>
      <c r="S4693" s="24" t="n"/>
      <c r="Y4693" s="24" t="n"/>
    </row>
    <row r="4694">
      <c r="O4694" s="23" t="n"/>
      <c r="R4694" s="24" t="n"/>
      <c r="S4694" s="24" t="n"/>
      <c r="Y4694" s="24" t="n"/>
    </row>
    <row r="4695">
      <c r="O4695" s="23" t="n"/>
      <c r="R4695" s="24" t="n"/>
      <c r="S4695" s="24" t="n"/>
      <c r="Y4695" s="24" t="n"/>
    </row>
    <row r="4696">
      <c r="O4696" s="23" t="n"/>
      <c r="R4696" s="24" t="n"/>
      <c r="S4696" s="24" t="n"/>
      <c r="Y4696" s="24" t="n"/>
    </row>
    <row r="4697">
      <c r="O4697" s="23" t="n"/>
      <c r="R4697" s="24" t="n"/>
      <c r="S4697" s="24" t="n"/>
      <c r="Y4697" s="24" t="n"/>
    </row>
    <row r="4698">
      <c r="O4698" s="23" t="n"/>
      <c r="R4698" s="24" t="n"/>
      <c r="S4698" s="24" t="n"/>
      <c r="Y4698" s="24" t="n"/>
    </row>
    <row r="4699">
      <c r="O4699" s="23" t="n"/>
      <c r="R4699" s="24" t="n"/>
      <c r="S4699" s="24" t="n"/>
      <c r="Y4699" s="24" t="n"/>
    </row>
    <row r="4700">
      <c r="O4700" s="23" t="n"/>
      <c r="R4700" s="24" t="n"/>
      <c r="S4700" s="24" t="n"/>
      <c r="Y4700" s="24" t="n"/>
    </row>
    <row r="4701">
      <c r="O4701" s="23" t="n"/>
      <c r="R4701" s="24" t="n"/>
      <c r="S4701" s="24" t="n"/>
      <c r="Y4701" s="24" t="n"/>
    </row>
    <row r="4702">
      <c r="O4702" s="23" t="n"/>
      <c r="R4702" s="24" t="n"/>
      <c r="S4702" s="24" t="n"/>
      <c r="Y4702" s="24" t="n"/>
    </row>
    <row r="4703">
      <c r="O4703" s="23" t="n"/>
      <c r="R4703" s="24" t="n"/>
      <c r="S4703" s="24" t="n"/>
      <c r="Y4703" s="24" t="n"/>
    </row>
    <row r="4704">
      <c r="O4704" s="23" t="n"/>
      <c r="R4704" s="24" t="n"/>
      <c r="S4704" s="24" t="n"/>
      <c r="Y4704" s="24" t="n"/>
    </row>
    <row r="4705">
      <c r="O4705" s="23" t="n"/>
      <c r="R4705" s="24" t="n"/>
      <c r="S4705" s="24" t="n"/>
      <c r="Y4705" s="24" t="n"/>
    </row>
    <row r="4706">
      <c r="O4706" s="23" t="n"/>
      <c r="R4706" s="24" t="n"/>
      <c r="S4706" s="24" t="n"/>
      <c r="Y4706" s="24" t="n"/>
    </row>
    <row r="4707">
      <c r="O4707" s="23" t="n"/>
      <c r="R4707" s="24" t="n"/>
      <c r="S4707" s="24" t="n"/>
      <c r="Y4707" s="24" t="n"/>
    </row>
    <row r="4708">
      <c r="O4708" s="23" t="n"/>
      <c r="R4708" s="24" t="n"/>
      <c r="S4708" s="24" t="n"/>
      <c r="Y4708" s="24" t="n"/>
    </row>
    <row r="4709">
      <c r="O4709" s="23" t="n"/>
      <c r="R4709" s="24" t="n"/>
      <c r="S4709" s="24" t="n"/>
      <c r="Y4709" s="24" t="n"/>
    </row>
    <row r="4710">
      <c r="O4710" s="23" t="n"/>
      <c r="R4710" s="24" t="n"/>
      <c r="S4710" s="24" t="n"/>
      <c r="Y4710" s="24" t="n"/>
    </row>
    <row r="4711">
      <c r="O4711" s="23" t="n"/>
      <c r="R4711" s="24" t="n"/>
      <c r="S4711" s="24" t="n"/>
      <c r="Y4711" s="24" t="n"/>
    </row>
    <row r="4712">
      <c r="O4712" s="23" t="n"/>
      <c r="R4712" s="24" t="n"/>
      <c r="S4712" s="24" t="n"/>
      <c r="Y4712" s="24" t="n"/>
    </row>
    <row r="4713">
      <c r="O4713" s="23" t="n"/>
      <c r="R4713" s="24" t="n"/>
      <c r="S4713" s="24" t="n"/>
      <c r="Y4713" s="24" t="n"/>
    </row>
    <row r="4714">
      <c r="O4714" s="23" t="n"/>
      <c r="R4714" s="24" t="n"/>
      <c r="S4714" s="24" t="n"/>
      <c r="Y4714" s="24" t="n"/>
    </row>
    <row r="4715">
      <c r="O4715" s="23" t="n"/>
      <c r="R4715" s="24" t="n"/>
      <c r="S4715" s="24" t="n"/>
      <c r="Y4715" s="24" t="n"/>
    </row>
    <row r="4716">
      <c r="O4716" s="23" t="n"/>
      <c r="R4716" s="24" t="n"/>
      <c r="S4716" s="24" t="n"/>
      <c r="Y4716" s="24" t="n"/>
    </row>
    <row r="4717">
      <c r="O4717" s="23" t="n"/>
      <c r="R4717" s="24" t="n"/>
      <c r="S4717" s="24" t="n"/>
      <c r="Y4717" s="24" t="n"/>
    </row>
    <row r="4718">
      <c r="O4718" s="23" t="n"/>
      <c r="R4718" s="24" t="n"/>
      <c r="S4718" s="24" t="n"/>
      <c r="Y4718" s="24" t="n"/>
    </row>
    <row r="4719">
      <c r="O4719" s="23" t="n"/>
      <c r="R4719" s="24" t="n"/>
      <c r="S4719" s="24" t="n"/>
      <c r="Y4719" s="24" t="n"/>
    </row>
    <row r="4720">
      <c r="O4720" s="23" t="n"/>
      <c r="R4720" s="24" t="n"/>
      <c r="S4720" s="24" t="n"/>
      <c r="Y4720" s="24" t="n"/>
    </row>
    <row r="4721">
      <c r="O4721" s="23" t="n"/>
      <c r="R4721" s="24" t="n"/>
      <c r="S4721" s="24" t="n"/>
      <c r="Y4721" s="24" t="n"/>
    </row>
    <row r="4722">
      <c r="O4722" s="23" t="n"/>
      <c r="R4722" s="24" t="n"/>
      <c r="S4722" s="24" t="n"/>
      <c r="Y4722" s="24" t="n"/>
    </row>
    <row r="4723">
      <c r="O4723" s="23" t="n"/>
      <c r="R4723" s="24" t="n"/>
      <c r="S4723" s="24" t="n"/>
      <c r="Y4723" s="24" t="n"/>
    </row>
    <row r="4724">
      <c r="O4724" s="23" t="n"/>
      <c r="R4724" s="24" t="n"/>
      <c r="S4724" s="24" t="n"/>
      <c r="Y4724" s="24" t="n"/>
    </row>
    <row r="4725">
      <c r="O4725" s="23" t="n"/>
      <c r="R4725" s="24" t="n"/>
      <c r="S4725" s="24" t="n"/>
      <c r="Y4725" s="24" t="n"/>
    </row>
    <row r="4726">
      <c r="O4726" s="23" t="n"/>
      <c r="R4726" s="24" t="n"/>
      <c r="S4726" s="24" t="n"/>
      <c r="Y4726" s="24" t="n"/>
    </row>
    <row r="4727">
      <c r="O4727" s="23" t="n"/>
      <c r="R4727" s="24" t="n"/>
      <c r="S4727" s="24" t="n"/>
      <c r="Y4727" s="24" t="n"/>
    </row>
    <row r="4728">
      <c r="O4728" s="23" t="n"/>
      <c r="R4728" s="24" t="n"/>
      <c r="S4728" s="24" t="n"/>
      <c r="Y4728" s="24" t="n"/>
    </row>
    <row r="4729">
      <c r="O4729" s="23" t="n"/>
      <c r="R4729" s="24" t="n"/>
      <c r="S4729" s="24" t="n"/>
      <c r="Y4729" s="24" t="n"/>
    </row>
    <row r="4730">
      <c r="O4730" s="23" t="n"/>
      <c r="R4730" s="24" t="n"/>
      <c r="S4730" s="24" t="n"/>
      <c r="Y4730" s="24" t="n"/>
    </row>
    <row r="4731">
      <c r="O4731" s="23" t="n"/>
      <c r="R4731" s="24" t="n"/>
      <c r="S4731" s="24" t="n"/>
      <c r="Y4731" s="24" t="n"/>
    </row>
    <row r="4732">
      <c r="O4732" s="23" t="n"/>
      <c r="R4732" s="24" t="n"/>
      <c r="S4732" s="24" t="n"/>
      <c r="Y4732" s="24" t="n"/>
    </row>
    <row r="4733">
      <c r="O4733" s="23" t="n"/>
      <c r="R4733" s="24" t="n"/>
      <c r="S4733" s="24" t="n"/>
      <c r="Y4733" s="24" t="n"/>
    </row>
    <row r="4734">
      <c r="O4734" s="23" t="n"/>
      <c r="R4734" s="24" t="n"/>
      <c r="S4734" s="24" t="n"/>
      <c r="Y4734" s="24" t="n"/>
    </row>
    <row r="4735">
      <c r="O4735" s="23" t="n"/>
      <c r="R4735" s="24" t="n"/>
      <c r="S4735" s="24" t="n"/>
      <c r="Y4735" s="24" t="n"/>
    </row>
    <row r="4736">
      <c r="O4736" s="23" t="n"/>
      <c r="R4736" s="24" t="n"/>
      <c r="S4736" s="24" t="n"/>
      <c r="Y4736" s="24" t="n"/>
    </row>
    <row r="4737">
      <c r="O4737" s="23" t="n"/>
      <c r="R4737" s="24" t="n"/>
      <c r="S4737" s="24" t="n"/>
      <c r="Y4737" s="24" t="n"/>
    </row>
    <row r="4738">
      <c r="O4738" s="23" t="n"/>
      <c r="R4738" s="24" t="n"/>
      <c r="S4738" s="24" t="n"/>
      <c r="Y4738" s="24" t="n"/>
    </row>
    <row r="4739">
      <c r="O4739" s="23" t="n"/>
      <c r="R4739" s="24" t="n"/>
      <c r="S4739" s="24" t="n"/>
      <c r="Y4739" s="24" t="n"/>
    </row>
    <row r="4740">
      <c r="O4740" s="23" t="n"/>
      <c r="R4740" s="24" t="n"/>
      <c r="S4740" s="24" t="n"/>
      <c r="Y4740" s="24" t="n"/>
    </row>
    <row r="4741">
      <c r="O4741" s="23" t="n"/>
      <c r="R4741" s="24" t="n"/>
      <c r="S4741" s="24" t="n"/>
      <c r="Y4741" s="24" t="n"/>
    </row>
    <row r="4742">
      <c r="O4742" s="23" t="n"/>
      <c r="R4742" s="24" t="n"/>
      <c r="S4742" s="24" t="n"/>
      <c r="Y4742" s="24" t="n"/>
    </row>
    <row r="4743">
      <c r="O4743" s="23" t="n"/>
      <c r="R4743" s="24" t="n"/>
      <c r="S4743" s="24" t="n"/>
      <c r="Y4743" s="24" t="n"/>
    </row>
    <row r="4744">
      <c r="O4744" s="23" t="n"/>
      <c r="R4744" s="24" t="n"/>
      <c r="S4744" s="24" t="n"/>
      <c r="Y4744" s="24" t="n"/>
    </row>
    <row r="4745">
      <c r="O4745" s="23" t="n"/>
      <c r="R4745" s="24" t="n"/>
      <c r="S4745" s="24" t="n"/>
      <c r="Y4745" s="24" t="n"/>
    </row>
    <row r="4746">
      <c r="O4746" s="23" t="n"/>
      <c r="R4746" s="24" t="n"/>
      <c r="S4746" s="24" t="n"/>
      <c r="Y4746" s="24" t="n"/>
    </row>
    <row r="4747">
      <c r="O4747" s="23" t="n"/>
      <c r="R4747" s="24" t="n"/>
      <c r="S4747" s="24" t="n"/>
      <c r="Y4747" s="24" t="n"/>
    </row>
    <row r="4748">
      <c r="O4748" s="23" t="n"/>
      <c r="R4748" s="24" t="n"/>
      <c r="S4748" s="24" t="n"/>
      <c r="Y4748" s="24" t="n"/>
    </row>
    <row r="4749">
      <c r="O4749" s="23" t="n"/>
      <c r="R4749" s="24" t="n"/>
      <c r="S4749" s="24" t="n"/>
      <c r="Y4749" s="24" t="n"/>
    </row>
    <row r="4750">
      <c r="O4750" s="23" t="n"/>
      <c r="R4750" s="24" t="n"/>
      <c r="S4750" s="24" t="n"/>
      <c r="Y4750" s="24" t="n"/>
    </row>
    <row r="4751">
      <c r="O4751" s="23" t="n"/>
      <c r="R4751" s="24" t="n"/>
      <c r="S4751" s="24" t="n"/>
      <c r="Y4751" s="24" t="n"/>
    </row>
    <row r="4752">
      <c r="O4752" s="23" t="n"/>
      <c r="R4752" s="24" t="n"/>
      <c r="S4752" s="24" t="n"/>
      <c r="Y4752" s="24" t="n"/>
    </row>
    <row r="4753">
      <c r="O4753" s="23" t="n"/>
      <c r="R4753" s="24" t="n"/>
      <c r="S4753" s="24" t="n"/>
      <c r="Y4753" s="24" t="n"/>
    </row>
    <row r="4754">
      <c r="O4754" s="23" t="n"/>
      <c r="R4754" s="24" t="n"/>
      <c r="S4754" s="24" t="n"/>
      <c r="Y4754" s="24" t="n"/>
    </row>
    <row r="4755">
      <c r="O4755" s="23" t="n"/>
      <c r="R4755" s="24" t="n"/>
      <c r="S4755" s="24" t="n"/>
      <c r="Y4755" s="24" t="n"/>
    </row>
    <row r="4756">
      <c r="O4756" s="23" t="n"/>
      <c r="R4756" s="24" t="n"/>
      <c r="S4756" s="24" t="n"/>
      <c r="Y4756" s="24" t="n"/>
    </row>
    <row r="4757">
      <c r="O4757" s="23" t="n"/>
      <c r="R4757" s="24" t="n"/>
      <c r="S4757" s="24" t="n"/>
      <c r="Y4757" s="24" t="n"/>
    </row>
    <row r="4758">
      <c r="O4758" s="23" t="n"/>
      <c r="R4758" s="24" t="n"/>
      <c r="S4758" s="24" t="n"/>
      <c r="Y4758" s="24" t="n"/>
    </row>
    <row r="4759">
      <c r="O4759" s="23" t="n"/>
      <c r="R4759" s="24" t="n"/>
      <c r="S4759" s="24" t="n"/>
      <c r="Y4759" s="24" t="n"/>
    </row>
    <row r="4760">
      <c r="O4760" s="23" t="n"/>
      <c r="R4760" s="24" t="n"/>
      <c r="S4760" s="24" t="n"/>
      <c r="Y4760" s="24" t="n"/>
    </row>
    <row r="4761">
      <c r="O4761" s="23" t="n"/>
      <c r="R4761" s="24" t="n"/>
      <c r="S4761" s="24" t="n"/>
      <c r="Y4761" s="24" t="n"/>
    </row>
    <row r="4762">
      <c r="O4762" s="23" t="n"/>
      <c r="R4762" s="24" t="n"/>
      <c r="S4762" s="24" t="n"/>
      <c r="Y4762" s="24" t="n"/>
    </row>
    <row r="4763">
      <c r="O4763" s="23" t="n"/>
      <c r="R4763" s="24" t="n"/>
      <c r="S4763" s="24" t="n"/>
      <c r="Y4763" s="24" t="n"/>
    </row>
    <row r="4764">
      <c r="O4764" s="23" t="n"/>
      <c r="R4764" s="24" t="n"/>
      <c r="S4764" s="24" t="n"/>
      <c r="Y4764" s="24" t="n"/>
    </row>
    <row r="4765">
      <c r="O4765" s="23" t="n"/>
      <c r="R4765" s="24" t="n"/>
      <c r="S4765" s="24" t="n"/>
      <c r="Y4765" s="24" t="n"/>
    </row>
    <row r="4766">
      <c r="O4766" s="23" t="n"/>
      <c r="R4766" s="24" t="n"/>
      <c r="S4766" s="24" t="n"/>
      <c r="Y4766" s="24" t="n"/>
    </row>
    <row r="4767">
      <c r="O4767" s="23" t="n"/>
      <c r="R4767" s="24" t="n"/>
      <c r="S4767" s="24" t="n"/>
      <c r="Y4767" s="24" t="n"/>
    </row>
    <row r="4768">
      <c r="O4768" s="23" t="n"/>
      <c r="R4768" s="24" t="n"/>
      <c r="S4768" s="24" t="n"/>
      <c r="Y4768" s="24" t="n"/>
    </row>
    <row r="4769">
      <c r="O4769" s="23" t="n"/>
      <c r="R4769" s="24" t="n"/>
      <c r="S4769" s="24" t="n"/>
      <c r="Y4769" s="24" t="n"/>
    </row>
    <row r="4770">
      <c r="O4770" s="23" t="n"/>
      <c r="R4770" s="24" t="n"/>
      <c r="S4770" s="24" t="n"/>
      <c r="Y4770" s="24" t="n"/>
    </row>
    <row r="4771">
      <c r="O4771" s="23" t="n"/>
      <c r="R4771" s="24" t="n"/>
      <c r="S4771" s="24" t="n"/>
      <c r="Y4771" s="24" t="n"/>
    </row>
    <row r="4772">
      <c r="O4772" s="23" t="n"/>
      <c r="R4772" s="24" t="n"/>
      <c r="S4772" s="24" t="n"/>
      <c r="Y4772" s="24" t="n"/>
    </row>
    <row r="4773">
      <c r="O4773" s="23" t="n"/>
      <c r="R4773" s="24" t="n"/>
      <c r="S4773" s="24" t="n"/>
      <c r="Y4773" s="24" t="n"/>
    </row>
    <row r="4774">
      <c r="O4774" s="23" t="n"/>
      <c r="R4774" s="24" t="n"/>
      <c r="S4774" s="24" t="n"/>
      <c r="Y4774" s="24" t="n"/>
    </row>
    <row r="4775">
      <c r="O4775" s="23" t="n"/>
      <c r="R4775" s="24" t="n"/>
      <c r="S4775" s="24" t="n"/>
      <c r="Y4775" s="24" t="n"/>
    </row>
    <row r="4776">
      <c r="O4776" s="23" t="n"/>
      <c r="R4776" s="24" t="n"/>
      <c r="S4776" s="24" t="n"/>
      <c r="Y4776" s="24" t="n"/>
    </row>
    <row r="4777">
      <c r="O4777" s="23" t="n"/>
      <c r="R4777" s="24" t="n"/>
      <c r="S4777" s="24" t="n"/>
      <c r="Y4777" s="24" t="n"/>
    </row>
    <row r="4778">
      <c r="O4778" s="23" t="n"/>
      <c r="R4778" s="24" t="n"/>
      <c r="S4778" s="24" t="n"/>
      <c r="Y4778" s="24" t="n"/>
    </row>
    <row r="4779">
      <c r="O4779" s="23" t="n"/>
      <c r="R4779" s="24" t="n"/>
      <c r="S4779" s="24" t="n"/>
      <c r="Y4779" s="24" t="n"/>
    </row>
    <row r="4780">
      <c r="O4780" s="23" t="n"/>
      <c r="R4780" s="24" t="n"/>
      <c r="S4780" s="24" t="n"/>
      <c r="Y4780" s="24" t="n"/>
    </row>
    <row r="4781">
      <c r="O4781" s="23" t="n"/>
      <c r="R4781" s="24" t="n"/>
      <c r="S4781" s="24" t="n"/>
      <c r="Y4781" s="24" t="n"/>
    </row>
    <row r="4782">
      <c r="O4782" s="23" t="n"/>
      <c r="R4782" s="24" t="n"/>
      <c r="S4782" s="24" t="n"/>
      <c r="Y4782" s="24" t="n"/>
    </row>
    <row r="4783">
      <c r="O4783" s="23" t="n"/>
      <c r="R4783" s="24" t="n"/>
      <c r="S4783" s="24" t="n"/>
      <c r="Y4783" s="24" t="n"/>
    </row>
    <row r="4784">
      <c r="O4784" s="23" t="n"/>
      <c r="R4784" s="24" t="n"/>
      <c r="S4784" s="24" t="n"/>
      <c r="Y4784" s="24" t="n"/>
    </row>
    <row r="4785">
      <c r="O4785" s="23" t="n"/>
      <c r="R4785" s="24" t="n"/>
      <c r="S4785" s="24" t="n"/>
      <c r="Y4785" s="24" t="n"/>
    </row>
    <row r="4786">
      <c r="O4786" s="23" t="n"/>
      <c r="R4786" s="24" t="n"/>
      <c r="S4786" s="24" t="n"/>
      <c r="Y4786" s="24" t="n"/>
    </row>
    <row r="4787">
      <c r="O4787" s="23" t="n"/>
      <c r="R4787" s="24" t="n"/>
      <c r="S4787" s="24" t="n"/>
      <c r="Y4787" s="24" t="n"/>
    </row>
    <row r="4788">
      <c r="O4788" s="23" t="n"/>
      <c r="R4788" s="24" t="n"/>
      <c r="S4788" s="24" t="n"/>
      <c r="Y4788" s="24" t="n"/>
    </row>
    <row r="4789">
      <c r="O4789" s="23" t="n"/>
      <c r="R4789" s="24" t="n"/>
      <c r="S4789" s="24" t="n"/>
      <c r="Y4789" s="24" t="n"/>
    </row>
    <row r="4790">
      <c r="O4790" s="23" t="n"/>
      <c r="R4790" s="24" t="n"/>
      <c r="S4790" s="24" t="n"/>
      <c r="Y4790" s="24" t="n"/>
    </row>
    <row r="4791">
      <c r="O4791" s="23" t="n"/>
      <c r="R4791" s="24" t="n"/>
      <c r="S4791" s="24" t="n"/>
      <c r="Y4791" s="24" t="n"/>
    </row>
    <row r="4792">
      <c r="O4792" s="23" t="n"/>
      <c r="R4792" s="24" t="n"/>
      <c r="S4792" s="24" t="n"/>
      <c r="Y4792" s="24" t="n"/>
    </row>
    <row r="4793">
      <c r="O4793" s="23" t="n"/>
      <c r="R4793" s="24" t="n"/>
      <c r="S4793" s="24" t="n"/>
      <c r="Y4793" s="24" t="n"/>
    </row>
    <row r="4794">
      <c r="O4794" s="23" t="n"/>
      <c r="R4794" s="24" t="n"/>
      <c r="S4794" s="24" t="n"/>
      <c r="Y4794" s="24" t="n"/>
    </row>
    <row r="4795">
      <c r="O4795" s="23" t="n"/>
      <c r="R4795" s="24" t="n"/>
      <c r="S4795" s="24" t="n"/>
      <c r="Y4795" s="24" t="n"/>
    </row>
    <row r="4796">
      <c r="O4796" s="23" t="n"/>
      <c r="R4796" s="24" t="n"/>
      <c r="S4796" s="24" t="n"/>
      <c r="Y4796" s="24" t="n"/>
    </row>
    <row r="4797">
      <c r="O4797" s="23" t="n"/>
      <c r="R4797" s="24" t="n"/>
      <c r="S4797" s="24" t="n"/>
      <c r="Y4797" s="24" t="n"/>
    </row>
    <row r="4798">
      <c r="O4798" s="23" t="n"/>
      <c r="R4798" s="24" t="n"/>
      <c r="S4798" s="24" t="n"/>
      <c r="Y4798" s="24" t="n"/>
    </row>
    <row r="4799">
      <c r="O4799" s="23" t="n"/>
      <c r="R4799" s="24" t="n"/>
      <c r="S4799" s="24" t="n"/>
      <c r="Y4799" s="24" t="n"/>
    </row>
    <row r="4800">
      <c r="O4800" s="23" t="n"/>
      <c r="R4800" s="24" t="n"/>
      <c r="S4800" s="24" t="n"/>
      <c r="Y4800" s="24" t="n"/>
    </row>
    <row r="4801">
      <c r="O4801" s="23" t="n"/>
      <c r="R4801" s="24" t="n"/>
      <c r="S4801" s="24" t="n"/>
      <c r="Y4801" s="24" t="n"/>
    </row>
    <row r="4802">
      <c r="O4802" s="23" t="n"/>
      <c r="R4802" s="24" t="n"/>
      <c r="S4802" s="24" t="n"/>
      <c r="Y4802" s="24" t="n"/>
    </row>
    <row r="4803">
      <c r="O4803" s="23" t="n"/>
      <c r="R4803" s="24" t="n"/>
      <c r="S4803" s="24" t="n"/>
      <c r="Y4803" s="24" t="n"/>
    </row>
    <row r="4804">
      <c r="O4804" s="23" t="n"/>
      <c r="R4804" s="24" t="n"/>
      <c r="S4804" s="24" t="n"/>
      <c r="Y4804" s="24" t="n"/>
    </row>
    <row r="4805">
      <c r="O4805" s="23" t="n"/>
      <c r="R4805" s="24" t="n"/>
      <c r="S4805" s="24" t="n"/>
      <c r="Y4805" s="24" t="n"/>
    </row>
    <row r="4806">
      <c r="O4806" s="23" t="n"/>
      <c r="R4806" s="24" t="n"/>
      <c r="S4806" s="24" t="n"/>
      <c r="Y4806" s="24" t="n"/>
    </row>
    <row r="4807">
      <c r="O4807" s="23" t="n"/>
      <c r="R4807" s="24" t="n"/>
      <c r="S4807" s="24" t="n"/>
      <c r="Y4807" s="24" t="n"/>
    </row>
    <row r="4808">
      <c r="O4808" s="23" t="n"/>
      <c r="R4808" s="24" t="n"/>
      <c r="S4808" s="24" t="n"/>
      <c r="Y4808" s="24" t="n"/>
    </row>
    <row r="4809">
      <c r="O4809" s="23" t="n"/>
      <c r="R4809" s="24" t="n"/>
      <c r="S4809" s="24" t="n"/>
      <c r="Y4809" s="24" t="n"/>
    </row>
    <row r="4810">
      <c r="O4810" s="23" t="n"/>
      <c r="R4810" s="24" t="n"/>
      <c r="S4810" s="24" t="n"/>
      <c r="Y4810" s="24" t="n"/>
    </row>
    <row r="4811">
      <c r="O4811" s="23" t="n"/>
      <c r="R4811" s="24" t="n"/>
      <c r="S4811" s="24" t="n"/>
      <c r="Y4811" s="24" t="n"/>
    </row>
    <row r="4812">
      <c r="O4812" s="23" t="n"/>
      <c r="R4812" s="24" t="n"/>
      <c r="S4812" s="24" t="n"/>
      <c r="Y4812" s="24" t="n"/>
    </row>
    <row r="4813">
      <c r="O4813" s="23" t="n"/>
      <c r="R4813" s="24" t="n"/>
      <c r="S4813" s="24" t="n"/>
      <c r="Y4813" s="24" t="n"/>
    </row>
    <row r="4814">
      <c r="O4814" s="23" t="n"/>
      <c r="R4814" s="24" t="n"/>
      <c r="S4814" s="24" t="n"/>
      <c r="Y4814" s="24" t="n"/>
    </row>
    <row r="4815">
      <c r="O4815" s="23" t="n"/>
      <c r="R4815" s="24" t="n"/>
      <c r="S4815" s="24" t="n"/>
      <c r="Y4815" s="24" t="n"/>
    </row>
    <row r="4816">
      <c r="O4816" s="23" t="n"/>
      <c r="R4816" s="24" t="n"/>
      <c r="S4816" s="24" t="n"/>
      <c r="Y4816" s="24" t="n"/>
    </row>
    <row r="4817">
      <c r="O4817" s="23" t="n"/>
      <c r="R4817" s="24" t="n"/>
      <c r="S4817" s="24" t="n"/>
      <c r="Y4817" s="24" t="n"/>
    </row>
    <row r="4818">
      <c r="O4818" s="23" t="n"/>
      <c r="R4818" s="24" t="n"/>
      <c r="S4818" s="24" t="n"/>
      <c r="Y4818" s="24" t="n"/>
    </row>
    <row r="4819">
      <c r="O4819" s="23" t="n"/>
      <c r="R4819" s="24" t="n"/>
      <c r="S4819" s="24" t="n"/>
      <c r="Y4819" s="24" t="n"/>
    </row>
    <row r="4820">
      <c r="O4820" s="23" t="n"/>
      <c r="R4820" s="24" t="n"/>
      <c r="S4820" s="24" t="n"/>
      <c r="Y4820" s="24" t="n"/>
    </row>
    <row r="4821">
      <c r="O4821" s="23" t="n"/>
      <c r="R4821" s="24" t="n"/>
      <c r="S4821" s="24" t="n"/>
      <c r="Y4821" s="24" t="n"/>
    </row>
    <row r="4822">
      <c r="O4822" s="23" t="n"/>
      <c r="R4822" s="24" t="n"/>
      <c r="S4822" s="24" t="n"/>
      <c r="Y4822" s="24" t="n"/>
    </row>
    <row r="4823">
      <c r="O4823" s="23" t="n"/>
      <c r="R4823" s="24" t="n"/>
      <c r="S4823" s="24" t="n"/>
      <c r="Y4823" s="24" t="n"/>
    </row>
    <row r="4824">
      <c r="O4824" s="23" t="n"/>
      <c r="R4824" s="24" t="n"/>
      <c r="S4824" s="24" t="n"/>
      <c r="Y4824" s="24" t="n"/>
    </row>
    <row r="4825">
      <c r="O4825" s="23" t="n"/>
      <c r="R4825" s="24" t="n"/>
      <c r="S4825" s="24" t="n"/>
      <c r="Y4825" s="24" t="n"/>
    </row>
    <row r="4826">
      <c r="O4826" s="23" t="n"/>
      <c r="R4826" s="24" t="n"/>
      <c r="S4826" s="24" t="n"/>
      <c r="Y4826" s="24" t="n"/>
    </row>
    <row r="4827">
      <c r="O4827" s="23" t="n"/>
      <c r="R4827" s="24" t="n"/>
      <c r="S4827" s="24" t="n"/>
      <c r="Y4827" s="24" t="n"/>
    </row>
    <row r="4828">
      <c r="O4828" s="23" t="n"/>
      <c r="R4828" s="24" t="n"/>
      <c r="S4828" s="24" t="n"/>
      <c r="Y4828" s="24" t="n"/>
    </row>
    <row r="4829">
      <c r="O4829" s="23" t="n"/>
      <c r="R4829" s="24" t="n"/>
      <c r="S4829" s="24" t="n"/>
      <c r="Y4829" s="24" t="n"/>
    </row>
    <row r="4830">
      <c r="O4830" s="23" t="n"/>
      <c r="R4830" s="24" t="n"/>
      <c r="S4830" s="24" t="n"/>
      <c r="Y4830" s="24" t="n"/>
    </row>
    <row r="4831">
      <c r="O4831" s="23" t="n"/>
      <c r="R4831" s="24" t="n"/>
      <c r="S4831" s="24" t="n"/>
      <c r="Y4831" s="24" t="n"/>
    </row>
    <row r="4832">
      <c r="O4832" s="23" t="n"/>
      <c r="R4832" s="24" t="n"/>
      <c r="S4832" s="24" t="n"/>
      <c r="Y4832" s="24" t="n"/>
    </row>
    <row r="4833">
      <c r="O4833" s="23" t="n"/>
      <c r="R4833" s="24" t="n"/>
      <c r="S4833" s="24" t="n"/>
      <c r="Y4833" s="24" t="n"/>
    </row>
    <row r="4834">
      <c r="O4834" s="23" t="n"/>
      <c r="R4834" s="24" t="n"/>
      <c r="S4834" s="24" t="n"/>
      <c r="Y4834" s="24" t="n"/>
    </row>
    <row r="4835">
      <c r="O4835" s="23" t="n"/>
      <c r="R4835" s="24" t="n"/>
      <c r="S4835" s="24" t="n"/>
      <c r="Y4835" s="24" t="n"/>
    </row>
    <row r="4836">
      <c r="O4836" s="23" t="n"/>
      <c r="R4836" s="24" t="n"/>
      <c r="S4836" s="24" t="n"/>
      <c r="Y4836" s="24" t="n"/>
    </row>
    <row r="4837">
      <c r="O4837" s="23" t="n"/>
      <c r="R4837" s="24" t="n"/>
      <c r="S4837" s="24" t="n"/>
      <c r="Y4837" s="24" t="n"/>
    </row>
    <row r="4838">
      <c r="O4838" s="23" t="n"/>
      <c r="R4838" s="24" t="n"/>
      <c r="S4838" s="24" t="n"/>
      <c r="Y4838" s="24" t="n"/>
    </row>
    <row r="4839">
      <c r="O4839" s="23" t="n"/>
      <c r="R4839" s="24" t="n"/>
      <c r="S4839" s="24" t="n"/>
      <c r="Y4839" s="24" t="n"/>
    </row>
    <row r="4840">
      <c r="O4840" s="23" t="n"/>
      <c r="R4840" s="24" t="n"/>
      <c r="S4840" s="24" t="n"/>
      <c r="Y4840" s="24" t="n"/>
    </row>
    <row r="4841">
      <c r="O4841" s="23" t="n"/>
      <c r="R4841" s="24" t="n"/>
      <c r="S4841" s="24" t="n"/>
      <c r="Y4841" s="24" t="n"/>
    </row>
    <row r="4842">
      <c r="O4842" s="23" t="n"/>
      <c r="R4842" s="24" t="n"/>
      <c r="S4842" s="24" t="n"/>
      <c r="Y4842" s="24" t="n"/>
    </row>
    <row r="4843">
      <c r="O4843" s="23" t="n"/>
      <c r="R4843" s="24" t="n"/>
      <c r="S4843" s="24" t="n"/>
      <c r="Y4843" s="24" t="n"/>
    </row>
    <row r="4844">
      <c r="O4844" s="23" t="n"/>
      <c r="R4844" s="24" t="n"/>
      <c r="S4844" s="24" t="n"/>
      <c r="Y4844" s="24" t="n"/>
    </row>
    <row r="4845">
      <c r="O4845" s="23" t="n"/>
      <c r="R4845" s="24" t="n"/>
      <c r="S4845" s="24" t="n"/>
      <c r="Y4845" s="24" t="n"/>
    </row>
    <row r="4846">
      <c r="O4846" s="23" t="n"/>
      <c r="R4846" s="24" t="n"/>
      <c r="S4846" s="24" t="n"/>
      <c r="Y4846" s="24" t="n"/>
    </row>
    <row r="4847">
      <c r="O4847" s="23" t="n"/>
      <c r="R4847" s="24" t="n"/>
      <c r="S4847" s="24" t="n"/>
      <c r="Y4847" s="24" t="n"/>
    </row>
    <row r="4848">
      <c r="O4848" s="23" t="n"/>
      <c r="R4848" s="24" t="n"/>
      <c r="S4848" s="24" t="n"/>
      <c r="Y4848" s="24" t="n"/>
    </row>
    <row r="4849">
      <c r="O4849" s="23" t="n"/>
      <c r="R4849" s="24" t="n"/>
      <c r="S4849" s="24" t="n"/>
      <c r="Y4849" s="24" t="n"/>
    </row>
    <row r="4850">
      <c r="O4850" s="23" t="n"/>
      <c r="R4850" s="24" t="n"/>
      <c r="S4850" s="24" t="n"/>
      <c r="Y4850" s="24" t="n"/>
    </row>
    <row r="4851">
      <c r="O4851" s="23" t="n"/>
      <c r="R4851" s="24" t="n"/>
      <c r="S4851" s="24" t="n"/>
      <c r="Y4851" s="24" t="n"/>
    </row>
    <row r="4852">
      <c r="O4852" s="23" t="n"/>
      <c r="R4852" s="24" t="n"/>
      <c r="S4852" s="24" t="n"/>
      <c r="Y4852" s="24" t="n"/>
    </row>
    <row r="4853">
      <c r="O4853" s="23" t="n"/>
      <c r="R4853" s="24" t="n"/>
      <c r="S4853" s="24" t="n"/>
      <c r="Y4853" s="24" t="n"/>
    </row>
    <row r="4854">
      <c r="O4854" s="23" t="n"/>
      <c r="R4854" s="24" t="n"/>
      <c r="S4854" s="24" t="n"/>
      <c r="Y4854" s="24" t="n"/>
    </row>
    <row r="4855">
      <c r="O4855" s="23" t="n"/>
      <c r="R4855" s="24" t="n"/>
      <c r="S4855" s="24" t="n"/>
      <c r="Y4855" s="24" t="n"/>
    </row>
    <row r="4856">
      <c r="O4856" s="23" t="n"/>
      <c r="R4856" s="24" t="n"/>
      <c r="S4856" s="24" t="n"/>
      <c r="Y4856" s="24" t="n"/>
    </row>
    <row r="4857">
      <c r="O4857" s="23" t="n"/>
      <c r="R4857" s="24" t="n"/>
      <c r="S4857" s="24" t="n"/>
      <c r="Y4857" s="24" t="n"/>
    </row>
    <row r="4858">
      <c r="O4858" s="23" t="n"/>
      <c r="R4858" s="24" t="n"/>
      <c r="S4858" s="24" t="n"/>
      <c r="Y4858" s="24" t="n"/>
    </row>
    <row r="4859">
      <c r="O4859" s="23" t="n"/>
      <c r="R4859" s="24" t="n"/>
      <c r="S4859" s="24" t="n"/>
      <c r="Y4859" s="24" t="n"/>
    </row>
    <row r="4860">
      <c r="O4860" s="23" t="n"/>
      <c r="R4860" s="24" t="n"/>
      <c r="S4860" s="24" t="n"/>
      <c r="Y4860" s="24" t="n"/>
    </row>
    <row r="4861">
      <c r="O4861" s="23" t="n"/>
      <c r="R4861" s="24" t="n"/>
      <c r="S4861" s="24" t="n"/>
      <c r="Y4861" s="24" t="n"/>
    </row>
    <row r="4862">
      <c r="O4862" s="23" t="n"/>
      <c r="R4862" s="24" t="n"/>
      <c r="S4862" s="24" t="n"/>
      <c r="Y4862" s="24" t="n"/>
    </row>
    <row r="4863">
      <c r="O4863" s="23" t="n"/>
      <c r="R4863" s="24" t="n"/>
      <c r="S4863" s="24" t="n"/>
      <c r="Y4863" s="24" t="n"/>
    </row>
    <row r="4864">
      <c r="O4864" s="23" t="n"/>
      <c r="R4864" s="24" t="n"/>
      <c r="S4864" s="24" t="n"/>
      <c r="Y4864" s="24" t="n"/>
    </row>
    <row r="4865">
      <c r="O4865" s="23" t="n"/>
      <c r="R4865" s="24" t="n"/>
      <c r="S4865" s="24" t="n"/>
      <c r="Y4865" s="24" t="n"/>
    </row>
    <row r="4866">
      <c r="O4866" s="23" t="n"/>
      <c r="R4866" s="24" t="n"/>
      <c r="S4866" s="24" t="n"/>
      <c r="Y4866" s="24" t="n"/>
    </row>
    <row r="4867">
      <c r="O4867" s="23" t="n"/>
      <c r="R4867" s="24" t="n"/>
      <c r="S4867" s="24" t="n"/>
      <c r="Y4867" s="24" t="n"/>
    </row>
    <row r="4868">
      <c r="O4868" s="23" t="n"/>
      <c r="R4868" s="24" t="n"/>
      <c r="S4868" s="24" t="n"/>
      <c r="Y4868" s="24" t="n"/>
    </row>
    <row r="4869">
      <c r="O4869" s="23" t="n"/>
      <c r="R4869" s="24" t="n"/>
      <c r="S4869" s="24" t="n"/>
      <c r="Y4869" s="24" t="n"/>
    </row>
    <row r="4870">
      <c r="O4870" s="23" t="n"/>
      <c r="R4870" s="24" t="n"/>
      <c r="S4870" s="24" t="n"/>
      <c r="Y4870" s="24" t="n"/>
    </row>
    <row r="4871">
      <c r="O4871" s="23" t="n"/>
      <c r="R4871" s="24" t="n"/>
      <c r="S4871" s="24" t="n"/>
      <c r="Y4871" s="24" t="n"/>
    </row>
    <row r="4872">
      <c r="O4872" s="23" t="n"/>
      <c r="R4872" s="24" t="n"/>
      <c r="S4872" s="24" t="n"/>
      <c r="Y4872" s="24" t="n"/>
    </row>
    <row r="4873">
      <c r="O4873" s="23" t="n"/>
      <c r="R4873" s="24" t="n"/>
      <c r="S4873" s="24" t="n"/>
      <c r="Y4873" s="24" t="n"/>
    </row>
    <row r="4874">
      <c r="O4874" s="23" t="n"/>
      <c r="R4874" s="24" t="n"/>
      <c r="S4874" s="24" t="n"/>
      <c r="Y4874" s="24" t="n"/>
    </row>
    <row r="4875">
      <c r="O4875" s="23" t="n"/>
      <c r="R4875" s="24" t="n"/>
      <c r="S4875" s="24" t="n"/>
      <c r="Y4875" s="24" t="n"/>
    </row>
    <row r="4876">
      <c r="O4876" s="23" t="n"/>
      <c r="R4876" s="24" t="n"/>
      <c r="S4876" s="24" t="n"/>
      <c r="Y4876" s="24" t="n"/>
    </row>
    <row r="4877">
      <c r="O4877" s="23" t="n"/>
      <c r="R4877" s="24" t="n"/>
      <c r="S4877" s="24" t="n"/>
      <c r="Y4877" s="24" t="n"/>
    </row>
    <row r="4878">
      <c r="O4878" s="23" t="n"/>
      <c r="R4878" s="24" t="n"/>
      <c r="S4878" s="24" t="n"/>
      <c r="Y4878" s="24" t="n"/>
    </row>
    <row r="4879">
      <c r="O4879" s="23" t="n"/>
      <c r="R4879" s="24" t="n"/>
      <c r="S4879" s="24" t="n"/>
      <c r="Y4879" s="24" t="n"/>
    </row>
    <row r="4880">
      <c r="O4880" s="23" t="n"/>
      <c r="R4880" s="24" t="n"/>
      <c r="S4880" s="24" t="n"/>
      <c r="Y4880" s="24" t="n"/>
    </row>
    <row r="4881">
      <c r="O4881" s="23" t="n"/>
      <c r="R4881" s="24" t="n"/>
      <c r="S4881" s="24" t="n"/>
      <c r="Y4881" s="24" t="n"/>
    </row>
    <row r="4882">
      <c r="O4882" s="23" t="n"/>
      <c r="R4882" s="24" t="n"/>
      <c r="S4882" s="24" t="n"/>
      <c r="Y4882" s="24" t="n"/>
    </row>
    <row r="4883">
      <c r="O4883" s="23" t="n"/>
      <c r="R4883" s="24" t="n"/>
      <c r="S4883" s="24" t="n"/>
      <c r="Y4883" s="24" t="n"/>
    </row>
    <row r="4884">
      <c r="O4884" s="23" t="n"/>
      <c r="R4884" s="24" t="n"/>
      <c r="S4884" s="24" t="n"/>
      <c r="Y4884" s="24" t="n"/>
    </row>
    <row r="4885">
      <c r="O4885" s="23" t="n"/>
      <c r="R4885" s="24" t="n"/>
      <c r="S4885" s="24" t="n"/>
      <c r="Y4885" s="24" t="n"/>
    </row>
    <row r="4886">
      <c r="O4886" s="23" t="n"/>
      <c r="R4886" s="24" t="n"/>
      <c r="S4886" s="24" t="n"/>
      <c r="Y4886" s="24" t="n"/>
    </row>
    <row r="4887">
      <c r="O4887" s="23" t="n"/>
      <c r="R4887" s="24" t="n"/>
      <c r="S4887" s="24" t="n"/>
      <c r="Y4887" s="24" t="n"/>
    </row>
    <row r="4888">
      <c r="O4888" s="23" t="n"/>
      <c r="R4888" s="24" t="n"/>
      <c r="S4888" s="24" t="n"/>
      <c r="Y4888" s="24" t="n"/>
    </row>
    <row r="4889">
      <c r="O4889" s="23" t="n"/>
      <c r="R4889" s="24" t="n"/>
      <c r="S4889" s="24" t="n"/>
      <c r="Y4889" s="24" t="n"/>
    </row>
    <row r="4890">
      <c r="O4890" s="23" t="n"/>
      <c r="R4890" s="24" t="n"/>
      <c r="S4890" s="24" t="n"/>
      <c r="Y4890" s="24" t="n"/>
    </row>
    <row r="4891">
      <c r="O4891" s="23" t="n"/>
      <c r="R4891" s="24" t="n"/>
      <c r="S4891" s="24" t="n"/>
      <c r="Y4891" s="24" t="n"/>
    </row>
    <row r="4892">
      <c r="O4892" s="23" t="n"/>
      <c r="R4892" s="24" t="n"/>
      <c r="S4892" s="24" t="n"/>
      <c r="Y4892" s="24" t="n"/>
    </row>
    <row r="4893">
      <c r="O4893" s="23" t="n"/>
      <c r="R4893" s="24" t="n"/>
      <c r="S4893" s="24" t="n"/>
      <c r="Y4893" s="24" t="n"/>
    </row>
    <row r="4894">
      <c r="O4894" s="23" t="n"/>
      <c r="R4894" s="24" t="n"/>
      <c r="S4894" s="24" t="n"/>
      <c r="Y4894" s="24" t="n"/>
    </row>
    <row r="4895">
      <c r="O4895" s="23" t="n"/>
      <c r="R4895" s="24" t="n"/>
      <c r="S4895" s="24" t="n"/>
      <c r="Y4895" s="24" t="n"/>
    </row>
    <row r="4896">
      <c r="O4896" s="23" t="n"/>
      <c r="R4896" s="24" t="n"/>
      <c r="S4896" s="24" t="n"/>
      <c r="Y4896" s="24" t="n"/>
    </row>
    <row r="4897">
      <c r="O4897" s="23" t="n"/>
      <c r="R4897" s="24" t="n"/>
      <c r="S4897" s="24" t="n"/>
      <c r="Y4897" s="24" t="n"/>
    </row>
    <row r="4898">
      <c r="O4898" s="23" t="n"/>
      <c r="R4898" s="24" t="n"/>
      <c r="S4898" s="24" t="n"/>
      <c r="Y4898" s="24" t="n"/>
    </row>
    <row r="4899">
      <c r="O4899" s="23" t="n"/>
      <c r="R4899" s="24" t="n"/>
      <c r="S4899" s="24" t="n"/>
      <c r="Y4899" s="24" t="n"/>
    </row>
    <row r="4900">
      <c r="O4900" s="23" t="n"/>
      <c r="R4900" s="24" t="n"/>
      <c r="S4900" s="24" t="n"/>
      <c r="Y4900" s="24" t="n"/>
    </row>
    <row r="4901">
      <c r="O4901" s="23" t="n"/>
      <c r="R4901" s="24" t="n"/>
      <c r="S4901" s="24" t="n"/>
      <c r="Y4901" s="24" t="n"/>
    </row>
    <row r="4902">
      <c r="O4902" s="23" t="n"/>
      <c r="R4902" s="24" t="n"/>
      <c r="S4902" s="24" t="n"/>
      <c r="Y4902" s="24" t="n"/>
    </row>
    <row r="4903">
      <c r="O4903" s="23" t="n"/>
      <c r="R4903" s="24" t="n"/>
      <c r="S4903" s="24" t="n"/>
      <c r="Y4903" s="24" t="n"/>
    </row>
    <row r="4904">
      <c r="O4904" s="23" t="n"/>
      <c r="R4904" s="24" t="n"/>
      <c r="S4904" s="24" t="n"/>
      <c r="Y4904" s="24" t="n"/>
    </row>
    <row r="4905">
      <c r="O4905" s="23" t="n"/>
      <c r="R4905" s="24" t="n"/>
      <c r="S4905" s="24" t="n"/>
      <c r="Y4905" s="24" t="n"/>
    </row>
    <row r="4906">
      <c r="O4906" s="23" t="n"/>
      <c r="R4906" s="24" t="n"/>
      <c r="S4906" s="24" t="n"/>
      <c r="Y4906" s="24" t="n"/>
    </row>
    <row r="4907">
      <c r="O4907" s="23" t="n"/>
      <c r="R4907" s="24" t="n"/>
      <c r="S4907" s="24" t="n"/>
      <c r="Y4907" s="24" t="n"/>
    </row>
    <row r="4908">
      <c r="O4908" s="23" t="n"/>
      <c r="R4908" s="24" t="n"/>
      <c r="S4908" s="24" t="n"/>
      <c r="Y4908" s="24" t="n"/>
    </row>
    <row r="4909">
      <c r="O4909" s="23" t="n"/>
      <c r="R4909" s="24" t="n"/>
      <c r="S4909" s="24" t="n"/>
      <c r="Y4909" s="24" t="n"/>
    </row>
    <row r="4910">
      <c r="O4910" s="23" t="n"/>
      <c r="R4910" s="24" t="n"/>
      <c r="S4910" s="24" t="n"/>
      <c r="Y4910" s="24" t="n"/>
    </row>
    <row r="4911">
      <c r="O4911" s="23" t="n"/>
      <c r="R4911" s="24" t="n"/>
      <c r="S4911" s="24" t="n"/>
      <c r="Y4911" s="24" t="n"/>
    </row>
    <row r="4912">
      <c r="O4912" s="23" t="n"/>
      <c r="R4912" s="24" t="n"/>
      <c r="S4912" s="24" t="n"/>
      <c r="Y4912" s="24" t="n"/>
    </row>
    <row r="4913">
      <c r="O4913" s="23" t="n"/>
      <c r="R4913" s="24" t="n"/>
      <c r="S4913" s="24" t="n"/>
      <c r="Y4913" s="24" t="n"/>
    </row>
    <row r="4914">
      <c r="O4914" s="23" t="n"/>
      <c r="R4914" s="24" t="n"/>
      <c r="S4914" s="24" t="n"/>
      <c r="Y4914" s="24" t="n"/>
    </row>
    <row r="4915">
      <c r="O4915" s="23" t="n"/>
      <c r="R4915" s="24" t="n"/>
      <c r="S4915" s="24" t="n"/>
      <c r="Y4915" s="24" t="n"/>
    </row>
    <row r="4916">
      <c r="O4916" s="23" t="n"/>
      <c r="R4916" s="24" t="n"/>
      <c r="S4916" s="24" t="n"/>
      <c r="Y4916" s="24" t="n"/>
    </row>
    <row r="4917">
      <c r="O4917" s="23" t="n"/>
      <c r="R4917" s="24" t="n"/>
      <c r="S4917" s="24" t="n"/>
      <c r="Y4917" s="24" t="n"/>
    </row>
    <row r="4918">
      <c r="O4918" s="23" t="n"/>
      <c r="R4918" s="24" t="n"/>
      <c r="S4918" s="24" t="n"/>
      <c r="Y4918" s="24" t="n"/>
    </row>
    <row r="4919">
      <c r="O4919" s="23" t="n"/>
      <c r="R4919" s="24" t="n"/>
      <c r="S4919" s="24" t="n"/>
      <c r="Y4919" s="24" t="n"/>
    </row>
    <row r="4920">
      <c r="O4920" s="23" t="n"/>
      <c r="R4920" s="24" t="n"/>
      <c r="S4920" s="24" t="n"/>
      <c r="Y4920" s="24" t="n"/>
    </row>
    <row r="4921">
      <c r="O4921" s="23" t="n"/>
      <c r="R4921" s="24" t="n"/>
      <c r="S4921" s="24" t="n"/>
      <c r="Y4921" s="24" t="n"/>
    </row>
    <row r="4922">
      <c r="O4922" s="23" t="n"/>
      <c r="R4922" s="24" t="n"/>
      <c r="S4922" s="24" t="n"/>
      <c r="Y4922" s="24" t="n"/>
    </row>
    <row r="4923">
      <c r="O4923" s="23" t="n"/>
      <c r="R4923" s="24" t="n"/>
      <c r="S4923" s="24" t="n"/>
      <c r="Y4923" s="24" t="n"/>
    </row>
    <row r="4924">
      <c r="O4924" s="23" t="n"/>
      <c r="R4924" s="24" t="n"/>
      <c r="S4924" s="24" t="n"/>
      <c r="Y4924" s="24" t="n"/>
    </row>
    <row r="4925">
      <c r="O4925" s="23" t="n"/>
      <c r="R4925" s="24" t="n"/>
      <c r="S4925" s="24" t="n"/>
      <c r="Y4925" s="24" t="n"/>
    </row>
    <row r="4926">
      <c r="O4926" s="23" t="n"/>
      <c r="R4926" s="24" t="n"/>
      <c r="S4926" s="24" t="n"/>
      <c r="Y4926" s="24" t="n"/>
    </row>
    <row r="4927">
      <c r="O4927" s="23" t="n"/>
      <c r="R4927" s="24" t="n"/>
      <c r="S4927" s="24" t="n"/>
      <c r="Y4927" s="24" t="n"/>
    </row>
    <row r="4928">
      <c r="O4928" s="23" t="n"/>
      <c r="R4928" s="24" t="n"/>
      <c r="S4928" s="24" t="n"/>
      <c r="Y4928" s="24" t="n"/>
    </row>
    <row r="4929">
      <c r="O4929" s="23" t="n"/>
      <c r="R4929" s="24" t="n"/>
      <c r="S4929" s="24" t="n"/>
      <c r="Y4929" s="24" t="n"/>
    </row>
    <row r="4930">
      <c r="O4930" s="23" t="n"/>
      <c r="R4930" s="24" t="n"/>
      <c r="S4930" s="24" t="n"/>
      <c r="Y4930" s="24" t="n"/>
    </row>
    <row r="4931">
      <c r="O4931" s="23" t="n"/>
      <c r="R4931" s="24" t="n"/>
      <c r="S4931" s="24" t="n"/>
      <c r="Y4931" s="24" t="n"/>
    </row>
    <row r="4932">
      <c r="O4932" s="23" t="n"/>
      <c r="R4932" s="24" t="n"/>
      <c r="S4932" s="24" t="n"/>
      <c r="Y4932" s="24" t="n"/>
    </row>
    <row r="4933">
      <c r="O4933" s="23" t="n"/>
      <c r="R4933" s="24" t="n"/>
      <c r="S4933" s="24" t="n"/>
      <c r="Y4933" s="24" t="n"/>
    </row>
    <row r="4934">
      <c r="O4934" s="23" t="n"/>
      <c r="R4934" s="24" t="n"/>
      <c r="S4934" s="24" t="n"/>
      <c r="Y4934" s="24" t="n"/>
    </row>
    <row r="4935">
      <c r="O4935" s="23" t="n"/>
      <c r="R4935" s="24" t="n"/>
      <c r="S4935" s="24" t="n"/>
      <c r="Y4935" s="24" t="n"/>
    </row>
    <row r="4936">
      <c r="O4936" s="23" t="n"/>
      <c r="R4936" s="24" t="n"/>
      <c r="S4936" s="24" t="n"/>
      <c r="Y4936" s="24" t="n"/>
    </row>
    <row r="4937">
      <c r="O4937" s="23" t="n"/>
      <c r="R4937" s="24" t="n"/>
      <c r="S4937" s="24" t="n"/>
      <c r="Y4937" s="24" t="n"/>
    </row>
    <row r="4938">
      <c r="O4938" s="23" t="n"/>
      <c r="R4938" s="24" t="n"/>
      <c r="S4938" s="24" t="n"/>
      <c r="Y4938" s="24" t="n"/>
    </row>
    <row r="4939">
      <c r="O4939" s="23" t="n"/>
      <c r="R4939" s="24" t="n"/>
      <c r="S4939" s="24" t="n"/>
      <c r="Y4939" s="24" t="n"/>
    </row>
    <row r="4940">
      <c r="O4940" s="23" t="n"/>
      <c r="R4940" s="24" t="n"/>
      <c r="S4940" s="24" t="n"/>
      <c r="Y4940" s="24" t="n"/>
    </row>
    <row r="4941">
      <c r="O4941" s="23" t="n"/>
      <c r="R4941" s="24" t="n"/>
      <c r="S4941" s="24" t="n"/>
      <c r="Y4941" s="24" t="n"/>
    </row>
    <row r="4942">
      <c r="O4942" s="23" t="n"/>
      <c r="R4942" s="24" t="n"/>
      <c r="S4942" s="24" t="n"/>
      <c r="Y4942" s="24" t="n"/>
    </row>
    <row r="4943">
      <c r="O4943" s="23" t="n"/>
      <c r="R4943" s="24" t="n"/>
      <c r="S4943" s="24" t="n"/>
      <c r="Y4943" s="24" t="n"/>
    </row>
    <row r="4944">
      <c r="O4944" s="23" t="n"/>
      <c r="R4944" s="24" t="n"/>
      <c r="S4944" s="24" t="n"/>
      <c r="Y4944" s="24" t="n"/>
    </row>
    <row r="4945">
      <c r="O4945" s="23" t="n"/>
      <c r="R4945" s="24" t="n"/>
      <c r="S4945" s="24" t="n"/>
      <c r="Y4945" s="24" t="n"/>
    </row>
    <row r="4946">
      <c r="O4946" s="23" t="n"/>
      <c r="R4946" s="24" t="n"/>
      <c r="S4946" s="24" t="n"/>
      <c r="Y4946" s="24" t="n"/>
    </row>
    <row r="4947">
      <c r="O4947" s="23" t="n"/>
      <c r="R4947" s="24" t="n"/>
      <c r="S4947" s="24" t="n"/>
      <c r="Y4947" s="24" t="n"/>
    </row>
    <row r="4948">
      <c r="O4948" s="23" t="n"/>
      <c r="R4948" s="24" t="n"/>
      <c r="S4948" s="24" t="n"/>
      <c r="Y4948" s="24" t="n"/>
    </row>
    <row r="4949">
      <c r="O4949" s="23" t="n"/>
      <c r="R4949" s="24" t="n"/>
      <c r="S4949" s="24" t="n"/>
      <c r="Y4949" s="24" t="n"/>
    </row>
    <row r="4950">
      <c r="O4950" s="23" t="n"/>
      <c r="R4950" s="24" t="n"/>
      <c r="S4950" s="24" t="n"/>
      <c r="Y4950" s="24" t="n"/>
    </row>
    <row r="4951">
      <c r="O4951" s="23" t="n"/>
      <c r="R4951" s="24" t="n"/>
      <c r="S4951" s="24" t="n"/>
      <c r="Y4951" s="24" t="n"/>
    </row>
    <row r="4952">
      <c r="O4952" s="23" t="n"/>
      <c r="R4952" s="24" t="n"/>
      <c r="S4952" s="24" t="n"/>
      <c r="Y4952" s="24" t="n"/>
    </row>
    <row r="4953">
      <c r="O4953" s="23" t="n"/>
      <c r="R4953" s="24" t="n"/>
      <c r="S4953" s="24" t="n"/>
      <c r="Y4953" s="24" t="n"/>
    </row>
    <row r="4954">
      <c r="O4954" s="23" t="n"/>
      <c r="R4954" s="24" t="n"/>
      <c r="S4954" s="24" t="n"/>
      <c r="Y4954" s="24" t="n"/>
    </row>
    <row r="4955">
      <c r="O4955" s="23" t="n"/>
      <c r="R4955" s="24" t="n"/>
      <c r="S4955" s="24" t="n"/>
      <c r="Y4955" s="24" t="n"/>
    </row>
    <row r="4956">
      <c r="O4956" s="23" t="n"/>
      <c r="R4956" s="24" t="n"/>
      <c r="S4956" s="24" t="n"/>
      <c r="Y4956" s="24" t="n"/>
    </row>
    <row r="4957">
      <c r="O4957" s="23" t="n"/>
      <c r="R4957" s="24" t="n"/>
      <c r="S4957" s="24" t="n"/>
      <c r="Y4957" s="24" t="n"/>
    </row>
    <row r="4958">
      <c r="O4958" s="23" t="n"/>
      <c r="R4958" s="24" t="n"/>
      <c r="S4958" s="24" t="n"/>
      <c r="Y4958" s="24" t="n"/>
    </row>
    <row r="4959">
      <c r="O4959" s="23" t="n"/>
      <c r="R4959" s="24" t="n"/>
      <c r="S4959" s="24" t="n"/>
      <c r="Y4959" s="24" t="n"/>
    </row>
    <row r="4960">
      <c r="O4960" s="23" t="n"/>
      <c r="R4960" s="24" t="n"/>
      <c r="S4960" s="24" t="n"/>
      <c r="Y4960" s="24" t="n"/>
    </row>
    <row r="4961">
      <c r="O4961" s="23" t="n"/>
      <c r="R4961" s="24" t="n"/>
      <c r="S4961" s="24" t="n"/>
      <c r="Y4961" s="24" t="n"/>
    </row>
    <row r="4962">
      <c r="O4962" s="23" t="n"/>
      <c r="R4962" s="24" t="n"/>
      <c r="S4962" s="24" t="n"/>
      <c r="Y4962" s="24" t="n"/>
    </row>
    <row r="4963">
      <c r="O4963" s="23" t="n"/>
      <c r="R4963" s="24" t="n"/>
      <c r="S4963" s="24" t="n"/>
      <c r="Y4963" s="24" t="n"/>
    </row>
    <row r="4964">
      <c r="O4964" s="23" t="n"/>
      <c r="R4964" s="24" t="n"/>
      <c r="S4964" s="24" t="n"/>
      <c r="Y4964" s="24" t="n"/>
    </row>
    <row r="4965">
      <c r="O4965" s="23" t="n"/>
      <c r="R4965" s="24" t="n"/>
      <c r="S4965" s="24" t="n"/>
      <c r="Y4965" s="24" t="n"/>
    </row>
    <row r="4966">
      <c r="O4966" s="23" t="n"/>
      <c r="R4966" s="24" t="n"/>
      <c r="S4966" s="24" t="n"/>
      <c r="Y4966" s="24" t="n"/>
    </row>
    <row r="4967">
      <c r="O4967" s="23" t="n"/>
      <c r="R4967" s="24" t="n"/>
      <c r="S4967" s="24" t="n"/>
      <c r="Y4967" s="24" t="n"/>
    </row>
    <row r="4968">
      <c r="O4968" s="23" t="n"/>
      <c r="R4968" s="24" t="n"/>
      <c r="S4968" s="24" t="n"/>
      <c r="Y4968" s="24" t="n"/>
    </row>
    <row r="4969">
      <c r="O4969" s="23" t="n"/>
      <c r="R4969" s="24" t="n"/>
      <c r="S4969" s="24" t="n"/>
      <c r="Y4969" s="24" t="n"/>
    </row>
    <row r="4970">
      <c r="O4970" s="23" t="n"/>
      <c r="R4970" s="24" t="n"/>
      <c r="S4970" s="24" t="n"/>
      <c r="Y4970" s="24" t="n"/>
    </row>
    <row r="4971">
      <c r="O4971" s="23" t="n"/>
      <c r="R4971" s="24" t="n"/>
      <c r="S4971" s="24" t="n"/>
      <c r="Y4971" s="24" t="n"/>
    </row>
    <row r="4972">
      <c r="O4972" s="23" t="n"/>
      <c r="R4972" s="24" t="n"/>
      <c r="S4972" s="24" t="n"/>
      <c r="Y4972" s="24" t="n"/>
    </row>
    <row r="4973">
      <c r="O4973" s="23" t="n"/>
      <c r="R4973" s="24" t="n"/>
      <c r="S4973" s="24" t="n"/>
      <c r="Y4973" s="24" t="n"/>
    </row>
    <row r="4974">
      <c r="O4974" s="23" t="n"/>
      <c r="R4974" s="24" t="n"/>
      <c r="S4974" s="24" t="n"/>
      <c r="Y4974" s="24" t="n"/>
    </row>
    <row r="4975">
      <c r="O4975" s="23" t="n"/>
      <c r="R4975" s="24" t="n"/>
      <c r="S4975" s="24" t="n"/>
      <c r="Y4975" s="24" t="n"/>
    </row>
    <row r="4976">
      <c r="O4976" s="23" t="n"/>
      <c r="R4976" s="24" t="n"/>
      <c r="S4976" s="24" t="n"/>
      <c r="Y4976" s="24" t="n"/>
    </row>
    <row r="4977">
      <c r="O4977" s="23" t="n"/>
      <c r="R4977" s="24" t="n"/>
      <c r="S4977" s="24" t="n"/>
      <c r="Y4977" s="24" t="n"/>
    </row>
    <row r="4978">
      <c r="O4978" s="23" t="n"/>
      <c r="R4978" s="24" t="n"/>
      <c r="S4978" s="24" t="n"/>
      <c r="Y4978" s="24" t="n"/>
    </row>
    <row r="4979">
      <c r="O4979" s="23" t="n"/>
      <c r="R4979" s="24" t="n"/>
      <c r="S4979" s="24" t="n"/>
      <c r="Y4979" s="24" t="n"/>
    </row>
    <row r="4980">
      <c r="O4980" s="23" t="n"/>
      <c r="R4980" s="24" t="n"/>
      <c r="S4980" s="24" t="n"/>
      <c r="Y4980" s="24" t="n"/>
    </row>
    <row r="4981">
      <c r="O4981" s="23" t="n"/>
      <c r="R4981" s="24" t="n"/>
      <c r="S4981" s="24" t="n"/>
      <c r="Y4981" s="24" t="n"/>
    </row>
    <row r="4982">
      <c r="O4982" s="23" t="n"/>
      <c r="R4982" s="24" t="n"/>
      <c r="S4982" s="24" t="n"/>
      <c r="Y4982" s="24" t="n"/>
    </row>
    <row r="4983">
      <c r="O4983" s="23" t="n"/>
      <c r="R4983" s="24" t="n"/>
      <c r="S4983" s="24" t="n"/>
      <c r="Y4983" s="24" t="n"/>
    </row>
    <row r="4984">
      <c r="O4984" s="23" t="n"/>
      <c r="R4984" s="24" t="n"/>
      <c r="S4984" s="24" t="n"/>
      <c r="Y4984" s="24" t="n"/>
    </row>
    <row r="4985">
      <c r="O4985" s="23" t="n"/>
      <c r="R4985" s="24" t="n"/>
      <c r="S4985" s="24" t="n"/>
      <c r="Y4985" s="24" t="n"/>
    </row>
    <row r="4986">
      <c r="O4986" s="23" t="n"/>
      <c r="R4986" s="24" t="n"/>
      <c r="S4986" s="24" t="n"/>
      <c r="Y4986" s="24" t="n"/>
    </row>
    <row r="4987">
      <c r="O4987" s="23" t="n"/>
      <c r="R4987" s="24" t="n"/>
      <c r="S4987" s="24" t="n"/>
      <c r="Y4987" s="24" t="n"/>
    </row>
    <row r="4988">
      <c r="O4988" s="23" t="n"/>
      <c r="R4988" s="24" t="n"/>
      <c r="S4988" s="24" t="n"/>
      <c r="Y4988" s="24" t="n"/>
    </row>
    <row r="4989">
      <c r="O4989" s="23" t="n"/>
      <c r="R4989" s="24" t="n"/>
      <c r="S4989" s="24" t="n"/>
      <c r="Y4989" s="24" t="n"/>
    </row>
    <row r="4990">
      <c r="O4990" s="23" t="n"/>
      <c r="R4990" s="24" t="n"/>
      <c r="S4990" s="24" t="n"/>
      <c r="Y4990" s="24" t="n"/>
    </row>
    <row r="4991">
      <c r="O4991" s="23" t="n"/>
      <c r="R4991" s="24" t="n"/>
      <c r="S4991" s="24" t="n"/>
      <c r="Y4991" s="24" t="n"/>
    </row>
    <row r="4992">
      <c r="O4992" s="23" t="n"/>
      <c r="R4992" s="24" t="n"/>
      <c r="S4992" s="24" t="n"/>
      <c r="Y4992" s="24" t="n"/>
    </row>
    <row r="4993">
      <c r="O4993" s="23" t="n"/>
      <c r="R4993" s="24" t="n"/>
      <c r="S4993" s="24" t="n"/>
      <c r="Y4993" s="24" t="n"/>
    </row>
    <row r="4994">
      <c r="O4994" s="23" t="n"/>
      <c r="R4994" s="24" t="n"/>
      <c r="S4994" s="24" t="n"/>
      <c r="Y4994" s="24" t="n"/>
    </row>
    <row r="4995">
      <c r="O4995" s="23" t="n"/>
      <c r="R4995" s="24" t="n"/>
      <c r="S4995" s="24" t="n"/>
      <c r="Y4995" s="24" t="n"/>
    </row>
    <row r="4996">
      <c r="O4996" s="23" t="n"/>
      <c r="R4996" s="24" t="n"/>
      <c r="S4996" s="24" t="n"/>
      <c r="Y4996" s="24" t="n"/>
    </row>
    <row r="4997">
      <c r="O4997" s="23" t="n"/>
      <c r="R4997" s="24" t="n"/>
      <c r="S4997" s="24" t="n"/>
      <c r="Y4997" s="24" t="n"/>
    </row>
    <row r="4998">
      <c r="O4998" s="23" t="n"/>
      <c r="R4998" s="24" t="n"/>
      <c r="S4998" s="24" t="n"/>
      <c r="Y4998" s="24" t="n"/>
    </row>
    <row r="4999">
      <c r="O4999" s="23" t="n"/>
      <c r="R4999" s="24" t="n"/>
      <c r="S4999" s="24" t="n"/>
      <c r="Y4999" s="24" t="n"/>
    </row>
    <row r="5000">
      <c r="O5000" s="23" t="n"/>
      <c r="R5000" s="24" t="n"/>
      <c r="S5000" s="24" t="n"/>
      <c r="Y5000" s="24" t="n"/>
    </row>
    <row r="5001">
      <c r="O5001" s="23" t="n"/>
      <c r="R5001" s="24" t="n"/>
      <c r="S5001" s="24" t="n"/>
      <c r="Y5001" s="24" t="n"/>
    </row>
    <row r="5002">
      <c r="O5002" s="23" t="n"/>
      <c r="R5002" s="24" t="n"/>
      <c r="S5002" s="24" t="n"/>
      <c r="Y5002" s="24" t="n"/>
    </row>
    <row r="5003">
      <c r="O5003" s="23" t="n"/>
      <c r="R5003" s="24" t="n"/>
      <c r="S5003" s="24" t="n"/>
      <c r="Y5003" s="24" t="n"/>
    </row>
    <row r="5004">
      <c r="O5004" s="23" t="n"/>
      <c r="R5004" s="24" t="n"/>
      <c r="S5004" s="24" t="n"/>
      <c r="Y5004" s="24" t="n"/>
    </row>
  </sheetData>
  <mergeCells count="2">
    <mergeCell ref="B3:Y3"/>
    <mergeCell ref="B2:Y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8496B0"/>
    <outlinePr summaryBelow="1" summaryRight="1"/>
    <pageSetUpPr fitToPage="1"/>
  </sheetPr>
  <dimension ref="B2:Y50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10" customWidth="1" min="4" max="4"/>
    <col width="20" customWidth="1" min="5" max="5"/>
    <col width="13" customWidth="1" min="6" max="6"/>
    <col width="24" customWidth="1" min="7" max="7"/>
    <col width="22" customWidth="1" min="8" max="8"/>
    <col width="14" customWidth="1" min="9" max="9"/>
    <col width="10" customWidth="1" min="10" max="10"/>
    <col width="9" customWidth="1" min="11" max="11"/>
    <col width="15" customWidth="1" min="12" max="12"/>
    <col width="17" customWidth="1" min="13" max="13"/>
    <col width="10" customWidth="1" min="14" max="14"/>
    <col width="14" customWidth="1" min="15" max="15"/>
    <col width="12" customWidth="1" min="16" max="16"/>
    <col width="8" customWidth="1" min="17" max="17"/>
    <col width="13" customWidth="1" min="18" max="18"/>
    <col width="13" customWidth="1" min="19" max="19"/>
    <col width="9" customWidth="1" min="20" max="20"/>
    <col width="18" customWidth="1" min="21" max="21"/>
    <col width="16" customWidth="1" min="22" max="22"/>
    <col width="9" customWidth="1" min="23" max="23"/>
    <col width="10" customWidth="1" min="24" max="24"/>
    <col width="13" customWidth="1" min="25" max="25"/>
  </cols>
  <sheetData>
    <row r="1" ht="15" customHeight="1"/>
    <row r="2" ht="32" customHeight="1">
      <c r="B2" s="1" t="inlineStr">
        <is>
          <t>Data_Leavers  (paste Leaver history here)</t>
        </is>
      </c>
    </row>
    <row r="3" ht="26" customHeight="1">
      <c r="B3" s="11" t="inlineStr">
        <is>
          <t>Copy all historical leavers from your '1.1 Leavers' sheet - headers at B4, or data only at B5. This sheet may stay empty if all leavers are already included in Data_Profile.</t>
        </is>
      </c>
    </row>
    <row r="4" ht="28" customHeight="1">
      <c r="B4" s="12" t="inlineStr">
        <is>
          <t>StaffID</t>
        </is>
      </c>
      <c r="C4" s="12" t="inlineStr">
        <is>
          <t>1BankID</t>
        </is>
      </c>
      <c r="D4" s="12" t="inlineStr">
        <is>
          <t>Status</t>
        </is>
      </c>
      <c r="E4" s="12" t="inlineStr">
        <is>
          <t>Full Name</t>
        </is>
      </c>
      <c r="F4" s="12" t="inlineStr">
        <is>
          <t>Chinese Name</t>
        </is>
      </c>
      <c r="G4" s="12" t="inlineStr">
        <is>
          <t>Platform working on (currently</t>
        </is>
      </c>
      <c r="H4" s="12" t="inlineStr">
        <is>
          <t>Squad working on (currently</t>
        </is>
      </c>
      <c r="I4" s="12" t="inlineStr">
        <is>
          <t>Vendor</t>
        </is>
      </c>
      <c r="J4" s="12" t="inlineStr">
        <is>
          <t>Type</t>
        </is>
      </c>
      <c r="K4" s="12" t="inlineStr">
        <is>
          <t>Level</t>
        </is>
      </c>
      <c r="L4" s="12" t="inlineStr">
        <is>
          <t>JF with function</t>
        </is>
      </c>
      <c r="M4" s="12" t="inlineStr">
        <is>
          <t>Job function</t>
        </is>
      </c>
      <c r="N4" s="12" t="inlineStr">
        <is>
          <t>Gender</t>
        </is>
      </c>
      <c r="O4" s="12" t="inlineStr">
        <is>
          <t>Perm / PC / MS</t>
        </is>
      </c>
      <c r="P4" s="12" t="inlineStr">
        <is>
          <t>Role</t>
        </is>
      </c>
      <c r="Q4" s="12" t="inlineStr">
        <is>
          <t>Tenure</t>
        </is>
      </c>
      <c r="R4" s="12" t="inlineStr">
        <is>
          <t>Staff start date</t>
        </is>
      </c>
      <c r="S4" s="12" t="inlineStr">
        <is>
          <t>Contract end date</t>
        </is>
      </c>
      <c r="T4" s="12" t="inlineStr">
        <is>
          <t>IBG/FRT</t>
        </is>
      </c>
      <c r="U4" s="12" t="inlineStr">
        <is>
          <t>Reporting manager.</t>
        </is>
      </c>
      <c r="V4" s="12" t="inlineStr">
        <is>
          <t>PLATFORM (Billing)</t>
        </is>
      </c>
      <c r="W4" s="12" t="inlineStr">
        <is>
          <t>PC code</t>
        </is>
      </c>
      <c r="X4" s="12" t="inlineStr">
        <is>
          <t>Dept CODE</t>
        </is>
      </c>
      <c r="Y4" s="12" t="inlineStr">
        <is>
          <t>Last workday.</t>
        </is>
      </c>
    </row>
    <row r="5" ht="22" customHeight="1">
      <c r="B5" s="19" t="inlineStr">
        <is>
          <t>E0007</t>
        </is>
      </c>
      <c r="C5" s="19" t="inlineStr">
        <is>
          <t>1B0007</t>
        </is>
      </c>
      <c r="D5" s="19" t="inlineStr">
        <is>
          <t>Inactive</t>
        </is>
      </c>
      <c r="E5" s="19" t="inlineStr">
        <is>
          <t>Yang Fan</t>
        </is>
      </c>
      <c r="F5" s="19" t="inlineStr">
        <is>
          <t>杨帆</t>
        </is>
      </c>
      <c r="G5" s="19" t="inlineStr">
        <is>
          <t>IBGT</t>
        </is>
      </c>
      <c r="H5" s="19" t="inlineStr">
        <is>
          <t>Design</t>
        </is>
      </c>
      <c r="I5" s="19" t="inlineStr">
        <is>
          <t>VendorA</t>
        </is>
      </c>
      <c r="J5" s="19" t="n"/>
      <c r="K5" s="19" t="inlineStr">
        <is>
          <t>L3</t>
        </is>
      </c>
      <c r="L5" s="19" t="inlineStr">
        <is>
          <t>Y</t>
        </is>
      </c>
      <c r="M5" s="19" t="inlineStr">
        <is>
          <t>Engineer</t>
        </is>
      </c>
      <c r="N5" s="19" t="inlineStr">
        <is>
          <t>M</t>
        </is>
      </c>
      <c r="O5" s="13" t="inlineStr">
        <is>
          <t>Perm</t>
        </is>
      </c>
      <c r="P5" s="19" t="inlineStr">
        <is>
          <t>Engineer</t>
        </is>
      </c>
      <c r="Q5" s="19" t="n"/>
      <c r="R5" s="20" t="n">
        <v>45453</v>
      </c>
      <c r="S5" s="20" t="n"/>
      <c r="T5" s="19" t="inlineStr">
        <is>
          <t>IBG</t>
        </is>
      </c>
      <c r="U5" s="19" t="inlineStr">
        <is>
          <t>M01</t>
        </is>
      </c>
      <c r="V5" s="19" t="inlineStr">
        <is>
          <t>IBGT</t>
        </is>
      </c>
      <c r="W5" s="19" t="inlineStr">
        <is>
          <t>PC01</t>
        </is>
      </c>
      <c r="X5" s="19" t="inlineStr">
        <is>
          <t>D01</t>
        </is>
      </c>
      <c r="Y5" s="20" t="n">
        <v>45838</v>
      </c>
    </row>
    <row r="6" ht="22" customHeight="1">
      <c r="B6" s="21" t="inlineStr">
        <is>
          <t>E9001</t>
        </is>
      </c>
      <c r="C6" s="21" t="inlineStr">
        <is>
          <t>1B9001</t>
        </is>
      </c>
      <c r="D6" s="21" t="inlineStr">
        <is>
          <t>Inactive</t>
        </is>
      </c>
      <c r="E6" s="21" t="inlineStr">
        <is>
          <t>Gao Yuan</t>
        </is>
      </c>
      <c r="F6" s="21" t="inlineStr">
        <is>
          <t>高远</t>
        </is>
      </c>
      <c r="G6" s="21" t="inlineStr">
        <is>
          <t>IBGT</t>
        </is>
      </c>
      <c r="H6" s="21" t="inlineStr">
        <is>
          <t>Qual</t>
        </is>
      </c>
      <c r="I6" s="21" t="inlineStr">
        <is>
          <t>VendorC</t>
        </is>
      </c>
      <c r="J6" s="21" t="n"/>
      <c r="K6" s="21" t="inlineStr">
        <is>
          <t>L2</t>
        </is>
      </c>
      <c r="L6" s="21" t="inlineStr">
        <is>
          <t>N</t>
        </is>
      </c>
      <c r="M6" s="21" t="inlineStr">
        <is>
          <t>Engineer</t>
        </is>
      </c>
      <c r="N6" s="21" t="inlineStr">
        <is>
          <t>M</t>
        </is>
      </c>
      <c r="O6" s="15" t="inlineStr">
        <is>
          <t>MS</t>
        </is>
      </c>
      <c r="P6" s="21" t="inlineStr">
        <is>
          <t>Engineer</t>
        </is>
      </c>
      <c r="Q6" s="21" t="n"/>
      <c r="R6" s="22" t="n">
        <v>45323</v>
      </c>
      <c r="S6" s="22" t="n"/>
      <c r="T6" s="21" t="inlineStr">
        <is>
          <t>IBG</t>
        </is>
      </c>
      <c r="U6" s="21" t="inlineStr">
        <is>
          <t>M01</t>
        </is>
      </c>
      <c r="V6" s="21" t="inlineStr">
        <is>
          <t>IBGT</t>
        </is>
      </c>
      <c r="W6" s="21" t="inlineStr">
        <is>
          <t>PC01</t>
        </is>
      </c>
      <c r="X6" s="21" t="inlineStr">
        <is>
          <t>D01</t>
        </is>
      </c>
      <c r="Y6" s="22" t="n">
        <v>45672</v>
      </c>
    </row>
    <row r="7" ht="22" customHeight="1">
      <c r="B7" s="19" t="inlineStr">
        <is>
          <t>E9002</t>
        </is>
      </c>
      <c r="C7" s="19" t="inlineStr">
        <is>
          <t>1B9002</t>
        </is>
      </c>
      <c r="D7" s="19" t="inlineStr">
        <is>
          <t>Inactive</t>
        </is>
      </c>
      <c r="E7" s="19" t="inlineStr">
        <is>
          <t>Tian Yu</t>
        </is>
      </c>
      <c r="F7" s="19" t="inlineStr">
        <is>
          <t>田雨</t>
        </is>
      </c>
      <c r="G7" s="19" t="inlineStr">
        <is>
          <t>IBGT</t>
        </is>
      </c>
      <c r="H7" s="19" t="inlineStr">
        <is>
          <t>Test</t>
        </is>
      </c>
      <c r="I7" s="19" t="inlineStr">
        <is>
          <t>VendorB</t>
        </is>
      </c>
      <c r="J7" s="19" t="n"/>
      <c r="K7" s="19" t="inlineStr">
        <is>
          <t>L2</t>
        </is>
      </c>
      <c r="L7" s="19" t="inlineStr">
        <is>
          <t>Y</t>
        </is>
      </c>
      <c r="M7" s="19" t="inlineStr">
        <is>
          <t>Engineer</t>
        </is>
      </c>
      <c r="N7" s="19" t="inlineStr">
        <is>
          <t>F</t>
        </is>
      </c>
      <c r="O7" s="13" t="inlineStr">
        <is>
          <t>perm</t>
        </is>
      </c>
      <c r="P7" s="19" t="inlineStr">
        <is>
          <t>Engineer</t>
        </is>
      </c>
      <c r="Q7" s="19" t="n"/>
      <c r="R7" s="20" t="n">
        <v>45691</v>
      </c>
      <c r="S7" s="20" t="n"/>
      <c r="T7" s="19" t="inlineStr">
        <is>
          <t>IBG</t>
        </is>
      </c>
      <c r="U7" s="19" t="inlineStr">
        <is>
          <t>M01</t>
        </is>
      </c>
      <c r="V7" s="19" t="inlineStr">
        <is>
          <t>IBGT</t>
        </is>
      </c>
      <c r="W7" s="19" t="inlineStr">
        <is>
          <t>PC01</t>
        </is>
      </c>
      <c r="X7" s="19" t="inlineStr">
        <is>
          <t>D01</t>
        </is>
      </c>
      <c r="Y7" s="20" t="n">
        <v>45954</v>
      </c>
    </row>
    <row r="8" ht="22" customHeight="1">
      <c r="B8" s="21" t="inlineStr">
        <is>
          <t>E9003</t>
        </is>
      </c>
      <c r="C8" s="21" t="inlineStr">
        <is>
          <t>1B9003</t>
        </is>
      </c>
      <c r="D8" s="21" t="inlineStr">
        <is>
          <t>Inactive</t>
        </is>
      </c>
      <c r="E8" s="21" t="inlineStr">
        <is>
          <t>Qin Lan</t>
        </is>
      </c>
      <c r="F8" s="21" t="inlineStr">
        <is>
          <t>秦岚</t>
        </is>
      </c>
      <c r="G8" s="21" t="inlineStr">
        <is>
          <t>IBGT</t>
        </is>
      </c>
      <c r="H8" s="21" t="inlineStr">
        <is>
          <t>Design</t>
        </is>
      </c>
      <c r="I8" s="21" t="inlineStr">
        <is>
          <t>VendorA</t>
        </is>
      </c>
      <c r="J8" s="21" t="n"/>
      <c r="K8" s="21" t="inlineStr">
        <is>
          <t>L3</t>
        </is>
      </c>
      <c r="L8" s="21" t="inlineStr">
        <is>
          <t>Y</t>
        </is>
      </c>
      <c r="M8" s="21" t="inlineStr">
        <is>
          <t>Engineer</t>
        </is>
      </c>
      <c r="N8" s="21" t="inlineStr">
        <is>
          <t>F</t>
        </is>
      </c>
      <c r="O8" s="15" t="inlineStr">
        <is>
          <t xml:space="preserve">PC </t>
        </is>
      </c>
      <c r="P8" s="21" t="inlineStr">
        <is>
          <t>Engineer</t>
        </is>
      </c>
      <c r="Q8" s="21" t="n"/>
      <c r="R8" s="22" t="n">
        <v>45810</v>
      </c>
      <c r="S8" s="22" t="n"/>
      <c r="T8" s="21" t="inlineStr">
        <is>
          <t>IBG</t>
        </is>
      </c>
      <c r="U8" s="21" t="inlineStr">
        <is>
          <t>M01</t>
        </is>
      </c>
      <c r="V8" s="21" t="inlineStr">
        <is>
          <t>IBGT</t>
        </is>
      </c>
      <c r="W8" s="21" t="inlineStr">
        <is>
          <t>PC01</t>
        </is>
      </c>
      <c r="X8" s="21" t="inlineStr">
        <is>
          <t>D01</t>
        </is>
      </c>
      <c r="Y8" s="22" t="n">
        <v>46171</v>
      </c>
    </row>
    <row r="9" ht="22" customHeight="1"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3" t="n"/>
      <c r="P9" s="19" t="n"/>
      <c r="Q9" s="19" t="n"/>
      <c r="R9" s="20" t="n"/>
      <c r="S9" s="20" t="n"/>
      <c r="T9" s="19" t="n"/>
      <c r="U9" s="19" t="n"/>
      <c r="V9" s="19" t="n"/>
      <c r="W9" s="19" t="n"/>
      <c r="X9" s="19" t="n"/>
      <c r="Y9" s="20" t="n"/>
    </row>
    <row r="10" ht="22" customHeight="1"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15" t="n"/>
      <c r="P10" s="21" t="n"/>
      <c r="Q10" s="21" t="n"/>
      <c r="R10" s="22" t="n"/>
      <c r="S10" s="22" t="n"/>
      <c r="T10" s="21" t="n"/>
      <c r="U10" s="21" t="n"/>
      <c r="V10" s="21" t="n"/>
      <c r="W10" s="21" t="n"/>
      <c r="X10" s="21" t="n"/>
      <c r="Y10" s="22" t="n"/>
    </row>
    <row r="11" ht="22" customHeight="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3" t="n"/>
      <c r="P11" s="19" t="n"/>
      <c r="Q11" s="19" t="n"/>
      <c r="R11" s="20" t="n"/>
      <c r="S11" s="20" t="n"/>
      <c r="T11" s="19" t="n"/>
      <c r="U11" s="19" t="n"/>
      <c r="V11" s="19" t="n"/>
      <c r="W11" s="19" t="n"/>
      <c r="X11" s="19" t="n"/>
      <c r="Y11" s="20" t="n"/>
    </row>
    <row r="12" ht="22" customHeight="1"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15" t="n"/>
      <c r="P12" s="21" t="n"/>
      <c r="Q12" s="21" t="n"/>
      <c r="R12" s="22" t="n"/>
      <c r="S12" s="22" t="n"/>
      <c r="T12" s="21" t="n"/>
      <c r="U12" s="21" t="n"/>
      <c r="V12" s="21" t="n"/>
      <c r="W12" s="21" t="n"/>
      <c r="X12" s="21" t="n"/>
      <c r="Y12" s="22" t="n"/>
    </row>
    <row r="13" ht="22" customHeight="1"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3" t="n"/>
      <c r="P13" s="19" t="n"/>
      <c r="Q13" s="19" t="n"/>
      <c r="R13" s="20" t="n"/>
      <c r="S13" s="20" t="n"/>
      <c r="T13" s="19" t="n"/>
      <c r="U13" s="19" t="n"/>
      <c r="V13" s="19" t="n"/>
      <c r="W13" s="19" t="n"/>
      <c r="X13" s="19" t="n"/>
      <c r="Y13" s="20" t="n"/>
    </row>
    <row r="14" ht="22" customHeight="1"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15" t="n"/>
      <c r="P14" s="21" t="n"/>
      <c r="Q14" s="21" t="n"/>
      <c r="R14" s="22" t="n"/>
      <c r="S14" s="22" t="n"/>
      <c r="T14" s="21" t="n"/>
      <c r="U14" s="21" t="n"/>
      <c r="V14" s="21" t="n"/>
      <c r="W14" s="21" t="n"/>
      <c r="X14" s="21" t="n"/>
      <c r="Y14" s="22" t="n"/>
    </row>
    <row r="15" ht="22" customHeight="1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3" t="n"/>
      <c r="P15" s="19" t="n"/>
      <c r="Q15" s="19" t="n"/>
      <c r="R15" s="20" t="n"/>
      <c r="S15" s="20" t="n"/>
      <c r="T15" s="19" t="n"/>
      <c r="U15" s="19" t="n"/>
      <c r="V15" s="19" t="n"/>
      <c r="W15" s="19" t="n"/>
      <c r="X15" s="19" t="n"/>
      <c r="Y15" s="20" t="n"/>
    </row>
    <row r="16" ht="22" customHeight="1"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15" t="n"/>
      <c r="P16" s="21" t="n"/>
      <c r="Q16" s="21" t="n"/>
      <c r="R16" s="22" t="n"/>
      <c r="S16" s="22" t="n"/>
      <c r="T16" s="21" t="n"/>
      <c r="U16" s="21" t="n"/>
      <c r="V16" s="21" t="n"/>
      <c r="W16" s="21" t="n"/>
      <c r="X16" s="21" t="n"/>
      <c r="Y16" s="22" t="n"/>
    </row>
    <row r="17" ht="22" customHeight="1"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3" t="n"/>
      <c r="P17" s="19" t="n"/>
      <c r="Q17" s="19" t="n"/>
      <c r="R17" s="20" t="n"/>
      <c r="S17" s="20" t="n"/>
      <c r="T17" s="19" t="n"/>
      <c r="U17" s="19" t="n"/>
      <c r="V17" s="19" t="n"/>
      <c r="W17" s="19" t="n"/>
      <c r="X17" s="19" t="n"/>
      <c r="Y17" s="20" t="n"/>
    </row>
    <row r="18" ht="22" customHeight="1"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15" t="n"/>
      <c r="P18" s="21" t="n"/>
      <c r="Q18" s="21" t="n"/>
      <c r="R18" s="22" t="n"/>
      <c r="S18" s="22" t="n"/>
      <c r="T18" s="21" t="n"/>
      <c r="U18" s="21" t="n"/>
      <c r="V18" s="21" t="n"/>
      <c r="W18" s="21" t="n"/>
      <c r="X18" s="21" t="n"/>
      <c r="Y18" s="22" t="n"/>
    </row>
    <row r="19" ht="22" customHeight="1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3" t="n"/>
      <c r="P19" s="19" t="n"/>
      <c r="Q19" s="19" t="n"/>
      <c r="R19" s="20" t="n"/>
      <c r="S19" s="20" t="n"/>
      <c r="T19" s="19" t="n"/>
      <c r="U19" s="19" t="n"/>
      <c r="V19" s="19" t="n"/>
      <c r="W19" s="19" t="n"/>
      <c r="X19" s="19" t="n"/>
      <c r="Y19" s="20" t="n"/>
    </row>
    <row r="20" ht="22" customHeight="1"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15" t="n"/>
      <c r="P20" s="21" t="n"/>
      <c r="Q20" s="21" t="n"/>
      <c r="R20" s="22" t="n"/>
      <c r="S20" s="22" t="n"/>
      <c r="T20" s="21" t="n"/>
      <c r="U20" s="21" t="n"/>
      <c r="V20" s="21" t="n"/>
      <c r="W20" s="21" t="n"/>
      <c r="X20" s="21" t="n"/>
      <c r="Y20" s="22" t="n"/>
    </row>
    <row r="21" ht="22" customHeight="1"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3" t="n"/>
      <c r="P21" s="19" t="n"/>
      <c r="Q21" s="19" t="n"/>
      <c r="R21" s="20" t="n"/>
      <c r="S21" s="20" t="n"/>
      <c r="T21" s="19" t="n"/>
      <c r="U21" s="19" t="n"/>
      <c r="V21" s="19" t="n"/>
      <c r="W21" s="19" t="n"/>
      <c r="X21" s="19" t="n"/>
      <c r="Y21" s="20" t="n"/>
    </row>
    <row r="22" ht="22" customHeight="1"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15" t="n"/>
      <c r="P22" s="21" t="n"/>
      <c r="Q22" s="21" t="n"/>
      <c r="R22" s="22" t="n"/>
      <c r="S22" s="22" t="n"/>
      <c r="T22" s="21" t="n"/>
      <c r="U22" s="21" t="n"/>
      <c r="V22" s="21" t="n"/>
      <c r="W22" s="21" t="n"/>
      <c r="X22" s="21" t="n"/>
      <c r="Y22" s="22" t="n"/>
    </row>
    <row r="23" ht="22" customHeight="1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3" t="n"/>
      <c r="P23" s="19" t="n"/>
      <c r="Q23" s="19" t="n"/>
      <c r="R23" s="20" t="n"/>
      <c r="S23" s="20" t="n"/>
      <c r="T23" s="19" t="n"/>
      <c r="U23" s="19" t="n"/>
      <c r="V23" s="19" t="n"/>
      <c r="W23" s="19" t="n"/>
      <c r="X23" s="19" t="n"/>
      <c r="Y23" s="20" t="n"/>
    </row>
    <row r="24" ht="22" customHeight="1"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15" t="n"/>
      <c r="P24" s="21" t="n"/>
      <c r="Q24" s="21" t="n"/>
      <c r="R24" s="22" t="n"/>
      <c r="S24" s="22" t="n"/>
      <c r="T24" s="21" t="n"/>
      <c r="U24" s="21" t="n"/>
      <c r="V24" s="21" t="n"/>
      <c r="W24" s="21" t="n"/>
      <c r="X24" s="21" t="n"/>
      <c r="Y24" s="22" t="n"/>
    </row>
    <row r="25" ht="22" customHeight="1"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3" t="n"/>
      <c r="P25" s="19" t="n"/>
      <c r="Q25" s="19" t="n"/>
      <c r="R25" s="20" t="n"/>
      <c r="S25" s="20" t="n"/>
      <c r="T25" s="19" t="n"/>
      <c r="U25" s="19" t="n"/>
      <c r="V25" s="19" t="n"/>
      <c r="W25" s="19" t="n"/>
      <c r="X25" s="19" t="n"/>
      <c r="Y25" s="20" t="n"/>
    </row>
    <row r="26" ht="22" customHeight="1"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15" t="n"/>
      <c r="P26" s="21" t="n"/>
      <c r="Q26" s="21" t="n"/>
      <c r="R26" s="22" t="n"/>
      <c r="S26" s="22" t="n"/>
      <c r="T26" s="21" t="n"/>
      <c r="U26" s="21" t="n"/>
      <c r="V26" s="21" t="n"/>
      <c r="W26" s="21" t="n"/>
      <c r="X26" s="21" t="n"/>
      <c r="Y26" s="22" t="n"/>
    </row>
    <row r="27" ht="22" customHeight="1"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3" t="n"/>
      <c r="P27" s="19" t="n"/>
      <c r="Q27" s="19" t="n"/>
      <c r="R27" s="20" t="n"/>
      <c r="S27" s="20" t="n"/>
      <c r="T27" s="19" t="n"/>
      <c r="U27" s="19" t="n"/>
      <c r="V27" s="19" t="n"/>
      <c r="W27" s="19" t="n"/>
      <c r="X27" s="19" t="n"/>
      <c r="Y27" s="20" t="n"/>
    </row>
    <row r="28" ht="22" customHeight="1"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15" t="n"/>
      <c r="P28" s="21" t="n"/>
      <c r="Q28" s="21" t="n"/>
      <c r="R28" s="22" t="n"/>
      <c r="S28" s="22" t="n"/>
      <c r="T28" s="21" t="n"/>
      <c r="U28" s="21" t="n"/>
      <c r="V28" s="21" t="n"/>
      <c r="W28" s="21" t="n"/>
      <c r="X28" s="21" t="n"/>
      <c r="Y28" s="22" t="n"/>
    </row>
    <row r="29" ht="22" customHeight="1"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3" t="n"/>
      <c r="P29" s="19" t="n"/>
      <c r="Q29" s="19" t="n"/>
      <c r="R29" s="20" t="n"/>
      <c r="S29" s="20" t="n"/>
      <c r="T29" s="19" t="n"/>
      <c r="U29" s="19" t="n"/>
      <c r="V29" s="19" t="n"/>
      <c r="W29" s="19" t="n"/>
      <c r="X29" s="19" t="n"/>
      <c r="Y29" s="20" t="n"/>
    </row>
    <row r="30" ht="22" customHeight="1"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15" t="n"/>
      <c r="P30" s="21" t="n"/>
      <c r="Q30" s="21" t="n"/>
      <c r="R30" s="22" t="n"/>
      <c r="S30" s="22" t="n"/>
      <c r="T30" s="21" t="n"/>
      <c r="U30" s="21" t="n"/>
      <c r="V30" s="21" t="n"/>
      <c r="W30" s="21" t="n"/>
      <c r="X30" s="21" t="n"/>
      <c r="Y30" s="22" t="n"/>
    </row>
    <row r="31" ht="22" customHeight="1"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3" t="n"/>
      <c r="P31" s="19" t="n"/>
      <c r="Q31" s="19" t="n"/>
      <c r="R31" s="20" t="n"/>
      <c r="S31" s="20" t="n"/>
      <c r="T31" s="19" t="n"/>
      <c r="U31" s="19" t="n"/>
      <c r="V31" s="19" t="n"/>
      <c r="W31" s="19" t="n"/>
      <c r="X31" s="19" t="n"/>
      <c r="Y31" s="20" t="n"/>
    </row>
    <row r="32" ht="22" customHeight="1"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15" t="n"/>
      <c r="P32" s="21" t="n"/>
      <c r="Q32" s="21" t="n"/>
      <c r="R32" s="22" t="n"/>
      <c r="S32" s="22" t="n"/>
      <c r="T32" s="21" t="n"/>
      <c r="U32" s="21" t="n"/>
      <c r="V32" s="21" t="n"/>
      <c r="W32" s="21" t="n"/>
      <c r="X32" s="21" t="n"/>
      <c r="Y32" s="22" t="n"/>
    </row>
    <row r="33" ht="22" customHeight="1"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3" t="n"/>
      <c r="P33" s="19" t="n"/>
      <c r="Q33" s="19" t="n"/>
      <c r="R33" s="20" t="n"/>
      <c r="S33" s="20" t="n"/>
      <c r="T33" s="19" t="n"/>
      <c r="U33" s="19" t="n"/>
      <c r="V33" s="19" t="n"/>
      <c r="W33" s="19" t="n"/>
      <c r="X33" s="19" t="n"/>
      <c r="Y33" s="20" t="n"/>
    </row>
    <row r="34" ht="22" customHeight="1"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15" t="n"/>
      <c r="P34" s="21" t="n"/>
      <c r="Q34" s="21" t="n"/>
      <c r="R34" s="22" t="n"/>
      <c r="S34" s="22" t="n"/>
      <c r="T34" s="21" t="n"/>
      <c r="U34" s="21" t="n"/>
      <c r="V34" s="21" t="n"/>
      <c r="W34" s="21" t="n"/>
      <c r="X34" s="21" t="n"/>
      <c r="Y34" s="22" t="n"/>
    </row>
    <row r="35" ht="22" customHeight="1"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3" t="n"/>
      <c r="P35" s="19" t="n"/>
      <c r="Q35" s="19" t="n"/>
      <c r="R35" s="20" t="n"/>
      <c r="S35" s="20" t="n"/>
      <c r="T35" s="19" t="n"/>
      <c r="U35" s="19" t="n"/>
      <c r="V35" s="19" t="n"/>
      <c r="W35" s="19" t="n"/>
      <c r="X35" s="19" t="n"/>
      <c r="Y35" s="20" t="n"/>
    </row>
    <row r="36" ht="22" customHeight="1"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15" t="n"/>
      <c r="P36" s="21" t="n"/>
      <c r="Q36" s="21" t="n"/>
      <c r="R36" s="22" t="n"/>
      <c r="S36" s="22" t="n"/>
      <c r="T36" s="21" t="n"/>
      <c r="U36" s="21" t="n"/>
      <c r="V36" s="21" t="n"/>
      <c r="W36" s="21" t="n"/>
      <c r="X36" s="21" t="n"/>
      <c r="Y36" s="22" t="n"/>
    </row>
    <row r="37" ht="22" customHeight="1"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3" t="n"/>
      <c r="P37" s="19" t="n"/>
      <c r="Q37" s="19" t="n"/>
      <c r="R37" s="20" t="n"/>
      <c r="S37" s="20" t="n"/>
      <c r="T37" s="19" t="n"/>
      <c r="U37" s="19" t="n"/>
      <c r="V37" s="19" t="n"/>
      <c r="W37" s="19" t="n"/>
      <c r="X37" s="19" t="n"/>
      <c r="Y37" s="20" t="n"/>
    </row>
    <row r="38" ht="22" customHeight="1"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15" t="n"/>
      <c r="P38" s="21" t="n"/>
      <c r="Q38" s="21" t="n"/>
      <c r="R38" s="22" t="n"/>
      <c r="S38" s="22" t="n"/>
      <c r="T38" s="21" t="n"/>
      <c r="U38" s="21" t="n"/>
      <c r="V38" s="21" t="n"/>
      <c r="W38" s="21" t="n"/>
      <c r="X38" s="21" t="n"/>
      <c r="Y38" s="22" t="n"/>
    </row>
    <row r="39" ht="22" customHeight="1"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3" t="n"/>
      <c r="P39" s="19" t="n"/>
      <c r="Q39" s="19" t="n"/>
      <c r="R39" s="20" t="n"/>
      <c r="S39" s="20" t="n"/>
      <c r="T39" s="19" t="n"/>
      <c r="U39" s="19" t="n"/>
      <c r="V39" s="19" t="n"/>
      <c r="W39" s="19" t="n"/>
      <c r="X39" s="19" t="n"/>
      <c r="Y39" s="20" t="n"/>
    </row>
    <row r="40" ht="22" customHeight="1"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15" t="n"/>
      <c r="P40" s="21" t="n"/>
      <c r="Q40" s="21" t="n"/>
      <c r="R40" s="22" t="n"/>
      <c r="S40" s="22" t="n"/>
      <c r="T40" s="21" t="n"/>
      <c r="U40" s="21" t="n"/>
      <c r="V40" s="21" t="n"/>
      <c r="W40" s="21" t="n"/>
      <c r="X40" s="21" t="n"/>
      <c r="Y40" s="22" t="n"/>
    </row>
    <row r="41" ht="22" customHeight="1"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3" t="n"/>
      <c r="P41" s="19" t="n"/>
      <c r="Q41" s="19" t="n"/>
      <c r="R41" s="20" t="n"/>
      <c r="S41" s="20" t="n"/>
      <c r="T41" s="19" t="n"/>
      <c r="U41" s="19" t="n"/>
      <c r="V41" s="19" t="n"/>
      <c r="W41" s="19" t="n"/>
      <c r="X41" s="19" t="n"/>
      <c r="Y41" s="20" t="n"/>
    </row>
    <row r="42" ht="22" customHeight="1"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15" t="n"/>
      <c r="P42" s="21" t="n"/>
      <c r="Q42" s="21" t="n"/>
      <c r="R42" s="22" t="n"/>
      <c r="S42" s="22" t="n"/>
      <c r="T42" s="21" t="n"/>
      <c r="U42" s="21" t="n"/>
      <c r="V42" s="21" t="n"/>
      <c r="W42" s="21" t="n"/>
      <c r="X42" s="21" t="n"/>
      <c r="Y42" s="22" t="n"/>
    </row>
    <row r="43" ht="22" customHeight="1"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3" t="n"/>
      <c r="P43" s="19" t="n"/>
      <c r="Q43" s="19" t="n"/>
      <c r="R43" s="20" t="n"/>
      <c r="S43" s="20" t="n"/>
      <c r="T43" s="19" t="n"/>
      <c r="U43" s="19" t="n"/>
      <c r="V43" s="19" t="n"/>
      <c r="W43" s="19" t="n"/>
      <c r="X43" s="19" t="n"/>
      <c r="Y43" s="20" t="n"/>
    </row>
    <row r="44" ht="22" customHeight="1"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15" t="n"/>
      <c r="P44" s="21" t="n"/>
      <c r="Q44" s="21" t="n"/>
      <c r="R44" s="22" t="n"/>
      <c r="S44" s="22" t="n"/>
      <c r="T44" s="21" t="n"/>
      <c r="U44" s="21" t="n"/>
      <c r="V44" s="21" t="n"/>
      <c r="W44" s="21" t="n"/>
      <c r="X44" s="21" t="n"/>
      <c r="Y44" s="22" t="n"/>
    </row>
    <row r="45" ht="22" customHeight="1"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3" t="n"/>
      <c r="P45" s="19" t="n"/>
      <c r="Q45" s="19" t="n"/>
      <c r="R45" s="20" t="n"/>
      <c r="S45" s="20" t="n"/>
      <c r="T45" s="19" t="n"/>
      <c r="U45" s="19" t="n"/>
      <c r="V45" s="19" t="n"/>
      <c r="W45" s="19" t="n"/>
      <c r="X45" s="19" t="n"/>
      <c r="Y45" s="20" t="n"/>
    </row>
    <row r="46" ht="22" customHeight="1"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15" t="n"/>
      <c r="P46" s="21" t="n"/>
      <c r="Q46" s="21" t="n"/>
      <c r="R46" s="22" t="n"/>
      <c r="S46" s="22" t="n"/>
      <c r="T46" s="21" t="n"/>
      <c r="U46" s="21" t="n"/>
      <c r="V46" s="21" t="n"/>
      <c r="W46" s="21" t="n"/>
      <c r="X46" s="21" t="n"/>
      <c r="Y46" s="22" t="n"/>
    </row>
    <row r="47" ht="22" customHeight="1"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3" t="n"/>
      <c r="P47" s="19" t="n"/>
      <c r="Q47" s="19" t="n"/>
      <c r="R47" s="20" t="n"/>
      <c r="S47" s="20" t="n"/>
      <c r="T47" s="19" t="n"/>
      <c r="U47" s="19" t="n"/>
      <c r="V47" s="19" t="n"/>
      <c r="W47" s="19" t="n"/>
      <c r="X47" s="19" t="n"/>
      <c r="Y47" s="20" t="n"/>
    </row>
    <row r="48" ht="22" customHeight="1"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15" t="n"/>
      <c r="P48" s="21" t="n"/>
      <c r="Q48" s="21" t="n"/>
      <c r="R48" s="22" t="n"/>
      <c r="S48" s="22" t="n"/>
      <c r="T48" s="21" t="n"/>
      <c r="U48" s="21" t="n"/>
      <c r="V48" s="21" t="n"/>
      <c r="W48" s="21" t="n"/>
      <c r="X48" s="21" t="n"/>
      <c r="Y48" s="22" t="n"/>
    </row>
    <row r="49" ht="22" customHeight="1"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3" t="n"/>
      <c r="P49" s="19" t="n"/>
      <c r="Q49" s="19" t="n"/>
      <c r="R49" s="20" t="n"/>
      <c r="S49" s="20" t="n"/>
      <c r="T49" s="19" t="n"/>
      <c r="U49" s="19" t="n"/>
      <c r="V49" s="19" t="n"/>
      <c r="W49" s="19" t="n"/>
      <c r="X49" s="19" t="n"/>
      <c r="Y49" s="20" t="n"/>
    </row>
    <row r="50" ht="22" customHeight="1"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15" t="n"/>
      <c r="P50" s="21" t="n"/>
      <c r="Q50" s="21" t="n"/>
      <c r="R50" s="22" t="n"/>
      <c r="S50" s="22" t="n"/>
      <c r="T50" s="21" t="n"/>
      <c r="U50" s="21" t="n"/>
      <c r="V50" s="21" t="n"/>
      <c r="W50" s="21" t="n"/>
      <c r="X50" s="21" t="n"/>
      <c r="Y50" s="22" t="n"/>
    </row>
    <row r="51" ht="22" customHeight="1"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3" t="n"/>
      <c r="P51" s="19" t="n"/>
      <c r="Q51" s="19" t="n"/>
      <c r="R51" s="20" t="n"/>
      <c r="S51" s="20" t="n"/>
      <c r="T51" s="19" t="n"/>
      <c r="U51" s="19" t="n"/>
      <c r="V51" s="19" t="n"/>
      <c r="W51" s="19" t="n"/>
      <c r="X51" s="19" t="n"/>
      <c r="Y51" s="20" t="n"/>
    </row>
    <row r="52" ht="22" customHeight="1"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15" t="n"/>
      <c r="P52" s="21" t="n"/>
      <c r="Q52" s="21" t="n"/>
      <c r="R52" s="22" t="n"/>
      <c r="S52" s="22" t="n"/>
      <c r="T52" s="21" t="n"/>
      <c r="U52" s="21" t="n"/>
      <c r="V52" s="21" t="n"/>
      <c r="W52" s="21" t="n"/>
      <c r="X52" s="21" t="n"/>
      <c r="Y52" s="22" t="n"/>
    </row>
    <row r="53" ht="22" customHeight="1"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3" t="n"/>
      <c r="P53" s="19" t="n"/>
      <c r="Q53" s="19" t="n"/>
      <c r="R53" s="20" t="n"/>
      <c r="S53" s="20" t="n"/>
      <c r="T53" s="19" t="n"/>
      <c r="U53" s="19" t="n"/>
      <c r="V53" s="19" t="n"/>
      <c r="W53" s="19" t="n"/>
      <c r="X53" s="19" t="n"/>
      <c r="Y53" s="20" t="n"/>
    </row>
    <row r="54" ht="22" customHeight="1"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15" t="n"/>
      <c r="P54" s="21" t="n"/>
      <c r="Q54" s="21" t="n"/>
      <c r="R54" s="22" t="n"/>
      <c r="S54" s="22" t="n"/>
      <c r="T54" s="21" t="n"/>
      <c r="U54" s="21" t="n"/>
      <c r="V54" s="21" t="n"/>
      <c r="W54" s="21" t="n"/>
      <c r="X54" s="21" t="n"/>
      <c r="Y54" s="22" t="n"/>
    </row>
    <row r="55" ht="22" customHeight="1"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3" t="n"/>
      <c r="P55" s="19" t="n"/>
      <c r="Q55" s="19" t="n"/>
      <c r="R55" s="20" t="n"/>
      <c r="S55" s="20" t="n"/>
      <c r="T55" s="19" t="n"/>
      <c r="U55" s="19" t="n"/>
      <c r="V55" s="19" t="n"/>
      <c r="W55" s="19" t="n"/>
      <c r="X55" s="19" t="n"/>
      <c r="Y55" s="20" t="n"/>
    </row>
    <row r="56" ht="22" customHeight="1"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15" t="n"/>
      <c r="P56" s="21" t="n"/>
      <c r="Q56" s="21" t="n"/>
      <c r="R56" s="22" t="n"/>
      <c r="S56" s="22" t="n"/>
      <c r="T56" s="21" t="n"/>
      <c r="U56" s="21" t="n"/>
      <c r="V56" s="21" t="n"/>
      <c r="W56" s="21" t="n"/>
      <c r="X56" s="21" t="n"/>
      <c r="Y56" s="22" t="n"/>
    </row>
    <row r="57" ht="22" customHeight="1"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3" t="n"/>
      <c r="P57" s="19" t="n"/>
      <c r="Q57" s="19" t="n"/>
      <c r="R57" s="20" t="n"/>
      <c r="S57" s="20" t="n"/>
      <c r="T57" s="19" t="n"/>
      <c r="U57" s="19" t="n"/>
      <c r="V57" s="19" t="n"/>
      <c r="W57" s="19" t="n"/>
      <c r="X57" s="19" t="n"/>
      <c r="Y57" s="20" t="n"/>
    </row>
    <row r="58" ht="22" customHeight="1"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15" t="n"/>
      <c r="P58" s="21" t="n"/>
      <c r="Q58" s="21" t="n"/>
      <c r="R58" s="22" t="n"/>
      <c r="S58" s="22" t="n"/>
      <c r="T58" s="21" t="n"/>
      <c r="U58" s="21" t="n"/>
      <c r="V58" s="21" t="n"/>
      <c r="W58" s="21" t="n"/>
      <c r="X58" s="21" t="n"/>
      <c r="Y58" s="22" t="n"/>
    </row>
    <row r="59" ht="22" customHeight="1"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3" t="n"/>
      <c r="P59" s="19" t="n"/>
      <c r="Q59" s="19" t="n"/>
      <c r="R59" s="20" t="n"/>
      <c r="S59" s="20" t="n"/>
      <c r="T59" s="19" t="n"/>
      <c r="U59" s="19" t="n"/>
      <c r="V59" s="19" t="n"/>
      <c r="W59" s="19" t="n"/>
      <c r="X59" s="19" t="n"/>
      <c r="Y59" s="20" t="n"/>
    </row>
    <row r="60" ht="22" customHeight="1"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15" t="n"/>
      <c r="P60" s="21" t="n"/>
      <c r="Q60" s="21" t="n"/>
      <c r="R60" s="22" t="n"/>
      <c r="S60" s="22" t="n"/>
      <c r="T60" s="21" t="n"/>
      <c r="U60" s="21" t="n"/>
      <c r="V60" s="21" t="n"/>
      <c r="W60" s="21" t="n"/>
      <c r="X60" s="21" t="n"/>
      <c r="Y60" s="22" t="n"/>
    </row>
    <row r="61" ht="22" customHeight="1"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3" t="n"/>
      <c r="P61" s="19" t="n"/>
      <c r="Q61" s="19" t="n"/>
      <c r="R61" s="20" t="n"/>
      <c r="S61" s="20" t="n"/>
      <c r="T61" s="19" t="n"/>
      <c r="U61" s="19" t="n"/>
      <c r="V61" s="19" t="n"/>
      <c r="W61" s="19" t="n"/>
      <c r="X61" s="19" t="n"/>
      <c r="Y61" s="20" t="n"/>
    </row>
    <row r="62" ht="22" customHeight="1"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15" t="n"/>
      <c r="P62" s="21" t="n"/>
      <c r="Q62" s="21" t="n"/>
      <c r="R62" s="22" t="n"/>
      <c r="S62" s="22" t="n"/>
      <c r="T62" s="21" t="n"/>
      <c r="U62" s="21" t="n"/>
      <c r="V62" s="21" t="n"/>
      <c r="W62" s="21" t="n"/>
      <c r="X62" s="21" t="n"/>
      <c r="Y62" s="22" t="n"/>
    </row>
    <row r="63" ht="22" customHeight="1"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3" t="n"/>
      <c r="P63" s="19" t="n"/>
      <c r="Q63" s="19" t="n"/>
      <c r="R63" s="20" t="n"/>
      <c r="S63" s="20" t="n"/>
      <c r="T63" s="19" t="n"/>
      <c r="U63" s="19" t="n"/>
      <c r="V63" s="19" t="n"/>
      <c r="W63" s="19" t="n"/>
      <c r="X63" s="19" t="n"/>
      <c r="Y63" s="20" t="n"/>
    </row>
    <row r="64" ht="22" customHeight="1"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15" t="n"/>
      <c r="P64" s="21" t="n"/>
      <c r="Q64" s="21" t="n"/>
      <c r="R64" s="22" t="n"/>
      <c r="S64" s="22" t="n"/>
      <c r="T64" s="21" t="n"/>
      <c r="U64" s="21" t="n"/>
      <c r="V64" s="21" t="n"/>
      <c r="W64" s="21" t="n"/>
      <c r="X64" s="21" t="n"/>
      <c r="Y64" s="22" t="n"/>
    </row>
    <row r="65" ht="22" customHeight="1"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3" t="n"/>
      <c r="P65" s="19" t="n"/>
      <c r="Q65" s="19" t="n"/>
      <c r="R65" s="20" t="n"/>
      <c r="S65" s="20" t="n"/>
      <c r="T65" s="19" t="n"/>
      <c r="U65" s="19" t="n"/>
      <c r="V65" s="19" t="n"/>
      <c r="W65" s="19" t="n"/>
      <c r="X65" s="19" t="n"/>
      <c r="Y65" s="20" t="n"/>
    </row>
    <row r="66" ht="22" customHeight="1"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15" t="n"/>
      <c r="P66" s="21" t="n"/>
      <c r="Q66" s="21" t="n"/>
      <c r="R66" s="22" t="n"/>
      <c r="S66" s="22" t="n"/>
      <c r="T66" s="21" t="n"/>
      <c r="U66" s="21" t="n"/>
      <c r="V66" s="21" t="n"/>
      <c r="W66" s="21" t="n"/>
      <c r="X66" s="21" t="n"/>
      <c r="Y66" s="22" t="n"/>
    </row>
    <row r="67" ht="22" customHeight="1"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3" t="n"/>
      <c r="P67" s="19" t="n"/>
      <c r="Q67" s="19" t="n"/>
      <c r="R67" s="20" t="n"/>
      <c r="S67" s="20" t="n"/>
      <c r="T67" s="19" t="n"/>
      <c r="U67" s="19" t="n"/>
      <c r="V67" s="19" t="n"/>
      <c r="W67" s="19" t="n"/>
      <c r="X67" s="19" t="n"/>
      <c r="Y67" s="20" t="n"/>
    </row>
    <row r="68" ht="22" customHeight="1"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15" t="n"/>
      <c r="P68" s="21" t="n"/>
      <c r="Q68" s="21" t="n"/>
      <c r="R68" s="22" t="n"/>
      <c r="S68" s="22" t="n"/>
      <c r="T68" s="21" t="n"/>
      <c r="U68" s="21" t="n"/>
      <c r="V68" s="21" t="n"/>
      <c r="W68" s="21" t="n"/>
      <c r="X68" s="21" t="n"/>
      <c r="Y68" s="22" t="n"/>
    </row>
    <row r="69" ht="22" customHeight="1"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3" t="n"/>
      <c r="P69" s="19" t="n"/>
      <c r="Q69" s="19" t="n"/>
      <c r="R69" s="20" t="n"/>
      <c r="S69" s="20" t="n"/>
      <c r="T69" s="19" t="n"/>
      <c r="U69" s="19" t="n"/>
      <c r="V69" s="19" t="n"/>
      <c r="W69" s="19" t="n"/>
      <c r="X69" s="19" t="n"/>
      <c r="Y69" s="20" t="n"/>
    </row>
    <row r="70" ht="22" customHeight="1"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15" t="n"/>
      <c r="P70" s="21" t="n"/>
      <c r="Q70" s="21" t="n"/>
      <c r="R70" s="22" t="n"/>
      <c r="S70" s="22" t="n"/>
      <c r="T70" s="21" t="n"/>
      <c r="U70" s="21" t="n"/>
      <c r="V70" s="21" t="n"/>
      <c r="W70" s="21" t="n"/>
      <c r="X70" s="21" t="n"/>
      <c r="Y70" s="22" t="n"/>
    </row>
    <row r="71" ht="22" customHeight="1"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3" t="n"/>
      <c r="P71" s="19" t="n"/>
      <c r="Q71" s="19" t="n"/>
      <c r="R71" s="20" t="n"/>
      <c r="S71" s="20" t="n"/>
      <c r="T71" s="19" t="n"/>
      <c r="U71" s="19" t="n"/>
      <c r="V71" s="19" t="n"/>
      <c r="W71" s="19" t="n"/>
      <c r="X71" s="19" t="n"/>
      <c r="Y71" s="20" t="n"/>
    </row>
    <row r="72" ht="22" customHeight="1"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15" t="n"/>
      <c r="P72" s="21" t="n"/>
      <c r="Q72" s="21" t="n"/>
      <c r="R72" s="22" t="n"/>
      <c r="S72" s="22" t="n"/>
      <c r="T72" s="21" t="n"/>
      <c r="U72" s="21" t="n"/>
      <c r="V72" s="21" t="n"/>
      <c r="W72" s="21" t="n"/>
      <c r="X72" s="21" t="n"/>
      <c r="Y72" s="22" t="n"/>
    </row>
    <row r="73" ht="22" customHeight="1"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3" t="n"/>
      <c r="P73" s="19" t="n"/>
      <c r="Q73" s="19" t="n"/>
      <c r="R73" s="20" t="n"/>
      <c r="S73" s="20" t="n"/>
      <c r="T73" s="19" t="n"/>
      <c r="U73" s="19" t="n"/>
      <c r="V73" s="19" t="n"/>
      <c r="W73" s="19" t="n"/>
      <c r="X73" s="19" t="n"/>
      <c r="Y73" s="20" t="n"/>
    </row>
    <row r="74" ht="22" customHeight="1"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15" t="n"/>
      <c r="P74" s="21" t="n"/>
      <c r="Q74" s="21" t="n"/>
      <c r="R74" s="22" t="n"/>
      <c r="S74" s="22" t="n"/>
      <c r="T74" s="21" t="n"/>
      <c r="U74" s="21" t="n"/>
      <c r="V74" s="21" t="n"/>
      <c r="W74" s="21" t="n"/>
      <c r="X74" s="21" t="n"/>
      <c r="Y74" s="22" t="n"/>
    </row>
    <row r="75" ht="22" customHeight="1"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3" t="n"/>
      <c r="P75" s="19" t="n"/>
      <c r="Q75" s="19" t="n"/>
      <c r="R75" s="20" t="n"/>
      <c r="S75" s="20" t="n"/>
      <c r="T75" s="19" t="n"/>
      <c r="U75" s="19" t="n"/>
      <c r="V75" s="19" t="n"/>
      <c r="W75" s="19" t="n"/>
      <c r="X75" s="19" t="n"/>
      <c r="Y75" s="20" t="n"/>
    </row>
    <row r="76" ht="22" customHeight="1"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15" t="n"/>
      <c r="P76" s="21" t="n"/>
      <c r="Q76" s="21" t="n"/>
      <c r="R76" s="22" t="n"/>
      <c r="S76" s="22" t="n"/>
      <c r="T76" s="21" t="n"/>
      <c r="U76" s="21" t="n"/>
      <c r="V76" s="21" t="n"/>
      <c r="W76" s="21" t="n"/>
      <c r="X76" s="21" t="n"/>
      <c r="Y76" s="22" t="n"/>
    </row>
    <row r="77" ht="22" customHeight="1"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3" t="n"/>
      <c r="P77" s="19" t="n"/>
      <c r="Q77" s="19" t="n"/>
      <c r="R77" s="20" t="n"/>
      <c r="S77" s="20" t="n"/>
      <c r="T77" s="19" t="n"/>
      <c r="U77" s="19" t="n"/>
      <c r="V77" s="19" t="n"/>
      <c r="W77" s="19" t="n"/>
      <c r="X77" s="19" t="n"/>
      <c r="Y77" s="20" t="n"/>
    </row>
    <row r="78" ht="22" customHeight="1"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15" t="n"/>
      <c r="P78" s="21" t="n"/>
      <c r="Q78" s="21" t="n"/>
      <c r="R78" s="22" t="n"/>
      <c r="S78" s="22" t="n"/>
      <c r="T78" s="21" t="n"/>
      <c r="U78" s="21" t="n"/>
      <c r="V78" s="21" t="n"/>
      <c r="W78" s="21" t="n"/>
      <c r="X78" s="21" t="n"/>
      <c r="Y78" s="22" t="n"/>
    </row>
    <row r="79" ht="22" customHeight="1"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3" t="n"/>
      <c r="P79" s="19" t="n"/>
      <c r="Q79" s="19" t="n"/>
      <c r="R79" s="20" t="n"/>
      <c r="S79" s="20" t="n"/>
      <c r="T79" s="19" t="n"/>
      <c r="U79" s="19" t="n"/>
      <c r="V79" s="19" t="n"/>
      <c r="W79" s="19" t="n"/>
      <c r="X79" s="19" t="n"/>
      <c r="Y79" s="20" t="n"/>
    </row>
    <row r="80" ht="22" customHeight="1"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15" t="n"/>
      <c r="P80" s="21" t="n"/>
      <c r="Q80" s="21" t="n"/>
      <c r="R80" s="22" t="n"/>
      <c r="S80" s="22" t="n"/>
      <c r="T80" s="21" t="n"/>
      <c r="U80" s="21" t="n"/>
      <c r="V80" s="21" t="n"/>
      <c r="W80" s="21" t="n"/>
      <c r="X80" s="21" t="n"/>
      <c r="Y80" s="22" t="n"/>
    </row>
    <row r="81" ht="22" customHeight="1"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3" t="n"/>
      <c r="P81" s="19" t="n"/>
      <c r="Q81" s="19" t="n"/>
      <c r="R81" s="20" t="n"/>
      <c r="S81" s="20" t="n"/>
      <c r="T81" s="19" t="n"/>
      <c r="U81" s="19" t="n"/>
      <c r="V81" s="19" t="n"/>
      <c r="W81" s="19" t="n"/>
      <c r="X81" s="19" t="n"/>
      <c r="Y81" s="20" t="n"/>
    </row>
    <row r="82" ht="22" customHeight="1"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15" t="n"/>
      <c r="P82" s="21" t="n"/>
      <c r="Q82" s="21" t="n"/>
      <c r="R82" s="22" t="n"/>
      <c r="S82" s="22" t="n"/>
      <c r="T82" s="21" t="n"/>
      <c r="U82" s="21" t="n"/>
      <c r="V82" s="21" t="n"/>
      <c r="W82" s="21" t="n"/>
      <c r="X82" s="21" t="n"/>
      <c r="Y82" s="22" t="n"/>
    </row>
    <row r="83" ht="22" customHeight="1"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3" t="n"/>
      <c r="P83" s="19" t="n"/>
      <c r="Q83" s="19" t="n"/>
      <c r="R83" s="20" t="n"/>
      <c r="S83" s="20" t="n"/>
      <c r="T83" s="19" t="n"/>
      <c r="U83" s="19" t="n"/>
      <c r="V83" s="19" t="n"/>
      <c r="W83" s="19" t="n"/>
      <c r="X83" s="19" t="n"/>
      <c r="Y83" s="20" t="n"/>
    </row>
    <row r="84" ht="22" customHeight="1"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15" t="n"/>
      <c r="P84" s="21" t="n"/>
      <c r="Q84" s="21" t="n"/>
      <c r="R84" s="22" t="n"/>
      <c r="S84" s="22" t="n"/>
      <c r="T84" s="21" t="n"/>
      <c r="U84" s="21" t="n"/>
      <c r="V84" s="21" t="n"/>
      <c r="W84" s="21" t="n"/>
      <c r="X84" s="21" t="n"/>
      <c r="Y84" s="22" t="n"/>
    </row>
    <row r="85" ht="22" customHeight="1"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3" t="n"/>
      <c r="P85" s="19" t="n"/>
      <c r="Q85" s="19" t="n"/>
      <c r="R85" s="20" t="n"/>
      <c r="S85" s="20" t="n"/>
      <c r="T85" s="19" t="n"/>
      <c r="U85" s="19" t="n"/>
      <c r="V85" s="19" t="n"/>
      <c r="W85" s="19" t="n"/>
      <c r="X85" s="19" t="n"/>
      <c r="Y85" s="20" t="n"/>
    </row>
    <row r="86" ht="22" customHeight="1"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15" t="n"/>
      <c r="P86" s="21" t="n"/>
      <c r="Q86" s="21" t="n"/>
      <c r="R86" s="22" t="n"/>
      <c r="S86" s="22" t="n"/>
      <c r="T86" s="21" t="n"/>
      <c r="U86" s="21" t="n"/>
      <c r="V86" s="21" t="n"/>
      <c r="W86" s="21" t="n"/>
      <c r="X86" s="21" t="n"/>
      <c r="Y86" s="22" t="n"/>
    </row>
    <row r="87" ht="22" customHeight="1"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3" t="n"/>
      <c r="P87" s="19" t="n"/>
      <c r="Q87" s="19" t="n"/>
      <c r="R87" s="20" t="n"/>
      <c r="S87" s="20" t="n"/>
      <c r="T87" s="19" t="n"/>
      <c r="U87" s="19" t="n"/>
      <c r="V87" s="19" t="n"/>
      <c r="W87" s="19" t="n"/>
      <c r="X87" s="19" t="n"/>
      <c r="Y87" s="20" t="n"/>
    </row>
    <row r="88" ht="22" customHeight="1"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15" t="n"/>
      <c r="P88" s="21" t="n"/>
      <c r="Q88" s="21" t="n"/>
      <c r="R88" s="22" t="n"/>
      <c r="S88" s="22" t="n"/>
      <c r="T88" s="21" t="n"/>
      <c r="U88" s="21" t="n"/>
      <c r="V88" s="21" t="n"/>
      <c r="W88" s="21" t="n"/>
      <c r="X88" s="21" t="n"/>
      <c r="Y88" s="22" t="n"/>
    </row>
    <row r="89" ht="22" customHeight="1"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3" t="n"/>
      <c r="P89" s="19" t="n"/>
      <c r="Q89" s="19" t="n"/>
      <c r="R89" s="20" t="n"/>
      <c r="S89" s="20" t="n"/>
      <c r="T89" s="19" t="n"/>
      <c r="U89" s="19" t="n"/>
      <c r="V89" s="19" t="n"/>
      <c r="W89" s="19" t="n"/>
      <c r="X89" s="19" t="n"/>
      <c r="Y89" s="20" t="n"/>
    </row>
    <row r="90" ht="22" customHeight="1"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15" t="n"/>
      <c r="P90" s="21" t="n"/>
      <c r="Q90" s="21" t="n"/>
      <c r="R90" s="22" t="n"/>
      <c r="S90" s="22" t="n"/>
      <c r="T90" s="21" t="n"/>
      <c r="U90" s="21" t="n"/>
      <c r="V90" s="21" t="n"/>
      <c r="W90" s="21" t="n"/>
      <c r="X90" s="21" t="n"/>
      <c r="Y90" s="22" t="n"/>
    </row>
    <row r="91" ht="22" customHeight="1"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3" t="n"/>
      <c r="P91" s="19" t="n"/>
      <c r="Q91" s="19" t="n"/>
      <c r="R91" s="20" t="n"/>
      <c r="S91" s="20" t="n"/>
      <c r="T91" s="19" t="n"/>
      <c r="U91" s="19" t="n"/>
      <c r="V91" s="19" t="n"/>
      <c r="W91" s="19" t="n"/>
      <c r="X91" s="19" t="n"/>
      <c r="Y91" s="20" t="n"/>
    </row>
    <row r="92" ht="22" customHeight="1"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15" t="n"/>
      <c r="P92" s="21" t="n"/>
      <c r="Q92" s="21" t="n"/>
      <c r="R92" s="22" t="n"/>
      <c r="S92" s="22" t="n"/>
      <c r="T92" s="21" t="n"/>
      <c r="U92" s="21" t="n"/>
      <c r="V92" s="21" t="n"/>
      <c r="W92" s="21" t="n"/>
      <c r="X92" s="21" t="n"/>
      <c r="Y92" s="22" t="n"/>
    </row>
    <row r="93" ht="22" customHeight="1"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3" t="n"/>
      <c r="P93" s="19" t="n"/>
      <c r="Q93" s="19" t="n"/>
      <c r="R93" s="20" t="n"/>
      <c r="S93" s="20" t="n"/>
      <c r="T93" s="19" t="n"/>
      <c r="U93" s="19" t="n"/>
      <c r="V93" s="19" t="n"/>
      <c r="W93" s="19" t="n"/>
      <c r="X93" s="19" t="n"/>
      <c r="Y93" s="20" t="n"/>
    </row>
    <row r="94" ht="22" customHeight="1"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15" t="n"/>
      <c r="P94" s="21" t="n"/>
      <c r="Q94" s="21" t="n"/>
      <c r="R94" s="22" t="n"/>
      <c r="S94" s="22" t="n"/>
      <c r="T94" s="21" t="n"/>
      <c r="U94" s="21" t="n"/>
      <c r="V94" s="21" t="n"/>
      <c r="W94" s="21" t="n"/>
      <c r="X94" s="21" t="n"/>
      <c r="Y94" s="22" t="n"/>
    </row>
    <row r="95" ht="22" customHeight="1"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3" t="n"/>
      <c r="P95" s="19" t="n"/>
      <c r="Q95" s="19" t="n"/>
      <c r="R95" s="20" t="n"/>
      <c r="S95" s="20" t="n"/>
      <c r="T95" s="19" t="n"/>
      <c r="U95" s="19" t="n"/>
      <c r="V95" s="19" t="n"/>
      <c r="W95" s="19" t="n"/>
      <c r="X95" s="19" t="n"/>
      <c r="Y95" s="20" t="n"/>
    </row>
    <row r="96" ht="22" customHeight="1"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15" t="n"/>
      <c r="P96" s="21" t="n"/>
      <c r="Q96" s="21" t="n"/>
      <c r="R96" s="22" t="n"/>
      <c r="S96" s="22" t="n"/>
      <c r="T96" s="21" t="n"/>
      <c r="U96" s="21" t="n"/>
      <c r="V96" s="21" t="n"/>
      <c r="W96" s="21" t="n"/>
      <c r="X96" s="21" t="n"/>
      <c r="Y96" s="22" t="n"/>
    </row>
    <row r="97" ht="22" customHeight="1"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3" t="n"/>
      <c r="P97" s="19" t="n"/>
      <c r="Q97" s="19" t="n"/>
      <c r="R97" s="20" t="n"/>
      <c r="S97" s="20" t="n"/>
      <c r="T97" s="19" t="n"/>
      <c r="U97" s="19" t="n"/>
      <c r="V97" s="19" t="n"/>
      <c r="W97" s="19" t="n"/>
      <c r="X97" s="19" t="n"/>
      <c r="Y97" s="20" t="n"/>
    </row>
    <row r="98" ht="22" customHeight="1"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15" t="n"/>
      <c r="P98" s="21" t="n"/>
      <c r="Q98" s="21" t="n"/>
      <c r="R98" s="22" t="n"/>
      <c r="S98" s="22" t="n"/>
      <c r="T98" s="21" t="n"/>
      <c r="U98" s="21" t="n"/>
      <c r="V98" s="21" t="n"/>
      <c r="W98" s="21" t="n"/>
      <c r="X98" s="21" t="n"/>
      <c r="Y98" s="22" t="n"/>
    </row>
    <row r="99" ht="22" customHeight="1"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3" t="n"/>
      <c r="P99" s="19" t="n"/>
      <c r="Q99" s="19" t="n"/>
      <c r="R99" s="20" t="n"/>
      <c r="S99" s="20" t="n"/>
      <c r="T99" s="19" t="n"/>
      <c r="U99" s="19" t="n"/>
      <c r="V99" s="19" t="n"/>
      <c r="W99" s="19" t="n"/>
      <c r="X99" s="19" t="n"/>
      <c r="Y99" s="20" t="n"/>
    </row>
    <row r="100" ht="22" customHeight="1"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15" t="n"/>
      <c r="P100" s="21" t="n"/>
      <c r="Q100" s="21" t="n"/>
      <c r="R100" s="22" t="n"/>
      <c r="S100" s="22" t="n"/>
      <c r="T100" s="21" t="n"/>
      <c r="U100" s="21" t="n"/>
      <c r="V100" s="21" t="n"/>
      <c r="W100" s="21" t="n"/>
      <c r="X100" s="21" t="n"/>
      <c r="Y100" s="22" t="n"/>
    </row>
    <row r="101" ht="22" customHeight="1"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3" t="n"/>
      <c r="P101" s="19" t="n"/>
      <c r="Q101" s="19" t="n"/>
      <c r="R101" s="20" t="n"/>
      <c r="S101" s="20" t="n"/>
      <c r="T101" s="19" t="n"/>
      <c r="U101" s="19" t="n"/>
      <c r="V101" s="19" t="n"/>
      <c r="W101" s="19" t="n"/>
      <c r="X101" s="19" t="n"/>
      <c r="Y101" s="20" t="n"/>
    </row>
    <row r="102" ht="22" customHeight="1"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15" t="n"/>
      <c r="P102" s="21" t="n"/>
      <c r="Q102" s="21" t="n"/>
      <c r="R102" s="22" t="n"/>
      <c r="S102" s="22" t="n"/>
      <c r="T102" s="21" t="n"/>
      <c r="U102" s="21" t="n"/>
      <c r="V102" s="21" t="n"/>
      <c r="W102" s="21" t="n"/>
      <c r="X102" s="21" t="n"/>
      <c r="Y102" s="22" t="n"/>
    </row>
    <row r="103" ht="22" customHeight="1"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3" t="n"/>
      <c r="P103" s="19" t="n"/>
      <c r="Q103" s="19" t="n"/>
      <c r="R103" s="20" t="n"/>
      <c r="S103" s="20" t="n"/>
      <c r="T103" s="19" t="n"/>
      <c r="U103" s="19" t="n"/>
      <c r="V103" s="19" t="n"/>
      <c r="W103" s="19" t="n"/>
      <c r="X103" s="19" t="n"/>
      <c r="Y103" s="20" t="n"/>
    </row>
    <row r="104" ht="22" customHeight="1"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15" t="n"/>
      <c r="P104" s="21" t="n"/>
      <c r="Q104" s="21" t="n"/>
      <c r="R104" s="22" t="n"/>
      <c r="S104" s="22" t="n"/>
      <c r="T104" s="21" t="n"/>
      <c r="U104" s="21" t="n"/>
      <c r="V104" s="21" t="n"/>
      <c r="W104" s="21" t="n"/>
      <c r="X104" s="21" t="n"/>
      <c r="Y104" s="22" t="n"/>
    </row>
    <row r="105" ht="22" customHeight="1"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3" t="n"/>
      <c r="P105" s="19" t="n"/>
      <c r="Q105" s="19" t="n"/>
      <c r="R105" s="20" t="n"/>
      <c r="S105" s="20" t="n"/>
      <c r="T105" s="19" t="n"/>
      <c r="U105" s="19" t="n"/>
      <c r="V105" s="19" t="n"/>
      <c r="W105" s="19" t="n"/>
      <c r="X105" s="19" t="n"/>
      <c r="Y105" s="20" t="n"/>
    </row>
    <row r="106" ht="22" customHeight="1"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15" t="n"/>
      <c r="P106" s="21" t="n"/>
      <c r="Q106" s="21" t="n"/>
      <c r="R106" s="22" t="n"/>
      <c r="S106" s="22" t="n"/>
      <c r="T106" s="21" t="n"/>
      <c r="U106" s="21" t="n"/>
      <c r="V106" s="21" t="n"/>
      <c r="W106" s="21" t="n"/>
      <c r="X106" s="21" t="n"/>
      <c r="Y106" s="22" t="n"/>
    </row>
    <row r="107" ht="22" customHeight="1"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3" t="n"/>
      <c r="P107" s="19" t="n"/>
      <c r="Q107" s="19" t="n"/>
      <c r="R107" s="20" t="n"/>
      <c r="S107" s="20" t="n"/>
      <c r="T107" s="19" t="n"/>
      <c r="U107" s="19" t="n"/>
      <c r="V107" s="19" t="n"/>
      <c r="W107" s="19" t="n"/>
      <c r="X107" s="19" t="n"/>
      <c r="Y107" s="20" t="n"/>
    </row>
    <row r="108" ht="22" customHeight="1"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15" t="n"/>
      <c r="P108" s="21" t="n"/>
      <c r="Q108" s="21" t="n"/>
      <c r="R108" s="22" t="n"/>
      <c r="S108" s="22" t="n"/>
      <c r="T108" s="21" t="n"/>
      <c r="U108" s="21" t="n"/>
      <c r="V108" s="21" t="n"/>
      <c r="W108" s="21" t="n"/>
      <c r="X108" s="21" t="n"/>
      <c r="Y108" s="22" t="n"/>
    </row>
    <row r="109" ht="22" customHeight="1"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3" t="n"/>
      <c r="P109" s="19" t="n"/>
      <c r="Q109" s="19" t="n"/>
      <c r="R109" s="20" t="n"/>
      <c r="S109" s="20" t="n"/>
      <c r="T109" s="19" t="n"/>
      <c r="U109" s="19" t="n"/>
      <c r="V109" s="19" t="n"/>
      <c r="W109" s="19" t="n"/>
      <c r="X109" s="19" t="n"/>
      <c r="Y109" s="20" t="n"/>
    </row>
    <row r="110" ht="22" customHeight="1"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15" t="n"/>
      <c r="P110" s="21" t="n"/>
      <c r="Q110" s="21" t="n"/>
      <c r="R110" s="22" t="n"/>
      <c r="S110" s="22" t="n"/>
      <c r="T110" s="21" t="n"/>
      <c r="U110" s="21" t="n"/>
      <c r="V110" s="21" t="n"/>
      <c r="W110" s="21" t="n"/>
      <c r="X110" s="21" t="n"/>
      <c r="Y110" s="22" t="n"/>
    </row>
    <row r="111" ht="22" customHeight="1"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3" t="n"/>
      <c r="P111" s="19" t="n"/>
      <c r="Q111" s="19" t="n"/>
      <c r="R111" s="20" t="n"/>
      <c r="S111" s="20" t="n"/>
      <c r="T111" s="19" t="n"/>
      <c r="U111" s="19" t="n"/>
      <c r="V111" s="19" t="n"/>
      <c r="W111" s="19" t="n"/>
      <c r="X111" s="19" t="n"/>
      <c r="Y111" s="20" t="n"/>
    </row>
    <row r="112" ht="22" customHeight="1"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15" t="n"/>
      <c r="P112" s="21" t="n"/>
      <c r="Q112" s="21" t="n"/>
      <c r="R112" s="22" t="n"/>
      <c r="S112" s="22" t="n"/>
      <c r="T112" s="21" t="n"/>
      <c r="U112" s="21" t="n"/>
      <c r="V112" s="21" t="n"/>
      <c r="W112" s="21" t="n"/>
      <c r="X112" s="21" t="n"/>
      <c r="Y112" s="22" t="n"/>
    </row>
    <row r="113" ht="22" customHeight="1"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3" t="n"/>
      <c r="P113" s="19" t="n"/>
      <c r="Q113" s="19" t="n"/>
      <c r="R113" s="20" t="n"/>
      <c r="S113" s="20" t="n"/>
      <c r="T113" s="19" t="n"/>
      <c r="U113" s="19" t="n"/>
      <c r="V113" s="19" t="n"/>
      <c r="W113" s="19" t="n"/>
      <c r="X113" s="19" t="n"/>
      <c r="Y113" s="20" t="n"/>
    </row>
    <row r="114" ht="22" customHeight="1"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15" t="n"/>
      <c r="P114" s="21" t="n"/>
      <c r="Q114" s="21" t="n"/>
      <c r="R114" s="22" t="n"/>
      <c r="S114" s="22" t="n"/>
      <c r="T114" s="21" t="n"/>
      <c r="U114" s="21" t="n"/>
      <c r="V114" s="21" t="n"/>
      <c r="W114" s="21" t="n"/>
      <c r="X114" s="21" t="n"/>
      <c r="Y114" s="22" t="n"/>
    </row>
    <row r="115" ht="22" customHeight="1"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3" t="n"/>
      <c r="P115" s="19" t="n"/>
      <c r="Q115" s="19" t="n"/>
      <c r="R115" s="20" t="n"/>
      <c r="S115" s="20" t="n"/>
      <c r="T115" s="19" t="n"/>
      <c r="U115" s="19" t="n"/>
      <c r="V115" s="19" t="n"/>
      <c r="W115" s="19" t="n"/>
      <c r="X115" s="19" t="n"/>
      <c r="Y115" s="20" t="n"/>
    </row>
    <row r="116" ht="22" customHeight="1"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15" t="n"/>
      <c r="P116" s="21" t="n"/>
      <c r="Q116" s="21" t="n"/>
      <c r="R116" s="22" t="n"/>
      <c r="S116" s="22" t="n"/>
      <c r="T116" s="21" t="n"/>
      <c r="U116" s="21" t="n"/>
      <c r="V116" s="21" t="n"/>
      <c r="W116" s="21" t="n"/>
      <c r="X116" s="21" t="n"/>
      <c r="Y116" s="22" t="n"/>
    </row>
    <row r="117" ht="22" customHeight="1"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3" t="n"/>
      <c r="P117" s="19" t="n"/>
      <c r="Q117" s="19" t="n"/>
      <c r="R117" s="20" t="n"/>
      <c r="S117" s="20" t="n"/>
      <c r="T117" s="19" t="n"/>
      <c r="U117" s="19" t="n"/>
      <c r="V117" s="19" t="n"/>
      <c r="W117" s="19" t="n"/>
      <c r="X117" s="19" t="n"/>
      <c r="Y117" s="20" t="n"/>
    </row>
    <row r="118" ht="22" customHeight="1"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15" t="n"/>
      <c r="P118" s="21" t="n"/>
      <c r="Q118" s="21" t="n"/>
      <c r="R118" s="22" t="n"/>
      <c r="S118" s="22" t="n"/>
      <c r="T118" s="21" t="n"/>
      <c r="U118" s="21" t="n"/>
      <c r="V118" s="21" t="n"/>
      <c r="W118" s="21" t="n"/>
      <c r="X118" s="21" t="n"/>
      <c r="Y118" s="22" t="n"/>
    </row>
    <row r="119" ht="22" customHeight="1"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3" t="n"/>
      <c r="P119" s="19" t="n"/>
      <c r="Q119" s="19" t="n"/>
      <c r="R119" s="20" t="n"/>
      <c r="S119" s="20" t="n"/>
      <c r="T119" s="19" t="n"/>
      <c r="U119" s="19" t="n"/>
      <c r="V119" s="19" t="n"/>
      <c r="W119" s="19" t="n"/>
      <c r="X119" s="19" t="n"/>
      <c r="Y119" s="20" t="n"/>
    </row>
    <row r="120" ht="22" customHeight="1"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15" t="n"/>
      <c r="P120" s="21" t="n"/>
      <c r="Q120" s="21" t="n"/>
      <c r="R120" s="22" t="n"/>
      <c r="S120" s="22" t="n"/>
      <c r="T120" s="21" t="n"/>
      <c r="U120" s="21" t="n"/>
      <c r="V120" s="21" t="n"/>
      <c r="W120" s="21" t="n"/>
      <c r="X120" s="21" t="n"/>
      <c r="Y120" s="22" t="n"/>
    </row>
    <row r="121" ht="22" customHeight="1"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3" t="n"/>
      <c r="P121" s="19" t="n"/>
      <c r="Q121" s="19" t="n"/>
      <c r="R121" s="20" t="n"/>
      <c r="S121" s="20" t="n"/>
      <c r="T121" s="19" t="n"/>
      <c r="U121" s="19" t="n"/>
      <c r="V121" s="19" t="n"/>
      <c r="W121" s="19" t="n"/>
      <c r="X121" s="19" t="n"/>
      <c r="Y121" s="20" t="n"/>
    </row>
    <row r="122" ht="22" customHeight="1"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15" t="n"/>
      <c r="P122" s="21" t="n"/>
      <c r="Q122" s="21" t="n"/>
      <c r="R122" s="22" t="n"/>
      <c r="S122" s="22" t="n"/>
      <c r="T122" s="21" t="n"/>
      <c r="U122" s="21" t="n"/>
      <c r="V122" s="21" t="n"/>
      <c r="W122" s="21" t="n"/>
      <c r="X122" s="21" t="n"/>
      <c r="Y122" s="22" t="n"/>
    </row>
    <row r="123" ht="22" customHeight="1"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3" t="n"/>
      <c r="P123" s="19" t="n"/>
      <c r="Q123" s="19" t="n"/>
      <c r="R123" s="20" t="n"/>
      <c r="S123" s="20" t="n"/>
      <c r="T123" s="19" t="n"/>
      <c r="U123" s="19" t="n"/>
      <c r="V123" s="19" t="n"/>
      <c r="W123" s="19" t="n"/>
      <c r="X123" s="19" t="n"/>
      <c r="Y123" s="20" t="n"/>
    </row>
    <row r="124" ht="22" customHeight="1"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15" t="n"/>
      <c r="P124" s="21" t="n"/>
      <c r="Q124" s="21" t="n"/>
      <c r="R124" s="22" t="n"/>
      <c r="S124" s="22" t="n"/>
      <c r="T124" s="21" t="n"/>
      <c r="U124" s="21" t="n"/>
      <c r="V124" s="21" t="n"/>
      <c r="W124" s="21" t="n"/>
      <c r="X124" s="21" t="n"/>
      <c r="Y124" s="22" t="n"/>
    </row>
    <row r="125" ht="22" customHeight="1"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3" t="n"/>
      <c r="P125" s="19" t="n"/>
      <c r="Q125" s="19" t="n"/>
      <c r="R125" s="20" t="n"/>
      <c r="S125" s="20" t="n"/>
      <c r="T125" s="19" t="n"/>
      <c r="U125" s="19" t="n"/>
      <c r="V125" s="19" t="n"/>
      <c r="W125" s="19" t="n"/>
      <c r="X125" s="19" t="n"/>
      <c r="Y125" s="20" t="n"/>
    </row>
    <row r="126" ht="22" customHeight="1"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15" t="n"/>
      <c r="P126" s="21" t="n"/>
      <c r="Q126" s="21" t="n"/>
      <c r="R126" s="22" t="n"/>
      <c r="S126" s="22" t="n"/>
      <c r="T126" s="21" t="n"/>
      <c r="U126" s="21" t="n"/>
      <c r="V126" s="21" t="n"/>
      <c r="W126" s="21" t="n"/>
      <c r="X126" s="21" t="n"/>
      <c r="Y126" s="22" t="n"/>
    </row>
    <row r="127" ht="22" customHeight="1"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3" t="n"/>
      <c r="P127" s="19" t="n"/>
      <c r="Q127" s="19" t="n"/>
      <c r="R127" s="20" t="n"/>
      <c r="S127" s="20" t="n"/>
      <c r="T127" s="19" t="n"/>
      <c r="U127" s="19" t="n"/>
      <c r="V127" s="19" t="n"/>
      <c r="W127" s="19" t="n"/>
      <c r="X127" s="19" t="n"/>
      <c r="Y127" s="20" t="n"/>
    </row>
    <row r="128" ht="22" customHeight="1"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15" t="n"/>
      <c r="P128" s="21" t="n"/>
      <c r="Q128" s="21" t="n"/>
      <c r="R128" s="22" t="n"/>
      <c r="S128" s="22" t="n"/>
      <c r="T128" s="21" t="n"/>
      <c r="U128" s="21" t="n"/>
      <c r="V128" s="21" t="n"/>
      <c r="W128" s="21" t="n"/>
      <c r="X128" s="21" t="n"/>
      <c r="Y128" s="22" t="n"/>
    </row>
    <row r="129" ht="22" customHeight="1"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3" t="n"/>
      <c r="P129" s="19" t="n"/>
      <c r="Q129" s="19" t="n"/>
      <c r="R129" s="20" t="n"/>
      <c r="S129" s="20" t="n"/>
      <c r="T129" s="19" t="n"/>
      <c r="U129" s="19" t="n"/>
      <c r="V129" s="19" t="n"/>
      <c r="W129" s="19" t="n"/>
      <c r="X129" s="19" t="n"/>
      <c r="Y129" s="20" t="n"/>
    </row>
    <row r="130" ht="22" customHeight="1"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15" t="n"/>
      <c r="P130" s="21" t="n"/>
      <c r="Q130" s="21" t="n"/>
      <c r="R130" s="22" t="n"/>
      <c r="S130" s="22" t="n"/>
      <c r="T130" s="21" t="n"/>
      <c r="U130" s="21" t="n"/>
      <c r="V130" s="21" t="n"/>
      <c r="W130" s="21" t="n"/>
      <c r="X130" s="21" t="n"/>
      <c r="Y130" s="22" t="n"/>
    </row>
    <row r="131" ht="22" customHeight="1"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3" t="n"/>
      <c r="P131" s="19" t="n"/>
      <c r="Q131" s="19" t="n"/>
      <c r="R131" s="20" t="n"/>
      <c r="S131" s="20" t="n"/>
      <c r="T131" s="19" t="n"/>
      <c r="U131" s="19" t="n"/>
      <c r="V131" s="19" t="n"/>
      <c r="W131" s="19" t="n"/>
      <c r="X131" s="19" t="n"/>
      <c r="Y131" s="20" t="n"/>
    </row>
    <row r="132" ht="22" customHeight="1"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15" t="n"/>
      <c r="P132" s="21" t="n"/>
      <c r="Q132" s="21" t="n"/>
      <c r="R132" s="22" t="n"/>
      <c r="S132" s="22" t="n"/>
      <c r="T132" s="21" t="n"/>
      <c r="U132" s="21" t="n"/>
      <c r="V132" s="21" t="n"/>
      <c r="W132" s="21" t="n"/>
      <c r="X132" s="21" t="n"/>
      <c r="Y132" s="22" t="n"/>
    </row>
    <row r="133" ht="22" customHeight="1"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3" t="n"/>
      <c r="P133" s="19" t="n"/>
      <c r="Q133" s="19" t="n"/>
      <c r="R133" s="20" t="n"/>
      <c r="S133" s="20" t="n"/>
      <c r="T133" s="19" t="n"/>
      <c r="U133" s="19" t="n"/>
      <c r="V133" s="19" t="n"/>
      <c r="W133" s="19" t="n"/>
      <c r="X133" s="19" t="n"/>
      <c r="Y133" s="20" t="n"/>
    </row>
    <row r="134" ht="22" customHeight="1"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15" t="n"/>
      <c r="P134" s="21" t="n"/>
      <c r="Q134" s="21" t="n"/>
      <c r="R134" s="22" t="n"/>
      <c r="S134" s="22" t="n"/>
      <c r="T134" s="21" t="n"/>
      <c r="U134" s="21" t="n"/>
      <c r="V134" s="21" t="n"/>
      <c r="W134" s="21" t="n"/>
      <c r="X134" s="21" t="n"/>
      <c r="Y134" s="22" t="n"/>
    </row>
    <row r="135" ht="22" customHeight="1"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3" t="n"/>
      <c r="P135" s="19" t="n"/>
      <c r="Q135" s="19" t="n"/>
      <c r="R135" s="20" t="n"/>
      <c r="S135" s="20" t="n"/>
      <c r="T135" s="19" t="n"/>
      <c r="U135" s="19" t="n"/>
      <c r="V135" s="19" t="n"/>
      <c r="W135" s="19" t="n"/>
      <c r="X135" s="19" t="n"/>
      <c r="Y135" s="20" t="n"/>
    </row>
    <row r="136" ht="22" customHeight="1"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15" t="n"/>
      <c r="P136" s="21" t="n"/>
      <c r="Q136" s="21" t="n"/>
      <c r="R136" s="22" t="n"/>
      <c r="S136" s="22" t="n"/>
      <c r="T136" s="21" t="n"/>
      <c r="U136" s="21" t="n"/>
      <c r="V136" s="21" t="n"/>
      <c r="W136" s="21" t="n"/>
      <c r="X136" s="21" t="n"/>
      <c r="Y136" s="22" t="n"/>
    </row>
    <row r="137" ht="22" customHeight="1"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3" t="n"/>
      <c r="P137" s="19" t="n"/>
      <c r="Q137" s="19" t="n"/>
      <c r="R137" s="20" t="n"/>
      <c r="S137" s="20" t="n"/>
      <c r="T137" s="19" t="n"/>
      <c r="U137" s="19" t="n"/>
      <c r="V137" s="19" t="n"/>
      <c r="W137" s="19" t="n"/>
      <c r="X137" s="19" t="n"/>
      <c r="Y137" s="20" t="n"/>
    </row>
    <row r="138" ht="22" customHeight="1"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15" t="n"/>
      <c r="P138" s="21" t="n"/>
      <c r="Q138" s="21" t="n"/>
      <c r="R138" s="22" t="n"/>
      <c r="S138" s="22" t="n"/>
      <c r="T138" s="21" t="n"/>
      <c r="U138" s="21" t="n"/>
      <c r="V138" s="21" t="n"/>
      <c r="W138" s="21" t="n"/>
      <c r="X138" s="21" t="n"/>
      <c r="Y138" s="22" t="n"/>
    </row>
    <row r="139" ht="22" customHeight="1"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3" t="n"/>
      <c r="P139" s="19" t="n"/>
      <c r="Q139" s="19" t="n"/>
      <c r="R139" s="20" t="n"/>
      <c r="S139" s="20" t="n"/>
      <c r="T139" s="19" t="n"/>
      <c r="U139" s="19" t="n"/>
      <c r="V139" s="19" t="n"/>
      <c r="W139" s="19" t="n"/>
      <c r="X139" s="19" t="n"/>
      <c r="Y139" s="20" t="n"/>
    </row>
    <row r="140" ht="22" customHeight="1"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15" t="n"/>
      <c r="P140" s="21" t="n"/>
      <c r="Q140" s="21" t="n"/>
      <c r="R140" s="22" t="n"/>
      <c r="S140" s="22" t="n"/>
      <c r="T140" s="21" t="n"/>
      <c r="U140" s="21" t="n"/>
      <c r="V140" s="21" t="n"/>
      <c r="W140" s="21" t="n"/>
      <c r="X140" s="21" t="n"/>
      <c r="Y140" s="22" t="n"/>
    </row>
    <row r="141" ht="22" customHeight="1"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3" t="n"/>
      <c r="P141" s="19" t="n"/>
      <c r="Q141" s="19" t="n"/>
      <c r="R141" s="20" t="n"/>
      <c r="S141" s="20" t="n"/>
      <c r="T141" s="19" t="n"/>
      <c r="U141" s="19" t="n"/>
      <c r="V141" s="19" t="n"/>
      <c r="W141" s="19" t="n"/>
      <c r="X141" s="19" t="n"/>
      <c r="Y141" s="20" t="n"/>
    </row>
    <row r="142" ht="22" customHeight="1"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15" t="n"/>
      <c r="P142" s="21" t="n"/>
      <c r="Q142" s="21" t="n"/>
      <c r="R142" s="22" t="n"/>
      <c r="S142" s="22" t="n"/>
      <c r="T142" s="21" t="n"/>
      <c r="U142" s="21" t="n"/>
      <c r="V142" s="21" t="n"/>
      <c r="W142" s="21" t="n"/>
      <c r="X142" s="21" t="n"/>
      <c r="Y142" s="22" t="n"/>
    </row>
    <row r="143" ht="22" customHeight="1"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3" t="n"/>
      <c r="P143" s="19" t="n"/>
      <c r="Q143" s="19" t="n"/>
      <c r="R143" s="20" t="n"/>
      <c r="S143" s="20" t="n"/>
      <c r="T143" s="19" t="n"/>
      <c r="U143" s="19" t="n"/>
      <c r="V143" s="19" t="n"/>
      <c r="W143" s="19" t="n"/>
      <c r="X143" s="19" t="n"/>
      <c r="Y143" s="20" t="n"/>
    </row>
    <row r="144" ht="22" customHeight="1"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15" t="n"/>
      <c r="P144" s="21" t="n"/>
      <c r="Q144" s="21" t="n"/>
      <c r="R144" s="22" t="n"/>
      <c r="S144" s="22" t="n"/>
      <c r="T144" s="21" t="n"/>
      <c r="U144" s="21" t="n"/>
      <c r="V144" s="21" t="n"/>
      <c r="W144" s="21" t="n"/>
      <c r="X144" s="21" t="n"/>
      <c r="Y144" s="22" t="n"/>
    </row>
    <row r="145" ht="22" customHeight="1"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3" t="n"/>
      <c r="P145" s="19" t="n"/>
      <c r="Q145" s="19" t="n"/>
      <c r="R145" s="20" t="n"/>
      <c r="S145" s="20" t="n"/>
      <c r="T145" s="19" t="n"/>
      <c r="U145" s="19" t="n"/>
      <c r="V145" s="19" t="n"/>
      <c r="W145" s="19" t="n"/>
      <c r="X145" s="19" t="n"/>
      <c r="Y145" s="20" t="n"/>
    </row>
    <row r="146" ht="22" customHeight="1"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15" t="n"/>
      <c r="P146" s="21" t="n"/>
      <c r="Q146" s="21" t="n"/>
      <c r="R146" s="22" t="n"/>
      <c r="S146" s="22" t="n"/>
      <c r="T146" s="21" t="n"/>
      <c r="U146" s="21" t="n"/>
      <c r="V146" s="21" t="n"/>
      <c r="W146" s="21" t="n"/>
      <c r="X146" s="21" t="n"/>
      <c r="Y146" s="22" t="n"/>
    </row>
    <row r="147" ht="22" customHeight="1"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3" t="n"/>
      <c r="P147" s="19" t="n"/>
      <c r="Q147" s="19" t="n"/>
      <c r="R147" s="20" t="n"/>
      <c r="S147" s="20" t="n"/>
      <c r="T147" s="19" t="n"/>
      <c r="U147" s="19" t="n"/>
      <c r="V147" s="19" t="n"/>
      <c r="W147" s="19" t="n"/>
      <c r="X147" s="19" t="n"/>
      <c r="Y147" s="20" t="n"/>
    </row>
    <row r="148" ht="22" customHeight="1"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15" t="n"/>
      <c r="P148" s="21" t="n"/>
      <c r="Q148" s="21" t="n"/>
      <c r="R148" s="22" t="n"/>
      <c r="S148" s="22" t="n"/>
      <c r="T148" s="21" t="n"/>
      <c r="U148" s="21" t="n"/>
      <c r="V148" s="21" t="n"/>
      <c r="W148" s="21" t="n"/>
      <c r="X148" s="21" t="n"/>
      <c r="Y148" s="22" t="n"/>
    </row>
    <row r="149" ht="22" customHeight="1"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3" t="n"/>
      <c r="P149" s="19" t="n"/>
      <c r="Q149" s="19" t="n"/>
      <c r="R149" s="20" t="n"/>
      <c r="S149" s="20" t="n"/>
      <c r="T149" s="19" t="n"/>
      <c r="U149" s="19" t="n"/>
      <c r="V149" s="19" t="n"/>
      <c r="W149" s="19" t="n"/>
      <c r="X149" s="19" t="n"/>
      <c r="Y149" s="20" t="n"/>
    </row>
    <row r="150" ht="22" customHeight="1"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15" t="n"/>
      <c r="P150" s="21" t="n"/>
      <c r="Q150" s="21" t="n"/>
      <c r="R150" s="22" t="n"/>
      <c r="S150" s="22" t="n"/>
      <c r="T150" s="21" t="n"/>
      <c r="U150" s="21" t="n"/>
      <c r="V150" s="21" t="n"/>
      <c r="W150" s="21" t="n"/>
      <c r="X150" s="21" t="n"/>
      <c r="Y150" s="22" t="n"/>
    </row>
    <row r="151" ht="22" customHeight="1"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3" t="n"/>
      <c r="P151" s="19" t="n"/>
      <c r="Q151" s="19" t="n"/>
      <c r="R151" s="20" t="n"/>
      <c r="S151" s="20" t="n"/>
      <c r="T151" s="19" t="n"/>
      <c r="U151" s="19" t="n"/>
      <c r="V151" s="19" t="n"/>
      <c r="W151" s="19" t="n"/>
      <c r="X151" s="19" t="n"/>
      <c r="Y151" s="20" t="n"/>
    </row>
    <row r="152" ht="22" customHeight="1"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15" t="n"/>
      <c r="P152" s="21" t="n"/>
      <c r="Q152" s="21" t="n"/>
      <c r="R152" s="22" t="n"/>
      <c r="S152" s="22" t="n"/>
      <c r="T152" s="21" t="n"/>
      <c r="U152" s="21" t="n"/>
      <c r="V152" s="21" t="n"/>
      <c r="W152" s="21" t="n"/>
      <c r="X152" s="21" t="n"/>
      <c r="Y152" s="22" t="n"/>
    </row>
    <row r="153" ht="22" customHeight="1"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3" t="n"/>
      <c r="P153" s="19" t="n"/>
      <c r="Q153" s="19" t="n"/>
      <c r="R153" s="20" t="n"/>
      <c r="S153" s="20" t="n"/>
      <c r="T153" s="19" t="n"/>
      <c r="U153" s="19" t="n"/>
      <c r="V153" s="19" t="n"/>
      <c r="W153" s="19" t="n"/>
      <c r="X153" s="19" t="n"/>
      <c r="Y153" s="20" t="n"/>
    </row>
    <row r="154" ht="22" customHeight="1"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15" t="n"/>
      <c r="P154" s="21" t="n"/>
      <c r="Q154" s="21" t="n"/>
      <c r="R154" s="22" t="n"/>
      <c r="S154" s="22" t="n"/>
      <c r="T154" s="21" t="n"/>
      <c r="U154" s="21" t="n"/>
      <c r="V154" s="21" t="n"/>
      <c r="W154" s="21" t="n"/>
      <c r="X154" s="21" t="n"/>
      <c r="Y154" s="22" t="n"/>
    </row>
    <row r="155" ht="22" customHeight="1"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3" t="n"/>
      <c r="P155" s="19" t="n"/>
      <c r="Q155" s="19" t="n"/>
      <c r="R155" s="20" t="n"/>
      <c r="S155" s="20" t="n"/>
      <c r="T155" s="19" t="n"/>
      <c r="U155" s="19" t="n"/>
      <c r="V155" s="19" t="n"/>
      <c r="W155" s="19" t="n"/>
      <c r="X155" s="19" t="n"/>
      <c r="Y155" s="20" t="n"/>
    </row>
    <row r="156" ht="22" customHeight="1"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15" t="n"/>
      <c r="P156" s="21" t="n"/>
      <c r="Q156" s="21" t="n"/>
      <c r="R156" s="22" t="n"/>
      <c r="S156" s="22" t="n"/>
      <c r="T156" s="21" t="n"/>
      <c r="U156" s="21" t="n"/>
      <c r="V156" s="21" t="n"/>
      <c r="W156" s="21" t="n"/>
      <c r="X156" s="21" t="n"/>
      <c r="Y156" s="22" t="n"/>
    </row>
    <row r="157" ht="22" customHeight="1"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3" t="n"/>
      <c r="P157" s="19" t="n"/>
      <c r="Q157" s="19" t="n"/>
      <c r="R157" s="20" t="n"/>
      <c r="S157" s="20" t="n"/>
      <c r="T157" s="19" t="n"/>
      <c r="U157" s="19" t="n"/>
      <c r="V157" s="19" t="n"/>
      <c r="W157" s="19" t="n"/>
      <c r="X157" s="19" t="n"/>
      <c r="Y157" s="20" t="n"/>
    </row>
    <row r="158" ht="22" customHeight="1"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15" t="n"/>
      <c r="P158" s="21" t="n"/>
      <c r="Q158" s="21" t="n"/>
      <c r="R158" s="22" t="n"/>
      <c r="S158" s="22" t="n"/>
      <c r="T158" s="21" t="n"/>
      <c r="U158" s="21" t="n"/>
      <c r="V158" s="21" t="n"/>
      <c r="W158" s="21" t="n"/>
      <c r="X158" s="21" t="n"/>
      <c r="Y158" s="22" t="n"/>
    </row>
    <row r="159" ht="22" customHeight="1"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3" t="n"/>
      <c r="P159" s="19" t="n"/>
      <c r="Q159" s="19" t="n"/>
      <c r="R159" s="20" t="n"/>
      <c r="S159" s="20" t="n"/>
      <c r="T159" s="19" t="n"/>
      <c r="U159" s="19" t="n"/>
      <c r="V159" s="19" t="n"/>
      <c r="W159" s="19" t="n"/>
      <c r="X159" s="19" t="n"/>
      <c r="Y159" s="20" t="n"/>
    </row>
    <row r="160" ht="22" customHeight="1"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15" t="n"/>
      <c r="P160" s="21" t="n"/>
      <c r="Q160" s="21" t="n"/>
      <c r="R160" s="22" t="n"/>
      <c r="S160" s="22" t="n"/>
      <c r="T160" s="21" t="n"/>
      <c r="U160" s="21" t="n"/>
      <c r="V160" s="21" t="n"/>
      <c r="W160" s="21" t="n"/>
      <c r="X160" s="21" t="n"/>
      <c r="Y160" s="22" t="n"/>
    </row>
    <row r="161" ht="22" customHeight="1"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3" t="n"/>
      <c r="P161" s="19" t="n"/>
      <c r="Q161" s="19" t="n"/>
      <c r="R161" s="20" t="n"/>
      <c r="S161" s="20" t="n"/>
      <c r="T161" s="19" t="n"/>
      <c r="U161" s="19" t="n"/>
      <c r="V161" s="19" t="n"/>
      <c r="W161" s="19" t="n"/>
      <c r="X161" s="19" t="n"/>
      <c r="Y161" s="20" t="n"/>
    </row>
    <row r="162" ht="22" customHeight="1"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15" t="n"/>
      <c r="P162" s="21" t="n"/>
      <c r="Q162" s="21" t="n"/>
      <c r="R162" s="22" t="n"/>
      <c r="S162" s="22" t="n"/>
      <c r="T162" s="21" t="n"/>
      <c r="U162" s="21" t="n"/>
      <c r="V162" s="21" t="n"/>
      <c r="W162" s="21" t="n"/>
      <c r="X162" s="21" t="n"/>
      <c r="Y162" s="22" t="n"/>
    </row>
    <row r="163" ht="22" customHeight="1"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3" t="n"/>
      <c r="P163" s="19" t="n"/>
      <c r="Q163" s="19" t="n"/>
      <c r="R163" s="20" t="n"/>
      <c r="S163" s="20" t="n"/>
      <c r="T163" s="19" t="n"/>
      <c r="U163" s="19" t="n"/>
      <c r="V163" s="19" t="n"/>
      <c r="W163" s="19" t="n"/>
      <c r="X163" s="19" t="n"/>
      <c r="Y163" s="20" t="n"/>
    </row>
    <row r="164" ht="22" customHeight="1"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15" t="n"/>
      <c r="P164" s="21" t="n"/>
      <c r="Q164" s="21" t="n"/>
      <c r="R164" s="22" t="n"/>
      <c r="S164" s="22" t="n"/>
      <c r="T164" s="21" t="n"/>
      <c r="U164" s="21" t="n"/>
      <c r="V164" s="21" t="n"/>
      <c r="W164" s="21" t="n"/>
      <c r="X164" s="21" t="n"/>
      <c r="Y164" s="22" t="n"/>
    </row>
    <row r="165" ht="22" customHeight="1"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3" t="n"/>
      <c r="P165" s="19" t="n"/>
      <c r="Q165" s="19" t="n"/>
      <c r="R165" s="20" t="n"/>
      <c r="S165" s="20" t="n"/>
      <c r="T165" s="19" t="n"/>
      <c r="U165" s="19" t="n"/>
      <c r="V165" s="19" t="n"/>
      <c r="W165" s="19" t="n"/>
      <c r="X165" s="19" t="n"/>
      <c r="Y165" s="20" t="n"/>
    </row>
    <row r="166" ht="22" customHeight="1"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15" t="n"/>
      <c r="P166" s="21" t="n"/>
      <c r="Q166" s="21" t="n"/>
      <c r="R166" s="22" t="n"/>
      <c r="S166" s="22" t="n"/>
      <c r="T166" s="21" t="n"/>
      <c r="U166" s="21" t="n"/>
      <c r="V166" s="21" t="n"/>
      <c r="W166" s="21" t="n"/>
      <c r="X166" s="21" t="n"/>
      <c r="Y166" s="22" t="n"/>
    </row>
    <row r="167" ht="22" customHeight="1"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3" t="n"/>
      <c r="P167" s="19" t="n"/>
      <c r="Q167" s="19" t="n"/>
      <c r="R167" s="20" t="n"/>
      <c r="S167" s="20" t="n"/>
      <c r="T167" s="19" t="n"/>
      <c r="U167" s="19" t="n"/>
      <c r="V167" s="19" t="n"/>
      <c r="W167" s="19" t="n"/>
      <c r="X167" s="19" t="n"/>
      <c r="Y167" s="20" t="n"/>
    </row>
    <row r="168" ht="22" customHeight="1"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15" t="n"/>
      <c r="P168" s="21" t="n"/>
      <c r="Q168" s="21" t="n"/>
      <c r="R168" s="22" t="n"/>
      <c r="S168" s="22" t="n"/>
      <c r="T168" s="21" t="n"/>
      <c r="U168" s="21" t="n"/>
      <c r="V168" s="21" t="n"/>
      <c r="W168" s="21" t="n"/>
      <c r="X168" s="21" t="n"/>
      <c r="Y168" s="22" t="n"/>
    </row>
    <row r="169" ht="22" customHeight="1"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3" t="n"/>
      <c r="P169" s="19" t="n"/>
      <c r="Q169" s="19" t="n"/>
      <c r="R169" s="20" t="n"/>
      <c r="S169" s="20" t="n"/>
      <c r="T169" s="19" t="n"/>
      <c r="U169" s="19" t="n"/>
      <c r="V169" s="19" t="n"/>
      <c r="W169" s="19" t="n"/>
      <c r="X169" s="19" t="n"/>
      <c r="Y169" s="20" t="n"/>
    </row>
    <row r="170" ht="22" customHeight="1"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15" t="n"/>
      <c r="P170" s="21" t="n"/>
      <c r="Q170" s="21" t="n"/>
      <c r="R170" s="22" t="n"/>
      <c r="S170" s="22" t="n"/>
      <c r="T170" s="21" t="n"/>
      <c r="U170" s="21" t="n"/>
      <c r="V170" s="21" t="n"/>
      <c r="W170" s="21" t="n"/>
      <c r="X170" s="21" t="n"/>
      <c r="Y170" s="22" t="n"/>
    </row>
    <row r="171" ht="22" customHeight="1"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3" t="n"/>
      <c r="P171" s="19" t="n"/>
      <c r="Q171" s="19" t="n"/>
      <c r="R171" s="20" t="n"/>
      <c r="S171" s="20" t="n"/>
      <c r="T171" s="19" t="n"/>
      <c r="U171" s="19" t="n"/>
      <c r="V171" s="19" t="n"/>
      <c r="W171" s="19" t="n"/>
      <c r="X171" s="19" t="n"/>
      <c r="Y171" s="20" t="n"/>
    </row>
    <row r="172" ht="22" customHeight="1"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15" t="n"/>
      <c r="P172" s="21" t="n"/>
      <c r="Q172" s="21" t="n"/>
      <c r="R172" s="22" t="n"/>
      <c r="S172" s="22" t="n"/>
      <c r="T172" s="21" t="n"/>
      <c r="U172" s="21" t="n"/>
      <c r="V172" s="21" t="n"/>
      <c r="W172" s="21" t="n"/>
      <c r="X172" s="21" t="n"/>
      <c r="Y172" s="22" t="n"/>
    </row>
    <row r="173" ht="22" customHeight="1"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3" t="n"/>
      <c r="P173" s="19" t="n"/>
      <c r="Q173" s="19" t="n"/>
      <c r="R173" s="20" t="n"/>
      <c r="S173" s="20" t="n"/>
      <c r="T173" s="19" t="n"/>
      <c r="U173" s="19" t="n"/>
      <c r="V173" s="19" t="n"/>
      <c r="W173" s="19" t="n"/>
      <c r="X173" s="19" t="n"/>
      <c r="Y173" s="20" t="n"/>
    </row>
    <row r="174" ht="22" customHeight="1"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15" t="n"/>
      <c r="P174" s="21" t="n"/>
      <c r="Q174" s="21" t="n"/>
      <c r="R174" s="22" t="n"/>
      <c r="S174" s="22" t="n"/>
      <c r="T174" s="21" t="n"/>
      <c r="U174" s="21" t="n"/>
      <c r="V174" s="21" t="n"/>
      <c r="W174" s="21" t="n"/>
      <c r="X174" s="21" t="n"/>
      <c r="Y174" s="22" t="n"/>
    </row>
    <row r="175" ht="22" customHeight="1"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3" t="n"/>
      <c r="P175" s="19" t="n"/>
      <c r="Q175" s="19" t="n"/>
      <c r="R175" s="20" t="n"/>
      <c r="S175" s="20" t="n"/>
      <c r="T175" s="19" t="n"/>
      <c r="U175" s="19" t="n"/>
      <c r="V175" s="19" t="n"/>
      <c r="W175" s="19" t="n"/>
      <c r="X175" s="19" t="n"/>
      <c r="Y175" s="20" t="n"/>
    </row>
    <row r="176" ht="22" customHeight="1"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15" t="n"/>
      <c r="P176" s="21" t="n"/>
      <c r="Q176" s="21" t="n"/>
      <c r="R176" s="22" t="n"/>
      <c r="S176" s="22" t="n"/>
      <c r="T176" s="21" t="n"/>
      <c r="U176" s="21" t="n"/>
      <c r="V176" s="21" t="n"/>
      <c r="W176" s="21" t="n"/>
      <c r="X176" s="21" t="n"/>
      <c r="Y176" s="22" t="n"/>
    </row>
    <row r="177" ht="22" customHeight="1"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3" t="n"/>
      <c r="P177" s="19" t="n"/>
      <c r="Q177" s="19" t="n"/>
      <c r="R177" s="20" t="n"/>
      <c r="S177" s="20" t="n"/>
      <c r="T177" s="19" t="n"/>
      <c r="U177" s="19" t="n"/>
      <c r="V177" s="19" t="n"/>
      <c r="W177" s="19" t="n"/>
      <c r="X177" s="19" t="n"/>
      <c r="Y177" s="20" t="n"/>
    </row>
    <row r="178" ht="22" customHeight="1"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15" t="n"/>
      <c r="P178" s="21" t="n"/>
      <c r="Q178" s="21" t="n"/>
      <c r="R178" s="22" t="n"/>
      <c r="S178" s="22" t="n"/>
      <c r="T178" s="21" t="n"/>
      <c r="U178" s="21" t="n"/>
      <c r="V178" s="21" t="n"/>
      <c r="W178" s="21" t="n"/>
      <c r="X178" s="21" t="n"/>
      <c r="Y178" s="22" t="n"/>
    </row>
    <row r="179" ht="22" customHeight="1"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3" t="n"/>
      <c r="P179" s="19" t="n"/>
      <c r="Q179" s="19" t="n"/>
      <c r="R179" s="20" t="n"/>
      <c r="S179" s="20" t="n"/>
      <c r="T179" s="19" t="n"/>
      <c r="U179" s="19" t="n"/>
      <c r="V179" s="19" t="n"/>
      <c r="W179" s="19" t="n"/>
      <c r="X179" s="19" t="n"/>
      <c r="Y179" s="20" t="n"/>
    </row>
    <row r="180" ht="22" customHeight="1"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15" t="n"/>
      <c r="P180" s="21" t="n"/>
      <c r="Q180" s="21" t="n"/>
      <c r="R180" s="22" t="n"/>
      <c r="S180" s="22" t="n"/>
      <c r="T180" s="21" t="n"/>
      <c r="U180" s="21" t="n"/>
      <c r="V180" s="21" t="n"/>
      <c r="W180" s="21" t="n"/>
      <c r="X180" s="21" t="n"/>
      <c r="Y180" s="22" t="n"/>
    </row>
    <row r="181" ht="22" customHeight="1"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3" t="n"/>
      <c r="P181" s="19" t="n"/>
      <c r="Q181" s="19" t="n"/>
      <c r="R181" s="20" t="n"/>
      <c r="S181" s="20" t="n"/>
      <c r="T181" s="19" t="n"/>
      <c r="U181" s="19" t="n"/>
      <c r="V181" s="19" t="n"/>
      <c r="W181" s="19" t="n"/>
      <c r="X181" s="19" t="n"/>
      <c r="Y181" s="20" t="n"/>
    </row>
    <row r="182" ht="22" customHeight="1"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15" t="n"/>
      <c r="P182" s="21" t="n"/>
      <c r="Q182" s="21" t="n"/>
      <c r="R182" s="22" t="n"/>
      <c r="S182" s="22" t="n"/>
      <c r="T182" s="21" t="n"/>
      <c r="U182" s="21" t="n"/>
      <c r="V182" s="21" t="n"/>
      <c r="W182" s="21" t="n"/>
      <c r="X182" s="21" t="n"/>
      <c r="Y182" s="22" t="n"/>
    </row>
    <row r="183" ht="22" customHeight="1"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3" t="n"/>
      <c r="P183" s="19" t="n"/>
      <c r="Q183" s="19" t="n"/>
      <c r="R183" s="20" t="n"/>
      <c r="S183" s="20" t="n"/>
      <c r="T183" s="19" t="n"/>
      <c r="U183" s="19" t="n"/>
      <c r="V183" s="19" t="n"/>
      <c r="W183" s="19" t="n"/>
      <c r="X183" s="19" t="n"/>
      <c r="Y183" s="20" t="n"/>
    </row>
    <row r="184" ht="22" customHeight="1"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15" t="n"/>
      <c r="P184" s="21" t="n"/>
      <c r="Q184" s="21" t="n"/>
      <c r="R184" s="22" t="n"/>
      <c r="S184" s="22" t="n"/>
      <c r="T184" s="21" t="n"/>
      <c r="U184" s="21" t="n"/>
      <c r="V184" s="21" t="n"/>
      <c r="W184" s="21" t="n"/>
      <c r="X184" s="21" t="n"/>
      <c r="Y184" s="22" t="n"/>
    </row>
    <row r="185" ht="22" customHeight="1"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3" t="n"/>
      <c r="P185" s="19" t="n"/>
      <c r="Q185" s="19" t="n"/>
      <c r="R185" s="20" t="n"/>
      <c r="S185" s="20" t="n"/>
      <c r="T185" s="19" t="n"/>
      <c r="U185" s="19" t="n"/>
      <c r="V185" s="19" t="n"/>
      <c r="W185" s="19" t="n"/>
      <c r="X185" s="19" t="n"/>
      <c r="Y185" s="20" t="n"/>
    </row>
    <row r="186" ht="22" customHeight="1"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15" t="n"/>
      <c r="P186" s="21" t="n"/>
      <c r="Q186" s="21" t="n"/>
      <c r="R186" s="22" t="n"/>
      <c r="S186" s="22" t="n"/>
      <c r="T186" s="21" t="n"/>
      <c r="U186" s="21" t="n"/>
      <c r="V186" s="21" t="n"/>
      <c r="W186" s="21" t="n"/>
      <c r="X186" s="21" t="n"/>
      <c r="Y186" s="22" t="n"/>
    </row>
    <row r="187" ht="22" customHeight="1"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3" t="n"/>
      <c r="P187" s="19" t="n"/>
      <c r="Q187" s="19" t="n"/>
      <c r="R187" s="20" t="n"/>
      <c r="S187" s="20" t="n"/>
      <c r="T187" s="19" t="n"/>
      <c r="U187" s="19" t="n"/>
      <c r="V187" s="19" t="n"/>
      <c r="W187" s="19" t="n"/>
      <c r="X187" s="19" t="n"/>
      <c r="Y187" s="20" t="n"/>
    </row>
    <row r="188" ht="22" customHeight="1"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15" t="n"/>
      <c r="P188" s="21" t="n"/>
      <c r="Q188" s="21" t="n"/>
      <c r="R188" s="22" t="n"/>
      <c r="S188" s="22" t="n"/>
      <c r="T188" s="21" t="n"/>
      <c r="U188" s="21" t="n"/>
      <c r="V188" s="21" t="n"/>
      <c r="W188" s="21" t="n"/>
      <c r="X188" s="21" t="n"/>
      <c r="Y188" s="22" t="n"/>
    </row>
    <row r="189" ht="22" customHeight="1"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3" t="n"/>
      <c r="P189" s="19" t="n"/>
      <c r="Q189" s="19" t="n"/>
      <c r="R189" s="20" t="n"/>
      <c r="S189" s="20" t="n"/>
      <c r="T189" s="19" t="n"/>
      <c r="U189" s="19" t="n"/>
      <c r="V189" s="19" t="n"/>
      <c r="W189" s="19" t="n"/>
      <c r="X189" s="19" t="n"/>
      <c r="Y189" s="20" t="n"/>
    </row>
    <row r="190" ht="22" customHeight="1"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15" t="n"/>
      <c r="P190" s="21" t="n"/>
      <c r="Q190" s="21" t="n"/>
      <c r="R190" s="22" t="n"/>
      <c r="S190" s="22" t="n"/>
      <c r="T190" s="21" t="n"/>
      <c r="U190" s="21" t="n"/>
      <c r="V190" s="21" t="n"/>
      <c r="W190" s="21" t="n"/>
      <c r="X190" s="21" t="n"/>
      <c r="Y190" s="22" t="n"/>
    </row>
    <row r="191" ht="22" customHeight="1"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3" t="n"/>
      <c r="P191" s="19" t="n"/>
      <c r="Q191" s="19" t="n"/>
      <c r="R191" s="20" t="n"/>
      <c r="S191" s="20" t="n"/>
      <c r="T191" s="19" t="n"/>
      <c r="U191" s="19" t="n"/>
      <c r="V191" s="19" t="n"/>
      <c r="W191" s="19" t="n"/>
      <c r="X191" s="19" t="n"/>
      <c r="Y191" s="20" t="n"/>
    </row>
    <row r="192" ht="22" customHeight="1"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15" t="n"/>
      <c r="P192" s="21" t="n"/>
      <c r="Q192" s="21" t="n"/>
      <c r="R192" s="22" t="n"/>
      <c r="S192" s="22" t="n"/>
      <c r="T192" s="21" t="n"/>
      <c r="U192" s="21" t="n"/>
      <c r="V192" s="21" t="n"/>
      <c r="W192" s="21" t="n"/>
      <c r="X192" s="21" t="n"/>
      <c r="Y192" s="22" t="n"/>
    </row>
    <row r="193" ht="22" customHeight="1"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3" t="n"/>
      <c r="P193" s="19" t="n"/>
      <c r="Q193" s="19" t="n"/>
      <c r="R193" s="20" t="n"/>
      <c r="S193" s="20" t="n"/>
      <c r="T193" s="19" t="n"/>
      <c r="U193" s="19" t="n"/>
      <c r="V193" s="19" t="n"/>
      <c r="W193" s="19" t="n"/>
      <c r="X193" s="19" t="n"/>
      <c r="Y193" s="20" t="n"/>
    </row>
    <row r="194" ht="22" customHeight="1"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15" t="n"/>
      <c r="P194" s="21" t="n"/>
      <c r="Q194" s="21" t="n"/>
      <c r="R194" s="22" t="n"/>
      <c r="S194" s="22" t="n"/>
      <c r="T194" s="21" t="n"/>
      <c r="U194" s="21" t="n"/>
      <c r="V194" s="21" t="n"/>
      <c r="W194" s="21" t="n"/>
      <c r="X194" s="21" t="n"/>
      <c r="Y194" s="22" t="n"/>
    </row>
    <row r="195" ht="22" customHeight="1"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3" t="n"/>
      <c r="P195" s="19" t="n"/>
      <c r="Q195" s="19" t="n"/>
      <c r="R195" s="20" t="n"/>
      <c r="S195" s="20" t="n"/>
      <c r="T195" s="19" t="n"/>
      <c r="U195" s="19" t="n"/>
      <c r="V195" s="19" t="n"/>
      <c r="W195" s="19" t="n"/>
      <c r="X195" s="19" t="n"/>
      <c r="Y195" s="20" t="n"/>
    </row>
    <row r="196" ht="22" customHeight="1"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15" t="n"/>
      <c r="P196" s="21" t="n"/>
      <c r="Q196" s="21" t="n"/>
      <c r="R196" s="22" t="n"/>
      <c r="S196" s="22" t="n"/>
      <c r="T196" s="21" t="n"/>
      <c r="U196" s="21" t="n"/>
      <c r="V196" s="21" t="n"/>
      <c r="W196" s="21" t="n"/>
      <c r="X196" s="21" t="n"/>
      <c r="Y196" s="22" t="n"/>
    </row>
    <row r="197" ht="22" customHeight="1"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3" t="n"/>
      <c r="P197" s="19" t="n"/>
      <c r="Q197" s="19" t="n"/>
      <c r="R197" s="20" t="n"/>
      <c r="S197" s="20" t="n"/>
      <c r="T197" s="19" t="n"/>
      <c r="U197" s="19" t="n"/>
      <c r="V197" s="19" t="n"/>
      <c r="W197" s="19" t="n"/>
      <c r="X197" s="19" t="n"/>
      <c r="Y197" s="20" t="n"/>
    </row>
    <row r="198" ht="22" customHeight="1"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15" t="n"/>
      <c r="P198" s="21" t="n"/>
      <c r="Q198" s="21" t="n"/>
      <c r="R198" s="22" t="n"/>
      <c r="S198" s="22" t="n"/>
      <c r="T198" s="21" t="n"/>
      <c r="U198" s="21" t="n"/>
      <c r="V198" s="21" t="n"/>
      <c r="W198" s="21" t="n"/>
      <c r="X198" s="21" t="n"/>
      <c r="Y198" s="22" t="n"/>
    </row>
    <row r="199" ht="22" customHeight="1"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3" t="n"/>
      <c r="P199" s="19" t="n"/>
      <c r="Q199" s="19" t="n"/>
      <c r="R199" s="20" t="n"/>
      <c r="S199" s="20" t="n"/>
      <c r="T199" s="19" t="n"/>
      <c r="U199" s="19" t="n"/>
      <c r="V199" s="19" t="n"/>
      <c r="W199" s="19" t="n"/>
      <c r="X199" s="19" t="n"/>
      <c r="Y199" s="20" t="n"/>
    </row>
    <row r="200" ht="22" customHeight="1"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15" t="n"/>
      <c r="P200" s="21" t="n"/>
      <c r="Q200" s="21" t="n"/>
      <c r="R200" s="22" t="n"/>
      <c r="S200" s="22" t="n"/>
      <c r="T200" s="21" t="n"/>
      <c r="U200" s="21" t="n"/>
      <c r="V200" s="21" t="n"/>
      <c r="W200" s="21" t="n"/>
      <c r="X200" s="21" t="n"/>
      <c r="Y200" s="22" t="n"/>
    </row>
    <row r="201" ht="22" customHeight="1"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3" t="n"/>
      <c r="P201" s="19" t="n"/>
      <c r="Q201" s="19" t="n"/>
      <c r="R201" s="20" t="n"/>
      <c r="S201" s="20" t="n"/>
      <c r="T201" s="19" t="n"/>
      <c r="U201" s="19" t="n"/>
      <c r="V201" s="19" t="n"/>
      <c r="W201" s="19" t="n"/>
      <c r="X201" s="19" t="n"/>
      <c r="Y201" s="20" t="n"/>
    </row>
    <row r="202" ht="22" customHeight="1"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15" t="n"/>
      <c r="P202" s="21" t="n"/>
      <c r="Q202" s="21" t="n"/>
      <c r="R202" s="22" t="n"/>
      <c r="S202" s="22" t="n"/>
      <c r="T202" s="21" t="n"/>
      <c r="U202" s="21" t="n"/>
      <c r="V202" s="21" t="n"/>
      <c r="W202" s="21" t="n"/>
      <c r="X202" s="21" t="n"/>
      <c r="Y202" s="22" t="n"/>
    </row>
    <row r="203" ht="22" customHeight="1"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3" t="n"/>
      <c r="P203" s="19" t="n"/>
      <c r="Q203" s="19" t="n"/>
      <c r="R203" s="20" t="n"/>
      <c r="S203" s="20" t="n"/>
      <c r="T203" s="19" t="n"/>
      <c r="U203" s="19" t="n"/>
      <c r="V203" s="19" t="n"/>
      <c r="W203" s="19" t="n"/>
      <c r="X203" s="19" t="n"/>
      <c r="Y203" s="20" t="n"/>
    </row>
    <row r="204" ht="22" customHeight="1"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15" t="n"/>
      <c r="P204" s="21" t="n"/>
      <c r="Q204" s="21" t="n"/>
      <c r="R204" s="22" t="n"/>
      <c r="S204" s="22" t="n"/>
      <c r="T204" s="21" t="n"/>
      <c r="U204" s="21" t="n"/>
      <c r="V204" s="21" t="n"/>
      <c r="W204" s="21" t="n"/>
      <c r="X204" s="21" t="n"/>
      <c r="Y204" s="22" t="n"/>
    </row>
    <row r="205" ht="22" customHeight="1"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3" t="n"/>
      <c r="P205" s="19" t="n"/>
      <c r="Q205" s="19" t="n"/>
      <c r="R205" s="20" t="n"/>
      <c r="S205" s="20" t="n"/>
      <c r="T205" s="19" t="n"/>
      <c r="U205" s="19" t="n"/>
      <c r="V205" s="19" t="n"/>
      <c r="W205" s="19" t="n"/>
      <c r="X205" s="19" t="n"/>
      <c r="Y205" s="20" t="n"/>
    </row>
    <row r="206" ht="22" customHeight="1"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15" t="n"/>
      <c r="P206" s="21" t="n"/>
      <c r="Q206" s="21" t="n"/>
      <c r="R206" s="22" t="n"/>
      <c r="S206" s="22" t="n"/>
      <c r="T206" s="21" t="n"/>
      <c r="U206" s="21" t="n"/>
      <c r="V206" s="21" t="n"/>
      <c r="W206" s="21" t="n"/>
      <c r="X206" s="21" t="n"/>
      <c r="Y206" s="22" t="n"/>
    </row>
    <row r="207" ht="22" customHeight="1"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3" t="n"/>
      <c r="P207" s="19" t="n"/>
      <c r="Q207" s="19" t="n"/>
      <c r="R207" s="20" t="n"/>
      <c r="S207" s="20" t="n"/>
      <c r="T207" s="19" t="n"/>
      <c r="U207" s="19" t="n"/>
      <c r="V207" s="19" t="n"/>
      <c r="W207" s="19" t="n"/>
      <c r="X207" s="19" t="n"/>
      <c r="Y207" s="20" t="n"/>
    </row>
    <row r="208" ht="22" customHeight="1"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15" t="n"/>
      <c r="P208" s="21" t="n"/>
      <c r="Q208" s="21" t="n"/>
      <c r="R208" s="22" t="n"/>
      <c r="S208" s="22" t="n"/>
      <c r="T208" s="21" t="n"/>
      <c r="U208" s="21" t="n"/>
      <c r="V208" s="21" t="n"/>
      <c r="W208" s="21" t="n"/>
      <c r="X208" s="21" t="n"/>
      <c r="Y208" s="22" t="n"/>
    </row>
    <row r="209" ht="22" customHeight="1"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3" t="n"/>
      <c r="P209" s="19" t="n"/>
      <c r="Q209" s="19" t="n"/>
      <c r="R209" s="20" t="n"/>
      <c r="S209" s="20" t="n"/>
      <c r="T209" s="19" t="n"/>
      <c r="U209" s="19" t="n"/>
      <c r="V209" s="19" t="n"/>
      <c r="W209" s="19" t="n"/>
      <c r="X209" s="19" t="n"/>
      <c r="Y209" s="20" t="n"/>
    </row>
    <row r="210" ht="22" customHeight="1"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15" t="n"/>
      <c r="P210" s="21" t="n"/>
      <c r="Q210" s="21" t="n"/>
      <c r="R210" s="22" t="n"/>
      <c r="S210" s="22" t="n"/>
      <c r="T210" s="21" t="n"/>
      <c r="U210" s="21" t="n"/>
      <c r="V210" s="21" t="n"/>
      <c r="W210" s="21" t="n"/>
      <c r="X210" s="21" t="n"/>
      <c r="Y210" s="22" t="n"/>
    </row>
    <row r="211" ht="22" customHeight="1"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3" t="n"/>
      <c r="P211" s="19" t="n"/>
      <c r="Q211" s="19" t="n"/>
      <c r="R211" s="20" t="n"/>
      <c r="S211" s="20" t="n"/>
      <c r="T211" s="19" t="n"/>
      <c r="U211" s="19" t="n"/>
      <c r="V211" s="19" t="n"/>
      <c r="W211" s="19" t="n"/>
      <c r="X211" s="19" t="n"/>
      <c r="Y211" s="20" t="n"/>
    </row>
    <row r="212" ht="22" customHeight="1"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15" t="n"/>
      <c r="P212" s="21" t="n"/>
      <c r="Q212" s="21" t="n"/>
      <c r="R212" s="22" t="n"/>
      <c r="S212" s="22" t="n"/>
      <c r="T212" s="21" t="n"/>
      <c r="U212" s="21" t="n"/>
      <c r="V212" s="21" t="n"/>
      <c r="W212" s="21" t="n"/>
      <c r="X212" s="21" t="n"/>
      <c r="Y212" s="22" t="n"/>
    </row>
    <row r="213" ht="22" customHeight="1"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3" t="n"/>
      <c r="P213" s="19" t="n"/>
      <c r="Q213" s="19" t="n"/>
      <c r="R213" s="20" t="n"/>
      <c r="S213" s="20" t="n"/>
      <c r="T213" s="19" t="n"/>
      <c r="U213" s="19" t="n"/>
      <c r="V213" s="19" t="n"/>
      <c r="W213" s="19" t="n"/>
      <c r="X213" s="19" t="n"/>
      <c r="Y213" s="20" t="n"/>
    </row>
    <row r="214" ht="22" customHeight="1"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15" t="n"/>
      <c r="P214" s="21" t="n"/>
      <c r="Q214" s="21" t="n"/>
      <c r="R214" s="22" t="n"/>
      <c r="S214" s="22" t="n"/>
      <c r="T214" s="21" t="n"/>
      <c r="U214" s="21" t="n"/>
      <c r="V214" s="21" t="n"/>
      <c r="W214" s="21" t="n"/>
      <c r="X214" s="21" t="n"/>
      <c r="Y214" s="22" t="n"/>
    </row>
    <row r="215" ht="22" customHeight="1"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3" t="n"/>
      <c r="P215" s="19" t="n"/>
      <c r="Q215" s="19" t="n"/>
      <c r="R215" s="20" t="n"/>
      <c r="S215" s="20" t="n"/>
      <c r="T215" s="19" t="n"/>
      <c r="U215" s="19" t="n"/>
      <c r="V215" s="19" t="n"/>
      <c r="W215" s="19" t="n"/>
      <c r="X215" s="19" t="n"/>
      <c r="Y215" s="20" t="n"/>
    </row>
    <row r="216" ht="22" customHeight="1"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15" t="n"/>
      <c r="P216" s="21" t="n"/>
      <c r="Q216" s="21" t="n"/>
      <c r="R216" s="22" t="n"/>
      <c r="S216" s="22" t="n"/>
      <c r="T216" s="21" t="n"/>
      <c r="U216" s="21" t="n"/>
      <c r="V216" s="21" t="n"/>
      <c r="W216" s="21" t="n"/>
      <c r="X216" s="21" t="n"/>
      <c r="Y216" s="22" t="n"/>
    </row>
    <row r="217" ht="22" customHeight="1"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3" t="n"/>
      <c r="P217" s="19" t="n"/>
      <c r="Q217" s="19" t="n"/>
      <c r="R217" s="20" t="n"/>
      <c r="S217" s="20" t="n"/>
      <c r="T217" s="19" t="n"/>
      <c r="U217" s="19" t="n"/>
      <c r="V217" s="19" t="n"/>
      <c r="W217" s="19" t="n"/>
      <c r="X217" s="19" t="n"/>
      <c r="Y217" s="20" t="n"/>
    </row>
    <row r="218" ht="22" customHeight="1"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15" t="n"/>
      <c r="P218" s="21" t="n"/>
      <c r="Q218" s="21" t="n"/>
      <c r="R218" s="22" t="n"/>
      <c r="S218" s="22" t="n"/>
      <c r="T218" s="21" t="n"/>
      <c r="U218" s="21" t="n"/>
      <c r="V218" s="21" t="n"/>
      <c r="W218" s="21" t="n"/>
      <c r="X218" s="21" t="n"/>
      <c r="Y218" s="22" t="n"/>
    </row>
    <row r="219" ht="22" customHeight="1"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3" t="n"/>
      <c r="P219" s="19" t="n"/>
      <c r="Q219" s="19" t="n"/>
      <c r="R219" s="20" t="n"/>
      <c r="S219" s="20" t="n"/>
      <c r="T219" s="19" t="n"/>
      <c r="U219" s="19" t="n"/>
      <c r="V219" s="19" t="n"/>
      <c r="W219" s="19" t="n"/>
      <c r="X219" s="19" t="n"/>
      <c r="Y219" s="20" t="n"/>
    </row>
    <row r="220" ht="22" customHeight="1"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15" t="n"/>
      <c r="P220" s="21" t="n"/>
      <c r="Q220" s="21" t="n"/>
      <c r="R220" s="22" t="n"/>
      <c r="S220" s="22" t="n"/>
      <c r="T220" s="21" t="n"/>
      <c r="U220" s="21" t="n"/>
      <c r="V220" s="21" t="n"/>
      <c r="W220" s="21" t="n"/>
      <c r="X220" s="21" t="n"/>
      <c r="Y220" s="22" t="n"/>
    </row>
    <row r="221" ht="22" customHeight="1"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3" t="n"/>
      <c r="P221" s="19" t="n"/>
      <c r="Q221" s="19" t="n"/>
      <c r="R221" s="20" t="n"/>
      <c r="S221" s="20" t="n"/>
      <c r="T221" s="19" t="n"/>
      <c r="U221" s="19" t="n"/>
      <c r="V221" s="19" t="n"/>
      <c r="W221" s="19" t="n"/>
      <c r="X221" s="19" t="n"/>
      <c r="Y221" s="20" t="n"/>
    </row>
    <row r="222" ht="22" customHeight="1"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15" t="n"/>
      <c r="P222" s="21" t="n"/>
      <c r="Q222" s="21" t="n"/>
      <c r="R222" s="22" t="n"/>
      <c r="S222" s="22" t="n"/>
      <c r="T222" s="21" t="n"/>
      <c r="U222" s="21" t="n"/>
      <c r="V222" s="21" t="n"/>
      <c r="W222" s="21" t="n"/>
      <c r="X222" s="21" t="n"/>
      <c r="Y222" s="22" t="n"/>
    </row>
    <row r="223" ht="22" customHeight="1"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3" t="n"/>
      <c r="P223" s="19" t="n"/>
      <c r="Q223" s="19" t="n"/>
      <c r="R223" s="20" t="n"/>
      <c r="S223" s="20" t="n"/>
      <c r="T223" s="19" t="n"/>
      <c r="U223" s="19" t="n"/>
      <c r="V223" s="19" t="n"/>
      <c r="W223" s="19" t="n"/>
      <c r="X223" s="19" t="n"/>
      <c r="Y223" s="20" t="n"/>
    </row>
    <row r="224" ht="22" customHeight="1"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15" t="n"/>
      <c r="P224" s="21" t="n"/>
      <c r="Q224" s="21" t="n"/>
      <c r="R224" s="22" t="n"/>
      <c r="S224" s="22" t="n"/>
      <c r="T224" s="21" t="n"/>
      <c r="U224" s="21" t="n"/>
      <c r="V224" s="21" t="n"/>
      <c r="W224" s="21" t="n"/>
      <c r="X224" s="21" t="n"/>
      <c r="Y224" s="22" t="n"/>
    </row>
    <row r="225" ht="22" customHeight="1"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3" t="n"/>
      <c r="P225" s="19" t="n"/>
      <c r="Q225" s="19" t="n"/>
      <c r="R225" s="20" t="n"/>
      <c r="S225" s="20" t="n"/>
      <c r="T225" s="19" t="n"/>
      <c r="U225" s="19" t="n"/>
      <c r="V225" s="19" t="n"/>
      <c r="W225" s="19" t="n"/>
      <c r="X225" s="19" t="n"/>
      <c r="Y225" s="20" t="n"/>
    </row>
    <row r="226" ht="22" customHeight="1"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15" t="n"/>
      <c r="P226" s="21" t="n"/>
      <c r="Q226" s="21" t="n"/>
      <c r="R226" s="22" t="n"/>
      <c r="S226" s="22" t="n"/>
      <c r="T226" s="21" t="n"/>
      <c r="U226" s="21" t="n"/>
      <c r="V226" s="21" t="n"/>
      <c r="W226" s="21" t="n"/>
      <c r="X226" s="21" t="n"/>
      <c r="Y226" s="22" t="n"/>
    </row>
    <row r="227" ht="22" customHeight="1"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3" t="n"/>
      <c r="P227" s="19" t="n"/>
      <c r="Q227" s="19" t="n"/>
      <c r="R227" s="20" t="n"/>
      <c r="S227" s="20" t="n"/>
      <c r="T227" s="19" t="n"/>
      <c r="U227" s="19" t="n"/>
      <c r="V227" s="19" t="n"/>
      <c r="W227" s="19" t="n"/>
      <c r="X227" s="19" t="n"/>
      <c r="Y227" s="20" t="n"/>
    </row>
    <row r="228" ht="22" customHeight="1"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15" t="n"/>
      <c r="P228" s="21" t="n"/>
      <c r="Q228" s="21" t="n"/>
      <c r="R228" s="22" t="n"/>
      <c r="S228" s="22" t="n"/>
      <c r="T228" s="21" t="n"/>
      <c r="U228" s="21" t="n"/>
      <c r="V228" s="21" t="n"/>
      <c r="W228" s="21" t="n"/>
      <c r="X228" s="21" t="n"/>
      <c r="Y228" s="22" t="n"/>
    </row>
    <row r="229" ht="22" customHeight="1"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3" t="n"/>
      <c r="P229" s="19" t="n"/>
      <c r="Q229" s="19" t="n"/>
      <c r="R229" s="20" t="n"/>
      <c r="S229" s="20" t="n"/>
      <c r="T229" s="19" t="n"/>
      <c r="U229" s="19" t="n"/>
      <c r="V229" s="19" t="n"/>
      <c r="W229" s="19" t="n"/>
      <c r="X229" s="19" t="n"/>
      <c r="Y229" s="20" t="n"/>
    </row>
    <row r="230" ht="22" customHeight="1"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15" t="n"/>
      <c r="P230" s="21" t="n"/>
      <c r="Q230" s="21" t="n"/>
      <c r="R230" s="22" t="n"/>
      <c r="S230" s="22" t="n"/>
      <c r="T230" s="21" t="n"/>
      <c r="U230" s="21" t="n"/>
      <c r="V230" s="21" t="n"/>
      <c r="W230" s="21" t="n"/>
      <c r="X230" s="21" t="n"/>
      <c r="Y230" s="22" t="n"/>
    </row>
    <row r="231" ht="22" customHeight="1"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3" t="n"/>
      <c r="P231" s="19" t="n"/>
      <c r="Q231" s="19" t="n"/>
      <c r="R231" s="20" t="n"/>
      <c r="S231" s="20" t="n"/>
      <c r="T231" s="19" t="n"/>
      <c r="U231" s="19" t="n"/>
      <c r="V231" s="19" t="n"/>
      <c r="W231" s="19" t="n"/>
      <c r="X231" s="19" t="n"/>
      <c r="Y231" s="20" t="n"/>
    </row>
    <row r="232" ht="22" customHeight="1"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15" t="n"/>
      <c r="P232" s="21" t="n"/>
      <c r="Q232" s="21" t="n"/>
      <c r="R232" s="22" t="n"/>
      <c r="S232" s="22" t="n"/>
      <c r="T232" s="21" t="n"/>
      <c r="U232" s="21" t="n"/>
      <c r="V232" s="21" t="n"/>
      <c r="W232" s="21" t="n"/>
      <c r="X232" s="21" t="n"/>
      <c r="Y232" s="22" t="n"/>
    </row>
    <row r="233" ht="22" customHeight="1"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3" t="n"/>
      <c r="P233" s="19" t="n"/>
      <c r="Q233" s="19" t="n"/>
      <c r="R233" s="20" t="n"/>
      <c r="S233" s="20" t="n"/>
      <c r="T233" s="19" t="n"/>
      <c r="U233" s="19" t="n"/>
      <c r="V233" s="19" t="n"/>
      <c r="W233" s="19" t="n"/>
      <c r="X233" s="19" t="n"/>
      <c r="Y233" s="20" t="n"/>
    </row>
    <row r="234" ht="22" customHeight="1"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15" t="n"/>
      <c r="P234" s="21" t="n"/>
      <c r="Q234" s="21" t="n"/>
      <c r="R234" s="22" t="n"/>
      <c r="S234" s="22" t="n"/>
      <c r="T234" s="21" t="n"/>
      <c r="U234" s="21" t="n"/>
      <c r="V234" s="21" t="n"/>
      <c r="W234" s="21" t="n"/>
      <c r="X234" s="21" t="n"/>
      <c r="Y234" s="22" t="n"/>
    </row>
    <row r="235" ht="22" customHeight="1"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3" t="n"/>
      <c r="P235" s="19" t="n"/>
      <c r="Q235" s="19" t="n"/>
      <c r="R235" s="20" t="n"/>
      <c r="S235" s="20" t="n"/>
      <c r="T235" s="19" t="n"/>
      <c r="U235" s="19" t="n"/>
      <c r="V235" s="19" t="n"/>
      <c r="W235" s="19" t="n"/>
      <c r="X235" s="19" t="n"/>
      <c r="Y235" s="20" t="n"/>
    </row>
    <row r="236" ht="22" customHeight="1"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15" t="n"/>
      <c r="P236" s="21" t="n"/>
      <c r="Q236" s="21" t="n"/>
      <c r="R236" s="22" t="n"/>
      <c r="S236" s="22" t="n"/>
      <c r="T236" s="21" t="n"/>
      <c r="U236" s="21" t="n"/>
      <c r="V236" s="21" t="n"/>
      <c r="W236" s="21" t="n"/>
      <c r="X236" s="21" t="n"/>
      <c r="Y236" s="22" t="n"/>
    </row>
    <row r="237" ht="22" customHeight="1"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3" t="n"/>
      <c r="P237" s="19" t="n"/>
      <c r="Q237" s="19" t="n"/>
      <c r="R237" s="20" t="n"/>
      <c r="S237" s="20" t="n"/>
      <c r="T237" s="19" t="n"/>
      <c r="U237" s="19" t="n"/>
      <c r="V237" s="19" t="n"/>
      <c r="W237" s="19" t="n"/>
      <c r="X237" s="19" t="n"/>
      <c r="Y237" s="20" t="n"/>
    </row>
    <row r="238" ht="22" customHeight="1"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15" t="n"/>
      <c r="P238" s="21" t="n"/>
      <c r="Q238" s="21" t="n"/>
      <c r="R238" s="22" t="n"/>
      <c r="S238" s="22" t="n"/>
      <c r="T238" s="21" t="n"/>
      <c r="U238" s="21" t="n"/>
      <c r="V238" s="21" t="n"/>
      <c r="W238" s="21" t="n"/>
      <c r="X238" s="21" t="n"/>
      <c r="Y238" s="22" t="n"/>
    </row>
    <row r="239" ht="22" customHeight="1"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3" t="n"/>
      <c r="P239" s="19" t="n"/>
      <c r="Q239" s="19" t="n"/>
      <c r="R239" s="20" t="n"/>
      <c r="S239" s="20" t="n"/>
      <c r="T239" s="19" t="n"/>
      <c r="U239" s="19" t="n"/>
      <c r="V239" s="19" t="n"/>
      <c r="W239" s="19" t="n"/>
      <c r="X239" s="19" t="n"/>
      <c r="Y239" s="20" t="n"/>
    </row>
    <row r="240" ht="22" customHeight="1"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15" t="n"/>
      <c r="P240" s="21" t="n"/>
      <c r="Q240" s="21" t="n"/>
      <c r="R240" s="22" t="n"/>
      <c r="S240" s="22" t="n"/>
      <c r="T240" s="21" t="n"/>
      <c r="U240" s="21" t="n"/>
      <c r="V240" s="21" t="n"/>
      <c r="W240" s="21" t="n"/>
      <c r="X240" s="21" t="n"/>
      <c r="Y240" s="22" t="n"/>
    </row>
    <row r="241" ht="22" customHeight="1"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3" t="n"/>
      <c r="P241" s="19" t="n"/>
      <c r="Q241" s="19" t="n"/>
      <c r="R241" s="20" t="n"/>
      <c r="S241" s="20" t="n"/>
      <c r="T241" s="19" t="n"/>
      <c r="U241" s="19" t="n"/>
      <c r="V241" s="19" t="n"/>
      <c r="W241" s="19" t="n"/>
      <c r="X241" s="19" t="n"/>
      <c r="Y241" s="20" t="n"/>
    </row>
    <row r="242" ht="22" customHeight="1"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15" t="n"/>
      <c r="P242" s="21" t="n"/>
      <c r="Q242" s="21" t="n"/>
      <c r="R242" s="22" t="n"/>
      <c r="S242" s="22" t="n"/>
      <c r="T242" s="21" t="n"/>
      <c r="U242" s="21" t="n"/>
      <c r="V242" s="21" t="n"/>
      <c r="W242" s="21" t="n"/>
      <c r="X242" s="21" t="n"/>
      <c r="Y242" s="22" t="n"/>
    </row>
    <row r="243" ht="22" customHeight="1"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3" t="n"/>
      <c r="P243" s="19" t="n"/>
      <c r="Q243" s="19" t="n"/>
      <c r="R243" s="20" t="n"/>
      <c r="S243" s="20" t="n"/>
      <c r="T243" s="19" t="n"/>
      <c r="U243" s="19" t="n"/>
      <c r="V243" s="19" t="n"/>
      <c r="W243" s="19" t="n"/>
      <c r="X243" s="19" t="n"/>
      <c r="Y243" s="20" t="n"/>
    </row>
    <row r="244" ht="22" customHeight="1"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15" t="n"/>
      <c r="P244" s="21" t="n"/>
      <c r="Q244" s="21" t="n"/>
      <c r="R244" s="22" t="n"/>
      <c r="S244" s="22" t="n"/>
      <c r="T244" s="21" t="n"/>
      <c r="U244" s="21" t="n"/>
      <c r="V244" s="21" t="n"/>
      <c r="W244" s="21" t="n"/>
      <c r="X244" s="21" t="n"/>
      <c r="Y244" s="22" t="n"/>
    </row>
    <row r="245" ht="22" customHeight="1"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3" t="n"/>
      <c r="P245" s="19" t="n"/>
      <c r="Q245" s="19" t="n"/>
      <c r="R245" s="20" t="n"/>
      <c r="S245" s="20" t="n"/>
      <c r="T245" s="19" t="n"/>
      <c r="U245" s="19" t="n"/>
      <c r="V245" s="19" t="n"/>
      <c r="W245" s="19" t="n"/>
      <c r="X245" s="19" t="n"/>
      <c r="Y245" s="20" t="n"/>
    </row>
    <row r="246" ht="22" customHeight="1"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15" t="n"/>
      <c r="P246" s="21" t="n"/>
      <c r="Q246" s="21" t="n"/>
      <c r="R246" s="22" t="n"/>
      <c r="S246" s="22" t="n"/>
      <c r="T246" s="21" t="n"/>
      <c r="U246" s="21" t="n"/>
      <c r="V246" s="21" t="n"/>
      <c r="W246" s="21" t="n"/>
      <c r="X246" s="21" t="n"/>
      <c r="Y246" s="22" t="n"/>
    </row>
    <row r="247" ht="22" customHeight="1"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3" t="n"/>
      <c r="P247" s="19" t="n"/>
      <c r="Q247" s="19" t="n"/>
      <c r="R247" s="20" t="n"/>
      <c r="S247" s="20" t="n"/>
      <c r="T247" s="19" t="n"/>
      <c r="U247" s="19" t="n"/>
      <c r="V247" s="19" t="n"/>
      <c r="W247" s="19" t="n"/>
      <c r="X247" s="19" t="n"/>
      <c r="Y247" s="20" t="n"/>
    </row>
    <row r="248" ht="22" customHeight="1"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15" t="n"/>
      <c r="P248" s="21" t="n"/>
      <c r="Q248" s="21" t="n"/>
      <c r="R248" s="22" t="n"/>
      <c r="S248" s="22" t="n"/>
      <c r="T248" s="21" t="n"/>
      <c r="U248" s="21" t="n"/>
      <c r="V248" s="21" t="n"/>
      <c r="W248" s="21" t="n"/>
      <c r="X248" s="21" t="n"/>
      <c r="Y248" s="22" t="n"/>
    </row>
    <row r="249" ht="22" customHeight="1"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3" t="n"/>
      <c r="P249" s="19" t="n"/>
      <c r="Q249" s="19" t="n"/>
      <c r="R249" s="20" t="n"/>
      <c r="S249" s="20" t="n"/>
      <c r="T249" s="19" t="n"/>
      <c r="U249" s="19" t="n"/>
      <c r="V249" s="19" t="n"/>
      <c r="W249" s="19" t="n"/>
      <c r="X249" s="19" t="n"/>
      <c r="Y249" s="20" t="n"/>
    </row>
    <row r="250" ht="22" customHeight="1"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15" t="n"/>
      <c r="P250" s="21" t="n"/>
      <c r="Q250" s="21" t="n"/>
      <c r="R250" s="22" t="n"/>
      <c r="S250" s="22" t="n"/>
      <c r="T250" s="21" t="n"/>
      <c r="U250" s="21" t="n"/>
      <c r="V250" s="21" t="n"/>
      <c r="W250" s="21" t="n"/>
      <c r="X250" s="21" t="n"/>
      <c r="Y250" s="22" t="n"/>
    </row>
    <row r="251" ht="22" customHeight="1"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3" t="n"/>
      <c r="P251" s="19" t="n"/>
      <c r="Q251" s="19" t="n"/>
      <c r="R251" s="20" t="n"/>
      <c r="S251" s="20" t="n"/>
      <c r="T251" s="19" t="n"/>
      <c r="U251" s="19" t="n"/>
      <c r="V251" s="19" t="n"/>
      <c r="W251" s="19" t="n"/>
      <c r="X251" s="19" t="n"/>
      <c r="Y251" s="20" t="n"/>
    </row>
    <row r="252" ht="22" customHeight="1"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15" t="n"/>
      <c r="P252" s="21" t="n"/>
      <c r="Q252" s="21" t="n"/>
      <c r="R252" s="22" t="n"/>
      <c r="S252" s="22" t="n"/>
      <c r="T252" s="21" t="n"/>
      <c r="U252" s="21" t="n"/>
      <c r="V252" s="21" t="n"/>
      <c r="W252" s="21" t="n"/>
      <c r="X252" s="21" t="n"/>
      <c r="Y252" s="22" t="n"/>
    </row>
    <row r="253" ht="22" customHeight="1"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3" t="n"/>
      <c r="P253" s="19" t="n"/>
      <c r="Q253" s="19" t="n"/>
      <c r="R253" s="20" t="n"/>
      <c r="S253" s="20" t="n"/>
      <c r="T253" s="19" t="n"/>
      <c r="U253" s="19" t="n"/>
      <c r="V253" s="19" t="n"/>
      <c r="W253" s="19" t="n"/>
      <c r="X253" s="19" t="n"/>
      <c r="Y253" s="20" t="n"/>
    </row>
    <row r="254" ht="22" customHeight="1"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15" t="n"/>
      <c r="P254" s="21" t="n"/>
      <c r="Q254" s="21" t="n"/>
      <c r="R254" s="22" t="n"/>
      <c r="S254" s="22" t="n"/>
      <c r="T254" s="21" t="n"/>
      <c r="U254" s="21" t="n"/>
      <c r="V254" s="21" t="n"/>
      <c r="W254" s="21" t="n"/>
      <c r="X254" s="21" t="n"/>
      <c r="Y254" s="22" t="n"/>
    </row>
    <row r="255" ht="22" customHeight="1"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3" t="n"/>
      <c r="P255" s="19" t="n"/>
      <c r="Q255" s="19" t="n"/>
      <c r="R255" s="20" t="n"/>
      <c r="S255" s="20" t="n"/>
      <c r="T255" s="19" t="n"/>
      <c r="U255" s="19" t="n"/>
      <c r="V255" s="19" t="n"/>
      <c r="W255" s="19" t="n"/>
      <c r="X255" s="19" t="n"/>
      <c r="Y255" s="20" t="n"/>
    </row>
    <row r="256" ht="22" customHeight="1"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15" t="n"/>
      <c r="P256" s="21" t="n"/>
      <c r="Q256" s="21" t="n"/>
      <c r="R256" s="22" t="n"/>
      <c r="S256" s="22" t="n"/>
      <c r="T256" s="21" t="n"/>
      <c r="U256" s="21" t="n"/>
      <c r="V256" s="21" t="n"/>
      <c r="W256" s="21" t="n"/>
      <c r="X256" s="21" t="n"/>
      <c r="Y256" s="22" t="n"/>
    </row>
    <row r="257" ht="22" customHeight="1"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3" t="n"/>
      <c r="P257" s="19" t="n"/>
      <c r="Q257" s="19" t="n"/>
      <c r="R257" s="20" t="n"/>
      <c r="S257" s="20" t="n"/>
      <c r="T257" s="19" t="n"/>
      <c r="U257" s="19" t="n"/>
      <c r="V257" s="19" t="n"/>
      <c r="W257" s="19" t="n"/>
      <c r="X257" s="19" t="n"/>
      <c r="Y257" s="20" t="n"/>
    </row>
    <row r="258" ht="22" customHeight="1"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15" t="n"/>
      <c r="P258" s="21" t="n"/>
      <c r="Q258" s="21" t="n"/>
      <c r="R258" s="22" t="n"/>
      <c r="S258" s="22" t="n"/>
      <c r="T258" s="21" t="n"/>
      <c r="U258" s="21" t="n"/>
      <c r="V258" s="21" t="n"/>
      <c r="W258" s="21" t="n"/>
      <c r="X258" s="21" t="n"/>
      <c r="Y258" s="22" t="n"/>
    </row>
    <row r="259" ht="22" customHeight="1"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3" t="n"/>
      <c r="P259" s="19" t="n"/>
      <c r="Q259" s="19" t="n"/>
      <c r="R259" s="20" t="n"/>
      <c r="S259" s="20" t="n"/>
      <c r="T259" s="19" t="n"/>
      <c r="U259" s="19" t="n"/>
      <c r="V259" s="19" t="n"/>
      <c r="W259" s="19" t="n"/>
      <c r="X259" s="19" t="n"/>
      <c r="Y259" s="20" t="n"/>
    </row>
    <row r="260" ht="22" customHeight="1"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15" t="n"/>
      <c r="P260" s="21" t="n"/>
      <c r="Q260" s="21" t="n"/>
      <c r="R260" s="22" t="n"/>
      <c r="S260" s="22" t="n"/>
      <c r="T260" s="21" t="n"/>
      <c r="U260" s="21" t="n"/>
      <c r="V260" s="21" t="n"/>
      <c r="W260" s="21" t="n"/>
      <c r="X260" s="21" t="n"/>
      <c r="Y260" s="22" t="n"/>
    </row>
    <row r="261" ht="22" customHeight="1"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3" t="n"/>
      <c r="P261" s="19" t="n"/>
      <c r="Q261" s="19" t="n"/>
      <c r="R261" s="20" t="n"/>
      <c r="S261" s="20" t="n"/>
      <c r="T261" s="19" t="n"/>
      <c r="U261" s="19" t="n"/>
      <c r="V261" s="19" t="n"/>
      <c r="W261" s="19" t="n"/>
      <c r="X261" s="19" t="n"/>
      <c r="Y261" s="20" t="n"/>
    </row>
    <row r="262" ht="22" customHeight="1"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15" t="n"/>
      <c r="P262" s="21" t="n"/>
      <c r="Q262" s="21" t="n"/>
      <c r="R262" s="22" t="n"/>
      <c r="S262" s="22" t="n"/>
      <c r="T262" s="21" t="n"/>
      <c r="U262" s="21" t="n"/>
      <c r="V262" s="21" t="n"/>
      <c r="W262" s="21" t="n"/>
      <c r="X262" s="21" t="n"/>
      <c r="Y262" s="22" t="n"/>
    </row>
    <row r="263" ht="22" customHeight="1"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3" t="n"/>
      <c r="P263" s="19" t="n"/>
      <c r="Q263" s="19" t="n"/>
      <c r="R263" s="20" t="n"/>
      <c r="S263" s="20" t="n"/>
      <c r="T263" s="19" t="n"/>
      <c r="U263" s="19" t="n"/>
      <c r="V263" s="19" t="n"/>
      <c r="W263" s="19" t="n"/>
      <c r="X263" s="19" t="n"/>
      <c r="Y263" s="20" t="n"/>
    </row>
    <row r="264" ht="22" customHeight="1"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15" t="n"/>
      <c r="P264" s="21" t="n"/>
      <c r="Q264" s="21" t="n"/>
      <c r="R264" s="22" t="n"/>
      <c r="S264" s="22" t="n"/>
      <c r="T264" s="21" t="n"/>
      <c r="U264" s="21" t="n"/>
      <c r="V264" s="21" t="n"/>
      <c r="W264" s="21" t="n"/>
      <c r="X264" s="21" t="n"/>
      <c r="Y264" s="22" t="n"/>
    </row>
    <row r="265" ht="22" customHeight="1"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3" t="n"/>
      <c r="P265" s="19" t="n"/>
      <c r="Q265" s="19" t="n"/>
      <c r="R265" s="20" t="n"/>
      <c r="S265" s="20" t="n"/>
      <c r="T265" s="19" t="n"/>
      <c r="U265" s="19" t="n"/>
      <c r="V265" s="19" t="n"/>
      <c r="W265" s="19" t="n"/>
      <c r="X265" s="19" t="n"/>
      <c r="Y265" s="20" t="n"/>
    </row>
    <row r="266" ht="22" customHeight="1"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15" t="n"/>
      <c r="P266" s="21" t="n"/>
      <c r="Q266" s="21" t="n"/>
      <c r="R266" s="22" t="n"/>
      <c r="S266" s="22" t="n"/>
      <c r="T266" s="21" t="n"/>
      <c r="U266" s="21" t="n"/>
      <c r="V266" s="21" t="n"/>
      <c r="W266" s="21" t="n"/>
      <c r="X266" s="21" t="n"/>
      <c r="Y266" s="22" t="n"/>
    </row>
    <row r="267" ht="22" customHeight="1"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3" t="n"/>
      <c r="P267" s="19" t="n"/>
      <c r="Q267" s="19" t="n"/>
      <c r="R267" s="20" t="n"/>
      <c r="S267" s="20" t="n"/>
      <c r="T267" s="19" t="n"/>
      <c r="U267" s="19" t="n"/>
      <c r="V267" s="19" t="n"/>
      <c r="W267" s="19" t="n"/>
      <c r="X267" s="19" t="n"/>
      <c r="Y267" s="20" t="n"/>
    </row>
    <row r="268" ht="22" customHeight="1"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15" t="n"/>
      <c r="P268" s="21" t="n"/>
      <c r="Q268" s="21" t="n"/>
      <c r="R268" s="22" t="n"/>
      <c r="S268" s="22" t="n"/>
      <c r="T268" s="21" t="n"/>
      <c r="U268" s="21" t="n"/>
      <c r="V268" s="21" t="n"/>
      <c r="W268" s="21" t="n"/>
      <c r="X268" s="21" t="n"/>
      <c r="Y268" s="22" t="n"/>
    </row>
    <row r="269" ht="22" customHeight="1"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3" t="n"/>
      <c r="P269" s="19" t="n"/>
      <c r="Q269" s="19" t="n"/>
      <c r="R269" s="20" t="n"/>
      <c r="S269" s="20" t="n"/>
      <c r="T269" s="19" t="n"/>
      <c r="U269" s="19" t="n"/>
      <c r="V269" s="19" t="n"/>
      <c r="W269" s="19" t="n"/>
      <c r="X269" s="19" t="n"/>
      <c r="Y269" s="20" t="n"/>
    </row>
    <row r="270" ht="22" customHeight="1"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15" t="n"/>
      <c r="P270" s="21" t="n"/>
      <c r="Q270" s="21" t="n"/>
      <c r="R270" s="22" t="n"/>
      <c r="S270" s="22" t="n"/>
      <c r="T270" s="21" t="n"/>
      <c r="U270" s="21" t="n"/>
      <c r="V270" s="21" t="n"/>
      <c r="W270" s="21" t="n"/>
      <c r="X270" s="21" t="n"/>
      <c r="Y270" s="22" t="n"/>
    </row>
    <row r="271" ht="22" customHeight="1"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3" t="n"/>
      <c r="P271" s="19" t="n"/>
      <c r="Q271" s="19" t="n"/>
      <c r="R271" s="20" t="n"/>
      <c r="S271" s="20" t="n"/>
      <c r="T271" s="19" t="n"/>
      <c r="U271" s="19" t="n"/>
      <c r="V271" s="19" t="n"/>
      <c r="W271" s="19" t="n"/>
      <c r="X271" s="19" t="n"/>
      <c r="Y271" s="20" t="n"/>
    </row>
    <row r="272" ht="22" customHeight="1"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15" t="n"/>
      <c r="P272" s="21" t="n"/>
      <c r="Q272" s="21" t="n"/>
      <c r="R272" s="22" t="n"/>
      <c r="S272" s="22" t="n"/>
      <c r="T272" s="21" t="n"/>
      <c r="U272" s="21" t="n"/>
      <c r="V272" s="21" t="n"/>
      <c r="W272" s="21" t="n"/>
      <c r="X272" s="21" t="n"/>
      <c r="Y272" s="22" t="n"/>
    </row>
    <row r="273" ht="22" customHeight="1"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3" t="n"/>
      <c r="P273" s="19" t="n"/>
      <c r="Q273" s="19" t="n"/>
      <c r="R273" s="20" t="n"/>
      <c r="S273" s="20" t="n"/>
      <c r="T273" s="19" t="n"/>
      <c r="U273" s="19" t="n"/>
      <c r="V273" s="19" t="n"/>
      <c r="W273" s="19" t="n"/>
      <c r="X273" s="19" t="n"/>
      <c r="Y273" s="20" t="n"/>
    </row>
    <row r="274" ht="22" customHeight="1"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15" t="n"/>
      <c r="P274" s="21" t="n"/>
      <c r="Q274" s="21" t="n"/>
      <c r="R274" s="22" t="n"/>
      <c r="S274" s="22" t="n"/>
      <c r="T274" s="21" t="n"/>
      <c r="U274" s="21" t="n"/>
      <c r="V274" s="21" t="n"/>
      <c r="W274" s="21" t="n"/>
      <c r="X274" s="21" t="n"/>
      <c r="Y274" s="22" t="n"/>
    </row>
    <row r="275" ht="22" customHeight="1"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3" t="n"/>
      <c r="P275" s="19" t="n"/>
      <c r="Q275" s="19" t="n"/>
      <c r="R275" s="20" t="n"/>
      <c r="S275" s="20" t="n"/>
      <c r="T275" s="19" t="n"/>
      <c r="U275" s="19" t="n"/>
      <c r="V275" s="19" t="n"/>
      <c r="W275" s="19" t="n"/>
      <c r="X275" s="19" t="n"/>
      <c r="Y275" s="20" t="n"/>
    </row>
    <row r="276" ht="22" customHeight="1"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15" t="n"/>
      <c r="P276" s="21" t="n"/>
      <c r="Q276" s="21" t="n"/>
      <c r="R276" s="22" t="n"/>
      <c r="S276" s="22" t="n"/>
      <c r="T276" s="21" t="n"/>
      <c r="U276" s="21" t="n"/>
      <c r="V276" s="21" t="n"/>
      <c r="W276" s="21" t="n"/>
      <c r="X276" s="21" t="n"/>
      <c r="Y276" s="22" t="n"/>
    </row>
    <row r="277" ht="22" customHeight="1"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3" t="n"/>
      <c r="P277" s="19" t="n"/>
      <c r="Q277" s="19" t="n"/>
      <c r="R277" s="20" t="n"/>
      <c r="S277" s="20" t="n"/>
      <c r="T277" s="19" t="n"/>
      <c r="U277" s="19" t="n"/>
      <c r="V277" s="19" t="n"/>
      <c r="W277" s="19" t="n"/>
      <c r="X277" s="19" t="n"/>
      <c r="Y277" s="20" t="n"/>
    </row>
    <row r="278" ht="22" customHeight="1"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15" t="n"/>
      <c r="P278" s="21" t="n"/>
      <c r="Q278" s="21" t="n"/>
      <c r="R278" s="22" t="n"/>
      <c r="S278" s="22" t="n"/>
      <c r="T278" s="21" t="n"/>
      <c r="U278" s="21" t="n"/>
      <c r="V278" s="21" t="n"/>
      <c r="W278" s="21" t="n"/>
      <c r="X278" s="21" t="n"/>
      <c r="Y278" s="22" t="n"/>
    </row>
    <row r="279" ht="22" customHeight="1"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3" t="n"/>
      <c r="P279" s="19" t="n"/>
      <c r="Q279" s="19" t="n"/>
      <c r="R279" s="20" t="n"/>
      <c r="S279" s="20" t="n"/>
      <c r="T279" s="19" t="n"/>
      <c r="U279" s="19" t="n"/>
      <c r="V279" s="19" t="n"/>
      <c r="W279" s="19" t="n"/>
      <c r="X279" s="19" t="n"/>
      <c r="Y279" s="20" t="n"/>
    </row>
    <row r="280" ht="22" customHeight="1"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15" t="n"/>
      <c r="P280" s="21" t="n"/>
      <c r="Q280" s="21" t="n"/>
      <c r="R280" s="22" t="n"/>
      <c r="S280" s="22" t="n"/>
      <c r="T280" s="21" t="n"/>
      <c r="U280" s="21" t="n"/>
      <c r="V280" s="21" t="n"/>
      <c r="W280" s="21" t="n"/>
      <c r="X280" s="21" t="n"/>
      <c r="Y280" s="22" t="n"/>
    </row>
    <row r="281" ht="22" customHeight="1"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3" t="n"/>
      <c r="P281" s="19" t="n"/>
      <c r="Q281" s="19" t="n"/>
      <c r="R281" s="20" t="n"/>
      <c r="S281" s="20" t="n"/>
      <c r="T281" s="19" t="n"/>
      <c r="U281" s="19" t="n"/>
      <c r="V281" s="19" t="n"/>
      <c r="W281" s="19" t="n"/>
      <c r="X281" s="19" t="n"/>
      <c r="Y281" s="20" t="n"/>
    </row>
    <row r="282" ht="22" customHeight="1"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15" t="n"/>
      <c r="P282" s="21" t="n"/>
      <c r="Q282" s="21" t="n"/>
      <c r="R282" s="22" t="n"/>
      <c r="S282" s="22" t="n"/>
      <c r="T282" s="21" t="n"/>
      <c r="U282" s="21" t="n"/>
      <c r="V282" s="21" t="n"/>
      <c r="W282" s="21" t="n"/>
      <c r="X282" s="21" t="n"/>
      <c r="Y282" s="22" t="n"/>
    </row>
    <row r="283" ht="22" customHeight="1"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3" t="n"/>
      <c r="P283" s="19" t="n"/>
      <c r="Q283" s="19" t="n"/>
      <c r="R283" s="20" t="n"/>
      <c r="S283" s="20" t="n"/>
      <c r="T283" s="19" t="n"/>
      <c r="U283" s="19" t="n"/>
      <c r="V283" s="19" t="n"/>
      <c r="W283" s="19" t="n"/>
      <c r="X283" s="19" t="n"/>
      <c r="Y283" s="20" t="n"/>
    </row>
    <row r="284" ht="22" customHeight="1"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15" t="n"/>
      <c r="P284" s="21" t="n"/>
      <c r="Q284" s="21" t="n"/>
      <c r="R284" s="22" t="n"/>
      <c r="S284" s="22" t="n"/>
      <c r="T284" s="21" t="n"/>
      <c r="U284" s="21" t="n"/>
      <c r="V284" s="21" t="n"/>
      <c r="W284" s="21" t="n"/>
      <c r="X284" s="21" t="n"/>
      <c r="Y284" s="22" t="n"/>
    </row>
    <row r="285" ht="22" customHeight="1"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3" t="n"/>
      <c r="P285" s="19" t="n"/>
      <c r="Q285" s="19" t="n"/>
      <c r="R285" s="20" t="n"/>
      <c r="S285" s="20" t="n"/>
      <c r="T285" s="19" t="n"/>
      <c r="U285" s="19" t="n"/>
      <c r="V285" s="19" t="n"/>
      <c r="W285" s="19" t="n"/>
      <c r="X285" s="19" t="n"/>
      <c r="Y285" s="20" t="n"/>
    </row>
    <row r="286" ht="22" customHeight="1"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15" t="n"/>
      <c r="P286" s="21" t="n"/>
      <c r="Q286" s="21" t="n"/>
      <c r="R286" s="22" t="n"/>
      <c r="S286" s="22" t="n"/>
      <c r="T286" s="21" t="n"/>
      <c r="U286" s="21" t="n"/>
      <c r="V286" s="21" t="n"/>
      <c r="W286" s="21" t="n"/>
      <c r="X286" s="21" t="n"/>
      <c r="Y286" s="22" t="n"/>
    </row>
    <row r="287" ht="22" customHeight="1"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3" t="n"/>
      <c r="P287" s="19" t="n"/>
      <c r="Q287" s="19" t="n"/>
      <c r="R287" s="20" t="n"/>
      <c r="S287" s="20" t="n"/>
      <c r="T287" s="19" t="n"/>
      <c r="U287" s="19" t="n"/>
      <c r="V287" s="19" t="n"/>
      <c r="W287" s="19" t="n"/>
      <c r="X287" s="19" t="n"/>
      <c r="Y287" s="20" t="n"/>
    </row>
    <row r="288" ht="22" customHeight="1"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15" t="n"/>
      <c r="P288" s="21" t="n"/>
      <c r="Q288" s="21" t="n"/>
      <c r="R288" s="22" t="n"/>
      <c r="S288" s="22" t="n"/>
      <c r="T288" s="21" t="n"/>
      <c r="U288" s="21" t="n"/>
      <c r="V288" s="21" t="n"/>
      <c r="W288" s="21" t="n"/>
      <c r="X288" s="21" t="n"/>
      <c r="Y288" s="22" t="n"/>
    </row>
    <row r="289" ht="22" customHeight="1"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3" t="n"/>
      <c r="P289" s="19" t="n"/>
      <c r="Q289" s="19" t="n"/>
      <c r="R289" s="20" t="n"/>
      <c r="S289" s="20" t="n"/>
      <c r="T289" s="19" t="n"/>
      <c r="U289" s="19" t="n"/>
      <c r="V289" s="19" t="n"/>
      <c r="W289" s="19" t="n"/>
      <c r="X289" s="19" t="n"/>
      <c r="Y289" s="20" t="n"/>
    </row>
    <row r="290" ht="22" customHeight="1"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15" t="n"/>
      <c r="P290" s="21" t="n"/>
      <c r="Q290" s="21" t="n"/>
      <c r="R290" s="22" t="n"/>
      <c r="S290" s="22" t="n"/>
      <c r="T290" s="21" t="n"/>
      <c r="U290" s="21" t="n"/>
      <c r="V290" s="21" t="n"/>
      <c r="W290" s="21" t="n"/>
      <c r="X290" s="21" t="n"/>
      <c r="Y290" s="22" t="n"/>
    </row>
    <row r="291" ht="22" customHeight="1"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3" t="n"/>
      <c r="P291" s="19" t="n"/>
      <c r="Q291" s="19" t="n"/>
      <c r="R291" s="20" t="n"/>
      <c r="S291" s="20" t="n"/>
      <c r="T291" s="19" t="n"/>
      <c r="U291" s="19" t="n"/>
      <c r="V291" s="19" t="n"/>
      <c r="W291" s="19" t="n"/>
      <c r="X291" s="19" t="n"/>
      <c r="Y291" s="20" t="n"/>
    </row>
    <row r="292" ht="22" customHeight="1"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15" t="n"/>
      <c r="P292" s="21" t="n"/>
      <c r="Q292" s="21" t="n"/>
      <c r="R292" s="22" t="n"/>
      <c r="S292" s="22" t="n"/>
      <c r="T292" s="21" t="n"/>
      <c r="U292" s="21" t="n"/>
      <c r="V292" s="21" t="n"/>
      <c r="W292" s="21" t="n"/>
      <c r="X292" s="21" t="n"/>
      <c r="Y292" s="22" t="n"/>
    </row>
    <row r="293" ht="22" customHeight="1"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3" t="n"/>
      <c r="P293" s="19" t="n"/>
      <c r="Q293" s="19" t="n"/>
      <c r="R293" s="20" t="n"/>
      <c r="S293" s="20" t="n"/>
      <c r="T293" s="19" t="n"/>
      <c r="U293" s="19" t="n"/>
      <c r="V293" s="19" t="n"/>
      <c r="W293" s="19" t="n"/>
      <c r="X293" s="19" t="n"/>
      <c r="Y293" s="20" t="n"/>
    </row>
    <row r="294" ht="22" customHeight="1"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15" t="n"/>
      <c r="P294" s="21" t="n"/>
      <c r="Q294" s="21" t="n"/>
      <c r="R294" s="22" t="n"/>
      <c r="S294" s="22" t="n"/>
      <c r="T294" s="21" t="n"/>
      <c r="U294" s="21" t="n"/>
      <c r="V294" s="21" t="n"/>
      <c r="W294" s="21" t="n"/>
      <c r="X294" s="21" t="n"/>
      <c r="Y294" s="22" t="n"/>
    </row>
    <row r="295" ht="22" customHeight="1"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3" t="n"/>
      <c r="P295" s="19" t="n"/>
      <c r="Q295" s="19" t="n"/>
      <c r="R295" s="20" t="n"/>
      <c r="S295" s="20" t="n"/>
      <c r="T295" s="19" t="n"/>
      <c r="U295" s="19" t="n"/>
      <c r="V295" s="19" t="n"/>
      <c r="W295" s="19" t="n"/>
      <c r="X295" s="19" t="n"/>
      <c r="Y295" s="20" t="n"/>
    </row>
    <row r="296" ht="22" customHeight="1"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15" t="n"/>
      <c r="P296" s="21" t="n"/>
      <c r="Q296" s="21" t="n"/>
      <c r="R296" s="22" t="n"/>
      <c r="S296" s="22" t="n"/>
      <c r="T296" s="21" t="n"/>
      <c r="U296" s="21" t="n"/>
      <c r="V296" s="21" t="n"/>
      <c r="W296" s="21" t="n"/>
      <c r="X296" s="21" t="n"/>
      <c r="Y296" s="22" t="n"/>
    </row>
    <row r="297" ht="22" customHeight="1"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3" t="n"/>
      <c r="P297" s="19" t="n"/>
      <c r="Q297" s="19" t="n"/>
      <c r="R297" s="20" t="n"/>
      <c r="S297" s="20" t="n"/>
      <c r="T297" s="19" t="n"/>
      <c r="U297" s="19" t="n"/>
      <c r="V297" s="19" t="n"/>
      <c r="W297" s="19" t="n"/>
      <c r="X297" s="19" t="n"/>
      <c r="Y297" s="20" t="n"/>
    </row>
    <row r="298" ht="22" customHeight="1"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15" t="n"/>
      <c r="P298" s="21" t="n"/>
      <c r="Q298" s="21" t="n"/>
      <c r="R298" s="22" t="n"/>
      <c r="S298" s="22" t="n"/>
      <c r="T298" s="21" t="n"/>
      <c r="U298" s="21" t="n"/>
      <c r="V298" s="21" t="n"/>
      <c r="W298" s="21" t="n"/>
      <c r="X298" s="21" t="n"/>
      <c r="Y298" s="22" t="n"/>
    </row>
    <row r="299" ht="22" customHeight="1"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3" t="n"/>
      <c r="P299" s="19" t="n"/>
      <c r="Q299" s="19" t="n"/>
      <c r="R299" s="20" t="n"/>
      <c r="S299" s="20" t="n"/>
      <c r="T299" s="19" t="n"/>
      <c r="U299" s="19" t="n"/>
      <c r="V299" s="19" t="n"/>
      <c r="W299" s="19" t="n"/>
      <c r="X299" s="19" t="n"/>
      <c r="Y299" s="20" t="n"/>
    </row>
    <row r="300" ht="22" customHeight="1"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15" t="n"/>
      <c r="P300" s="21" t="n"/>
      <c r="Q300" s="21" t="n"/>
      <c r="R300" s="22" t="n"/>
      <c r="S300" s="22" t="n"/>
      <c r="T300" s="21" t="n"/>
      <c r="U300" s="21" t="n"/>
      <c r="V300" s="21" t="n"/>
      <c r="W300" s="21" t="n"/>
      <c r="X300" s="21" t="n"/>
      <c r="Y300" s="22" t="n"/>
    </row>
    <row r="301" ht="22" customHeight="1"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3" t="n"/>
      <c r="P301" s="19" t="n"/>
      <c r="Q301" s="19" t="n"/>
      <c r="R301" s="20" t="n"/>
      <c r="S301" s="20" t="n"/>
      <c r="T301" s="19" t="n"/>
      <c r="U301" s="19" t="n"/>
      <c r="V301" s="19" t="n"/>
      <c r="W301" s="19" t="n"/>
      <c r="X301" s="19" t="n"/>
      <c r="Y301" s="20" t="n"/>
    </row>
    <row r="302" ht="22" customHeight="1"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15" t="n"/>
      <c r="P302" s="21" t="n"/>
      <c r="Q302" s="21" t="n"/>
      <c r="R302" s="22" t="n"/>
      <c r="S302" s="22" t="n"/>
      <c r="T302" s="21" t="n"/>
      <c r="U302" s="21" t="n"/>
      <c r="V302" s="21" t="n"/>
      <c r="W302" s="21" t="n"/>
      <c r="X302" s="21" t="n"/>
      <c r="Y302" s="22" t="n"/>
    </row>
    <row r="303" ht="22" customHeight="1"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3" t="n"/>
      <c r="P303" s="19" t="n"/>
      <c r="Q303" s="19" t="n"/>
      <c r="R303" s="20" t="n"/>
      <c r="S303" s="20" t="n"/>
      <c r="T303" s="19" t="n"/>
      <c r="U303" s="19" t="n"/>
      <c r="V303" s="19" t="n"/>
      <c r="W303" s="19" t="n"/>
      <c r="X303" s="19" t="n"/>
      <c r="Y303" s="20" t="n"/>
    </row>
    <row r="304" ht="22" customHeight="1"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15" t="n"/>
      <c r="P304" s="21" t="n"/>
      <c r="Q304" s="21" t="n"/>
      <c r="R304" s="22" t="n"/>
      <c r="S304" s="22" t="n"/>
      <c r="T304" s="21" t="n"/>
      <c r="U304" s="21" t="n"/>
      <c r="V304" s="21" t="n"/>
      <c r="W304" s="21" t="n"/>
      <c r="X304" s="21" t="n"/>
      <c r="Y304" s="22" t="n"/>
    </row>
    <row r="305" ht="22" customHeight="1"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3" t="n"/>
      <c r="P305" s="19" t="n"/>
      <c r="Q305" s="19" t="n"/>
      <c r="R305" s="20" t="n"/>
      <c r="S305" s="20" t="n"/>
      <c r="T305" s="19" t="n"/>
      <c r="U305" s="19" t="n"/>
      <c r="V305" s="19" t="n"/>
      <c r="W305" s="19" t="n"/>
      <c r="X305" s="19" t="n"/>
      <c r="Y305" s="20" t="n"/>
    </row>
    <row r="306" ht="22" customHeight="1"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15" t="n"/>
      <c r="P306" s="21" t="n"/>
      <c r="Q306" s="21" t="n"/>
      <c r="R306" s="22" t="n"/>
      <c r="S306" s="22" t="n"/>
      <c r="T306" s="21" t="n"/>
      <c r="U306" s="21" t="n"/>
      <c r="V306" s="21" t="n"/>
      <c r="W306" s="21" t="n"/>
      <c r="X306" s="21" t="n"/>
      <c r="Y306" s="22" t="n"/>
    </row>
    <row r="307" ht="22" customHeight="1"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3" t="n"/>
      <c r="P307" s="19" t="n"/>
      <c r="Q307" s="19" t="n"/>
      <c r="R307" s="20" t="n"/>
      <c r="S307" s="20" t="n"/>
      <c r="T307" s="19" t="n"/>
      <c r="U307" s="19" t="n"/>
      <c r="V307" s="19" t="n"/>
      <c r="W307" s="19" t="n"/>
      <c r="X307" s="19" t="n"/>
      <c r="Y307" s="20" t="n"/>
    </row>
    <row r="308" ht="22" customHeight="1"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15" t="n"/>
      <c r="P308" s="21" t="n"/>
      <c r="Q308" s="21" t="n"/>
      <c r="R308" s="22" t="n"/>
      <c r="S308" s="22" t="n"/>
      <c r="T308" s="21" t="n"/>
      <c r="U308" s="21" t="n"/>
      <c r="V308" s="21" t="n"/>
      <c r="W308" s="21" t="n"/>
      <c r="X308" s="21" t="n"/>
      <c r="Y308" s="22" t="n"/>
    </row>
    <row r="309" ht="22" customHeight="1"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3" t="n"/>
      <c r="P309" s="19" t="n"/>
      <c r="Q309" s="19" t="n"/>
      <c r="R309" s="20" t="n"/>
      <c r="S309" s="20" t="n"/>
      <c r="T309" s="19" t="n"/>
      <c r="U309" s="19" t="n"/>
      <c r="V309" s="19" t="n"/>
      <c r="W309" s="19" t="n"/>
      <c r="X309" s="19" t="n"/>
      <c r="Y309" s="20" t="n"/>
    </row>
    <row r="310" ht="22" customHeight="1"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15" t="n"/>
      <c r="P310" s="21" t="n"/>
      <c r="Q310" s="21" t="n"/>
      <c r="R310" s="22" t="n"/>
      <c r="S310" s="22" t="n"/>
      <c r="T310" s="21" t="n"/>
      <c r="U310" s="21" t="n"/>
      <c r="V310" s="21" t="n"/>
      <c r="W310" s="21" t="n"/>
      <c r="X310" s="21" t="n"/>
      <c r="Y310" s="22" t="n"/>
    </row>
    <row r="311" ht="22" customHeight="1"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3" t="n"/>
      <c r="P311" s="19" t="n"/>
      <c r="Q311" s="19" t="n"/>
      <c r="R311" s="20" t="n"/>
      <c r="S311" s="20" t="n"/>
      <c r="T311" s="19" t="n"/>
      <c r="U311" s="19" t="n"/>
      <c r="V311" s="19" t="n"/>
      <c r="W311" s="19" t="n"/>
      <c r="X311" s="19" t="n"/>
      <c r="Y311" s="20" t="n"/>
    </row>
    <row r="312" ht="22" customHeight="1"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15" t="n"/>
      <c r="P312" s="21" t="n"/>
      <c r="Q312" s="21" t="n"/>
      <c r="R312" s="22" t="n"/>
      <c r="S312" s="22" t="n"/>
      <c r="T312" s="21" t="n"/>
      <c r="U312" s="21" t="n"/>
      <c r="V312" s="21" t="n"/>
      <c r="W312" s="21" t="n"/>
      <c r="X312" s="21" t="n"/>
      <c r="Y312" s="22" t="n"/>
    </row>
    <row r="313" ht="22" customHeight="1"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3" t="n"/>
      <c r="P313" s="19" t="n"/>
      <c r="Q313" s="19" t="n"/>
      <c r="R313" s="20" t="n"/>
      <c r="S313" s="20" t="n"/>
      <c r="T313" s="19" t="n"/>
      <c r="U313" s="19" t="n"/>
      <c r="V313" s="19" t="n"/>
      <c r="W313" s="19" t="n"/>
      <c r="X313" s="19" t="n"/>
      <c r="Y313" s="20" t="n"/>
    </row>
    <row r="314" ht="22" customHeight="1"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15" t="n"/>
      <c r="P314" s="21" t="n"/>
      <c r="Q314" s="21" t="n"/>
      <c r="R314" s="22" t="n"/>
      <c r="S314" s="22" t="n"/>
      <c r="T314" s="21" t="n"/>
      <c r="U314" s="21" t="n"/>
      <c r="V314" s="21" t="n"/>
      <c r="W314" s="21" t="n"/>
      <c r="X314" s="21" t="n"/>
      <c r="Y314" s="22" t="n"/>
    </row>
    <row r="315" ht="22" customHeight="1"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3" t="n"/>
      <c r="P315" s="19" t="n"/>
      <c r="Q315" s="19" t="n"/>
      <c r="R315" s="20" t="n"/>
      <c r="S315" s="20" t="n"/>
      <c r="T315" s="19" t="n"/>
      <c r="U315" s="19" t="n"/>
      <c r="V315" s="19" t="n"/>
      <c r="W315" s="19" t="n"/>
      <c r="X315" s="19" t="n"/>
      <c r="Y315" s="20" t="n"/>
    </row>
    <row r="316" ht="22" customHeight="1"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15" t="n"/>
      <c r="P316" s="21" t="n"/>
      <c r="Q316" s="21" t="n"/>
      <c r="R316" s="22" t="n"/>
      <c r="S316" s="22" t="n"/>
      <c r="T316" s="21" t="n"/>
      <c r="U316" s="21" t="n"/>
      <c r="V316" s="21" t="n"/>
      <c r="W316" s="21" t="n"/>
      <c r="X316" s="21" t="n"/>
      <c r="Y316" s="22" t="n"/>
    </row>
    <row r="317" ht="22" customHeight="1"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3" t="n"/>
      <c r="P317" s="19" t="n"/>
      <c r="Q317" s="19" t="n"/>
      <c r="R317" s="20" t="n"/>
      <c r="S317" s="20" t="n"/>
      <c r="T317" s="19" t="n"/>
      <c r="U317" s="19" t="n"/>
      <c r="V317" s="19" t="n"/>
      <c r="W317" s="19" t="n"/>
      <c r="X317" s="19" t="n"/>
      <c r="Y317" s="20" t="n"/>
    </row>
    <row r="318" ht="22" customHeight="1"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15" t="n"/>
      <c r="P318" s="21" t="n"/>
      <c r="Q318" s="21" t="n"/>
      <c r="R318" s="22" t="n"/>
      <c r="S318" s="22" t="n"/>
      <c r="T318" s="21" t="n"/>
      <c r="U318" s="21" t="n"/>
      <c r="V318" s="21" t="n"/>
      <c r="W318" s="21" t="n"/>
      <c r="X318" s="21" t="n"/>
      <c r="Y318" s="22" t="n"/>
    </row>
    <row r="319" ht="22" customHeight="1"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3" t="n"/>
      <c r="P319" s="19" t="n"/>
      <c r="Q319" s="19" t="n"/>
      <c r="R319" s="20" t="n"/>
      <c r="S319" s="20" t="n"/>
      <c r="T319" s="19" t="n"/>
      <c r="U319" s="19" t="n"/>
      <c r="V319" s="19" t="n"/>
      <c r="W319" s="19" t="n"/>
      <c r="X319" s="19" t="n"/>
      <c r="Y319" s="20" t="n"/>
    </row>
    <row r="320" ht="22" customHeight="1"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15" t="n"/>
      <c r="P320" s="21" t="n"/>
      <c r="Q320" s="21" t="n"/>
      <c r="R320" s="22" t="n"/>
      <c r="S320" s="22" t="n"/>
      <c r="T320" s="21" t="n"/>
      <c r="U320" s="21" t="n"/>
      <c r="V320" s="21" t="n"/>
      <c r="W320" s="21" t="n"/>
      <c r="X320" s="21" t="n"/>
      <c r="Y320" s="22" t="n"/>
    </row>
    <row r="321" ht="22" customHeight="1"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3" t="n"/>
      <c r="P321" s="19" t="n"/>
      <c r="Q321" s="19" t="n"/>
      <c r="R321" s="20" t="n"/>
      <c r="S321" s="20" t="n"/>
      <c r="T321" s="19" t="n"/>
      <c r="U321" s="19" t="n"/>
      <c r="V321" s="19" t="n"/>
      <c r="W321" s="19" t="n"/>
      <c r="X321" s="19" t="n"/>
      <c r="Y321" s="20" t="n"/>
    </row>
    <row r="322" ht="22" customHeight="1"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15" t="n"/>
      <c r="P322" s="21" t="n"/>
      <c r="Q322" s="21" t="n"/>
      <c r="R322" s="22" t="n"/>
      <c r="S322" s="22" t="n"/>
      <c r="T322" s="21" t="n"/>
      <c r="U322" s="21" t="n"/>
      <c r="V322" s="21" t="n"/>
      <c r="W322" s="21" t="n"/>
      <c r="X322" s="21" t="n"/>
      <c r="Y322" s="22" t="n"/>
    </row>
    <row r="323" ht="22" customHeight="1"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3" t="n"/>
      <c r="P323" s="19" t="n"/>
      <c r="Q323" s="19" t="n"/>
      <c r="R323" s="20" t="n"/>
      <c r="S323" s="20" t="n"/>
      <c r="T323" s="19" t="n"/>
      <c r="U323" s="19" t="n"/>
      <c r="V323" s="19" t="n"/>
      <c r="W323" s="19" t="n"/>
      <c r="X323" s="19" t="n"/>
      <c r="Y323" s="20" t="n"/>
    </row>
    <row r="324" ht="22" customHeight="1"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15" t="n"/>
      <c r="P324" s="21" t="n"/>
      <c r="Q324" s="21" t="n"/>
      <c r="R324" s="22" t="n"/>
      <c r="S324" s="22" t="n"/>
      <c r="T324" s="21" t="n"/>
      <c r="U324" s="21" t="n"/>
      <c r="V324" s="21" t="n"/>
      <c r="W324" s="21" t="n"/>
      <c r="X324" s="21" t="n"/>
      <c r="Y324" s="22" t="n"/>
    </row>
    <row r="325" ht="22" customHeight="1"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3" t="n"/>
      <c r="P325" s="19" t="n"/>
      <c r="Q325" s="19" t="n"/>
      <c r="R325" s="20" t="n"/>
      <c r="S325" s="20" t="n"/>
      <c r="T325" s="19" t="n"/>
      <c r="U325" s="19" t="n"/>
      <c r="V325" s="19" t="n"/>
      <c r="W325" s="19" t="n"/>
      <c r="X325" s="19" t="n"/>
      <c r="Y325" s="20" t="n"/>
    </row>
    <row r="326" ht="22" customHeight="1"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15" t="n"/>
      <c r="P326" s="21" t="n"/>
      <c r="Q326" s="21" t="n"/>
      <c r="R326" s="22" t="n"/>
      <c r="S326" s="22" t="n"/>
      <c r="T326" s="21" t="n"/>
      <c r="U326" s="21" t="n"/>
      <c r="V326" s="21" t="n"/>
      <c r="W326" s="21" t="n"/>
      <c r="X326" s="21" t="n"/>
      <c r="Y326" s="22" t="n"/>
    </row>
    <row r="327" ht="22" customHeight="1"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3" t="n"/>
      <c r="P327" s="19" t="n"/>
      <c r="Q327" s="19" t="n"/>
      <c r="R327" s="20" t="n"/>
      <c r="S327" s="20" t="n"/>
      <c r="T327" s="19" t="n"/>
      <c r="U327" s="19" t="n"/>
      <c r="V327" s="19" t="n"/>
      <c r="W327" s="19" t="n"/>
      <c r="X327" s="19" t="n"/>
      <c r="Y327" s="20" t="n"/>
    </row>
    <row r="328" ht="22" customHeight="1"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15" t="n"/>
      <c r="P328" s="21" t="n"/>
      <c r="Q328" s="21" t="n"/>
      <c r="R328" s="22" t="n"/>
      <c r="S328" s="22" t="n"/>
      <c r="T328" s="21" t="n"/>
      <c r="U328" s="21" t="n"/>
      <c r="V328" s="21" t="n"/>
      <c r="W328" s="21" t="n"/>
      <c r="X328" s="21" t="n"/>
      <c r="Y328" s="22" t="n"/>
    </row>
    <row r="329" ht="22" customHeight="1"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3" t="n"/>
      <c r="P329" s="19" t="n"/>
      <c r="Q329" s="19" t="n"/>
      <c r="R329" s="20" t="n"/>
      <c r="S329" s="20" t="n"/>
      <c r="T329" s="19" t="n"/>
      <c r="U329" s="19" t="n"/>
      <c r="V329" s="19" t="n"/>
      <c r="W329" s="19" t="n"/>
      <c r="X329" s="19" t="n"/>
      <c r="Y329" s="20" t="n"/>
    </row>
    <row r="330" ht="22" customHeight="1"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15" t="n"/>
      <c r="P330" s="21" t="n"/>
      <c r="Q330" s="21" t="n"/>
      <c r="R330" s="22" t="n"/>
      <c r="S330" s="22" t="n"/>
      <c r="T330" s="21" t="n"/>
      <c r="U330" s="21" t="n"/>
      <c r="V330" s="21" t="n"/>
      <c r="W330" s="21" t="n"/>
      <c r="X330" s="21" t="n"/>
      <c r="Y330" s="22" t="n"/>
    </row>
    <row r="331" ht="22" customHeight="1"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3" t="n"/>
      <c r="P331" s="19" t="n"/>
      <c r="Q331" s="19" t="n"/>
      <c r="R331" s="20" t="n"/>
      <c r="S331" s="20" t="n"/>
      <c r="T331" s="19" t="n"/>
      <c r="U331" s="19" t="n"/>
      <c r="V331" s="19" t="n"/>
      <c r="W331" s="19" t="n"/>
      <c r="X331" s="19" t="n"/>
      <c r="Y331" s="20" t="n"/>
    </row>
    <row r="332" ht="22" customHeight="1"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15" t="n"/>
      <c r="P332" s="21" t="n"/>
      <c r="Q332" s="21" t="n"/>
      <c r="R332" s="22" t="n"/>
      <c r="S332" s="22" t="n"/>
      <c r="T332" s="21" t="n"/>
      <c r="U332" s="21" t="n"/>
      <c r="V332" s="21" t="n"/>
      <c r="W332" s="21" t="n"/>
      <c r="X332" s="21" t="n"/>
      <c r="Y332" s="22" t="n"/>
    </row>
    <row r="333" ht="22" customHeight="1"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3" t="n"/>
      <c r="P333" s="19" t="n"/>
      <c r="Q333" s="19" t="n"/>
      <c r="R333" s="20" t="n"/>
      <c r="S333" s="20" t="n"/>
      <c r="T333" s="19" t="n"/>
      <c r="U333" s="19" t="n"/>
      <c r="V333" s="19" t="n"/>
      <c r="W333" s="19" t="n"/>
      <c r="X333" s="19" t="n"/>
      <c r="Y333" s="20" t="n"/>
    </row>
    <row r="334" ht="22" customHeight="1"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15" t="n"/>
      <c r="P334" s="21" t="n"/>
      <c r="Q334" s="21" t="n"/>
      <c r="R334" s="22" t="n"/>
      <c r="S334" s="22" t="n"/>
      <c r="T334" s="21" t="n"/>
      <c r="U334" s="21" t="n"/>
      <c r="V334" s="21" t="n"/>
      <c r="W334" s="21" t="n"/>
      <c r="X334" s="21" t="n"/>
      <c r="Y334" s="22" t="n"/>
    </row>
    <row r="335" ht="22" customHeight="1"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3" t="n"/>
      <c r="P335" s="19" t="n"/>
      <c r="Q335" s="19" t="n"/>
      <c r="R335" s="20" t="n"/>
      <c r="S335" s="20" t="n"/>
      <c r="T335" s="19" t="n"/>
      <c r="U335" s="19" t="n"/>
      <c r="V335" s="19" t="n"/>
      <c r="W335" s="19" t="n"/>
      <c r="X335" s="19" t="n"/>
      <c r="Y335" s="20" t="n"/>
    </row>
    <row r="336" ht="22" customHeight="1"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15" t="n"/>
      <c r="P336" s="21" t="n"/>
      <c r="Q336" s="21" t="n"/>
      <c r="R336" s="22" t="n"/>
      <c r="S336" s="22" t="n"/>
      <c r="T336" s="21" t="n"/>
      <c r="U336" s="21" t="n"/>
      <c r="V336" s="21" t="n"/>
      <c r="W336" s="21" t="n"/>
      <c r="X336" s="21" t="n"/>
      <c r="Y336" s="22" t="n"/>
    </row>
    <row r="337" ht="22" customHeight="1"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3" t="n"/>
      <c r="P337" s="19" t="n"/>
      <c r="Q337" s="19" t="n"/>
      <c r="R337" s="20" t="n"/>
      <c r="S337" s="20" t="n"/>
      <c r="T337" s="19" t="n"/>
      <c r="U337" s="19" t="n"/>
      <c r="V337" s="19" t="n"/>
      <c r="W337" s="19" t="n"/>
      <c r="X337" s="19" t="n"/>
      <c r="Y337" s="20" t="n"/>
    </row>
    <row r="338" ht="22" customHeight="1"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15" t="n"/>
      <c r="P338" s="21" t="n"/>
      <c r="Q338" s="21" t="n"/>
      <c r="R338" s="22" t="n"/>
      <c r="S338" s="22" t="n"/>
      <c r="T338" s="21" t="n"/>
      <c r="U338" s="21" t="n"/>
      <c r="V338" s="21" t="n"/>
      <c r="W338" s="21" t="n"/>
      <c r="X338" s="21" t="n"/>
      <c r="Y338" s="22" t="n"/>
    </row>
    <row r="339" ht="22" customHeight="1"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3" t="n"/>
      <c r="P339" s="19" t="n"/>
      <c r="Q339" s="19" t="n"/>
      <c r="R339" s="20" t="n"/>
      <c r="S339" s="20" t="n"/>
      <c r="T339" s="19" t="n"/>
      <c r="U339" s="19" t="n"/>
      <c r="V339" s="19" t="n"/>
      <c r="W339" s="19" t="n"/>
      <c r="X339" s="19" t="n"/>
      <c r="Y339" s="20" t="n"/>
    </row>
    <row r="340" ht="22" customHeight="1"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15" t="n"/>
      <c r="P340" s="21" t="n"/>
      <c r="Q340" s="21" t="n"/>
      <c r="R340" s="22" t="n"/>
      <c r="S340" s="22" t="n"/>
      <c r="T340" s="21" t="n"/>
      <c r="U340" s="21" t="n"/>
      <c r="V340" s="21" t="n"/>
      <c r="W340" s="21" t="n"/>
      <c r="X340" s="21" t="n"/>
      <c r="Y340" s="22" t="n"/>
    </row>
    <row r="341" ht="22" customHeight="1"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3" t="n"/>
      <c r="P341" s="19" t="n"/>
      <c r="Q341" s="19" t="n"/>
      <c r="R341" s="20" t="n"/>
      <c r="S341" s="20" t="n"/>
      <c r="T341" s="19" t="n"/>
      <c r="U341" s="19" t="n"/>
      <c r="V341" s="19" t="n"/>
      <c r="W341" s="19" t="n"/>
      <c r="X341" s="19" t="n"/>
      <c r="Y341" s="20" t="n"/>
    </row>
    <row r="342" ht="22" customHeight="1"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15" t="n"/>
      <c r="P342" s="21" t="n"/>
      <c r="Q342" s="21" t="n"/>
      <c r="R342" s="22" t="n"/>
      <c r="S342" s="22" t="n"/>
      <c r="T342" s="21" t="n"/>
      <c r="U342" s="21" t="n"/>
      <c r="V342" s="21" t="n"/>
      <c r="W342" s="21" t="n"/>
      <c r="X342" s="21" t="n"/>
      <c r="Y342" s="22" t="n"/>
    </row>
    <row r="343" ht="22" customHeight="1"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3" t="n"/>
      <c r="P343" s="19" t="n"/>
      <c r="Q343" s="19" t="n"/>
      <c r="R343" s="20" t="n"/>
      <c r="S343" s="20" t="n"/>
      <c r="T343" s="19" t="n"/>
      <c r="U343" s="19" t="n"/>
      <c r="V343" s="19" t="n"/>
      <c r="W343" s="19" t="n"/>
      <c r="X343" s="19" t="n"/>
      <c r="Y343" s="20" t="n"/>
    </row>
    <row r="344" ht="22" customHeight="1"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15" t="n"/>
      <c r="P344" s="21" t="n"/>
      <c r="Q344" s="21" t="n"/>
      <c r="R344" s="22" t="n"/>
      <c r="S344" s="22" t="n"/>
      <c r="T344" s="21" t="n"/>
      <c r="U344" s="21" t="n"/>
      <c r="V344" s="21" t="n"/>
      <c r="W344" s="21" t="n"/>
      <c r="X344" s="21" t="n"/>
      <c r="Y344" s="22" t="n"/>
    </row>
    <row r="345" ht="22" customHeight="1"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3" t="n"/>
      <c r="P345" s="19" t="n"/>
      <c r="Q345" s="19" t="n"/>
      <c r="R345" s="20" t="n"/>
      <c r="S345" s="20" t="n"/>
      <c r="T345" s="19" t="n"/>
      <c r="U345" s="19" t="n"/>
      <c r="V345" s="19" t="n"/>
      <c r="W345" s="19" t="n"/>
      <c r="X345" s="19" t="n"/>
      <c r="Y345" s="20" t="n"/>
    </row>
    <row r="346" ht="22" customHeight="1"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15" t="n"/>
      <c r="P346" s="21" t="n"/>
      <c r="Q346" s="21" t="n"/>
      <c r="R346" s="22" t="n"/>
      <c r="S346" s="22" t="n"/>
      <c r="T346" s="21" t="n"/>
      <c r="U346" s="21" t="n"/>
      <c r="V346" s="21" t="n"/>
      <c r="W346" s="21" t="n"/>
      <c r="X346" s="21" t="n"/>
      <c r="Y346" s="22" t="n"/>
    </row>
    <row r="347" ht="22" customHeight="1"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3" t="n"/>
      <c r="P347" s="19" t="n"/>
      <c r="Q347" s="19" t="n"/>
      <c r="R347" s="20" t="n"/>
      <c r="S347" s="20" t="n"/>
      <c r="T347" s="19" t="n"/>
      <c r="U347" s="19" t="n"/>
      <c r="V347" s="19" t="n"/>
      <c r="W347" s="19" t="n"/>
      <c r="X347" s="19" t="n"/>
      <c r="Y347" s="20" t="n"/>
    </row>
    <row r="348" ht="22" customHeight="1"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15" t="n"/>
      <c r="P348" s="21" t="n"/>
      <c r="Q348" s="21" t="n"/>
      <c r="R348" s="22" t="n"/>
      <c r="S348" s="22" t="n"/>
      <c r="T348" s="21" t="n"/>
      <c r="U348" s="21" t="n"/>
      <c r="V348" s="21" t="n"/>
      <c r="W348" s="21" t="n"/>
      <c r="X348" s="21" t="n"/>
      <c r="Y348" s="22" t="n"/>
    </row>
    <row r="349" ht="22" customHeight="1"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3" t="n"/>
      <c r="P349" s="19" t="n"/>
      <c r="Q349" s="19" t="n"/>
      <c r="R349" s="20" t="n"/>
      <c r="S349" s="20" t="n"/>
      <c r="T349" s="19" t="n"/>
      <c r="U349" s="19" t="n"/>
      <c r="V349" s="19" t="n"/>
      <c r="W349" s="19" t="n"/>
      <c r="X349" s="19" t="n"/>
      <c r="Y349" s="20" t="n"/>
    </row>
    <row r="350" ht="22" customHeight="1"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15" t="n"/>
      <c r="P350" s="21" t="n"/>
      <c r="Q350" s="21" t="n"/>
      <c r="R350" s="22" t="n"/>
      <c r="S350" s="22" t="n"/>
      <c r="T350" s="21" t="n"/>
      <c r="U350" s="21" t="n"/>
      <c r="V350" s="21" t="n"/>
      <c r="W350" s="21" t="n"/>
      <c r="X350" s="21" t="n"/>
      <c r="Y350" s="22" t="n"/>
    </row>
    <row r="351" ht="22" customHeight="1"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3" t="n"/>
      <c r="P351" s="19" t="n"/>
      <c r="Q351" s="19" t="n"/>
      <c r="R351" s="20" t="n"/>
      <c r="S351" s="20" t="n"/>
      <c r="T351" s="19" t="n"/>
      <c r="U351" s="19" t="n"/>
      <c r="V351" s="19" t="n"/>
      <c r="W351" s="19" t="n"/>
      <c r="X351" s="19" t="n"/>
      <c r="Y351" s="20" t="n"/>
    </row>
    <row r="352" ht="22" customHeight="1"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15" t="n"/>
      <c r="P352" s="21" t="n"/>
      <c r="Q352" s="21" t="n"/>
      <c r="R352" s="22" t="n"/>
      <c r="S352" s="22" t="n"/>
      <c r="T352" s="21" t="n"/>
      <c r="U352" s="21" t="n"/>
      <c r="V352" s="21" t="n"/>
      <c r="W352" s="21" t="n"/>
      <c r="X352" s="21" t="n"/>
      <c r="Y352" s="22" t="n"/>
    </row>
    <row r="353" ht="22" customHeight="1"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3" t="n"/>
      <c r="P353" s="19" t="n"/>
      <c r="Q353" s="19" t="n"/>
      <c r="R353" s="20" t="n"/>
      <c r="S353" s="20" t="n"/>
      <c r="T353" s="19" t="n"/>
      <c r="U353" s="19" t="n"/>
      <c r="V353" s="19" t="n"/>
      <c r="W353" s="19" t="n"/>
      <c r="X353" s="19" t="n"/>
      <c r="Y353" s="20" t="n"/>
    </row>
    <row r="354" ht="22" customHeight="1"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15" t="n"/>
      <c r="P354" s="21" t="n"/>
      <c r="Q354" s="21" t="n"/>
      <c r="R354" s="22" t="n"/>
      <c r="S354" s="22" t="n"/>
      <c r="T354" s="21" t="n"/>
      <c r="U354" s="21" t="n"/>
      <c r="V354" s="21" t="n"/>
      <c r="W354" s="21" t="n"/>
      <c r="X354" s="21" t="n"/>
      <c r="Y354" s="22" t="n"/>
    </row>
    <row r="355" ht="22" customHeight="1"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3" t="n"/>
      <c r="P355" s="19" t="n"/>
      <c r="Q355" s="19" t="n"/>
      <c r="R355" s="20" t="n"/>
      <c r="S355" s="20" t="n"/>
      <c r="T355" s="19" t="n"/>
      <c r="U355" s="19" t="n"/>
      <c r="V355" s="19" t="n"/>
      <c r="W355" s="19" t="n"/>
      <c r="X355" s="19" t="n"/>
      <c r="Y355" s="20" t="n"/>
    </row>
    <row r="356" ht="22" customHeight="1"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15" t="n"/>
      <c r="P356" s="21" t="n"/>
      <c r="Q356" s="21" t="n"/>
      <c r="R356" s="22" t="n"/>
      <c r="S356" s="22" t="n"/>
      <c r="T356" s="21" t="n"/>
      <c r="U356" s="21" t="n"/>
      <c r="V356" s="21" t="n"/>
      <c r="W356" s="21" t="n"/>
      <c r="X356" s="21" t="n"/>
      <c r="Y356" s="22" t="n"/>
    </row>
    <row r="357" ht="22" customHeight="1"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3" t="n"/>
      <c r="P357" s="19" t="n"/>
      <c r="Q357" s="19" t="n"/>
      <c r="R357" s="20" t="n"/>
      <c r="S357" s="20" t="n"/>
      <c r="T357" s="19" t="n"/>
      <c r="U357" s="19" t="n"/>
      <c r="V357" s="19" t="n"/>
      <c r="W357" s="19" t="n"/>
      <c r="X357" s="19" t="n"/>
      <c r="Y357" s="20" t="n"/>
    </row>
    <row r="358" ht="22" customHeight="1"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15" t="n"/>
      <c r="P358" s="21" t="n"/>
      <c r="Q358" s="21" t="n"/>
      <c r="R358" s="22" t="n"/>
      <c r="S358" s="22" t="n"/>
      <c r="T358" s="21" t="n"/>
      <c r="U358" s="21" t="n"/>
      <c r="V358" s="21" t="n"/>
      <c r="W358" s="21" t="n"/>
      <c r="X358" s="21" t="n"/>
      <c r="Y358" s="22" t="n"/>
    </row>
    <row r="359" ht="22" customHeight="1"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3" t="n"/>
      <c r="P359" s="19" t="n"/>
      <c r="Q359" s="19" t="n"/>
      <c r="R359" s="20" t="n"/>
      <c r="S359" s="20" t="n"/>
      <c r="T359" s="19" t="n"/>
      <c r="U359" s="19" t="n"/>
      <c r="V359" s="19" t="n"/>
      <c r="W359" s="19" t="n"/>
      <c r="X359" s="19" t="n"/>
      <c r="Y359" s="20" t="n"/>
    </row>
    <row r="360" ht="22" customHeight="1"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15" t="n"/>
      <c r="P360" s="21" t="n"/>
      <c r="Q360" s="21" t="n"/>
      <c r="R360" s="22" t="n"/>
      <c r="S360" s="22" t="n"/>
      <c r="T360" s="21" t="n"/>
      <c r="U360" s="21" t="n"/>
      <c r="V360" s="21" t="n"/>
      <c r="W360" s="21" t="n"/>
      <c r="X360" s="21" t="n"/>
      <c r="Y360" s="22" t="n"/>
    </row>
    <row r="361" ht="22" customHeight="1"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3" t="n"/>
      <c r="P361" s="19" t="n"/>
      <c r="Q361" s="19" t="n"/>
      <c r="R361" s="20" t="n"/>
      <c r="S361" s="20" t="n"/>
      <c r="T361" s="19" t="n"/>
      <c r="U361" s="19" t="n"/>
      <c r="V361" s="19" t="n"/>
      <c r="W361" s="19" t="n"/>
      <c r="X361" s="19" t="n"/>
      <c r="Y361" s="20" t="n"/>
    </row>
    <row r="362" ht="22" customHeight="1"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15" t="n"/>
      <c r="P362" s="21" t="n"/>
      <c r="Q362" s="21" t="n"/>
      <c r="R362" s="22" t="n"/>
      <c r="S362" s="22" t="n"/>
      <c r="T362" s="21" t="n"/>
      <c r="U362" s="21" t="n"/>
      <c r="V362" s="21" t="n"/>
      <c r="W362" s="21" t="n"/>
      <c r="X362" s="21" t="n"/>
      <c r="Y362" s="22" t="n"/>
    </row>
    <row r="363" ht="22" customHeight="1"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3" t="n"/>
      <c r="P363" s="19" t="n"/>
      <c r="Q363" s="19" t="n"/>
      <c r="R363" s="20" t="n"/>
      <c r="S363" s="20" t="n"/>
      <c r="T363" s="19" t="n"/>
      <c r="U363" s="19" t="n"/>
      <c r="V363" s="19" t="n"/>
      <c r="W363" s="19" t="n"/>
      <c r="X363" s="19" t="n"/>
      <c r="Y363" s="20" t="n"/>
    </row>
    <row r="364" ht="22" customHeight="1"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15" t="n"/>
      <c r="P364" s="21" t="n"/>
      <c r="Q364" s="21" t="n"/>
      <c r="R364" s="22" t="n"/>
      <c r="S364" s="22" t="n"/>
      <c r="T364" s="21" t="n"/>
      <c r="U364" s="21" t="n"/>
      <c r="V364" s="21" t="n"/>
      <c r="W364" s="21" t="n"/>
      <c r="X364" s="21" t="n"/>
      <c r="Y364" s="22" t="n"/>
    </row>
    <row r="365" ht="22" customHeight="1"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3" t="n"/>
      <c r="P365" s="19" t="n"/>
      <c r="Q365" s="19" t="n"/>
      <c r="R365" s="20" t="n"/>
      <c r="S365" s="20" t="n"/>
      <c r="T365" s="19" t="n"/>
      <c r="U365" s="19" t="n"/>
      <c r="V365" s="19" t="n"/>
      <c r="W365" s="19" t="n"/>
      <c r="X365" s="19" t="n"/>
      <c r="Y365" s="20" t="n"/>
    </row>
    <row r="366" ht="22" customHeight="1"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15" t="n"/>
      <c r="P366" s="21" t="n"/>
      <c r="Q366" s="21" t="n"/>
      <c r="R366" s="22" t="n"/>
      <c r="S366" s="22" t="n"/>
      <c r="T366" s="21" t="n"/>
      <c r="U366" s="21" t="n"/>
      <c r="V366" s="21" t="n"/>
      <c r="W366" s="21" t="n"/>
      <c r="X366" s="21" t="n"/>
      <c r="Y366" s="22" t="n"/>
    </row>
    <row r="367" ht="22" customHeight="1"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3" t="n"/>
      <c r="P367" s="19" t="n"/>
      <c r="Q367" s="19" t="n"/>
      <c r="R367" s="20" t="n"/>
      <c r="S367" s="20" t="n"/>
      <c r="T367" s="19" t="n"/>
      <c r="U367" s="19" t="n"/>
      <c r="V367" s="19" t="n"/>
      <c r="W367" s="19" t="n"/>
      <c r="X367" s="19" t="n"/>
      <c r="Y367" s="20" t="n"/>
    </row>
    <row r="368" ht="22" customHeight="1"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15" t="n"/>
      <c r="P368" s="21" t="n"/>
      <c r="Q368" s="21" t="n"/>
      <c r="R368" s="22" t="n"/>
      <c r="S368" s="22" t="n"/>
      <c r="T368" s="21" t="n"/>
      <c r="U368" s="21" t="n"/>
      <c r="V368" s="21" t="n"/>
      <c r="W368" s="21" t="n"/>
      <c r="X368" s="21" t="n"/>
      <c r="Y368" s="22" t="n"/>
    </row>
    <row r="369" ht="22" customHeight="1"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3" t="n"/>
      <c r="P369" s="19" t="n"/>
      <c r="Q369" s="19" t="n"/>
      <c r="R369" s="20" t="n"/>
      <c r="S369" s="20" t="n"/>
      <c r="T369" s="19" t="n"/>
      <c r="U369" s="19" t="n"/>
      <c r="V369" s="19" t="n"/>
      <c r="W369" s="19" t="n"/>
      <c r="X369" s="19" t="n"/>
      <c r="Y369" s="20" t="n"/>
    </row>
    <row r="370" ht="22" customHeight="1"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15" t="n"/>
      <c r="P370" s="21" t="n"/>
      <c r="Q370" s="21" t="n"/>
      <c r="R370" s="22" t="n"/>
      <c r="S370" s="22" t="n"/>
      <c r="T370" s="21" t="n"/>
      <c r="U370" s="21" t="n"/>
      <c r="V370" s="21" t="n"/>
      <c r="W370" s="21" t="n"/>
      <c r="X370" s="21" t="n"/>
      <c r="Y370" s="22" t="n"/>
    </row>
    <row r="371" ht="22" customHeight="1"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3" t="n"/>
      <c r="P371" s="19" t="n"/>
      <c r="Q371" s="19" t="n"/>
      <c r="R371" s="20" t="n"/>
      <c r="S371" s="20" t="n"/>
      <c r="T371" s="19" t="n"/>
      <c r="U371" s="19" t="n"/>
      <c r="V371" s="19" t="n"/>
      <c r="W371" s="19" t="n"/>
      <c r="X371" s="19" t="n"/>
      <c r="Y371" s="20" t="n"/>
    </row>
    <row r="372" ht="22" customHeight="1"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15" t="n"/>
      <c r="P372" s="21" t="n"/>
      <c r="Q372" s="21" t="n"/>
      <c r="R372" s="22" t="n"/>
      <c r="S372" s="22" t="n"/>
      <c r="T372" s="21" t="n"/>
      <c r="U372" s="21" t="n"/>
      <c r="V372" s="21" t="n"/>
      <c r="W372" s="21" t="n"/>
      <c r="X372" s="21" t="n"/>
      <c r="Y372" s="22" t="n"/>
    </row>
    <row r="373" ht="22" customHeight="1"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3" t="n"/>
      <c r="P373" s="19" t="n"/>
      <c r="Q373" s="19" t="n"/>
      <c r="R373" s="20" t="n"/>
      <c r="S373" s="20" t="n"/>
      <c r="T373" s="19" t="n"/>
      <c r="U373" s="19" t="n"/>
      <c r="V373" s="19" t="n"/>
      <c r="W373" s="19" t="n"/>
      <c r="X373" s="19" t="n"/>
      <c r="Y373" s="20" t="n"/>
    </row>
    <row r="374" ht="22" customHeight="1"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15" t="n"/>
      <c r="P374" s="21" t="n"/>
      <c r="Q374" s="21" t="n"/>
      <c r="R374" s="22" t="n"/>
      <c r="S374" s="22" t="n"/>
      <c r="T374" s="21" t="n"/>
      <c r="U374" s="21" t="n"/>
      <c r="V374" s="21" t="n"/>
      <c r="W374" s="21" t="n"/>
      <c r="X374" s="21" t="n"/>
      <c r="Y374" s="22" t="n"/>
    </row>
    <row r="375" ht="22" customHeight="1"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3" t="n"/>
      <c r="P375" s="19" t="n"/>
      <c r="Q375" s="19" t="n"/>
      <c r="R375" s="20" t="n"/>
      <c r="S375" s="20" t="n"/>
      <c r="T375" s="19" t="n"/>
      <c r="U375" s="19" t="n"/>
      <c r="V375" s="19" t="n"/>
      <c r="W375" s="19" t="n"/>
      <c r="X375" s="19" t="n"/>
      <c r="Y375" s="20" t="n"/>
    </row>
    <row r="376" ht="22" customHeight="1"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15" t="n"/>
      <c r="P376" s="21" t="n"/>
      <c r="Q376" s="21" t="n"/>
      <c r="R376" s="22" t="n"/>
      <c r="S376" s="22" t="n"/>
      <c r="T376" s="21" t="n"/>
      <c r="U376" s="21" t="n"/>
      <c r="V376" s="21" t="n"/>
      <c r="W376" s="21" t="n"/>
      <c r="X376" s="21" t="n"/>
      <c r="Y376" s="22" t="n"/>
    </row>
    <row r="377" ht="22" customHeight="1"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3" t="n"/>
      <c r="P377" s="19" t="n"/>
      <c r="Q377" s="19" t="n"/>
      <c r="R377" s="20" t="n"/>
      <c r="S377" s="20" t="n"/>
      <c r="T377" s="19" t="n"/>
      <c r="U377" s="19" t="n"/>
      <c r="V377" s="19" t="n"/>
      <c r="W377" s="19" t="n"/>
      <c r="X377" s="19" t="n"/>
      <c r="Y377" s="20" t="n"/>
    </row>
    <row r="378" ht="22" customHeight="1"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15" t="n"/>
      <c r="P378" s="21" t="n"/>
      <c r="Q378" s="21" t="n"/>
      <c r="R378" s="22" t="n"/>
      <c r="S378" s="22" t="n"/>
      <c r="T378" s="21" t="n"/>
      <c r="U378" s="21" t="n"/>
      <c r="V378" s="21" t="n"/>
      <c r="W378" s="21" t="n"/>
      <c r="X378" s="21" t="n"/>
      <c r="Y378" s="22" t="n"/>
    </row>
    <row r="379" ht="22" customHeight="1"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3" t="n"/>
      <c r="P379" s="19" t="n"/>
      <c r="Q379" s="19" t="n"/>
      <c r="R379" s="20" t="n"/>
      <c r="S379" s="20" t="n"/>
      <c r="T379" s="19" t="n"/>
      <c r="U379" s="19" t="n"/>
      <c r="V379" s="19" t="n"/>
      <c r="W379" s="19" t="n"/>
      <c r="X379" s="19" t="n"/>
      <c r="Y379" s="20" t="n"/>
    </row>
    <row r="380" ht="22" customHeight="1"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15" t="n"/>
      <c r="P380" s="21" t="n"/>
      <c r="Q380" s="21" t="n"/>
      <c r="R380" s="22" t="n"/>
      <c r="S380" s="22" t="n"/>
      <c r="T380" s="21" t="n"/>
      <c r="U380" s="21" t="n"/>
      <c r="V380" s="21" t="n"/>
      <c r="W380" s="21" t="n"/>
      <c r="X380" s="21" t="n"/>
      <c r="Y380" s="22" t="n"/>
    </row>
    <row r="381" ht="22" customHeight="1"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3" t="n"/>
      <c r="P381" s="19" t="n"/>
      <c r="Q381" s="19" t="n"/>
      <c r="R381" s="20" t="n"/>
      <c r="S381" s="20" t="n"/>
      <c r="T381" s="19" t="n"/>
      <c r="U381" s="19" t="n"/>
      <c r="V381" s="19" t="n"/>
      <c r="W381" s="19" t="n"/>
      <c r="X381" s="19" t="n"/>
      <c r="Y381" s="20" t="n"/>
    </row>
    <row r="382" ht="22" customHeight="1"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15" t="n"/>
      <c r="P382" s="21" t="n"/>
      <c r="Q382" s="21" t="n"/>
      <c r="R382" s="22" t="n"/>
      <c r="S382" s="22" t="n"/>
      <c r="T382" s="21" t="n"/>
      <c r="U382" s="21" t="n"/>
      <c r="V382" s="21" t="n"/>
      <c r="W382" s="21" t="n"/>
      <c r="X382" s="21" t="n"/>
      <c r="Y382" s="22" t="n"/>
    </row>
    <row r="383" ht="22" customHeight="1"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3" t="n"/>
      <c r="P383" s="19" t="n"/>
      <c r="Q383" s="19" t="n"/>
      <c r="R383" s="20" t="n"/>
      <c r="S383" s="20" t="n"/>
      <c r="T383" s="19" t="n"/>
      <c r="U383" s="19" t="n"/>
      <c r="V383" s="19" t="n"/>
      <c r="W383" s="19" t="n"/>
      <c r="X383" s="19" t="n"/>
      <c r="Y383" s="20" t="n"/>
    </row>
    <row r="384" ht="22" customHeight="1"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15" t="n"/>
      <c r="P384" s="21" t="n"/>
      <c r="Q384" s="21" t="n"/>
      <c r="R384" s="22" t="n"/>
      <c r="S384" s="22" t="n"/>
      <c r="T384" s="21" t="n"/>
      <c r="U384" s="21" t="n"/>
      <c r="V384" s="21" t="n"/>
      <c r="W384" s="21" t="n"/>
      <c r="X384" s="21" t="n"/>
      <c r="Y384" s="22" t="n"/>
    </row>
    <row r="385" ht="22" customHeight="1"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3" t="n"/>
      <c r="P385" s="19" t="n"/>
      <c r="Q385" s="19" t="n"/>
      <c r="R385" s="20" t="n"/>
      <c r="S385" s="20" t="n"/>
      <c r="T385" s="19" t="n"/>
      <c r="U385" s="19" t="n"/>
      <c r="V385" s="19" t="n"/>
      <c r="W385" s="19" t="n"/>
      <c r="X385" s="19" t="n"/>
      <c r="Y385" s="20" t="n"/>
    </row>
    <row r="386" ht="22" customHeight="1"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15" t="n"/>
      <c r="P386" s="21" t="n"/>
      <c r="Q386" s="21" t="n"/>
      <c r="R386" s="22" t="n"/>
      <c r="S386" s="22" t="n"/>
      <c r="T386" s="21" t="n"/>
      <c r="U386" s="21" t="n"/>
      <c r="V386" s="21" t="n"/>
      <c r="W386" s="21" t="n"/>
      <c r="X386" s="21" t="n"/>
      <c r="Y386" s="22" t="n"/>
    </row>
    <row r="387" ht="22" customHeight="1"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3" t="n"/>
      <c r="P387" s="19" t="n"/>
      <c r="Q387" s="19" t="n"/>
      <c r="R387" s="20" t="n"/>
      <c r="S387" s="20" t="n"/>
      <c r="T387" s="19" t="n"/>
      <c r="U387" s="19" t="n"/>
      <c r="V387" s="19" t="n"/>
      <c r="W387" s="19" t="n"/>
      <c r="X387" s="19" t="n"/>
      <c r="Y387" s="20" t="n"/>
    </row>
    <row r="388" ht="22" customHeight="1"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15" t="n"/>
      <c r="P388" s="21" t="n"/>
      <c r="Q388" s="21" t="n"/>
      <c r="R388" s="22" t="n"/>
      <c r="S388" s="22" t="n"/>
      <c r="T388" s="21" t="n"/>
      <c r="U388" s="21" t="n"/>
      <c r="V388" s="21" t="n"/>
      <c r="W388" s="21" t="n"/>
      <c r="X388" s="21" t="n"/>
      <c r="Y388" s="22" t="n"/>
    </row>
    <row r="389" ht="22" customHeight="1"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3" t="n"/>
      <c r="P389" s="19" t="n"/>
      <c r="Q389" s="19" t="n"/>
      <c r="R389" s="20" t="n"/>
      <c r="S389" s="20" t="n"/>
      <c r="T389" s="19" t="n"/>
      <c r="U389" s="19" t="n"/>
      <c r="V389" s="19" t="n"/>
      <c r="W389" s="19" t="n"/>
      <c r="X389" s="19" t="n"/>
      <c r="Y389" s="20" t="n"/>
    </row>
    <row r="390" ht="22" customHeight="1"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15" t="n"/>
      <c r="P390" s="21" t="n"/>
      <c r="Q390" s="21" t="n"/>
      <c r="R390" s="22" t="n"/>
      <c r="S390" s="22" t="n"/>
      <c r="T390" s="21" t="n"/>
      <c r="U390" s="21" t="n"/>
      <c r="V390" s="21" t="n"/>
      <c r="W390" s="21" t="n"/>
      <c r="X390" s="21" t="n"/>
      <c r="Y390" s="22" t="n"/>
    </row>
    <row r="391" ht="22" customHeight="1"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3" t="n"/>
      <c r="P391" s="19" t="n"/>
      <c r="Q391" s="19" t="n"/>
      <c r="R391" s="20" t="n"/>
      <c r="S391" s="20" t="n"/>
      <c r="T391" s="19" t="n"/>
      <c r="U391" s="19" t="n"/>
      <c r="V391" s="19" t="n"/>
      <c r="W391" s="19" t="n"/>
      <c r="X391" s="19" t="n"/>
      <c r="Y391" s="20" t="n"/>
    </row>
    <row r="392" ht="22" customHeight="1"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15" t="n"/>
      <c r="P392" s="21" t="n"/>
      <c r="Q392" s="21" t="n"/>
      <c r="R392" s="22" t="n"/>
      <c r="S392" s="22" t="n"/>
      <c r="T392" s="21" t="n"/>
      <c r="U392" s="21" t="n"/>
      <c r="V392" s="21" t="n"/>
      <c r="W392" s="21" t="n"/>
      <c r="X392" s="21" t="n"/>
      <c r="Y392" s="22" t="n"/>
    </row>
    <row r="393" ht="22" customHeight="1"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3" t="n"/>
      <c r="P393" s="19" t="n"/>
      <c r="Q393" s="19" t="n"/>
      <c r="R393" s="20" t="n"/>
      <c r="S393" s="20" t="n"/>
      <c r="T393" s="19" t="n"/>
      <c r="U393" s="19" t="n"/>
      <c r="V393" s="19" t="n"/>
      <c r="W393" s="19" t="n"/>
      <c r="X393" s="19" t="n"/>
      <c r="Y393" s="20" t="n"/>
    </row>
    <row r="394" ht="22" customHeight="1"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15" t="n"/>
      <c r="P394" s="21" t="n"/>
      <c r="Q394" s="21" t="n"/>
      <c r="R394" s="22" t="n"/>
      <c r="S394" s="22" t="n"/>
      <c r="T394" s="21" t="n"/>
      <c r="U394" s="21" t="n"/>
      <c r="V394" s="21" t="n"/>
      <c r="W394" s="21" t="n"/>
      <c r="X394" s="21" t="n"/>
      <c r="Y394" s="22" t="n"/>
    </row>
    <row r="395" ht="22" customHeight="1"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3" t="n"/>
      <c r="P395" s="19" t="n"/>
      <c r="Q395" s="19" t="n"/>
      <c r="R395" s="20" t="n"/>
      <c r="S395" s="20" t="n"/>
      <c r="T395" s="19" t="n"/>
      <c r="U395" s="19" t="n"/>
      <c r="V395" s="19" t="n"/>
      <c r="W395" s="19" t="n"/>
      <c r="X395" s="19" t="n"/>
      <c r="Y395" s="20" t="n"/>
    </row>
    <row r="396" ht="22" customHeight="1"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15" t="n"/>
      <c r="P396" s="21" t="n"/>
      <c r="Q396" s="21" t="n"/>
      <c r="R396" s="22" t="n"/>
      <c r="S396" s="22" t="n"/>
      <c r="T396" s="21" t="n"/>
      <c r="U396" s="21" t="n"/>
      <c r="V396" s="21" t="n"/>
      <c r="W396" s="21" t="n"/>
      <c r="X396" s="21" t="n"/>
      <c r="Y396" s="22" t="n"/>
    </row>
    <row r="397" ht="22" customHeight="1"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3" t="n"/>
      <c r="P397" s="19" t="n"/>
      <c r="Q397" s="19" t="n"/>
      <c r="R397" s="20" t="n"/>
      <c r="S397" s="20" t="n"/>
      <c r="T397" s="19" t="n"/>
      <c r="U397" s="19" t="n"/>
      <c r="V397" s="19" t="n"/>
      <c r="W397" s="19" t="n"/>
      <c r="X397" s="19" t="n"/>
      <c r="Y397" s="20" t="n"/>
    </row>
    <row r="398" ht="22" customHeight="1"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15" t="n"/>
      <c r="P398" s="21" t="n"/>
      <c r="Q398" s="21" t="n"/>
      <c r="R398" s="22" t="n"/>
      <c r="S398" s="22" t="n"/>
      <c r="T398" s="21" t="n"/>
      <c r="U398" s="21" t="n"/>
      <c r="V398" s="21" t="n"/>
      <c r="W398" s="21" t="n"/>
      <c r="X398" s="21" t="n"/>
      <c r="Y398" s="22" t="n"/>
    </row>
    <row r="399" ht="22" customHeight="1"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3" t="n"/>
      <c r="P399" s="19" t="n"/>
      <c r="Q399" s="19" t="n"/>
      <c r="R399" s="20" t="n"/>
      <c r="S399" s="20" t="n"/>
      <c r="T399" s="19" t="n"/>
      <c r="U399" s="19" t="n"/>
      <c r="V399" s="19" t="n"/>
      <c r="W399" s="19" t="n"/>
      <c r="X399" s="19" t="n"/>
      <c r="Y399" s="20" t="n"/>
    </row>
    <row r="400" ht="22" customHeight="1"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15" t="n"/>
      <c r="P400" s="21" t="n"/>
      <c r="Q400" s="21" t="n"/>
      <c r="R400" s="22" t="n"/>
      <c r="S400" s="22" t="n"/>
      <c r="T400" s="21" t="n"/>
      <c r="U400" s="21" t="n"/>
      <c r="V400" s="21" t="n"/>
      <c r="W400" s="21" t="n"/>
      <c r="X400" s="21" t="n"/>
      <c r="Y400" s="22" t="n"/>
    </row>
    <row r="401" ht="22" customHeight="1"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3" t="n"/>
      <c r="P401" s="19" t="n"/>
      <c r="Q401" s="19" t="n"/>
      <c r="R401" s="20" t="n"/>
      <c r="S401" s="20" t="n"/>
      <c r="T401" s="19" t="n"/>
      <c r="U401" s="19" t="n"/>
      <c r="V401" s="19" t="n"/>
      <c r="W401" s="19" t="n"/>
      <c r="X401" s="19" t="n"/>
      <c r="Y401" s="20" t="n"/>
    </row>
    <row r="402" ht="22" customHeight="1"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15" t="n"/>
      <c r="P402" s="21" t="n"/>
      <c r="Q402" s="21" t="n"/>
      <c r="R402" s="22" t="n"/>
      <c r="S402" s="22" t="n"/>
      <c r="T402" s="21" t="n"/>
      <c r="U402" s="21" t="n"/>
      <c r="V402" s="21" t="n"/>
      <c r="W402" s="21" t="n"/>
      <c r="X402" s="21" t="n"/>
      <c r="Y402" s="22" t="n"/>
    </row>
    <row r="403" ht="22" customHeight="1"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3" t="n"/>
      <c r="P403" s="19" t="n"/>
      <c r="Q403" s="19" t="n"/>
      <c r="R403" s="20" t="n"/>
      <c r="S403" s="20" t="n"/>
      <c r="T403" s="19" t="n"/>
      <c r="U403" s="19" t="n"/>
      <c r="V403" s="19" t="n"/>
      <c r="W403" s="19" t="n"/>
      <c r="X403" s="19" t="n"/>
      <c r="Y403" s="20" t="n"/>
    </row>
    <row r="404" ht="22" customHeight="1"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15" t="n"/>
      <c r="P404" s="21" t="n"/>
      <c r="Q404" s="21" t="n"/>
      <c r="R404" s="22" t="n"/>
      <c r="S404" s="22" t="n"/>
      <c r="T404" s="21" t="n"/>
      <c r="U404" s="21" t="n"/>
      <c r="V404" s="21" t="n"/>
      <c r="W404" s="21" t="n"/>
      <c r="X404" s="21" t="n"/>
      <c r="Y404" s="22" t="n"/>
    </row>
    <row r="405" ht="22" customHeight="1"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3" t="n"/>
      <c r="P405" s="19" t="n"/>
      <c r="Q405" s="19" t="n"/>
      <c r="R405" s="20" t="n"/>
      <c r="S405" s="20" t="n"/>
      <c r="T405" s="19" t="n"/>
      <c r="U405" s="19" t="n"/>
      <c r="V405" s="19" t="n"/>
      <c r="W405" s="19" t="n"/>
      <c r="X405" s="19" t="n"/>
      <c r="Y405" s="20" t="n"/>
    </row>
    <row r="406" ht="22" customHeight="1"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15" t="n"/>
      <c r="P406" s="21" t="n"/>
      <c r="Q406" s="21" t="n"/>
      <c r="R406" s="22" t="n"/>
      <c r="S406" s="22" t="n"/>
      <c r="T406" s="21" t="n"/>
      <c r="U406" s="21" t="n"/>
      <c r="V406" s="21" t="n"/>
      <c r="W406" s="21" t="n"/>
      <c r="X406" s="21" t="n"/>
      <c r="Y406" s="22" t="n"/>
    </row>
    <row r="407" ht="22" customHeight="1"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3" t="n"/>
      <c r="P407" s="19" t="n"/>
      <c r="Q407" s="19" t="n"/>
      <c r="R407" s="20" t="n"/>
      <c r="S407" s="20" t="n"/>
      <c r="T407" s="19" t="n"/>
      <c r="U407" s="19" t="n"/>
      <c r="V407" s="19" t="n"/>
      <c r="W407" s="19" t="n"/>
      <c r="X407" s="19" t="n"/>
      <c r="Y407" s="20" t="n"/>
    </row>
    <row r="408" ht="22" customHeight="1"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15" t="n"/>
      <c r="P408" s="21" t="n"/>
      <c r="Q408" s="21" t="n"/>
      <c r="R408" s="22" t="n"/>
      <c r="S408" s="22" t="n"/>
      <c r="T408" s="21" t="n"/>
      <c r="U408" s="21" t="n"/>
      <c r="V408" s="21" t="n"/>
      <c r="W408" s="21" t="n"/>
      <c r="X408" s="21" t="n"/>
      <c r="Y408" s="22" t="n"/>
    </row>
    <row r="409" ht="22" customHeight="1"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3" t="n"/>
      <c r="P409" s="19" t="n"/>
      <c r="Q409" s="19" t="n"/>
      <c r="R409" s="20" t="n"/>
      <c r="S409" s="20" t="n"/>
      <c r="T409" s="19" t="n"/>
      <c r="U409" s="19" t="n"/>
      <c r="V409" s="19" t="n"/>
      <c r="W409" s="19" t="n"/>
      <c r="X409" s="19" t="n"/>
      <c r="Y409" s="20" t="n"/>
    </row>
    <row r="410" ht="22" customHeight="1"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15" t="n"/>
      <c r="P410" s="21" t="n"/>
      <c r="Q410" s="21" t="n"/>
      <c r="R410" s="22" t="n"/>
      <c r="S410" s="22" t="n"/>
      <c r="T410" s="21" t="n"/>
      <c r="U410" s="21" t="n"/>
      <c r="V410" s="21" t="n"/>
      <c r="W410" s="21" t="n"/>
      <c r="X410" s="21" t="n"/>
      <c r="Y410" s="22" t="n"/>
    </row>
    <row r="411" ht="22" customHeight="1"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3" t="n"/>
      <c r="P411" s="19" t="n"/>
      <c r="Q411" s="19" t="n"/>
      <c r="R411" s="20" t="n"/>
      <c r="S411" s="20" t="n"/>
      <c r="T411" s="19" t="n"/>
      <c r="U411" s="19" t="n"/>
      <c r="V411" s="19" t="n"/>
      <c r="W411" s="19" t="n"/>
      <c r="X411" s="19" t="n"/>
      <c r="Y411" s="20" t="n"/>
    </row>
    <row r="412" ht="22" customHeight="1"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15" t="n"/>
      <c r="P412" s="21" t="n"/>
      <c r="Q412" s="21" t="n"/>
      <c r="R412" s="22" t="n"/>
      <c r="S412" s="22" t="n"/>
      <c r="T412" s="21" t="n"/>
      <c r="U412" s="21" t="n"/>
      <c r="V412" s="21" t="n"/>
      <c r="W412" s="21" t="n"/>
      <c r="X412" s="21" t="n"/>
      <c r="Y412" s="22" t="n"/>
    </row>
    <row r="413" ht="22" customHeight="1"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3" t="n"/>
      <c r="P413" s="19" t="n"/>
      <c r="Q413" s="19" t="n"/>
      <c r="R413" s="20" t="n"/>
      <c r="S413" s="20" t="n"/>
      <c r="T413" s="19" t="n"/>
      <c r="U413" s="19" t="n"/>
      <c r="V413" s="19" t="n"/>
      <c r="W413" s="19" t="n"/>
      <c r="X413" s="19" t="n"/>
      <c r="Y413" s="20" t="n"/>
    </row>
    <row r="414" ht="22" customHeight="1"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15" t="n"/>
      <c r="P414" s="21" t="n"/>
      <c r="Q414" s="21" t="n"/>
      <c r="R414" s="22" t="n"/>
      <c r="S414" s="22" t="n"/>
      <c r="T414" s="21" t="n"/>
      <c r="U414" s="21" t="n"/>
      <c r="V414" s="21" t="n"/>
      <c r="W414" s="21" t="n"/>
      <c r="X414" s="21" t="n"/>
      <c r="Y414" s="22" t="n"/>
    </row>
    <row r="415" ht="22" customHeight="1"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3" t="n"/>
      <c r="P415" s="19" t="n"/>
      <c r="Q415" s="19" t="n"/>
      <c r="R415" s="20" t="n"/>
      <c r="S415" s="20" t="n"/>
      <c r="T415" s="19" t="n"/>
      <c r="U415" s="19" t="n"/>
      <c r="V415" s="19" t="n"/>
      <c r="W415" s="19" t="n"/>
      <c r="X415" s="19" t="n"/>
      <c r="Y415" s="20" t="n"/>
    </row>
    <row r="416" ht="22" customHeight="1"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15" t="n"/>
      <c r="P416" s="21" t="n"/>
      <c r="Q416" s="21" t="n"/>
      <c r="R416" s="22" t="n"/>
      <c r="S416" s="22" t="n"/>
      <c r="T416" s="21" t="n"/>
      <c r="U416" s="21" t="n"/>
      <c r="V416" s="21" t="n"/>
      <c r="W416" s="21" t="n"/>
      <c r="X416" s="21" t="n"/>
      <c r="Y416" s="22" t="n"/>
    </row>
    <row r="417" ht="22" customHeight="1"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3" t="n"/>
      <c r="P417" s="19" t="n"/>
      <c r="Q417" s="19" t="n"/>
      <c r="R417" s="20" t="n"/>
      <c r="S417" s="20" t="n"/>
      <c r="T417" s="19" t="n"/>
      <c r="U417" s="19" t="n"/>
      <c r="V417" s="19" t="n"/>
      <c r="W417" s="19" t="n"/>
      <c r="X417" s="19" t="n"/>
      <c r="Y417" s="20" t="n"/>
    </row>
    <row r="418" ht="22" customHeight="1"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15" t="n"/>
      <c r="P418" s="21" t="n"/>
      <c r="Q418" s="21" t="n"/>
      <c r="R418" s="22" t="n"/>
      <c r="S418" s="22" t="n"/>
      <c r="T418" s="21" t="n"/>
      <c r="U418" s="21" t="n"/>
      <c r="V418" s="21" t="n"/>
      <c r="W418" s="21" t="n"/>
      <c r="X418" s="21" t="n"/>
      <c r="Y418" s="22" t="n"/>
    </row>
    <row r="419" ht="22" customHeight="1"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3" t="n"/>
      <c r="P419" s="19" t="n"/>
      <c r="Q419" s="19" t="n"/>
      <c r="R419" s="20" t="n"/>
      <c r="S419" s="20" t="n"/>
      <c r="T419" s="19" t="n"/>
      <c r="U419" s="19" t="n"/>
      <c r="V419" s="19" t="n"/>
      <c r="W419" s="19" t="n"/>
      <c r="X419" s="19" t="n"/>
      <c r="Y419" s="20" t="n"/>
    </row>
    <row r="420" ht="22" customHeight="1"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15" t="n"/>
      <c r="P420" s="21" t="n"/>
      <c r="Q420" s="21" t="n"/>
      <c r="R420" s="22" t="n"/>
      <c r="S420" s="22" t="n"/>
      <c r="T420" s="21" t="n"/>
      <c r="U420" s="21" t="n"/>
      <c r="V420" s="21" t="n"/>
      <c r="W420" s="21" t="n"/>
      <c r="X420" s="21" t="n"/>
      <c r="Y420" s="22" t="n"/>
    </row>
    <row r="421" ht="22" customHeight="1"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3" t="n"/>
      <c r="P421" s="19" t="n"/>
      <c r="Q421" s="19" t="n"/>
      <c r="R421" s="20" t="n"/>
      <c r="S421" s="20" t="n"/>
      <c r="T421" s="19" t="n"/>
      <c r="U421" s="19" t="n"/>
      <c r="V421" s="19" t="n"/>
      <c r="W421" s="19" t="n"/>
      <c r="X421" s="19" t="n"/>
      <c r="Y421" s="20" t="n"/>
    </row>
    <row r="422" ht="22" customHeight="1"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15" t="n"/>
      <c r="P422" s="21" t="n"/>
      <c r="Q422" s="21" t="n"/>
      <c r="R422" s="22" t="n"/>
      <c r="S422" s="22" t="n"/>
      <c r="T422" s="21" t="n"/>
      <c r="U422" s="21" t="n"/>
      <c r="V422" s="21" t="n"/>
      <c r="W422" s="21" t="n"/>
      <c r="X422" s="21" t="n"/>
      <c r="Y422" s="22" t="n"/>
    </row>
    <row r="423" ht="22" customHeight="1"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3" t="n"/>
      <c r="P423" s="19" t="n"/>
      <c r="Q423" s="19" t="n"/>
      <c r="R423" s="20" t="n"/>
      <c r="S423" s="20" t="n"/>
      <c r="T423" s="19" t="n"/>
      <c r="U423" s="19" t="n"/>
      <c r="V423" s="19" t="n"/>
      <c r="W423" s="19" t="n"/>
      <c r="X423" s="19" t="n"/>
      <c r="Y423" s="20" t="n"/>
    </row>
    <row r="424" ht="22" customHeight="1"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15" t="n"/>
      <c r="P424" s="21" t="n"/>
      <c r="Q424" s="21" t="n"/>
      <c r="R424" s="22" t="n"/>
      <c r="S424" s="22" t="n"/>
      <c r="T424" s="21" t="n"/>
      <c r="U424" s="21" t="n"/>
      <c r="V424" s="21" t="n"/>
      <c r="W424" s="21" t="n"/>
      <c r="X424" s="21" t="n"/>
      <c r="Y424" s="22" t="n"/>
    </row>
    <row r="425" ht="22" customHeight="1"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3" t="n"/>
      <c r="P425" s="19" t="n"/>
      <c r="Q425" s="19" t="n"/>
      <c r="R425" s="20" t="n"/>
      <c r="S425" s="20" t="n"/>
      <c r="T425" s="19" t="n"/>
      <c r="U425" s="19" t="n"/>
      <c r="V425" s="19" t="n"/>
      <c r="W425" s="19" t="n"/>
      <c r="X425" s="19" t="n"/>
      <c r="Y425" s="20" t="n"/>
    </row>
    <row r="426" ht="22" customHeight="1"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15" t="n"/>
      <c r="P426" s="21" t="n"/>
      <c r="Q426" s="21" t="n"/>
      <c r="R426" s="22" t="n"/>
      <c r="S426" s="22" t="n"/>
      <c r="T426" s="21" t="n"/>
      <c r="U426" s="21" t="n"/>
      <c r="V426" s="21" t="n"/>
      <c r="W426" s="21" t="n"/>
      <c r="X426" s="21" t="n"/>
      <c r="Y426" s="22" t="n"/>
    </row>
    <row r="427" ht="22" customHeight="1"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3" t="n"/>
      <c r="P427" s="19" t="n"/>
      <c r="Q427" s="19" t="n"/>
      <c r="R427" s="20" t="n"/>
      <c r="S427" s="20" t="n"/>
      <c r="T427" s="19" t="n"/>
      <c r="U427" s="19" t="n"/>
      <c r="V427" s="19" t="n"/>
      <c r="W427" s="19" t="n"/>
      <c r="X427" s="19" t="n"/>
      <c r="Y427" s="20" t="n"/>
    </row>
    <row r="428" ht="22" customHeight="1"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15" t="n"/>
      <c r="P428" s="21" t="n"/>
      <c r="Q428" s="21" t="n"/>
      <c r="R428" s="22" t="n"/>
      <c r="S428" s="22" t="n"/>
      <c r="T428" s="21" t="n"/>
      <c r="U428" s="21" t="n"/>
      <c r="V428" s="21" t="n"/>
      <c r="W428" s="21" t="n"/>
      <c r="X428" s="21" t="n"/>
      <c r="Y428" s="22" t="n"/>
    </row>
    <row r="429" ht="22" customHeight="1"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3" t="n"/>
      <c r="P429" s="19" t="n"/>
      <c r="Q429" s="19" t="n"/>
      <c r="R429" s="20" t="n"/>
      <c r="S429" s="20" t="n"/>
      <c r="T429" s="19" t="n"/>
      <c r="U429" s="19" t="n"/>
      <c r="V429" s="19" t="n"/>
      <c r="W429" s="19" t="n"/>
      <c r="X429" s="19" t="n"/>
      <c r="Y429" s="20" t="n"/>
    </row>
    <row r="430" ht="22" customHeight="1"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15" t="n"/>
      <c r="P430" s="21" t="n"/>
      <c r="Q430" s="21" t="n"/>
      <c r="R430" s="22" t="n"/>
      <c r="S430" s="22" t="n"/>
      <c r="T430" s="21" t="n"/>
      <c r="U430" s="21" t="n"/>
      <c r="V430" s="21" t="n"/>
      <c r="W430" s="21" t="n"/>
      <c r="X430" s="21" t="n"/>
      <c r="Y430" s="22" t="n"/>
    </row>
    <row r="431" ht="22" customHeight="1"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3" t="n"/>
      <c r="P431" s="19" t="n"/>
      <c r="Q431" s="19" t="n"/>
      <c r="R431" s="20" t="n"/>
      <c r="S431" s="20" t="n"/>
      <c r="T431" s="19" t="n"/>
      <c r="U431" s="19" t="n"/>
      <c r="V431" s="19" t="n"/>
      <c r="W431" s="19" t="n"/>
      <c r="X431" s="19" t="n"/>
      <c r="Y431" s="20" t="n"/>
    </row>
    <row r="432" ht="22" customHeight="1"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15" t="n"/>
      <c r="P432" s="21" t="n"/>
      <c r="Q432" s="21" t="n"/>
      <c r="R432" s="22" t="n"/>
      <c r="S432" s="22" t="n"/>
      <c r="T432" s="21" t="n"/>
      <c r="U432" s="21" t="n"/>
      <c r="V432" s="21" t="n"/>
      <c r="W432" s="21" t="n"/>
      <c r="X432" s="21" t="n"/>
      <c r="Y432" s="22" t="n"/>
    </row>
    <row r="433" ht="22" customHeight="1"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3" t="n"/>
      <c r="P433" s="19" t="n"/>
      <c r="Q433" s="19" t="n"/>
      <c r="R433" s="20" t="n"/>
      <c r="S433" s="20" t="n"/>
      <c r="T433" s="19" t="n"/>
      <c r="U433" s="19" t="n"/>
      <c r="V433" s="19" t="n"/>
      <c r="W433" s="19" t="n"/>
      <c r="X433" s="19" t="n"/>
      <c r="Y433" s="20" t="n"/>
    </row>
    <row r="434" ht="22" customHeight="1"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15" t="n"/>
      <c r="P434" s="21" t="n"/>
      <c r="Q434" s="21" t="n"/>
      <c r="R434" s="22" t="n"/>
      <c r="S434" s="22" t="n"/>
      <c r="T434" s="21" t="n"/>
      <c r="U434" s="21" t="n"/>
      <c r="V434" s="21" t="n"/>
      <c r="W434" s="21" t="n"/>
      <c r="X434" s="21" t="n"/>
      <c r="Y434" s="22" t="n"/>
    </row>
    <row r="435" ht="22" customHeight="1"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3" t="n"/>
      <c r="P435" s="19" t="n"/>
      <c r="Q435" s="19" t="n"/>
      <c r="R435" s="20" t="n"/>
      <c r="S435" s="20" t="n"/>
      <c r="T435" s="19" t="n"/>
      <c r="U435" s="19" t="n"/>
      <c r="V435" s="19" t="n"/>
      <c r="W435" s="19" t="n"/>
      <c r="X435" s="19" t="n"/>
      <c r="Y435" s="20" t="n"/>
    </row>
    <row r="436" ht="22" customHeight="1"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15" t="n"/>
      <c r="P436" s="21" t="n"/>
      <c r="Q436" s="21" t="n"/>
      <c r="R436" s="22" t="n"/>
      <c r="S436" s="22" t="n"/>
      <c r="T436" s="21" t="n"/>
      <c r="U436" s="21" t="n"/>
      <c r="V436" s="21" t="n"/>
      <c r="W436" s="21" t="n"/>
      <c r="X436" s="21" t="n"/>
      <c r="Y436" s="22" t="n"/>
    </row>
    <row r="437" ht="22" customHeight="1"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3" t="n"/>
      <c r="P437" s="19" t="n"/>
      <c r="Q437" s="19" t="n"/>
      <c r="R437" s="20" t="n"/>
      <c r="S437" s="20" t="n"/>
      <c r="T437" s="19" t="n"/>
      <c r="U437" s="19" t="n"/>
      <c r="V437" s="19" t="n"/>
      <c r="W437" s="19" t="n"/>
      <c r="X437" s="19" t="n"/>
      <c r="Y437" s="20" t="n"/>
    </row>
    <row r="438" ht="22" customHeight="1"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15" t="n"/>
      <c r="P438" s="21" t="n"/>
      <c r="Q438" s="21" t="n"/>
      <c r="R438" s="22" t="n"/>
      <c r="S438" s="22" t="n"/>
      <c r="T438" s="21" t="n"/>
      <c r="U438" s="21" t="n"/>
      <c r="V438" s="21" t="n"/>
      <c r="W438" s="21" t="n"/>
      <c r="X438" s="21" t="n"/>
      <c r="Y438" s="22" t="n"/>
    </row>
    <row r="439" ht="22" customHeight="1"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3" t="n"/>
      <c r="P439" s="19" t="n"/>
      <c r="Q439" s="19" t="n"/>
      <c r="R439" s="20" t="n"/>
      <c r="S439" s="20" t="n"/>
      <c r="T439" s="19" t="n"/>
      <c r="U439" s="19" t="n"/>
      <c r="V439" s="19" t="n"/>
      <c r="W439" s="19" t="n"/>
      <c r="X439" s="19" t="n"/>
      <c r="Y439" s="20" t="n"/>
    </row>
    <row r="440" ht="22" customHeight="1"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15" t="n"/>
      <c r="P440" s="21" t="n"/>
      <c r="Q440" s="21" t="n"/>
      <c r="R440" s="22" t="n"/>
      <c r="S440" s="22" t="n"/>
      <c r="T440" s="21" t="n"/>
      <c r="U440" s="21" t="n"/>
      <c r="V440" s="21" t="n"/>
      <c r="W440" s="21" t="n"/>
      <c r="X440" s="21" t="n"/>
      <c r="Y440" s="22" t="n"/>
    </row>
    <row r="441" ht="22" customHeight="1"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3" t="n"/>
      <c r="P441" s="19" t="n"/>
      <c r="Q441" s="19" t="n"/>
      <c r="R441" s="20" t="n"/>
      <c r="S441" s="20" t="n"/>
      <c r="T441" s="19" t="n"/>
      <c r="U441" s="19" t="n"/>
      <c r="V441" s="19" t="n"/>
      <c r="W441" s="19" t="n"/>
      <c r="X441" s="19" t="n"/>
      <c r="Y441" s="20" t="n"/>
    </row>
    <row r="442" ht="22" customHeight="1"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15" t="n"/>
      <c r="P442" s="21" t="n"/>
      <c r="Q442" s="21" t="n"/>
      <c r="R442" s="22" t="n"/>
      <c r="S442" s="22" t="n"/>
      <c r="T442" s="21" t="n"/>
      <c r="U442" s="21" t="n"/>
      <c r="V442" s="21" t="n"/>
      <c r="W442" s="21" t="n"/>
      <c r="X442" s="21" t="n"/>
      <c r="Y442" s="22" t="n"/>
    </row>
    <row r="443" ht="22" customHeight="1"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3" t="n"/>
      <c r="P443" s="19" t="n"/>
      <c r="Q443" s="19" t="n"/>
      <c r="R443" s="20" t="n"/>
      <c r="S443" s="20" t="n"/>
      <c r="T443" s="19" t="n"/>
      <c r="U443" s="19" t="n"/>
      <c r="V443" s="19" t="n"/>
      <c r="W443" s="19" t="n"/>
      <c r="X443" s="19" t="n"/>
      <c r="Y443" s="20" t="n"/>
    </row>
    <row r="444" ht="22" customHeight="1"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15" t="n"/>
      <c r="P444" s="21" t="n"/>
      <c r="Q444" s="21" t="n"/>
      <c r="R444" s="22" t="n"/>
      <c r="S444" s="22" t="n"/>
      <c r="T444" s="21" t="n"/>
      <c r="U444" s="21" t="n"/>
      <c r="V444" s="21" t="n"/>
      <c r="W444" s="21" t="n"/>
      <c r="X444" s="21" t="n"/>
      <c r="Y444" s="22" t="n"/>
    </row>
    <row r="445" ht="22" customHeight="1"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3" t="n"/>
      <c r="P445" s="19" t="n"/>
      <c r="Q445" s="19" t="n"/>
      <c r="R445" s="20" t="n"/>
      <c r="S445" s="20" t="n"/>
      <c r="T445" s="19" t="n"/>
      <c r="U445" s="19" t="n"/>
      <c r="V445" s="19" t="n"/>
      <c r="W445" s="19" t="n"/>
      <c r="X445" s="19" t="n"/>
      <c r="Y445" s="20" t="n"/>
    </row>
    <row r="446" ht="22" customHeight="1"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15" t="n"/>
      <c r="P446" s="21" t="n"/>
      <c r="Q446" s="21" t="n"/>
      <c r="R446" s="22" t="n"/>
      <c r="S446" s="22" t="n"/>
      <c r="T446" s="21" t="n"/>
      <c r="U446" s="21" t="n"/>
      <c r="V446" s="21" t="n"/>
      <c r="W446" s="21" t="n"/>
      <c r="X446" s="21" t="n"/>
      <c r="Y446" s="22" t="n"/>
    </row>
    <row r="447" ht="22" customHeight="1"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3" t="n"/>
      <c r="P447" s="19" t="n"/>
      <c r="Q447" s="19" t="n"/>
      <c r="R447" s="20" t="n"/>
      <c r="S447" s="20" t="n"/>
      <c r="T447" s="19" t="n"/>
      <c r="U447" s="19" t="n"/>
      <c r="V447" s="19" t="n"/>
      <c r="W447" s="19" t="n"/>
      <c r="X447" s="19" t="n"/>
      <c r="Y447" s="20" t="n"/>
    </row>
    <row r="448" ht="22" customHeight="1"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15" t="n"/>
      <c r="P448" s="21" t="n"/>
      <c r="Q448" s="21" t="n"/>
      <c r="R448" s="22" t="n"/>
      <c r="S448" s="22" t="n"/>
      <c r="T448" s="21" t="n"/>
      <c r="U448" s="21" t="n"/>
      <c r="V448" s="21" t="n"/>
      <c r="W448" s="21" t="n"/>
      <c r="X448" s="21" t="n"/>
      <c r="Y448" s="22" t="n"/>
    </row>
    <row r="449" ht="22" customHeight="1"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3" t="n"/>
      <c r="P449" s="19" t="n"/>
      <c r="Q449" s="19" t="n"/>
      <c r="R449" s="20" t="n"/>
      <c r="S449" s="20" t="n"/>
      <c r="T449" s="19" t="n"/>
      <c r="U449" s="19" t="n"/>
      <c r="V449" s="19" t="n"/>
      <c r="W449" s="19" t="n"/>
      <c r="X449" s="19" t="n"/>
      <c r="Y449" s="20" t="n"/>
    </row>
    <row r="450" ht="22" customHeight="1"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15" t="n"/>
      <c r="P450" s="21" t="n"/>
      <c r="Q450" s="21" t="n"/>
      <c r="R450" s="22" t="n"/>
      <c r="S450" s="22" t="n"/>
      <c r="T450" s="21" t="n"/>
      <c r="U450" s="21" t="n"/>
      <c r="V450" s="21" t="n"/>
      <c r="W450" s="21" t="n"/>
      <c r="X450" s="21" t="n"/>
      <c r="Y450" s="22" t="n"/>
    </row>
    <row r="451" ht="22" customHeight="1"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3" t="n"/>
      <c r="P451" s="19" t="n"/>
      <c r="Q451" s="19" t="n"/>
      <c r="R451" s="20" t="n"/>
      <c r="S451" s="20" t="n"/>
      <c r="T451" s="19" t="n"/>
      <c r="U451" s="19" t="n"/>
      <c r="V451" s="19" t="n"/>
      <c r="W451" s="19" t="n"/>
      <c r="X451" s="19" t="n"/>
      <c r="Y451" s="20" t="n"/>
    </row>
    <row r="452" ht="22" customHeight="1"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15" t="n"/>
      <c r="P452" s="21" t="n"/>
      <c r="Q452" s="21" t="n"/>
      <c r="R452" s="22" t="n"/>
      <c r="S452" s="22" t="n"/>
      <c r="T452" s="21" t="n"/>
      <c r="U452" s="21" t="n"/>
      <c r="V452" s="21" t="n"/>
      <c r="W452" s="21" t="n"/>
      <c r="X452" s="21" t="n"/>
      <c r="Y452" s="22" t="n"/>
    </row>
    <row r="453" ht="22" customHeight="1"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3" t="n"/>
      <c r="P453" s="19" t="n"/>
      <c r="Q453" s="19" t="n"/>
      <c r="R453" s="20" t="n"/>
      <c r="S453" s="20" t="n"/>
      <c r="T453" s="19" t="n"/>
      <c r="U453" s="19" t="n"/>
      <c r="V453" s="19" t="n"/>
      <c r="W453" s="19" t="n"/>
      <c r="X453" s="19" t="n"/>
      <c r="Y453" s="20" t="n"/>
    </row>
    <row r="454" ht="22" customHeight="1"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15" t="n"/>
      <c r="P454" s="21" t="n"/>
      <c r="Q454" s="21" t="n"/>
      <c r="R454" s="22" t="n"/>
      <c r="S454" s="22" t="n"/>
      <c r="T454" s="21" t="n"/>
      <c r="U454" s="21" t="n"/>
      <c r="V454" s="21" t="n"/>
      <c r="W454" s="21" t="n"/>
      <c r="X454" s="21" t="n"/>
      <c r="Y454" s="22" t="n"/>
    </row>
    <row r="455" ht="22" customHeight="1"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3" t="n"/>
      <c r="P455" s="19" t="n"/>
      <c r="Q455" s="19" t="n"/>
      <c r="R455" s="20" t="n"/>
      <c r="S455" s="20" t="n"/>
      <c r="T455" s="19" t="n"/>
      <c r="U455" s="19" t="n"/>
      <c r="V455" s="19" t="n"/>
      <c r="W455" s="19" t="n"/>
      <c r="X455" s="19" t="n"/>
      <c r="Y455" s="20" t="n"/>
    </row>
    <row r="456" ht="22" customHeight="1"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15" t="n"/>
      <c r="P456" s="21" t="n"/>
      <c r="Q456" s="21" t="n"/>
      <c r="R456" s="22" t="n"/>
      <c r="S456" s="22" t="n"/>
      <c r="T456" s="21" t="n"/>
      <c r="U456" s="21" t="n"/>
      <c r="V456" s="21" t="n"/>
      <c r="W456" s="21" t="n"/>
      <c r="X456" s="21" t="n"/>
      <c r="Y456" s="22" t="n"/>
    </row>
    <row r="457" ht="22" customHeight="1"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3" t="n"/>
      <c r="P457" s="19" t="n"/>
      <c r="Q457" s="19" t="n"/>
      <c r="R457" s="20" t="n"/>
      <c r="S457" s="20" t="n"/>
      <c r="T457" s="19" t="n"/>
      <c r="U457" s="19" t="n"/>
      <c r="V457" s="19" t="n"/>
      <c r="W457" s="19" t="n"/>
      <c r="X457" s="19" t="n"/>
      <c r="Y457" s="20" t="n"/>
    </row>
    <row r="458" ht="22" customHeight="1"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15" t="n"/>
      <c r="P458" s="21" t="n"/>
      <c r="Q458" s="21" t="n"/>
      <c r="R458" s="22" t="n"/>
      <c r="S458" s="22" t="n"/>
      <c r="T458" s="21" t="n"/>
      <c r="U458" s="21" t="n"/>
      <c r="V458" s="21" t="n"/>
      <c r="W458" s="21" t="n"/>
      <c r="X458" s="21" t="n"/>
      <c r="Y458" s="22" t="n"/>
    </row>
    <row r="459" ht="22" customHeight="1"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3" t="n"/>
      <c r="P459" s="19" t="n"/>
      <c r="Q459" s="19" t="n"/>
      <c r="R459" s="20" t="n"/>
      <c r="S459" s="20" t="n"/>
      <c r="T459" s="19" t="n"/>
      <c r="U459" s="19" t="n"/>
      <c r="V459" s="19" t="n"/>
      <c r="W459" s="19" t="n"/>
      <c r="X459" s="19" t="n"/>
      <c r="Y459" s="20" t="n"/>
    </row>
    <row r="460" ht="22" customHeight="1"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15" t="n"/>
      <c r="P460" s="21" t="n"/>
      <c r="Q460" s="21" t="n"/>
      <c r="R460" s="22" t="n"/>
      <c r="S460" s="22" t="n"/>
      <c r="T460" s="21" t="n"/>
      <c r="U460" s="21" t="n"/>
      <c r="V460" s="21" t="n"/>
      <c r="W460" s="21" t="n"/>
      <c r="X460" s="21" t="n"/>
      <c r="Y460" s="22" t="n"/>
    </row>
    <row r="461" ht="22" customHeight="1"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3" t="n"/>
      <c r="P461" s="19" t="n"/>
      <c r="Q461" s="19" t="n"/>
      <c r="R461" s="20" t="n"/>
      <c r="S461" s="20" t="n"/>
      <c r="T461" s="19" t="n"/>
      <c r="U461" s="19" t="n"/>
      <c r="V461" s="19" t="n"/>
      <c r="W461" s="19" t="n"/>
      <c r="X461" s="19" t="n"/>
      <c r="Y461" s="20" t="n"/>
    </row>
    <row r="462" ht="22" customHeight="1"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15" t="n"/>
      <c r="P462" s="21" t="n"/>
      <c r="Q462" s="21" t="n"/>
      <c r="R462" s="22" t="n"/>
      <c r="S462" s="22" t="n"/>
      <c r="T462" s="21" t="n"/>
      <c r="U462" s="21" t="n"/>
      <c r="V462" s="21" t="n"/>
      <c r="W462" s="21" t="n"/>
      <c r="X462" s="21" t="n"/>
      <c r="Y462" s="22" t="n"/>
    </row>
    <row r="463" ht="22" customHeight="1"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3" t="n"/>
      <c r="P463" s="19" t="n"/>
      <c r="Q463" s="19" t="n"/>
      <c r="R463" s="20" t="n"/>
      <c r="S463" s="20" t="n"/>
      <c r="T463" s="19" t="n"/>
      <c r="U463" s="19" t="n"/>
      <c r="V463" s="19" t="n"/>
      <c r="W463" s="19" t="n"/>
      <c r="X463" s="19" t="n"/>
      <c r="Y463" s="20" t="n"/>
    </row>
    <row r="464" ht="22" customHeight="1"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15" t="n"/>
      <c r="P464" s="21" t="n"/>
      <c r="Q464" s="21" t="n"/>
      <c r="R464" s="22" t="n"/>
      <c r="S464" s="22" t="n"/>
      <c r="T464" s="21" t="n"/>
      <c r="U464" s="21" t="n"/>
      <c r="V464" s="21" t="n"/>
      <c r="W464" s="21" t="n"/>
      <c r="X464" s="21" t="n"/>
      <c r="Y464" s="22" t="n"/>
    </row>
    <row r="465" ht="22" customHeight="1"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3" t="n"/>
      <c r="P465" s="19" t="n"/>
      <c r="Q465" s="19" t="n"/>
      <c r="R465" s="20" t="n"/>
      <c r="S465" s="20" t="n"/>
      <c r="T465" s="19" t="n"/>
      <c r="U465" s="19" t="n"/>
      <c r="V465" s="19" t="n"/>
      <c r="W465" s="19" t="n"/>
      <c r="X465" s="19" t="n"/>
      <c r="Y465" s="20" t="n"/>
    </row>
    <row r="466" ht="22" customHeight="1"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15" t="n"/>
      <c r="P466" s="21" t="n"/>
      <c r="Q466" s="21" t="n"/>
      <c r="R466" s="22" t="n"/>
      <c r="S466" s="22" t="n"/>
      <c r="T466" s="21" t="n"/>
      <c r="U466" s="21" t="n"/>
      <c r="V466" s="21" t="n"/>
      <c r="W466" s="21" t="n"/>
      <c r="X466" s="21" t="n"/>
      <c r="Y466" s="22" t="n"/>
    </row>
    <row r="467" ht="22" customHeight="1"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3" t="n"/>
      <c r="P467" s="19" t="n"/>
      <c r="Q467" s="19" t="n"/>
      <c r="R467" s="20" t="n"/>
      <c r="S467" s="20" t="n"/>
      <c r="T467" s="19" t="n"/>
      <c r="U467" s="19" t="n"/>
      <c r="V467" s="19" t="n"/>
      <c r="W467" s="19" t="n"/>
      <c r="X467" s="19" t="n"/>
      <c r="Y467" s="20" t="n"/>
    </row>
    <row r="468" ht="22" customHeight="1"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15" t="n"/>
      <c r="P468" s="21" t="n"/>
      <c r="Q468" s="21" t="n"/>
      <c r="R468" s="22" t="n"/>
      <c r="S468" s="22" t="n"/>
      <c r="T468" s="21" t="n"/>
      <c r="U468" s="21" t="n"/>
      <c r="V468" s="21" t="n"/>
      <c r="W468" s="21" t="n"/>
      <c r="X468" s="21" t="n"/>
      <c r="Y468" s="22" t="n"/>
    </row>
    <row r="469" ht="22" customHeight="1"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3" t="n"/>
      <c r="P469" s="19" t="n"/>
      <c r="Q469" s="19" t="n"/>
      <c r="R469" s="20" t="n"/>
      <c r="S469" s="20" t="n"/>
      <c r="T469" s="19" t="n"/>
      <c r="U469" s="19" t="n"/>
      <c r="V469" s="19" t="n"/>
      <c r="W469" s="19" t="n"/>
      <c r="X469" s="19" t="n"/>
      <c r="Y469" s="20" t="n"/>
    </row>
    <row r="470" ht="22" customHeight="1"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15" t="n"/>
      <c r="P470" s="21" t="n"/>
      <c r="Q470" s="21" t="n"/>
      <c r="R470" s="22" t="n"/>
      <c r="S470" s="22" t="n"/>
      <c r="T470" s="21" t="n"/>
      <c r="U470" s="21" t="n"/>
      <c r="V470" s="21" t="n"/>
      <c r="W470" s="21" t="n"/>
      <c r="X470" s="21" t="n"/>
      <c r="Y470" s="22" t="n"/>
    </row>
    <row r="471" ht="22" customHeight="1"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3" t="n"/>
      <c r="P471" s="19" t="n"/>
      <c r="Q471" s="19" t="n"/>
      <c r="R471" s="20" t="n"/>
      <c r="S471" s="20" t="n"/>
      <c r="T471" s="19" t="n"/>
      <c r="U471" s="19" t="n"/>
      <c r="V471" s="19" t="n"/>
      <c r="W471" s="19" t="n"/>
      <c r="X471" s="19" t="n"/>
      <c r="Y471" s="20" t="n"/>
    </row>
    <row r="472" ht="22" customHeight="1"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15" t="n"/>
      <c r="P472" s="21" t="n"/>
      <c r="Q472" s="21" t="n"/>
      <c r="R472" s="22" t="n"/>
      <c r="S472" s="22" t="n"/>
      <c r="T472" s="21" t="n"/>
      <c r="U472" s="21" t="n"/>
      <c r="V472" s="21" t="n"/>
      <c r="W472" s="21" t="n"/>
      <c r="X472" s="21" t="n"/>
      <c r="Y472" s="22" t="n"/>
    </row>
    <row r="473" ht="22" customHeight="1"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3" t="n"/>
      <c r="P473" s="19" t="n"/>
      <c r="Q473" s="19" t="n"/>
      <c r="R473" s="20" t="n"/>
      <c r="S473" s="20" t="n"/>
      <c r="T473" s="19" t="n"/>
      <c r="U473" s="19" t="n"/>
      <c r="V473" s="19" t="n"/>
      <c r="W473" s="19" t="n"/>
      <c r="X473" s="19" t="n"/>
      <c r="Y473" s="20" t="n"/>
    </row>
    <row r="474" ht="22" customHeight="1"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15" t="n"/>
      <c r="P474" s="21" t="n"/>
      <c r="Q474" s="21" t="n"/>
      <c r="R474" s="22" t="n"/>
      <c r="S474" s="22" t="n"/>
      <c r="T474" s="21" t="n"/>
      <c r="U474" s="21" t="n"/>
      <c r="V474" s="21" t="n"/>
      <c r="W474" s="21" t="n"/>
      <c r="X474" s="21" t="n"/>
      <c r="Y474" s="22" t="n"/>
    </row>
    <row r="475" ht="22" customHeight="1"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3" t="n"/>
      <c r="P475" s="19" t="n"/>
      <c r="Q475" s="19" t="n"/>
      <c r="R475" s="20" t="n"/>
      <c r="S475" s="20" t="n"/>
      <c r="T475" s="19" t="n"/>
      <c r="U475" s="19" t="n"/>
      <c r="V475" s="19" t="n"/>
      <c r="W475" s="19" t="n"/>
      <c r="X475" s="19" t="n"/>
      <c r="Y475" s="20" t="n"/>
    </row>
    <row r="476" ht="22" customHeight="1"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15" t="n"/>
      <c r="P476" s="21" t="n"/>
      <c r="Q476" s="21" t="n"/>
      <c r="R476" s="22" t="n"/>
      <c r="S476" s="22" t="n"/>
      <c r="T476" s="21" t="n"/>
      <c r="U476" s="21" t="n"/>
      <c r="V476" s="21" t="n"/>
      <c r="W476" s="21" t="n"/>
      <c r="X476" s="21" t="n"/>
      <c r="Y476" s="22" t="n"/>
    </row>
    <row r="477" ht="22" customHeight="1"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3" t="n"/>
      <c r="P477" s="19" t="n"/>
      <c r="Q477" s="19" t="n"/>
      <c r="R477" s="20" t="n"/>
      <c r="S477" s="20" t="n"/>
      <c r="T477" s="19" t="n"/>
      <c r="U477" s="19" t="n"/>
      <c r="V477" s="19" t="n"/>
      <c r="W477" s="19" t="n"/>
      <c r="X477" s="19" t="n"/>
      <c r="Y477" s="20" t="n"/>
    </row>
    <row r="478" ht="22" customHeight="1"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15" t="n"/>
      <c r="P478" s="21" t="n"/>
      <c r="Q478" s="21" t="n"/>
      <c r="R478" s="22" t="n"/>
      <c r="S478" s="22" t="n"/>
      <c r="T478" s="21" t="n"/>
      <c r="U478" s="21" t="n"/>
      <c r="V478" s="21" t="n"/>
      <c r="W478" s="21" t="n"/>
      <c r="X478" s="21" t="n"/>
      <c r="Y478" s="22" t="n"/>
    </row>
    <row r="479" ht="22" customHeight="1"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3" t="n"/>
      <c r="P479" s="19" t="n"/>
      <c r="Q479" s="19" t="n"/>
      <c r="R479" s="20" t="n"/>
      <c r="S479" s="20" t="n"/>
      <c r="T479" s="19" t="n"/>
      <c r="U479" s="19" t="n"/>
      <c r="V479" s="19" t="n"/>
      <c r="W479" s="19" t="n"/>
      <c r="X479" s="19" t="n"/>
      <c r="Y479" s="20" t="n"/>
    </row>
    <row r="480" ht="22" customHeight="1"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15" t="n"/>
      <c r="P480" s="21" t="n"/>
      <c r="Q480" s="21" t="n"/>
      <c r="R480" s="22" t="n"/>
      <c r="S480" s="22" t="n"/>
      <c r="T480" s="21" t="n"/>
      <c r="U480" s="21" t="n"/>
      <c r="V480" s="21" t="n"/>
      <c r="W480" s="21" t="n"/>
      <c r="X480" s="21" t="n"/>
      <c r="Y480" s="22" t="n"/>
    </row>
    <row r="481" ht="22" customHeight="1"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3" t="n"/>
      <c r="P481" s="19" t="n"/>
      <c r="Q481" s="19" t="n"/>
      <c r="R481" s="20" t="n"/>
      <c r="S481" s="20" t="n"/>
      <c r="T481" s="19" t="n"/>
      <c r="U481" s="19" t="n"/>
      <c r="V481" s="19" t="n"/>
      <c r="W481" s="19" t="n"/>
      <c r="X481" s="19" t="n"/>
      <c r="Y481" s="20" t="n"/>
    </row>
    <row r="482" ht="22" customHeight="1"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15" t="n"/>
      <c r="P482" s="21" t="n"/>
      <c r="Q482" s="21" t="n"/>
      <c r="R482" s="22" t="n"/>
      <c r="S482" s="22" t="n"/>
      <c r="T482" s="21" t="n"/>
      <c r="U482" s="21" t="n"/>
      <c r="V482" s="21" t="n"/>
      <c r="W482" s="21" t="n"/>
      <c r="X482" s="21" t="n"/>
      <c r="Y482" s="22" t="n"/>
    </row>
    <row r="483" ht="22" customHeight="1"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3" t="n"/>
      <c r="P483" s="19" t="n"/>
      <c r="Q483" s="19" t="n"/>
      <c r="R483" s="20" t="n"/>
      <c r="S483" s="20" t="n"/>
      <c r="T483" s="19" t="n"/>
      <c r="U483" s="19" t="n"/>
      <c r="V483" s="19" t="n"/>
      <c r="W483" s="19" t="n"/>
      <c r="X483" s="19" t="n"/>
      <c r="Y483" s="20" t="n"/>
    </row>
    <row r="484" ht="22" customHeight="1"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15" t="n"/>
      <c r="P484" s="21" t="n"/>
      <c r="Q484" s="21" t="n"/>
      <c r="R484" s="22" t="n"/>
      <c r="S484" s="22" t="n"/>
      <c r="T484" s="21" t="n"/>
      <c r="U484" s="21" t="n"/>
      <c r="V484" s="21" t="n"/>
      <c r="W484" s="21" t="n"/>
      <c r="X484" s="21" t="n"/>
      <c r="Y484" s="22" t="n"/>
    </row>
    <row r="485" ht="22" customHeight="1"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3" t="n"/>
      <c r="P485" s="19" t="n"/>
      <c r="Q485" s="19" t="n"/>
      <c r="R485" s="20" t="n"/>
      <c r="S485" s="20" t="n"/>
      <c r="T485" s="19" t="n"/>
      <c r="U485" s="19" t="n"/>
      <c r="V485" s="19" t="n"/>
      <c r="W485" s="19" t="n"/>
      <c r="X485" s="19" t="n"/>
      <c r="Y485" s="20" t="n"/>
    </row>
    <row r="486" ht="22" customHeight="1"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15" t="n"/>
      <c r="P486" s="21" t="n"/>
      <c r="Q486" s="21" t="n"/>
      <c r="R486" s="22" t="n"/>
      <c r="S486" s="22" t="n"/>
      <c r="T486" s="21" t="n"/>
      <c r="U486" s="21" t="n"/>
      <c r="V486" s="21" t="n"/>
      <c r="W486" s="21" t="n"/>
      <c r="X486" s="21" t="n"/>
      <c r="Y486" s="22" t="n"/>
    </row>
    <row r="487" ht="22" customHeight="1"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3" t="n"/>
      <c r="P487" s="19" t="n"/>
      <c r="Q487" s="19" t="n"/>
      <c r="R487" s="20" t="n"/>
      <c r="S487" s="20" t="n"/>
      <c r="T487" s="19" t="n"/>
      <c r="U487" s="19" t="n"/>
      <c r="V487" s="19" t="n"/>
      <c r="W487" s="19" t="n"/>
      <c r="X487" s="19" t="n"/>
      <c r="Y487" s="20" t="n"/>
    </row>
    <row r="488" ht="22" customHeight="1"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15" t="n"/>
      <c r="P488" s="21" t="n"/>
      <c r="Q488" s="21" t="n"/>
      <c r="R488" s="22" t="n"/>
      <c r="S488" s="22" t="n"/>
      <c r="T488" s="21" t="n"/>
      <c r="U488" s="21" t="n"/>
      <c r="V488" s="21" t="n"/>
      <c r="W488" s="21" t="n"/>
      <c r="X488" s="21" t="n"/>
      <c r="Y488" s="22" t="n"/>
    </row>
    <row r="489" ht="22" customHeight="1"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3" t="n"/>
      <c r="P489" s="19" t="n"/>
      <c r="Q489" s="19" t="n"/>
      <c r="R489" s="20" t="n"/>
      <c r="S489" s="20" t="n"/>
      <c r="T489" s="19" t="n"/>
      <c r="U489" s="19" t="n"/>
      <c r="V489" s="19" t="n"/>
      <c r="W489" s="19" t="n"/>
      <c r="X489" s="19" t="n"/>
      <c r="Y489" s="20" t="n"/>
    </row>
    <row r="490" ht="22" customHeight="1"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15" t="n"/>
      <c r="P490" s="21" t="n"/>
      <c r="Q490" s="21" t="n"/>
      <c r="R490" s="22" t="n"/>
      <c r="S490" s="22" t="n"/>
      <c r="T490" s="21" t="n"/>
      <c r="U490" s="21" t="n"/>
      <c r="V490" s="21" t="n"/>
      <c r="W490" s="21" t="n"/>
      <c r="X490" s="21" t="n"/>
      <c r="Y490" s="22" t="n"/>
    </row>
    <row r="491" ht="22" customHeight="1"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3" t="n"/>
      <c r="P491" s="19" t="n"/>
      <c r="Q491" s="19" t="n"/>
      <c r="R491" s="20" t="n"/>
      <c r="S491" s="20" t="n"/>
      <c r="T491" s="19" t="n"/>
      <c r="U491" s="19" t="n"/>
      <c r="V491" s="19" t="n"/>
      <c r="W491" s="19" t="n"/>
      <c r="X491" s="19" t="n"/>
      <c r="Y491" s="20" t="n"/>
    </row>
    <row r="492" ht="22" customHeight="1"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15" t="n"/>
      <c r="P492" s="21" t="n"/>
      <c r="Q492" s="21" t="n"/>
      <c r="R492" s="22" t="n"/>
      <c r="S492" s="22" t="n"/>
      <c r="T492" s="21" t="n"/>
      <c r="U492" s="21" t="n"/>
      <c r="V492" s="21" t="n"/>
      <c r="W492" s="21" t="n"/>
      <c r="X492" s="21" t="n"/>
      <c r="Y492" s="22" t="n"/>
    </row>
    <row r="493" ht="22" customHeight="1"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3" t="n"/>
      <c r="P493" s="19" t="n"/>
      <c r="Q493" s="19" t="n"/>
      <c r="R493" s="20" t="n"/>
      <c r="S493" s="20" t="n"/>
      <c r="T493" s="19" t="n"/>
      <c r="U493" s="19" t="n"/>
      <c r="V493" s="19" t="n"/>
      <c r="W493" s="19" t="n"/>
      <c r="X493" s="19" t="n"/>
      <c r="Y493" s="20" t="n"/>
    </row>
    <row r="494" ht="22" customHeight="1"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15" t="n"/>
      <c r="P494" s="21" t="n"/>
      <c r="Q494" s="21" t="n"/>
      <c r="R494" s="22" t="n"/>
      <c r="S494" s="22" t="n"/>
      <c r="T494" s="21" t="n"/>
      <c r="U494" s="21" t="n"/>
      <c r="V494" s="21" t="n"/>
      <c r="W494" s="21" t="n"/>
      <c r="X494" s="21" t="n"/>
      <c r="Y494" s="22" t="n"/>
    </row>
    <row r="495" ht="22" customHeight="1"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3" t="n"/>
      <c r="P495" s="19" t="n"/>
      <c r="Q495" s="19" t="n"/>
      <c r="R495" s="20" t="n"/>
      <c r="S495" s="20" t="n"/>
      <c r="T495" s="19" t="n"/>
      <c r="U495" s="19" t="n"/>
      <c r="V495" s="19" t="n"/>
      <c r="W495" s="19" t="n"/>
      <c r="X495" s="19" t="n"/>
      <c r="Y495" s="20" t="n"/>
    </row>
    <row r="496" ht="22" customHeight="1"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15" t="n"/>
      <c r="P496" s="21" t="n"/>
      <c r="Q496" s="21" t="n"/>
      <c r="R496" s="22" t="n"/>
      <c r="S496" s="22" t="n"/>
      <c r="T496" s="21" t="n"/>
      <c r="U496" s="21" t="n"/>
      <c r="V496" s="21" t="n"/>
      <c r="W496" s="21" t="n"/>
      <c r="X496" s="21" t="n"/>
      <c r="Y496" s="22" t="n"/>
    </row>
    <row r="497" ht="22" customHeight="1"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3" t="n"/>
      <c r="P497" s="19" t="n"/>
      <c r="Q497" s="19" t="n"/>
      <c r="R497" s="20" t="n"/>
      <c r="S497" s="20" t="n"/>
      <c r="T497" s="19" t="n"/>
      <c r="U497" s="19" t="n"/>
      <c r="V497" s="19" t="n"/>
      <c r="W497" s="19" t="n"/>
      <c r="X497" s="19" t="n"/>
      <c r="Y497" s="20" t="n"/>
    </row>
    <row r="498" ht="22" customHeight="1"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15" t="n"/>
      <c r="P498" s="21" t="n"/>
      <c r="Q498" s="21" t="n"/>
      <c r="R498" s="22" t="n"/>
      <c r="S498" s="22" t="n"/>
      <c r="T498" s="21" t="n"/>
      <c r="U498" s="21" t="n"/>
      <c r="V498" s="21" t="n"/>
      <c r="W498" s="21" t="n"/>
      <c r="X498" s="21" t="n"/>
      <c r="Y498" s="22" t="n"/>
    </row>
    <row r="499" ht="22" customHeight="1"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3" t="n"/>
      <c r="P499" s="19" t="n"/>
      <c r="Q499" s="19" t="n"/>
      <c r="R499" s="20" t="n"/>
      <c r="S499" s="20" t="n"/>
      <c r="T499" s="19" t="n"/>
      <c r="U499" s="19" t="n"/>
      <c r="V499" s="19" t="n"/>
      <c r="W499" s="19" t="n"/>
      <c r="X499" s="19" t="n"/>
      <c r="Y499" s="20" t="n"/>
    </row>
    <row r="500" ht="22" customHeight="1"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15" t="n"/>
      <c r="P500" s="21" t="n"/>
      <c r="Q500" s="21" t="n"/>
      <c r="R500" s="22" t="n"/>
      <c r="S500" s="22" t="n"/>
      <c r="T500" s="21" t="n"/>
      <c r="U500" s="21" t="n"/>
      <c r="V500" s="21" t="n"/>
      <c r="W500" s="21" t="n"/>
      <c r="X500" s="21" t="n"/>
      <c r="Y500" s="22" t="n"/>
    </row>
    <row r="501" ht="22" customHeight="1"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3" t="n"/>
      <c r="P501" s="19" t="n"/>
      <c r="Q501" s="19" t="n"/>
      <c r="R501" s="20" t="n"/>
      <c r="S501" s="20" t="n"/>
      <c r="T501" s="19" t="n"/>
      <c r="U501" s="19" t="n"/>
      <c r="V501" s="19" t="n"/>
      <c r="W501" s="19" t="n"/>
      <c r="X501" s="19" t="n"/>
      <c r="Y501" s="20" t="n"/>
    </row>
    <row r="502" ht="22" customHeight="1"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21" t="n"/>
      <c r="O502" s="15" t="n"/>
      <c r="P502" s="21" t="n"/>
      <c r="Q502" s="21" t="n"/>
      <c r="R502" s="22" t="n"/>
      <c r="S502" s="22" t="n"/>
      <c r="T502" s="21" t="n"/>
      <c r="U502" s="21" t="n"/>
      <c r="V502" s="21" t="n"/>
      <c r="W502" s="21" t="n"/>
      <c r="X502" s="21" t="n"/>
      <c r="Y502" s="22" t="n"/>
    </row>
    <row r="503" ht="22" customHeight="1"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3" t="n"/>
      <c r="P503" s="19" t="n"/>
      <c r="Q503" s="19" t="n"/>
      <c r="R503" s="20" t="n"/>
      <c r="S503" s="20" t="n"/>
      <c r="T503" s="19" t="n"/>
      <c r="U503" s="19" t="n"/>
      <c r="V503" s="19" t="n"/>
      <c r="W503" s="19" t="n"/>
      <c r="X503" s="19" t="n"/>
      <c r="Y503" s="20" t="n"/>
    </row>
    <row r="504" ht="22" customHeight="1"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21" t="n"/>
      <c r="O504" s="15" t="n"/>
      <c r="P504" s="21" t="n"/>
      <c r="Q504" s="21" t="n"/>
      <c r="R504" s="22" t="n"/>
      <c r="S504" s="22" t="n"/>
      <c r="T504" s="21" t="n"/>
      <c r="U504" s="21" t="n"/>
      <c r="V504" s="21" t="n"/>
      <c r="W504" s="21" t="n"/>
      <c r="X504" s="21" t="n"/>
      <c r="Y504" s="22" t="n"/>
    </row>
    <row r="505">
      <c r="O505" s="23" t="n"/>
      <c r="R505" s="24" t="n"/>
      <c r="S505" s="24" t="n"/>
      <c r="Y505" s="24" t="n"/>
    </row>
    <row r="506">
      <c r="O506" s="23" t="n"/>
      <c r="R506" s="24" t="n"/>
      <c r="S506" s="24" t="n"/>
      <c r="Y506" s="24" t="n"/>
    </row>
    <row r="507">
      <c r="O507" s="23" t="n"/>
      <c r="R507" s="24" t="n"/>
      <c r="S507" s="24" t="n"/>
      <c r="Y507" s="24" t="n"/>
    </row>
    <row r="508">
      <c r="O508" s="23" t="n"/>
      <c r="R508" s="24" t="n"/>
      <c r="S508" s="24" t="n"/>
      <c r="Y508" s="24" t="n"/>
    </row>
    <row r="509">
      <c r="O509" s="23" t="n"/>
      <c r="R509" s="24" t="n"/>
      <c r="S509" s="24" t="n"/>
      <c r="Y509" s="24" t="n"/>
    </row>
    <row r="510">
      <c r="O510" s="23" t="n"/>
      <c r="R510" s="24" t="n"/>
      <c r="S510" s="24" t="n"/>
      <c r="Y510" s="24" t="n"/>
    </row>
    <row r="511">
      <c r="O511" s="23" t="n"/>
      <c r="R511" s="24" t="n"/>
      <c r="S511" s="24" t="n"/>
      <c r="Y511" s="24" t="n"/>
    </row>
    <row r="512">
      <c r="O512" s="23" t="n"/>
      <c r="R512" s="24" t="n"/>
      <c r="S512" s="24" t="n"/>
      <c r="Y512" s="24" t="n"/>
    </row>
    <row r="513">
      <c r="O513" s="23" t="n"/>
      <c r="R513" s="24" t="n"/>
      <c r="S513" s="24" t="n"/>
      <c r="Y513" s="24" t="n"/>
    </row>
    <row r="514">
      <c r="O514" s="23" t="n"/>
      <c r="R514" s="24" t="n"/>
      <c r="S514" s="24" t="n"/>
      <c r="Y514" s="24" t="n"/>
    </row>
    <row r="515">
      <c r="O515" s="23" t="n"/>
      <c r="R515" s="24" t="n"/>
      <c r="S515" s="24" t="n"/>
      <c r="Y515" s="24" t="n"/>
    </row>
    <row r="516">
      <c r="O516" s="23" t="n"/>
      <c r="R516" s="24" t="n"/>
      <c r="S516" s="24" t="n"/>
      <c r="Y516" s="24" t="n"/>
    </row>
    <row r="517">
      <c r="O517" s="23" t="n"/>
      <c r="R517" s="24" t="n"/>
      <c r="S517" s="24" t="n"/>
      <c r="Y517" s="24" t="n"/>
    </row>
    <row r="518">
      <c r="O518" s="23" t="n"/>
      <c r="R518" s="24" t="n"/>
      <c r="S518" s="24" t="n"/>
      <c r="Y518" s="24" t="n"/>
    </row>
    <row r="519">
      <c r="O519" s="23" t="n"/>
      <c r="R519" s="24" t="n"/>
      <c r="S519" s="24" t="n"/>
      <c r="Y519" s="24" t="n"/>
    </row>
    <row r="520">
      <c r="O520" s="23" t="n"/>
      <c r="R520" s="24" t="n"/>
      <c r="S520" s="24" t="n"/>
      <c r="Y520" s="24" t="n"/>
    </row>
    <row r="521">
      <c r="O521" s="23" t="n"/>
      <c r="R521" s="24" t="n"/>
      <c r="S521" s="24" t="n"/>
      <c r="Y521" s="24" t="n"/>
    </row>
    <row r="522">
      <c r="O522" s="23" t="n"/>
      <c r="R522" s="24" t="n"/>
      <c r="S522" s="24" t="n"/>
      <c r="Y522" s="24" t="n"/>
    </row>
    <row r="523">
      <c r="O523" s="23" t="n"/>
      <c r="R523" s="24" t="n"/>
      <c r="S523" s="24" t="n"/>
      <c r="Y523" s="24" t="n"/>
    </row>
    <row r="524">
      <c r="O524" s="23" t="n"/>
      <c r="R524" s="24" t="n"/>
      <c r="S524" s="24" t="n"/>
      <c r="Y524" s="24" t="n"/>
    </row>
    <row r="525">
      <c r="O525" s="23" t="n"/>
      <c r="R525" s="24" t="n"/>
      <c r="S525" s="24" t="n"/>
      <c r="Y525" s="24" t="n"/>
    </row>
    <row r="526">
      <c r="O526" s="23" t="n"/>
      <c r="R526" s="24" t="n"/>
      <c r="S526" s="24" t="n"/>
      <c r="Y526" s="24" t="n"/>
    </row>
    <row r="527">
      <c r="O527" s="23" t="n"/>
      <c r="R527" s="24" t="n"/>
      <c r="S527" s="24" t="n"/>
      <c r="Y527" s="24" t="n"/>
    </row>
    <row r="528">
      <c r="O528" s="23" t="n"/>
      <c r="R528" s="24" t="n"/>
      <c r="S528" s="24" t="n"/>
      <c r="Y528" s="24" t="n"/>
    </row>
    <row r="529">
      <c r="O529" s="23" t="n"/>
      <c r="R529" s="24" t="n"/>
      <c r="S529" s="24" t="n"/>
      <c r="Y529" s="24" t="n"/>
    </row>
    <row r="530">
      <c r="O530" s="23" t="n"/>
      <c r="R530" s="24" t="n"/>
      <c r="S530" s="24" t="n"/>
      <c r="Y530" s="24" t="n"/>
    </row>
    <row r="531">
      <c r="O531" s="23" t="n"/>
      <c r="R531" s="24" t="n"/>
      <c r="S531" s="24" t="n"/>
      <c r="Y531" s="24" t="n"/>
    </row>
    <row r="532">
      <c r="O532" s="23" t="n"/>
      <c r="R532" s="24" t="n"/>
      <c r="S532" s="24" t="n"/>
      <c r="Y532" s="24" t="n"/>
    </row>
    <row r="533">
      <c r="O533" s="23" t="n"/>
      <c r="R533" s="24" t="n"/>
      <c r="S533" s="24" t="n"/>
      <c r="Y533" s="24" t="n"/>
    </row>
    <row r="534">
      <c r="O534" s="23" t="n"/>
      <c r="R534" s="24" t="n"/>
      <c r="S534" s="24" t="n"/>
      <c r="Y534" s="24" t="n"/>
    </row>
    <row r="535">
      <c r="O535" s="23" t="n"/>
      <c r="R535" s="24" t="n"/>
      <c r="S535" s="24" t="n"/>
      <c r="Y535" s="24" t="n"/>
    </row>
    <row r="536">
      <c r="O536" s="23" t="n"/>
      <c r="R536" s="24" t="n"/>
      <c r="S536" s="24" t="n"/>
      <c r="Y536" s="24" t="n"/>
    </row>
    <row r="537">
      <c r="O537" s="23" t="n"/>
      <c r="R537" s="24" t="n"/>
      <c r="S537" s="24" t="n"/>
      <c r="Y537" s="24" t="n"/>
    </row>
    <row r="538">
      <c r="O538" s="23" t="n"/>
      <c r="R538" s="24" t="n"/>
      <c r="S538" s="24" t="n"/>
      <c r="Y538" s="24" t="n"/>
    </row>
    <row r="539">
      <c r="O539" s="23" t="n"/>
      <c r="R539" s="24" t="n"/>
      <c r="S539" s="24" t="n"/>
      <c r="Y539" s="24" t="n"/>
    </row>
    <row r="540">
      <c r="O540" s="23" t="n"/>
      <c r="R540" s="24" t="n"/>
      <c r="S540" s="24" t="n"/>
      <c r="Y540" s="24" t="n"/>
    </row>
    <row r="541">
      <c r="O541" s="23" t="n"/>
      <c r="R541" s="24" t="n"/>
      <c r="S541" s="24" t="n"/>
      <c r="Y541" s="24" t="n"/>
    </row>
    <row r="542">
      <c r="O542" s="23" t="n"/>
      <c r="R542" s="24" t="n"/>
      <c r="S542" s="24" t="n"/>
      <c r="Y542" s="24" t="n"/>
    </row>
    <row r="543">
      <c r="O543" s="23" t="n"/>
      <c r="R543" s="24" t="n"/>
      <c r="S543" s="24" t="n"/>
      <c r="Y543" s="24" t="n"/>
    </row>
    <row r="544">
      <c r="O544" s="23" t="n"/>
      <c r="R544" s="24" t="n"/>
      <c r="S544" s="24" t="n"/>
      <c r="Y544" s="24" t="n"/>
    </row>
    <row r="545">
      <c r="O545" s="23" t="n"/>
      <c r="R545" s="24" t="n"/>
      <c r="S545" s="24" t="n"/>
      <c r="Y545" s="24" t="n"/>
    </row>
    <row r="546">
      <c r="O546" s="23" t="n"/>
      <c r="R546" s="24" t="n"/>
      <c r="S546" s="24" t="n"/>
      <c r="Y546" s="24" t="n"/>
    </row>
    <row r="547">
      <c r="O547" s="23" t="n"/>
      <c r="R547" s="24" t="n"/>
      <c r="S547" s="24" t="n"/>
      <c r="Y547" s="24" t="n"/>
    </row>
    <row r="548">
      <c r="O548" s="23" t="n"/>
      <c r="R548" s="24" t="n"/>
      <c r="S548" s="24" t="n"/>
      <c r="Y548" s="24" t="n"/>
    </row>
    <row r="549">
      <c r="O549" s="23" t="n"/>
      <c r="R549" s="24" t="n"/>
      <c r="S549" s="24" t="n"/>
      <c r="Y549" s="24" t="n"/>
    </row>
    <row r="550">
      <c r="O550" s="23" t="n"/>
      <c r="R550" s="24" t="n"/>
      <c r="S550" s="24" t="n"/>
      <c r="Y550" s="24" t="n"/>
    </row>
    <row r="551">
      <c r="O551" s="23" t="n"/>
      <c r="R551" s="24" t="n"/>
      <c r="S551" s="24" t="n"/>
      <c r="Y551" s="24" t="n"/>
    </row>
    <row r="552">
      <c r="O552" s="23" t="n"/>
      <c r="R552" s="24" t="n"/>
      <c r="S552" s="24" t="n"/>
      <c r="Y552" s="24" t="n"/>
    </row>
    <row r="553">
      <c r="O553" s="23" t="n"/>
      <c r="R553" s="24" t="n"/>
      <c r="S553" s="24" t="n"/>
      <c r="Y553" s="24" t="n"/>
    </row>
    <row r="554">
      <c r="O554" s="23" t="n"/>
      <c r="R554" s="24" t="n"/>
      <c r="S554" s="24" t="n"/>
      <c r="Y554" s="24" t="n"/>
    </row>
    <row r="555">
      <c r="O555" s="23" t="n"/>
      <c r="R555" s="24" t="n"/>
      <c r="S555" s="24" t="n"/>
      <c r="Y555" s="24" t="n"/>
    </row>
    <row r="556">
      <c r="O556" s="23" t="n"/>
      <c r="R556" s="24" t="n"/>
      <c r="S556" s="24" t="n"/>
      <c r="Y556" s="24" t="n"/>
    </row>
    <row r="557">
      <c r="O557" s="23" t="n"/>
      <c r="R557" s="24" t="n"/>
      <c r="S557" s="24" t="n"/>
      <c r="Y557" s="24" t="n"/>
    </row>
    <row r="558">
      <c r="O558" s="23" t="n"/>
      <c r="R558" s="24" t="n"/>
      <c r="S558" s="24" t="n"/>
      <c r="Y558" s="24" t="n"/>
    </row>
    <row r="559">
      <c r="O559" s="23" t="n"/>
      <c r="R559" s="24" t="n"/>
      <c r="S559" s="24" t="n"/>
      <c r="Y559" s="24" t="n"/>
    </row>
    <row r="560">
      <c r="O560" s="23" t="n"/>
      <c r="R560" s="24" t="n"/>
      <c r="S560" s="24" t="n"/>
      <c r="Y560" s="24" t="n"/>
    </row>
    <row r="561">
      <c r="O561" s="23" t="n"/>
      <c r="R561" s="24" t="n"/>
      <c r="S561" s="24" t="n"/>
      <c r="Y561" s="24" t="n"/>
    </row>
    <row r="562">
      <c r="O562" s="23" t="n"/>
      <c r="R562" s="24" t="n"/>
      <c r="S562" s="24" t="n"/>
      <c r="Y562" s="24" t="n"/>
    </row>
    <row r="563">
      <c r="O563" s="23" t="n"/>
      <c r="R563" s="24" t="n"/>
      <c r="S563" s="24" t="n"/>
      <c r="Y563" s="24" t="n"/>
    </row>
    <row r="564">
      <c r="O564" s="23" t="n"/>
      <c r="R564" s="24" t="n"/>
      <c r="S564" s="24" t="n"/>
      <c r="Y564" s="24" t="n"/>
    </row>
    <row r="565">
      <c r="O565" s="23" t="n"/>
      <c r="R565" s="24" t="n"/>
      <c r="S565" s="24" t="n"/>
      <c r="Y565" s="24" t="n"/>
    </row>
    <row r="566">
      <c r="O566" s="23" t="n"/>
      <c r="R566" s="24" t="n"/>
      <c r="S566" s="24" t="n"/>
      <c r="Y566" s="24" t="n"/>
    </row>
    <row r="567">
      <c r="O567" s="23" t="n"/>
      <c r="R567" s="24" t="n"/>
      <c r="S567" s="24" t="n"/>
      <c r="Y567" s="24" t="n"/>
    </row>
    <row r="568">
      <c r="O568" s="23" t="n"/>
      <c r="R568" s="24" t="n"/>
      <c r="S568" s="24" t="n"/>
      <c r="Y568" s="24" t="n"/>
    </row>
    <row r="569">
      <c r="O569" s="23" t="n"/>
      <c r="R569" s="24" t="n"/>
      <c r="S569" s="24" t="n"/>
      <c r="Y569" s="24" t="n"/>
    </row>
    <row r="570">
      <c r="O570" s="23" t="n"/>
      <c r="R570" s="24" t="n"/>
      <c r="S570" s="24" t="n"/>
      <c r="Y570" s="24" t="n"/>
    </row>
    <row r="571">
      <c r="O571" s="23" t="n"/>
      <c r="R571" s="24" t="n"/>
      <c r="S571" s="24" t="n"/>
      <c r="Y571" s="24" t="n"/>
    </row>
    <row r="572">
      <c r="O572" s="23" t="n"/>
      <c r="R572" s="24" t="n"/>
      <c r="S572" s="24" t="n"/>
      <c r="Y572" s="24" t="n"/>
    </row>
    <row r="573">
      <c r="O573" s="23" t="n"/>
      <c r="R573" s="24" t="n"/>
      <c r="S573" s="24" t="n"/>
      <c r="Y573" s="24" t="n"/>
    </row>
    <row r="574">
      <c r="O574" s="23" t="n"/>
      <c r="R574" s="24" t="n"/>
      <c r="S574" s="24" t="n"/>
      <c r="Y574" s="24" t="n"/>
    </row>
    <row r="575">
      <c r="O575" s="23" t="n"/>
      <c r="R575" s="24" t="n"/>
      <c r="S575" s="24" t="n"/>
      <c r="Y575" s="24" t="n"/>
    </row>
    <row r="576">
      <c r="O576" s="23" t="n"/>
      <c r="R576" s="24" t="n"/>
      <c r="S576" s="24" t="n"/>
      <c r="Y576" s="24" t="n"/>
    </row>
    <row r="577">
      <c r="O577" s="23" t="n"/>
      <c r="R577" s="24" t="n"/>
      <c r="S577" s="24" t="n"/>
      <c r="Y577" s="24" t="n"/>
    </row>
    <row r="578">
      <c r="O578" s="23" t="n"/>
      <c r="R578" s="24" t="n"/>
      <c r="S578" s="24" t="n"/>
      <c r="Y578" s="24" t="n"/>
    </row>
    <row r="579">
      <c r="O579" s="23" t="n"/>
      <c r="R579" s="24" t="n"/>
      <c r="S579" s="24" t="n"/>
      <c r="Y579" s="24" t="n"/>
    </row>
    <row r="580">
      <c r="O580" s="23" t="n"/>
      <c r="R580" s="24" t="n"/>
      <c r="S580" s="24" t="n"/>
      <c r="Y580" s="24" t="n"/>
    </row>
    <row r="581">
      <c r="O581" s="23" t="n"/>
      <c r="R581" s="24" t="n"/>
      <c r="S581" s="24" t="n"/>
      <c r="Y581" s="24" t="n"/>
    </row>
    <row r="582">
      <c r="O582" s="23" t="n"/>
      <c r="R582" s="24" t="n"/>
      <c r="S582" s="24" t="n"/>
      <c r="Y582" s="24" t="n"/>
    </row>
    <row r="583">
      <c r="O583" s="23" t="n"/>
      <c r="R583" s="24" t="n"/>
      <c r="S583" s="24" t="n"/>
      <c r="Y583" s="24" t="n"/>
    </row>
    <row r="584">
      <c r="O584" s="23" t="n"/>
      <c r="R584" s="24" t="n"/>
      <c r="S584" s="24" t="n"/>
      <c r="Y584" s="24" t="n"/>
    </row>
    <row r="585">
      <c r="O585" s="23" t="n"/>
      <c r="R585" s="24" t="n"/>
      <c r="S585" s="24" t="n"/>
      <c r="Y585" s="24" t="n"/>
    </row>
    <row r="586">
      <c r="O586" s="23" t="n"/>
      <c r="R586" s="24" t="n"/>
      <c r="S586" s="24" t="n"/>
      <c r="Y586" s="24" t="n"/>
    </row>
    <row r="587">
      <c r="O587" s="23" t="n"/>
      <c r="R587" s="24" t="n"/>
      <c r="S587" s="24" t="n"/>
      <c r="Y587" s="24" t="n"/>
    </row>
    <row r="588">
      <c r="O588" s="23" t="n"/>
      <c r="R588" s="24" t="n"/>
      <c r="S588" s="24" t="n"/>
      <c r="Y588" s="24" t="n"/>
    </row>
    <row r="589">
      <c r="O589" s="23" t="n"/>
      <c r="R589" s="24" t="n"/>
      <c r="S589" s="24" t="n"/>
      <c r="Y589" s="24" t="n"/>
    </row>
    <row r="590">
      <c r="O590" s="23" t="n"/>
      <c r="R590" s="24" t="n"/>
      <c r="S590" s="24" t="n"/>
      <c r="Y590" s="24" t="n"/>
    </row>
    <row r="591">
      <c r="O591" s="23" t="n"/>
      <c r="R591" s="24" t="n"/>
      <c r="S591" s="24" t="n"/>
      <c r="Y591" s="24" t="n"/>
    </row>
    <row r="592">
      <c r="O592" s="23" t="n"/>
      <c r="R592" s="24" t="n"/>
      <c r="S592" s="24" t="n"/>
      <c r="Y592" s="24" t="n"/>
    </row>
    <row r="593">
      <c r="O593" s="23" t="n"/>
      <c r="R593" s="24" t="n"/>
      <c r="S593" s="24" t="n"/>
      <c r="Y593" s="24" t="n"/>
    </row>
    <row r="594">
      <c r="O594" s="23" t="n"/>
      <c r="R594" s="24" t="n"/>
      <c r="S594" s="24" t="n"/>
      <c r="Y594" s="24" t="n"/>
    </row>
    <row r="595">
      <c r="O595" s="23" t="n"/>
      <c r="R595" s="24" t="n"/>
      <c r="S595" s="24" t="n"/>
      <c r="Y595" s="24" t="n"/>
    </row>
    <row r="596">
      <c r="O596" s="23" t="n"/>
      <c r="R596" s="24" t="n"/>
      <c r="S596" s="24" t="n"/>
      <c r="Y596" s="24" t="n"/>
    </row>
    <row r="597">
      <c r="O597" s="23" t="n"/>
      <c r="R597" s="24" t="n"/>
      <c r="S597" s="24" t="n"/>
      <c r="Y597" s="24" t="n"/>
    </row>
    <row r="598">
      <c r="O598" s="23" t="n"/>
      <c r="R598" s="24" t="n"/>
      <c r="S598" s="24" t="n"/>
      <c r="Y598" s="24" t="n"/>
    </row>
    <row r="599">
      <c r="O599" s="23" t="n"/>
      <c r="R599" s="24" t="n"/>
      <c r="S599" s="24" t="n"/>
      <c r="Y599" s="24" t="n"/>
    </row>
    <row r="600">
      <c r="O600" s="23" t="n"/>
      <c r="R600" s="24" t="n"/>
      <c r="S600" s="24" t="n"/>
      <c r="Y600" s="24" t="n"/>
    </row>
    <row r="601">
      <c r="O601" s="23" t="n"/>
      <c r="R601" s="24" t="n"/>
      <c r="S601" s="24" t="n"/>
      <c r="Y601" s="24" t="n"/>
    </row>
    <row r="602">
      <c r="O602" s="23" t="n"/>
      <c r="R602" s="24" t="n"/>
      <c r="S602" s="24" t="n"/>
      <c r="Y602" s="24" t="n"/>
    </row>
    <row r="603">
      <c r="O603" s="23" t="n"/>
      <c r="R603" s="24" t="n"/>
      <c r="S603" s="24" t="n"/>
      <c r="Y603" s="24" t="n"/>
    </row>
    <row r="604">
      <c r="O604" s="23" t="n"/>
      <c r="R604" s="24" t="n"/>
      <c r="S604" s="24" t="n"/>
      <c r="Y604" s="24" t="n"/>
    </row>
    <row r="605">
      <c r="O605" s="23" t="n"/>
      <c r="R605" s="24" t="n"/>
      <c r="S605" s="24" t="n"/>
      <c r="Y605" s="24" t="n"/>
    </row>
    <row r="606">
      <c r="O606" s="23" t="n"/>
      <c r="R606" s="24" t="n"/>
      <c r="S606" s="24" t="n"/>
      <c r="Y606" s="24" t="n"/>
    </row>
    <row r="607">
      <c r="O607" s="23" t="n"/>
      <c r="R607" s="24" t="n"/>
      <c r="S607" s="24" t="n"/>
      <c r="Y607" s="24" t="n"/>
    </row>
    <row r="608">
      <c r="O608" s="23" t="n"/>
      <c r="R608" s="24" t="n"/>
      <c r="S608" s="24" t="n"/>
      <c r="Y608" s="24" t="n"/>
    </row>
    <row r="609">
      <c r="O609" s="23" t="n"/>
      <c r="R609" s="24" t="n"/>
      <c r="S609" s="24" t="n"/>
      <c r="Y609" s="24" t="n"/>
    </row>
    <row r="610">
      <c r="O610" s="23" t="n"/>
      <c r="R610" s="24" t="n"/>
      <c r="S610" s="24" t="n"/>
      <c r="Y610" s="24" t="n"/>
    </row>
    <row r="611">
      <c r="O611" s="23" t="n"/>
      <c r="R611" s="24" t="n"/>
      <c r="S611" s="24" t="n"/>
      <c r="Y611" s="24" t="n"/>
    </row>
    <row r="612">
      <c r="O612" s="23" t="n"/>
      <c r="R612" s="24" t="n"/>
      <c r="S612" s="24" t="n"/>
      <c r="Y612" s="24" t="n"/>
    </row>
    <row r="613">
      <c r="O613" s="23" t="n"/>
      <c r="R613" s="24" t="n"/>
      <c r="S613" s="24" t="n"/>
      <c r="Y613" s="24" t="n"/>
    </row>
    <row r="614">
      <c r="O614" s="23" t="n"/>
      <c r="R614" s="24" t="n"/>
      <c r="S614" s="24" t="n"/>
      <c r="Y614" s="24" t="n"/>
    </row>
    <row r="615">
      <c r="O615" s="23" t="n"/>
      <c r="R615" s="24" t="n"/>
      <c r="S615" s="24" t="n"/>
      <c r="Y615" s="24" t="n"/>
    </row>
    <row r="616">
      <c r="O616" s="23" t="n"/>
      <c r="R616" s="24" t="n"/>
      <c r="S616" s="24" t="n"/>
      <c r="Y616" s="24" t="n"/>
    </row>
    <row r="617">
      <c r="O617" s="23" t="n"/>
      <c r="R617" s="24" t="n"/>
      <c r="S617" s="24" t="n"/>
      <c r="Y617" s="24" t="n"/>
    </row>
    <row r="618">
      <c r="O618" s="23" t="n"/>
      <c r="R618" s="24" t="n"/>
      <c r="S618" s="24" t="n"/>
      <c r="Y618" s="24" t="n"/>
    </row>
    <row r="619">
      <c r="O619" s="23" t="n"/>
      <c r="R619" s="24" t="n"/>
      <c r="S619" s="24" t="n"/>
      <c r="Y619" s="24" t="n"/>
    </row>
    <row r="620">
      <c r="O620" s="23" t="n"/>
      <c r="R620" s="24" t="n"/>
      <c r="S620" s="24" t="n"/>
      <c r="Y620" s="24" t="n"/>
    </row>
    <row r="621">
      <c r="O621" s="23" t="n"/>
      <c r="R621" s="24" t="n"/>
      <c r="S621" s="24" t="n"/>
      <c r="Y621" s="24" t="n"/>
    </row>
    <row r="622">
      <c r="O622" s="23" t="n"/>
      <c r="R622" s="24" t="n"/>
      <c r="S622" s="24" t="n"/>
      <c r="Y622" s="24" t="n"/>
    </row>
    <row r="623">
      <c r="O623" s="23" t="n"/>
      <c r="R623" s="24" t="n"/>
      <c r="S623" s="24" t="n"/>
      <c r="Y623" s="24" t="n"/>
    </row>
    <row r="624">
      <c r="O624" s="23" t="n"/>
      <c r="R624" s="24" t="n"/>
      <c r="S624" s="24" t="n"/>
      <c r="Y624" s="24" t="n"/>
    </row>
    <row r="625">
      <c r="O625" s="23" t="n"/>
      <c r="R625" s="24" t="n"/>
      <c r="S625" s="24" t="n"/>
      <c r="Y625" s="24" t="n"/>
    </row>
    <row r="626">
      <c r="O626" s="23" t="n"/>
      <c r="R626" s="24" t="n"/>
      <c r="S626" s="24" t="n"/>
      <c r="Y626" s="24" t="n"/>
    </row>
    <row r="627">
      <c r="O627" s="23" t="n"/>
      <c r="R627" s="24" t="n"/>
      <c r="S627" s="24" t="n"/>
      <c r="Y627" s="24" t="n"/>
    </row>
    <row r="628">
      <c r="O628" s="23" t="n"/>
      <c r="R628" s="24" t="n"/>
      <c r="S628" s="24" t="n"/>
      <c r="Y628" s="24" t="n"/>
    </row>
    <row r="629">
      <c r="O629" s="23" t="n"/>
      <c r="R629" s="24" t="n"/>
      <c r="S629" s="24" t="n"/>
      <c r="Y629" s="24" t="n"/>
    </row>
    <row r="630">
      <c r="O630" s="23" t="n"/>
      <c r="R630" s="24" t="n"/>
      <c r="S630" s="24" t="n"/>
      <c r="Y630" s="24" t="n"/>
    </row>
    <row r="631">
      <c r="O631" s="23" t="n"/>
      <c r="R631" s="24" t="n"/>
      <c r="S631" s="24" t="n"/>
      <c r="Y631" s="24" t="n"/>
    </row>
    <row r="632">
      <c r="O632" s="23" t="n"/>
      <c r="R632" s="24" t="n"/>
      <c r="S632" s="24" t="n"/>
      <c r="Y632" s="24" t="n"/>
    </row>
    <row r="633">
      <c r="O633" s="23" t="n"/>
      <c r="R633" s="24" t="n"/>
      <c r="S633" s="24" t="n"/>
      <c r="Y633" s="24" t="n"/>
    </row>
    <row r="634">
      <c r="O634" s="23" t="n"/>
      <c r="R634" s="24" t="n"/>
      <c r="S634" s="24" t="n"/>
      <c r="Y634" s="24" t="n"/>
    </row>
    <row r="635">
      <c r="O635" s="23" t="n"/>
      <c r="R635" s="24" t="n"/>
      <c r="S635" s="24" t="n"/>
      <c r="Y635" s="24" t="n"/>
    </row>
    <row r="636">
      <c r="O636" s="23" t="n"/>
      <c r="R636" s="24" t="n"/>
      <c r="S636" s="24" t="n"/>
      <c r="Y636" s="24" t="n"/>
    </row>
    <row r="637">
      <c r="O637" s="23" t="n"/>
      <c r="R637" s="24" t="n"/>
      <c r="S637" s="24" t="n"/>
      <c r="Y637" s="24" t="n"/>
    </row>
    <row r="638">
      <c r="O638" s="23" t="n"/>
      <c r="R638" s="24" t="n"/>
      <c r="S638" s="24" t="n"/>
      <c r="Y638" s="24" t="n"/>
    </row>
    <row r="639">
      <c r="O639" s="23" t="n"/>
      <c r="R639" s="24" t="n"/>
      <c r="S639" s="24" t="n"/>
      <c r="Y639" s="24" t="n"/>
    </row>
    <row r="640">
      <c r="O640" s="23" t="n"/>
      <c r="R640" s="24" t="n"/>
      <c r="S640" s="24" t="n"/>
      <c r="Y640" s="24" t="n"/>
    </row>
    <row r="641">
      <c r="O641" s="23" t="n"/>
      <c r="R641" s="24" t="n"/>
      <c r="S641" s="24" t="n"/>
      <c r="Y641" s="24" t="n"/>
    </row>
    <row r="642">
      <c r="O642" s="23" t="n"/>
      <c r="R642" s="24" t="n"/>
      <c r="S642" s="24" t="n"/>
      <c r="Y642" s="24" t="n"/>
    </row>
    <row r="643">
      <c r="O643" s="23" t="n"/>
      <c r="R643" s="24" t="n"/>
      <c r="S643" s="24" t="n"/>
      <c r="Y643" s="24" t="n"/>
    </row>
    <row r="644">
      <c r="O644" s="23" t="n"/>
      <c r="R644" s="24" t="n"/>
      <c r="S644" s="24" t="n"/>
      <c r="Y644" s="24" t="n"/>
    </row>
    <row r="645">
      <c r="O645" s="23" t="n"/>
      <c r="R645" s="24" t="n"/>
      <c r="S645" s="24" t="n"/>
      <c r="Y645" s="24" t="n"/>
    </row>
    <row r="646">
      <c r="O646" s="23" t="n"/>
      <c r="R646" s="24" t="n"/>
      <c r="S646" s="24" t="n"/>
      <c r="Y646" s="24" t="n"/>
    </row>
    <row r="647">
      <c r="O647" s="23" t="n"/>
      <c r="R647" s="24" t="n"/>
      <c r="S647" s="24" t="n"/>
      <c r="Y647" s="24" t="n"/>
    </row>
    <row r="648">
      <c r="O648" s="23" t="n"/>
      <c r="R648" s="24" t="n"/>
      <c r="S648" s="24" t="n"/>
      <c r="Y648" s="24" t="n"/>
    </row>
    <row r="649">
      <c r="O649" s="23" t="n"/>
      <c r="R649" s="24" t="n"/>
      <c r="S649" s="24" t="n"/>
      <c r="Y649" s="24" t="n"/>
    </row>
    <row r="650">
      <c r="O650" s="23" t="n"/>
      <c r="R650" s="24" t="n"/>
      <c r="S650" s="24" t="n"/>
      <c r="Y650" s="24" t="n"/>
    </row>
    <row r="651">
      <c r="O651" s="23" t="n"/>
      <c r="R651" s="24" t="n"/>
      <c r="S651" s="24" t="n"/>
      <c r="Y651" s="24" t="n"/>
    </row>
    <row r="652">
      <c r="O652" s="23" t="n"/>
      <c r="R652" s="24" t="n"/>
      <c r="S652" s="24" t="n"/>
      <c r="Y652" s="24" t="n"/>
    </row>
    <row r="653">
      <c r="O653" s="23" t="n"/>
      <c r="R653" s="24" t="n"/>
      <c r="S653" s="24" t="n"/>
      <c r="Y653" s="24" t="n"/>
    </row>
    <row r="654">
      <c r="O654" s="23" t="n"/>
      <c r="R654" s="24" t="n"/>
      <c r="S654" s="24" t="n"/>
      <c r="Y654" s="24" t="n"/>
    </row>
    <row r="655">
      <c r="O655" s="23" t="n"/>
      <c r="R655" s="24" t="n"/>
      <c r="S655" s="24" t="n"/>
      <c r="Y655" s="24" t="n"/>
    </row>
    <row r="656">
      <c r="O656" s="23" t="n"/>
      <c r="R656" s="24" t="n"/>
      <c r="S656" s="24" t="n"/>
      <c r="Y656" s="24" t="n"/>
    </row>
    <row r="657">
      <c r="O657" s="23" t="n"/>
      <c r="R657" s="24" t="n"/>
      <c r="S657" s="24" t="n"/>
      <c r="Y657" s="24" t="n"/>
    </row>
    <row r="658">
      <c r="O658" s="23" t="n"/>
      <c r="R658" s="24" t="n"/>
      <c r="S658" s="24" t="n"/>
      <c r="Y658" s="24" t="n"/>
    </row>
    <row r="659">
      <c r="O659" s="23" t="n"/>
      <c r="R659" s="24" t="n"/>
      <c r="S659" s="24" t="n"/>
      <c r="Y659" s="24" t="n"/>
    </row>
    <row r="660">
      <c r="O660" s="23" t="n"/>
      <c r="R660" s="24" t="n"/>
      <c r="S660" s="24" t="n"/>
      <c r="Y660" s="24" t="n"/>
    </row>
    <row r="661">
      <c r="O661" s="23" t="n"/>
      <c r="R661" s="24" t="n"/>
      <c r="S661" s="24" t="n"/>
      <c r="Y661" s="24" t="n"/>
    </row>
    <row r="662">
      <c r="O662" s="23" t="n"/>
      <c r="R662" s="24" t="n"/>
      <c r="S662" s="24" t="n"/>
      <c r="Y662" s="24" t="n"/>
    </row>
    <row r="663">
      <c r="O663" s="23" t="n"/>
      <c r="R663" s="24" t="n"/>
      <c r="S663" s="24" t="n"/>
      <c r="Y663" s="24" t="n"/>
    </row>
    <row r="664">
      <c r="O664" s="23" t="n"/>
      <c r="R664" s="24" t="n"/>
      <c r="S664" s="24" t="n"/>
      <c r="Y664" s="24" t="n"/>
    </row>
    <row r="665">
      <c r="O665" s="23" t="n"/>
      <c r="R665" s="24" t="n"/>
      <c r="S665" s="24" t="n"/>
      <c r="Y665" s="24" t="n"/>
    </row>
    <row r="666">
      <c r="O666" s="23" t="n"/>
      <c r="R666" s="24" t="n"/>
      <c r="S666" s="24" t="n"/>
      <c r="Y666" s="24" t="n"/>
    </row>
    <row r="667">
      <c r="O667" s="23" t="n"/>
      <c r="R667" s="24" t="n"/>
      <c r="S667" s="24" t="n"/>
      <c r="Y667" s="24" t="n"/>
    </row>
    <row r="668">
      <c r="O668" s="23" t="n"/>
      <c r="R668" s="24" t="n"/>
      <c r="S668" s="24" t="n"/>
      <c r="Y668" s="24" t="n"/>
    </row>
    <row r="669">
      <c r="O669" s="23" t="n"/>
      <c r="R669" s="24" t="n"/>
      <c r="S669" s="24" t="n"/>
      <c r="Y669" s="24" t="n"/>
    </row>
    <row r="670">
      <c r="O670" s="23" t="n"/>
      <c r="R670" s="24" t="n"/>
      <c r="S670" s="24" t="n"/>
      <c r="Y670" s="24" t="n"/>
    </row>
    <row r="671">
      <c r="O671" s="23" t="n"/>
      <c r="R671" s="24" t="n"/>
      <c r="S671" s="24" t="n"/>
      <c r="Y671" s="24" t="n"/>
    </row>
    <row r="672">
      <c r="O672" s="23" t="n"/>
      <c r="R672" s="24" t="n"/>
      <c r="S672" s="24" t="n"/>
      <c r="Y672" s="24" t="n"/>
    </row>
    <row r="673">
      <c r="O673" s="23" t="n"/>
      <c r="R673" s="24" t="n"/>
      <c r="S673" s="24" t="n"/>
      <c r="Y673" s="24" t="n"/>
    </row>
    <row r="674">
      <c r="O674" s="23" t="n"/>
      <c r="R674" s="24" t="n"/>
      <c r="S674" s="24" t="n"/>
      <c r="Y674" s="24" t="n"/>
    </row>
    <row r="675">
      <c r="O675" s="23" t="n"/>
      <c r="R675" s="24" t="n"/>
      <c r="S675" s="24" t="n"/>
      <c r="Y675" s="24" t="n"/>
    </row>
    <row r="676">
      <c r="O676" s="23" t="n"/>
      <c r="R676" s="24" t="n"/>
      <c r="S676" s="24" t="n"/>
      <c r="Y676" s="24" t="n"/>
    </row>
    <row r="677">
      <c r="O677" s="23" t="n"/>
      <c r="R677" s="24" t="n"/>
      <c r="S677" s="24" t="n"/>
      <c r="Y677" s="24" t="n"/>
    </row>
    <row r="678">
      <c r="O678" s="23" t="n"/>
      <c r="R678" s="24" t="n"/>
      <c r="S678" s="24" t="n"/>
      <c r="Y678" s="24" t="n"/>
    </row>
    <row r="679">
      <c r="O679" s="23" t="n"/>
      <c r="R679" s="24" t="n"/>
      <c r="S679" s="24" t="n"/>
      <c r="Y679" s="24" t="n"/>
    </row>
    <row r="680">
      <c r="O680" s="23" t="n"/>
      <c r="R680" s="24" t="n"/>
      <c r="S680" s="24" t="n"/>
      <c r="Y680" s="24" t="n"/>
    </row>
    <row r="681">
      <c r="O681" s="23" t="n"/>
      <c r="R681" s="24" t="n"/>
      <c r="S681" s="24" t="n"/>
      <c r="Y681" s="24" t="n"/>
    </row>
    <row r="682">
      <c r="O682" s="23" t="n"/>
      <c r="R682" s="24" t="n"/>
      <c r="S682" s="24" t="n"/>
      <c r="Y682" s="24" t="n"/>
    </row>
    <row r="683">
      <c r="O683" s="23" t="n"/>
      <c r="R683" s="24" t="n"/>
      <c r="S683" s="24" t="n"/>
      <c r="Y683" s="24" t="n"/>
    </row>
    <row r="684">
      <c r="O684" s="23" t="n"/>
      <c r="R684" s="24" t="n"/>
      <c r="S684" s="24" t="n"/>
      <c r="Y684" s="24" t="n"/>
    </row>
    <row r="685">
      <c r="O685" s="23" t="n"/>
      <c r="R685" s="24" t="n"/>
      <c r="S685" s="24" t="n"/>
      <c r="Y685" s="24" t="n"/>
    </row>
    <row r="686">
      <c r="O686" s="23" t="n"/>
      <c r="R686" s="24" t="n"/>
      <c r="S686" s="24" t="n"/>
      <c r="Y686" s="24" t="n"/>
    </row>
    <row r="687">
      <c r="O687" s="23" t="n"/>
      <c r="R687" s="24" t="n"/>
      <c r="S687" s="24" t="n"/>
      <c r="Y687" s="24" t="n"/>
    </row>
    <row r="688">
      <c r="O688" s="23" t="n"/>
      <c r="R688" s="24" t="n"/>
      <c r="S688" s="24" t="n"/>
      <c r="Y688" s="24" t="n"/>
    </row>
    <row r="689">
      <c r="O689" s="23" t="n"/>
      <c r="R689" s="24" t="n"/>
      <c r="S689" s="24" t="n"/>
      <c r="Y689" s="24" t="n"/>
    </row>
    <row r="690">
      <c r="O690" s="23" t="n"/>
      <c r="R690" s="24" t="n"/>
      <c r="S690" s="24" t="n"/>
      <c r="Y690" s="24" t="n"/>
    </row>
    <row r="691">
      <c r="O691" s="23" t="n"/>
      <c r="R691" s="24" t="n"/>
      <c r="S691" s="24" t="n"/>
      <c r="Y691" s="24" t="n"/>
    </row>
    <row r="692">
      <c r="O692" s="23" t="n"/>
      <c r="R692" s="24" t="n"/>
      <c r="S692" s="24" t="n"/>
      <c r="Y692" s="24" t="n"/>
    </row>
    <row r="693">
      <c r="O693" s="23" t="n"/>
      <c r="R693" s="24" t="n"/>
      <c r="S693" s="24" t="n"/>
      <c r="Y693" s="24" t="n"/>
    </row>
    <row r="694">
      <c r="O694" s="23" t="n"/>
      <c r="R694" s="24" t="n"/>
      <c r="S694" s="24" t="n"/>
      <c r="Y694" s="24" t="n"/>
    </row>
    <row r="695">
      <c r="O695" s="23" t="n"/>
      <c r="R695" s="24" t="n"/>
      <c r="S695" s="24" t="n"/>
      <c r="Y695" s="24" t="n"/>
    </row>
    <row r="696">
      <c r="O696" s="23" t="n"/>
      <c r="R696" s="24" t="n"/>
      <c r="S696" s="24" t="n"/>
      <c r="Y696" s="24" t="n"/>
    </row>
    <row r="697">
      <c r="O697" s="23" t="n"/>
      <c r="R697" s="24" t="n"/>
      <c r="S697" s="24" t="n"/>
      <c r="Y697" s="24" t="n"/>
    </row>
    <row r="698">
      <c r="O698" s="23" t="n"/>
      <c r="R698" s="24" t="n"/>
      <c r="S698" s="24" t="n"/>
      <c r="Y698" s="24" t="n"/>
    </row>
    <row r="699">
      <c r="O699" s="23" t="n"/>
      <c r="R699" s="24" t="n"/>
      <c r="S699" s="24" t="n"/>
      <c r="Y699" s="24" t="n"/>
    </row>
    <row r="700">
      <c r="O700" s="23" t="n"/>
      <c r="R700" s="24" t="n"/>
      <c r="S700" s="24" t="n"/>
      <c r="Y700" s="24" t="n"/>
    </row>
    <row r="701">
      <c r="O701" s="23" t="n"/>
      <c r="R701" s="24" t="n"/>
      <c r="S701" s="24" t="n"/>
      <c r="Y701" s="24" t="n"/>
    </row>
    <row r="702">
      <c r="O702" s="23" t="n"/>
      <c r="R702" s="24" t="n"/>
      <c r="S702" s="24" t="n"/>
      <c r="Y702" s="24" t="n"/>
    </row>
    <row r="703">
      <c r="O703" s="23" t="n"/>
      <c r="R703" s="24" t="n"/>
      <c r="S703" s="24" t="n"/>
      <c r="Y703" s="24" t="n"/>
    </row>
    <row r="704">
      <c r="O704" s="23" t="n"/>
      <c r="R704" s="24" t="n"/>
      <c r="S704" s="24" t="n"/>
      <c r="Y704" s="24" t="n"/>
    </row>
    <row r="705">
      <c r="O705" s="23" t="n"/>
      <c r="R705" s="24" t="n"/>
      <c r="S705" s="24" t="n"/>
      <c r="Y705" s="24" t="n"/>
    </row>
    <row r="706">
      <c r="O706" s="23" t="n"/>
      <c r="R706" s="24" t="n"/>
      <c r="S706" s="24" t="n"/>
      <c r="Y706" s="24" t="n"/>
    </row>
    <row r="707">
      <c r="O707" s="23" t="n"/>
      <c r="R707" s="24" t="n"/>
      <c r="S707" s="24" t="n"/>
      <c r="Y707" s="24" t="n"/>
    </row>
    <row r="708">
      <c r="O708" s="23" t="n"/>
      <c r="R708" s="24" t="n"/>
      <c r="S708" s="24" t="n"/>
      <c r="Y708" s="24" t="n"/>
    </row>
    <row r="709">
      <c r="O709" s="23" t="n"/>
      <c r="R709" s="24" t="n"/>
      <c r="S709" s="24" t="n"/>
      <c r="Y709" s="24" t="n"/>
    </row>
    <row r="710">
      <c r="O710" s="23" t="n"/>
      <c r="R710" s="24" t="n"/>
      <c r="S710" s="24" t="n"/>
      <c r="Y710" s="24" t="n"/>
    </row>
    <row r="711">
      <c r="O711" s="23" t="n"/>
      <c r="R711" s="24" t="n"/>
      <c r="S711" s="24" t="n"/>
      <c r="Y711" s="24" t="n"/>
    </row>
    <row r="712">
      <c r="O712" s="23" t="n"/>
      <c r="R712" s="24" t="n"/>
      <c r="S712" s="24" t="n"/>
      <c r="Y712" s="24" t="n"/>
    </row>
    <row r="713">
      <c r="O713" s="23" t="n"/>
      <c r="R713" s="24" t="n"/>
      <c r="S713" s="24" t="n"/>
      <c r="Y713" s="24" t="n"/>
    </row>
    <row r="714">
      <c r="O714" s="23" t="n"/>
      <c r="R714" s="24" t="n"/>
      <c r="S714" s="24" t="n"/>
      <c r="Y714" s="24" t="n"/>
    </row>
    <row r="715">
      <c r="O715" s="23" t="n"/>
      <c r="R715" s="24" t="n"/>
      <c r="S715" s="24" t="n"/>
      <c r="Y715" s="24" t="n"/>
    </row>
    <row r="716">
      <c r="O716" s="23" t="n"/>
      <c r="R716" s="24" t="n"/>
      <c r="S716" s="24" t="n"/>
      <c r="Y716" s="24" t="n"/>
    </row>
    <row r="717">
      <c r="O717" s="23" t="n"/>
      <c r="R717" s="24" t="n"/>
      <c r="S717" s="24" t="n"/>
      <c r="Y717" s="24" t="n"/>
    </row>
    <row r="718">
      <c r="O718" s="23" t="n"/>
      <c r="R718" s="24" t="n"/>
      <c r="S718" s="24" t="n"/>
      <c r="Y718" s="24" t="n"/>
    </row>
    <row r="719">
      <c r="O719" s="23" t="n"/>
      <c r="R719" s="24" t="n"/>
      <c r="S719" s="24" t="n"/>
      <c r="Y719" s="24" t="n"/>
    </row>
    <row r="720">
      <c r="O720" s="23" t="n"/>
      <c r="R720" s="24" t="n"/>
      <c r="S720" s="24" t="n"/>
      <c r="Y720" s="24" t="n"/>
    </row>
    <row r="721">
      <c r="O721" s="23" t="n"/>
      <c r="R721" s="24" t="n"/>
      <c r="S721" s="24" t="n"/>
      <c r="Y721" s="24" t="n"/>
    </row>
    <row r="722">
      <c r="O722" s="23" t="n"/>
      <c r="R722" s="24" t="n"/>
      <c r="S722" s="24" t="n"/>
      <c r="Y722" s="24" t="n"/>
    </row>
    <row r="723">
      <c r="O723" s="23" t="n"/>
      <c r="R723" s="24" t="n"/>
      <c r="S723" s="24" t="n"/>
      <c r="Y723" s="24" t="n"/>
    </row>
    <row r="724">
      <c r="O724" s="23" t="n"/>
      <c r="R724" s="24" t="n"/>
      <c r="S724" s="24" t="n"/>
      <c r="Y724" s="24" t="n"/>
    </row>
    <row r="725">
      <c r="O725" s="23" t="n"/>
      <c r="R725" s="24" t="n"/>
      <c r="S725" s="24" t="n"/>
      <c r="Y725" s="24" t="n"/>
    </row>
    <row r="726">
      <c r="O726" s="23" t="n"/>
      <c r="R726" s="24" t="n"/>
      <c r="S726" s="24" t="n"/>
      <c r="Y726" s="24" t="n"/>
    </row>
    <row r="727">
      <c r="O727" s="23" t="n"/>
      <c r="R727" s="24" t="n"/>
      <c r="S727" s="24" t="n"/>
      <c r="Y727" s="24" t="n"/>
    </row>
    <row r="728">
      <c r="O728" s="23" t="n"/>
      <c r="R728" s="24" t="n"/>
      <c r="S728" s="24" t="n"/>
      <c r="Y728" s="24" t="n"/>
    </row>
    <row r="729">
      <c r="O729" s="23" t="n"/>
      <c r="R729" s="24" t="n"/>
      <c r="S729" s="24" t="n"/>
      <c r="Y729" s="24" t="n"/>
    </row>
    <row r="730">
      <c r="O730" s="23" t="n"/>
      <c r="R730" s="24" t="n"/>
      <c r="S730" s="24" t="n"/>
      <c r="Y730" s="24" t="n"/>
    </row>
    <row r="731">
      <c r="O731" s="23" t="n"/>
      <c r="R731" s="24" t="n"/>
      <c r="S731" s="24" t="n"/>
      <c r="Y731" s="24" t="n"/>
    </row>
    <row r="732">
      <c r="O732" s="23" t="n"/>
      <c r="R732" s="24" t="n"/>
      <c r="S732" s="24" t="n"/>
      <c r="Y732" s="24" t="n"/>
    </row>
    <row r="733">
      <c r="O733" s="23" t="n"/>
      <c r="R733" s="24" t="n"/>
      <c r="S733" s="24" t="n"/>
      <c r="Y733" s="24" t="n"/>
    </row>
    <row r="734">
      <c r="O734" s="23" t="n"/>
      <c r="R734" s="24" t="n"/>
      <c r="S734" s="24" t="n"/>
      <c r="Y734" s="24" t="n"/>
    </row>
    <row r="735">
      <c r="O735" s="23" t="n"/>
      <c r="R735" s="24" t="n"/>
      <c r="S735" s="24" t="n"/>
      <c r="Y735" s="24" t="n"/>
    </row>
    <row r="736">
      <c r="O736" s="23" t="n"/>
      <c r="R736" s="24" t="n"/>
      <c r="S736" s="24" t="n"/>
      <c r="Y736" s="24" t="n"/>
    </row>
    <row r="737">
      <c r="O737" s="23" t="n"/>
      <c r="R737" s="24" t="n"/>
      <c r="S737" s="24" t="n"/>
      <c r="Y737" s="24" t="n"/>
    </row>
    <row r="738">
      <c r="O738" s="23" t="n"/>
      <c r="R738" s="24" t="n"/>
      <c r="S738" s="24" t="n"/>
      <c r="Y738" s="24" t="n"/>
    </row>
    <row r="739">
      <c r="O739" s="23" t="n"/>
      <c r="R739" s="24" t="n"/>
      <c r="S739" s="24" t="n"/>
      <c r="Y739" s="24" t="n"/>
    </row>
    <row r="740">
      <c r="O740" s="23" t="n"/>
      <c r="R740" s="24" t="n"/>
      <c r="S740" s="24" t="n"/>
      <c r="Y740" s="24" t="n"/>
    </row>
    <row r="741">
      <c r="O741" s="23" t="n"/>
      <c r="R741" s="24" t="n"/>
      <c r="S741" s="24" t="n"/>
      <c r="Y741" s="24" t="n"/>
    </row>
    <row r="742">
      <c r="O742" s="23" t="n"/>
      <c r="R742" s="24" t="n"/>
      <c r="S742" s="24" t="n"/>
      <c r="Y742" s="24" t="n"/>
    </row>
    <row r="743">
      <c r="O743" s="23" t="n"/>
      <c r="R743" s="24" t="n"/>
      <c r="S743" s="24" t="n"/>
      <c r="Y743" s="24" t="n"/>
    </row>
    <row r="744">
      <c r="O744" s="23" t="n"/>
      <c r="R744" s="24" t="n"/>
      <c r="S744" s="24" t="n"/>
      <c r="Y744" s="24" t="n"/>
    </row>
    <row r="745">
      <c r="O745" s="23" t="n"/>
      <c r="R745" s="24" t="n"/>
      <c r="S745" s="24" t="n"/>
      <c r="Y745" s="24" t="n"/>
    </row>
    <row r="746">
      <c r="O746" s="23" t="n"/>
      <c r="R746" s="24" t="n"/>
      <c r="S746" s="24" t="n"/>
      <c r="Y746" s="24" t="n"/>
    </row>
    <row r="747">
      <c r="O747" s="23" t="n"/>
      <c r="R747" s="24" t="n"/>
      <c r="S747" s="24" t="n"/>
      <c r="Y747" s="24" t="n"/>
    </row>
    <row r="748">
      <c r="O748" s="23" t="n"/>
      <c r="R748" s="24" t="n"/>
      <c r="S748" s="24" t="n"/>
      <c r="Y748" s="24" t="n"/>
    </row>
    <row r="749">
      <c r="O749" s="23" t="n"/>
      <c r="R749" s="24" t="n"/>
      <c r="S749" s="24" t="n"/>
      <c r="Y749" s="24" t="n"/>
    </row>
    <row r="750">
      <c r="O750" s="23" t="n"/>
      <c r="R750" s="24" t="n"/>
      <c r="S750" s="24" t="n"/>
      <c r="Y750" s="24" t="n"/>
    </row>
    <row r="751">
      <c r="O751" s="23" t="n"/>
      <c r="R751" s="24" t="n"/>
      <c r="S751" s="24" t="n"/>
      <c r="Y751" s="24" t="n"/>
    </row>
    <row r="752">
      <c r="O752" s="23" t="n"/>
      <c r="R752" s="24" t="n"/>
      <c r="S752" s="24" t="n"/>
      <c r="Y752" s="24" t="n"/>
    </row>
    <row r="753">
      <c r="O753" s="23" t="n"/>
      <c r="R753" s="24" t="n"/>
      <c r="S753" s="24" t="n"/>
      <c r="Y753" s="24" t="n"/>
    </row>
    <row r="754">
      <c r="O754" s="23" t="n"/>
      <c r="R754" s="24" t="n"/>
      <c r="S754" s="24" t="n"/>
      <c r="Y754" s="24" t="n"/>
    </row>
    <row r="755">
      <c r="O755" s="23" t="n"/>
      <c r="R755" s="24" t="n"/>
      <c r="S755" s="24" t="n"/>
      <c r="Y755" s="24" t="n"/>
    </row>
    <row r="756">
      <c r="O756" s="23" t="n"/>
      <c r="R756" s="24" t="n"/>
      <c r="S756" s="24" t="n"/>
      <c r="Y756" s="24" t="n"/>
    </row>
    <row r="757">
      <c r="O757" s="23" t="n"/>
      <c r="R757" s="24" t="n"/>
      <c r="S757" s="24" t="n"/>
      <c r="Y757" s="24" t="n"/>
    </row>
    <row r="758">
      <c r="O758" s="23" t="n"/>
      <c r="R758" s="24" t="n"/>
      <c r="S758" s="24" t="n"/>
      <c r="Y758" s="24" t="n"/>
    </row>
    <row r="759">
      <c r="O759" s="23" t="n"/>
      <c r="R759" s="24" t="n"/>
      <c r="S759" s="24" t="n"/>
      <c r="Y759" s="24" t="n"/>
    </row>
    <row r="760">
      <c r="O760" s="23" t="n"/>
      <c r="R760" s="24" t="n"/>
      <c r="S760" s="24" t="n"/>
      <c r="Y760" s="24" t="n"/>
    </row>
    <row r="761">
      <c r="O761" s="23" t="n"/>
      <c r="R761" s="24" t="n"/>
      <c r="S761" s="24" t="n"/>
      <c r="Y761" s="24" t="n"/>
    </row>
    <row r="762">
      <c r="O762" s="23" t="n"/>
      <c r="R762" s="24" t="n"/>
      <c r="S762" s="24" t="n"/>
      <c r="Y762" s="24" t="n"/>
    </row>
    <row r="763">
      <c r="O763" s="23" t="n"/>
      <c r="R763" s="24" t="n"/>
      <c r="S763" s="24" t="n"/>
      <c r="Y763" s="24" t="n"/>
    </row>
    <row r="764">
      <c r="O764" s="23" t="n"/>
      <c r="R764" s="24" t="n"/>
      <c r="S764" s="24" t="n"/>
      <c r="Y764" s="24" t="n"/>
    </row>
    <row r="765">
      <c r="O765" s="23" t="n"/>
      <c r="R765" s="24" t="n"/>
      <c r="S765" s="24" t="n"/>
      <c r="Y765" s="24" t="n"/>
    </row>
    <row r="766">
      <c r="O766" s="23" t="n"/>
      <c r="R766" s="24" t="n"/>
      <c r="S766" s="24" t="n"/>
      <c r="Y766" s="24" t="n"/>
    </row>
    <row r="767">
      <c r="O767" s="23" t="n"/>
      <c r="R767" s="24" t="n"/>
      <c r="S767" s="24" t="n"/>
      <c r="Y767" s="24" t="n"/>
    </row>
    <row r="768">
      <c r="O768" s="23" t="n"/>
      <c r="R768" s="24" t="n"/>
      <c r="S768" s="24" t="n"/>
      <c r="Y768" s="24" t="n"/>
    </row>
    <row r="769">
      <c r="O769" s="23" t="n"/>
      <c r="R769" s="24" t="n"/>
      <c r="S769" s="24" t="n"/>
      <c r="Y769" s="24" t="n"/>
    </row>
    <row r="770">
      <c r="O770" s="23" t="n"/>
      <c r="R770" s="24" t="n"/>
      <c r="S770" s="24" t="n"/>
      <c r="Y770" s="24" t="n"/>
    </row>
    <row r="771">
      <c r="O771" s="23" t="n"/>
      <c r="R771" s="24" t="n"/>
      <c r="S771" s="24" t="n"/>
      <c r="Y771" s="24" t="n"/>
    </row>
    <row r="772">
      <c r="O772" s="23" t="n"/>
      <c r="R772" s="24" t="n"/>
      <c r="S772" s="24" t="n"/>
      <c r="Y772" s="24" t="n"/>
    </row>
    <row r="773">
      <c r="O773" s="23" t="n"/>
      <c r="R773" s="24" t="n"/>
      <c r="S773" s="24" t="n"/>
      <c r="Y773" s="24" t="n"/>
    </row>
    <row r="774">
      <c r="O774" s="23" t="n"/>
      <c r="R774" s="24" t="n"/>
      <c r="S774" s="24" t="n"/>
      <c r="Y774" s="24" t="n"/>
    </row>
    <row r="775">
      <c r="O775" s="23" t="n"/>
      <c r="R775" s="24" t="n"/>
      <c r="S775" s="24" t="n"/>
      <c r="Y775" s="24" t="n"/>
    </row>
    <row r="776">
      <c r="O776" s="23" t="n"/>
      <c r="R776" s="24" t="n"/>
      <c r="S776" s="24" t="n"/>
      <c r="Y776" s="24" t="n"/>
    </row>
    <row r="777">
      <c r="O777" s="23" t="n"/>
      <c r="R777" s="24" t="n"/>
      <c r="S777" s="24" t="n"/>
      <c r="Y777" s="24" t="n"/>
    </row>
    <row r="778">
      <c r="O778" s="23" t="n"/>
      <c r="R778" s="24" t="n"/>
      <c r="S778" s="24" t="n"/>
      <c r="Y778" s="24" t="n"/>
    </row>
    <row r="779">
      <c r="O779" s="23" t="n"/>
      <c r="R779" s="24" t="n"/>
      <c r="S779" s="24" t="n"/>
      <c r="Y779" s="24" t="n"/>
    </row>
    <row r="780">
      <c r="O780" s="23" t="n"/>
      <c r="R780" s="24" t="n"/>
      <c r="S780" s="24" t="n"/>
      <c r="Y780" s="24" t="n"/>
    </row>
    <row r="781">
      <c r="O781" s="23" t="n"/>
      <c r="R781" s="24" t="n"/>
      <c r="S781" s="24" t="n"/>
      <c r="Y781" s="24" t="n"/>
    </row>
    <row r="782">
      <c r="O782" s="23" t="n"/>
      <c r="R782" s="24" t="n"/>
      <c r="S782" s="24" t="n"/>
      <c r="Y782" s="24" t="n"/>
    </row>
    <row r="783">
      <c r="O783" s="23" t="n"/>
      <c r="R783" s="24" t="n"/>
      <c r="S783" s="24" t="n"/>
      <c r="Y783" s="24" t="n"/>
    </row>
    <row r="784">
      <c r="O784" s="23" t="n"/>
      <c r="R784" s="24" t="n"/>
      <c r="S784" s="24" t="n"/>
      <c r="Y784" s="24" t="n"/>
    </row>
    <row r="785">
      <c r="O785" s="23" t="n"/>
      <c r="R785" s="24" t="n"/>
      <c r="S785" s="24" t="n"/>
      <c r="Y785" s="24" t="n"/>
    </row>
    <row r="786">
      <c r="O786" s="23" t="n"/>
      <c r="R786" s="24" t="n"/>
      <c r="S786" s="24" t="n"/>
      <c r="Y786" s="24" t="n"/>
    </row>
    <row r="787">
      <c r="O787" s="23" t="n"/>
      <c r="R787" s="24" t="n"/>
      <c r="S787" s="24" t="n"/>
      <c r="Y787" s="24" t="n"/>
    </row>
    <row r="788">
      <c r="O788" s="23" t="n"/>
      <c r="R788" s="24" t="n"/>
      <c r="S788" s="24" t="n"/>
      <c r="Y788" s="24" t="n"/>
    </row>
    <row r="789">
      <c r="O789" s="23" t="n"/>
      <c r="R789" s="24" t="n"/>
      <c r="S789" s="24" t="n"/>
      <c r="Y789" s="24" t="n"/>
    </row>
    <row r="790">
      <c r="O790" s="23" t="n"/>
      <c r="R790" s="24" t="n"/>
      <c r="S790" s="24" t="n"/>
      <c r="Y790" s="24" t="n"/>
    </row>
    <row r="791">
      <c r="O791" s="23" t="n"/>
      <c r="R791" s="24" t="n"/>
      <c r="S791" s="24" t="n"/>
      <c r="Y791" s="24" t="n"/>
    </row>
    <row r="792">
      <c r="O792" s="23" t="n"/>
      <c r="R792" s="24" t="n"/>
      <c r="S792" s="24" t="n"/>
      <c r="Y792" s="24" t="n"/>
    </row>
    <row r="793">
      <c r="O793" s="23" t="n"/>
      <c r="R793" s="24" t="n"/>
      <c r="S793" s="24" t="n"/>
      <c r="Y793" s="24" t="n"/>
    </row>
    <row r="794">
      <c r="O794" s="23" t="n"/>
      <c r="R794" s="24" t="n"/>
      <c r="S794" s="24" t="n"/>
      <c r="Y794" s="24" t="n"/>
    </row>
    <row r="795">
      <c r="O795" s="23" t="n"/>
      <c r="R795" s="24" t="n"/>
      <c r="S795" s="24" t="n"/>
      <c r="Y795" s="24" t="n"/>
    </row>
    <row r="796">
      <c r="O796" s="23" t="n"/>
      <c r="R796" s="24" t="n"/>
      <c r="S796" s="24" t="n"/>
      <c r="Y796" s="24" t="n"/>
    </row>
    <row r="797">
      <c r="O797" s="23" t="n"/>
      <c r="R797" s="24" t="n"/>
      <c r="S797" s="24" t="n"/>
      <c r="Y797" s="24" t="n"/>
    </row>
    <row r="798">
      <c r="O798" s="23" t="n"/>
      <c r="R798" s="24" t="n"/>
      <c r="S798" s="24" t="n"/>
      <c r="Y798" s="24" t="n"/>
    </row>
    <row r="799">
      <c r="O799" s="23" t="n"/>
      <c r="R799" s="24" t="n"/>
      <c r="S799" s="24" t="n"/>
      <c r="Y799" s="24" t="n"/>
    </row>
    <row r="800">
      <c r="O800" s="23" t="n"/>
      <c r="R800" s="24" t="n"/>
      <c r="S800" s="24" t="n"/>
      <c r="Y800" s="24" t="n"/>
    </row>
    <row r="801">
      <c r="O801" s="23" t="n"/>
      <c r="R801" s="24" t="n"/>
      <c r="S801" s="24" t="n"/>
      <c r="Y801" s="24" t="n"/>
    </row>
    <row r="802">
      <c r="O802" s="23" t="n"/>
      <c r="R802" s="24" t="n"/>
      <c r="S802" s="24" t="n"/>
      <c r="Y802" s="24" t="n"/>
    </row>
    <row r="803">
      <c r="O803" s="23" t="n"/>
      <c r="R803" s="24" t="n"/>
      <c r="S803" s="24" t="n"/>
      <c r="Y803" s="24" t="n"/>
    </row>
    <row r="804">
      <c r="O804" s="23" t="n"/>
      <c r="R804" s="24" t="n"/>
      <c r="S804" s="24" t="n"/>
      <c r="Y804" s="24" t="n"/>
    </row>
    <row r="805">
      <c r="O805" s="23" t="n"/>
      <c r="R805" s="24" t="n"/>
      <c r="S805" s="24" t="n"/>
      <c r="Y805" s="24" t="n"/>
    </row>
    <row r="806">
      <c r="O806" s="23" t="n"/>
      <c r="R806" s="24" t="n"/>
      <c r="S806" s="24" t="n"/>
      <c r="Y806" s="24" t="n"/>
    </row>
    <row r="807">
      <c r="O807" s="23" t="n"/>
      <c r="R807" s="24" t="n"/>
      <c r="S807" s="24" t="n"/>
      <c r="Y807" s="24" t="n"/>
    </row>
    <row r="808">
      <c r="O808" s="23" t="n"/>
      <c r="R808" s="24" t="n"/>
      <c r="S808" s="24" t="n"/>
      <c r="Y808" s="24" t="n"/>
    </row>
    <row r="809">
      <c r="O809" s="23" t="n"/>
      <c r="R809" s="24" t="n"/>
      <c r="S809" s="24" t="n"/>
      <c r="Y809" s="24" t="n"/>
    </row>
    <row r="810">
      <c r="O810" s="23" t="n"/>
      <c r="R810" s="24" t="n"/>
      <c r="S810" s="24" t="n"/>
      <c r="Y810" s="24" t="n"/>
    </row>
    <row r="811">
      <c r="O811" s="23" t="n"/>
      <c r="R811" s="24" t="n"/>
      <c r="S811" s="24" t="n"/>
      <c r="Y811" s="24" t="n"/>
    </row>
    <row r="812">
      <c r="O812" s="23" t="n"/>
      <c r="R812" s="24" t="n"/>
      <c r="S812" s="24" t="n"/>
      <c r="Y812" s="24" t="n"/>
    </row>
    <row r="813">
      <c r="O813" s="23" t="n"/>
      <c r="R813" s="24" t="n"/>
      <c r="S813" s="24" t="n"/>
      <c r="Y813" s="24" t="n"/>
    </row>
    <row r="814">
      <c r="O814" s="23" t="n"/>
      <c r="R814" s="24" t="n"/>
      <c r="S814" s="24" t="n"/>
      <c r="Y814" s="24" t="n"/>
    </row>
    <row r="815">
      <c r="O815" s="23" t="n"/>
      <c r="R815" s="24" t="n"/>
      <c r="S815" s="24" t="n"/>
      <c r="Y815" s="24" t="n"/>
    </row>
    <row r="816">
      <c r="O816" s="23" t="n"/>
      <c r="R816" s="24" t="n"/>
      <c r="S816" s="24" t="n"/>
      <c r="Y816" s="24" t="n"/>
    </row>
    <row r="817">
      <c r="O817" s="23" t="n"/>
      <c r="R817" s="24" t="n"/>
      <c r="S817" s="24" t="n"/>
      <c r="Y817" s="24" t="n"/>
    </row>
    <row r="818">
      <c r="O818" s="23" t="n"/>
      <c r="R818" s="24" t="n"/>
      <c r="S818" s="24" t="n"/>
      <c r="Y818" s="24" t="n"/>
    </row>
    <row r="819">
      <c r="O819" s="23" t="n"/>
      <c r="R819" s="24" t="n"/>
      <c r="S819" s="24" t="n"/>
      <c r="Y819" s="24" t="n"/>
    </row>
    <row r="820">
      <c r="O820" s="23" t="n"/>
      <c r="R820" s="24" t="n"/>
      <c r="S820" s="24" t="n"/>
      <c r="Y820" s="24" t="n"/>
    </row>
    <row r="821">
      <c r="O821" s="23" t="n"/>
      <c r="R821" s="24" t="n"/>
      <c r="S821" s="24" t="n"/>
      <c r="Y821" s="24" t="n"/>
    </row>
    <row r="822">
      <c r="O822" s="23" t="n"/>
      <c r="R822" s="24" t="n"/>
      <c r="S822" s="24" t="n"/>
      <c r="Y822" s="24" t="n"/>
    </row>
    <row r="823">
      <c r="O823" s="23" t="n"/>
      <c r="R823" s="24" t="n"/>
      <c r="S823" s="24" t="n"/>
      <c r="Y823" s="24" t="n"/>
    </row>
    <row r="824">
      <c r="O824" s="23" t="n"/>
      <c r="R824" s="24" t="n"/>
      <c r="S824" s="24" t="n"/>
      <c r="Y824" s="24" t="n"/>
    </row>
    <row r="825">
      <c r="O825" s="23" t="n"/>
      <c r="R825" s="24" t="n"/>
      <c r="S825" s="24" t="n"/>
      <c r="Y825" s="24" t="n"/>
    </row>
    <row r="826">
      <c r="O826" s="23" t="n"/>
      <c r="R826" s="24" t="n"/>
      <c r="S826" s="24" t="n"/>
      <c r="Y826" s="24" t="n"/>
    </row>
    <row r="827">
      <c r="O827" s="23" t="n"/>
      <c r="R827" s="24" t="n"/>
      <c r="S827" s="24" t="n"/>
      <c r="Y827" s="24" t="n"/>
    </row>
    <row r="828">
      <c r="O828" s="23" t="n"/>
      <c r="R828" s="24" t="n"/>
      <c r="S828" s="24" t="n"/>
      <c r="Y828" s="24" t="n"/>
    </row>
    <row r="829">
      <c r="O829" s="23" t="n"/>
      <c r="R829" s="24" t="n"/>
      <c r="S829" s="24" t="n"/>
      <c r="Y829" s="24" t="n"/>
    </row>
    <row r="830">
      <c r="O830" s="23" t="n"/>
      <c r="R830" s="24" t="n"/>
      <c r="S830" s="24" t="n"/>
      <c r="Y830" s="24" t="n"/>
    </row>
    <row r="831">
      <c r="O831" s="23" t="n"/>
      <c r="R831" s="24" t="n"/>
      <c r="S831" s="24" t="n"/>
      <c r="Y831" s="24" t="n"/>
    </row>
    <row r="832">
      <c r="O832" s="23" t="n"/>
      <c r="R832" s="24" t="n"/>
      <c r="S832" s="24" t="n"/>
      <c r="Y832" s="24" t="n"/>
    </row>
    <row r="833">
      <c r="O833" s="23" t="n"/>
      <c r="R833" s="24" t="n"/>
      <c r="S833" s="24" t="n"/>
      <c r="Y833" s="24" t="n"/>
    </row>
    <row r="834">
      <c r="O834" s="23" t="n"/>
      <c r="R834" s="24" t="n"/>
      <c r="S834" s="24" t="n"/>
      <c r="Y834" s="24" t="n"/>
    </row>
    <row r="835">
      <c r="O835" s="23" t="n"/>
      <c r="R835" s="24" t="n"/>
      <c r="S835" s="24" t="n"/>
      <c r="Y835" s="24" t="n"/>
    </row>
    <row r="836">
      <c r="O836" s="23" t="n"/>
      <c r="R836" s="24" t="n"/>
      <c r="S836" s="24" t="n"/>
      <c r="Y836" s="24" t="n"/>
    </row>
    <row r="837">
      <c r="O837" s="23" t="n"/>
      <c r="R837" s="24" t="n"/>
      <c r="S837" s="24" t="n"/>
      <c r="Y837" s="24" t="n"/>
    </row>
    <row r="838">
      <c r="O838" s="23" t="n"/>
      <c r="R838" s="24" t="n"/>
      <c r="S838" s="24" t="n"/>
      <c r="Y838" s="24" t="n"/>
    </row>
    <row r="839">
      <c r="O839" s="23" t="n"/>
      <c r="R839" s="24" t="n"/>
      <c r="S839" s="24" t="n"/>
      <c r="Y839" s="24" t="n"/>
    </row>
    <row r="840">
      <c r="O840" s="23" t="n"/>
      <c r="R840" s="24" t="n"/>
      <c r="S840" s="24" t="n"/>
      <c r="Y840" s="24" t="n"/>
    </row>
    <row r="841">
      <c r="O841" s="23" t="n"/>
      <c r="R841" s="24" t="n"/>
      <c r="S841" s="24" t="n"/>
      <c r="Y841" s="24" t="n"/>
    </row>
    <row r="842">
      <c r="O842" s="23" t="n"/>
      <c r="R842" s="24" t="n"/>
      <c r="S842" s="24" t="n"/>
      <c r="Y842" s="24" t="n"/>
    </row>
    <row r="843">
      <c r="O843" s="23" t="n"/>
      <c r="R843" s="24" t="n"/>
      <c r="S843" s="24" t="n"/>
      <c r="Y843" s="24" t="n"/>
    </row>
    <row r="844">
      <c r="O844" s="23" t="n"/>
      <c r="R844" s="24" t="n"/>
      <c r="S844" s="24" t="n"/>
      <c r="Y844" s="24" t="n"/>
    </row>
    <row r="845">
      <c r="O845" s="23" t="n"/>
      <c r="R845" s="24" t="n"/>
      <c r="S845" s="24" t="n"/>
      <c r="Y845" s="24" t="n"/>
    </row>
    <row r="846">
      <c r="O846" s="23" t="n"/>
      <c r="R846" s="24" t="n"/>
      <c r="S846" s="24" t="n"/>
      <c r="Y846" s="24" t="n"/>
    </row>
    <row r="847">
      <c r="O847" s="23" t="n"/>
      <c r="R847" s="24" t="n"/>
      <c r="S847" s="24" t="n"/>
      <c r="Y847" s="24" t="n"/>
    </row>
    <row r="848">
      <c r="O848" s="23" t="n"/>
      <c r="R848" s="24" t="n"/>
      <c r="S848" s="24" t="n"/>
      <c r="Y848" s="24" t="n"/>
    </row>
    <row r="849">
      <c r="O849" s="23" t="n"/>
      <c r="R849" s="24" t="n"/>
      <c r="S849" s="24" t="n"/>
      <c r="Y849" s="24" t="n"/>
    </row>
    <row r="850">
      <c r="O850" s="23" t="n"/>
      <c r="R850" s="24" t="n"/>
      <c r="S850" s="24" t="n"/>
      <c r="Y850" s="24" t="n"/>
    </row>
    <row r="851">
      <c r="O851" s="23" t="n"/>
      <c r="R851" s="24" t="n"/>
      <c r="S851" s="24" t="n"/>
      <c r="Y851" s="24" t="n"/>
    </row>
    <row r="852">
      <c r="O852" s="23" t="n"/>
      <c r="R852" s="24" t="n"/>
      <c r="S852" s="24" t="n"/>
      <c r="Y852" s="24" t="n"/>
    </row>
    <row r="853">
      <c r="O853" s="23" t="n"/>
      <c r="R853" s="24" t="n"/>
      <c r="S853" s="24" t="n"/>
      <c r="Y853" s="24" t="n"/>
    </row>
    <row r="854">
      <c r="O854" s="23" t="n"/>
      <c r="R854" s="24" t="n"/>
      <c r="S854" s="24" t="n"/>
      <c r="Y854" s="24" t="n"/>
    </row>
    <row r="855">
      <c r="O855" s="23" t="n"/>
      <c r="R855" s="24" t="n"/>
      <c r="S855" s="24" t="n"/>
      <c r="Y855" s="24" t="n"/>
    </row>
    <row r="856">
      <c r="O856" s="23" t="n"/>
      <c r="R856" s="24" t="n"/>
      <c r="S856" s="24" t="n"/>
      <c r="Y856" s="24" t="n"/>
    </row>
    <row r="857">
      <c r="O857" s="23" t="n"/>
      <c r="R857" s="24" t="n"/>
      <c r="S857" s="24" t="n"/>
      <c r="Y857" s="24" t="n"/>
    </row>
    <row r="858">
      <c r="O858" s="23" t="n"/>
      <c r="R858" s="24" t="n"/>
      <c r="S858" s="24" t="n"/>
      <c r="Y858" s="24" t="n"/>
    </row>
    <row r="859">
      <c r="O859" s="23" t="n"/>
      <c r="R859" s="24" t="n"/>
      <c r="S859" s="24" t="n"/>
      <c r="Y859" s="24" t="n"/>
    </row>
    <row r="860">
      <c r="O860" s="23" t="n"/>
      <c r="R860" s="24" t="n"/>
      <c r="S860" s="24" t="n"/>
      <c r="Y860" s="24" t="n"/>
    </row>
    <row r="861">
      <c r="O861" s="23" t="n"/>
      <c r="R861" s="24" t="n"/>
      <c r="S861" s="24" t="n"/>
      <c r="Y861" s="24" t="n"/>
    </row>
    <row r="862">
      <c r="O862" s="23" t="n"/>
      <c r="R862" s="24" t="n"/>
      <c r="S862" s="24" t="n"/>
      <c r="Y862" s="24" t="n"/>
    </row>
    <row r="863">
      <c r="O863" s="23" t="n"/>
      <c r="R863" s="24" t="n"/>
      <c r="S863" s="24" t="n"/>
      <c r="Y863" s="24" t="n"/>
    </row>
    <row r="864">
      <c r="O864" s="23" t="n"/>
      <c r="R864" s="24" t="n"/>
      <c r="S864" s="24" t="n"/>
      <c r="Y864" s="24" t="n"/>
    </row>
    <row r="865">
      <c r="O865" s="23" t="n"/>
      <c r="R865" s="24" t="n"/>
      <c r="S865" s="24" t="n"/>
      <c r="Y865" s="24" t="n"/>
    </row>
    <row r="866">
      <c r="O866" s="23" t="n"/>
      <c r="R866" s="24" t="n"/>
      <c r="S866" s="24" t="n"/>
      <c r="Y866" s="24" t="n"/>
    </row>
    <row r="867">
      <c r="O867" s="23" t="n"/>
      <c r="R867" s="24" t="n"/>
      <c r="S867" s="24" t="n"/>
      <c r="Y867" s="24" t="n"/>
    </row>
    <row r="868">
      <c r="O868" s="23" t="n"/>
      <c r="R868" s="24" t="n"/>
      <c r="S868" s="24" t="n"/>
      <c r="Y868" s="24" t="n"/>
    </row>
    <row r="869">
      <c r="O869" s="23" t="n"/>
      <c r="R869" s="24" t="n"/>
      <c r="S869" s="24" t="n"/>
      <c r="Y869" s="24" t="n"/>
    </row>
    <row r="870">
      <c r="O870" s="23" t="n"/>
      <c r="R870" s="24" t="n"/>
      <c r="S870" s="24" t="n"/>
      <c r="Y870" s="24" t="n"/>
    </row>
    <row r="871">
      <c r="O871" s="23" t="n"/>
      <c r="R871" s="24" t="n"/>
      <c r="S871" s="24" t="n"/>
      <c r="Y871" s="24" t="n"/>
    </row>
    <row r="872">
      <c r="O872" s="23" t="n"/>
      <c r="R872" s="24" t="n"/>
      <c r="S872" s="24" t="n"/>
      <c r="Y872" s="24" t="n"/>
    </row>
    <row r="873">
      <c r="O873" s="23" t="n"/>
      <c r="R873" s="24" t="n"/>
      <c r="S873" s="24" t="n"/>
      <c r="Y873" s="24" t="n"/>
    </row>
    <row r="874">
      <c r="O874" s="23" t="n"/>
      <c r="R874" s="24" t="n"/>
      <c r="S874" s="24" t="n"/>
      <c r="Y874" s="24" t="n"/>
    </row>
    <row r="875">
      <c r="O875" s="23" t="n"/>
      <c r="R875" s="24" t="n"/>
      <c r="S875" s="24" t="n"/>
      <c r="Y875" s="24" t="n"/>
    </row>
    <row r="876">
      <c r="O876" s="23" t="n"/>
      <c r="R876" s="24" t="n"/>
      <c r="S876" s="24" t="n"/>
      <c r="Y876" s="24" t="n"/>
    </row>
    <row r="877">
      <c r="O877" s="23" t="n"/>
      <c r="R877" s="24" t="n"/>
      <c r="S877" s="24" t="n"/>
      <c r="Y877" s="24" t="n"/>
    </row>
    <row r="878">
      <c r="O878" s="23" t="n"/>
      <c r="R878" s="24" t="n"/>
      <c r="S878" s="24" t="n"/>
      <c r="Y878" s="24" t="n"/>
    </row>
    <row r="879">
      <c r="O879" s="23" t="n"/>
      <c r="R879" s="24" t="n"/>
      <c r="S879" s="24" t="n"/>
      <c r="Y879" s="24" t="n"/>
    </row>
    <row r="880">
      <c r="O880" s="23" t="n"/>
      <c r="R880" s="24" t="n"/>
      <c r="S880" s="24" t="n"/>
      <c r="Y880" s="24" t="n"/>
    </row>
    <row r="881">
      <c r="O881" s="23" t="n"/>
      <c r="R881" s="24" t="n"/>
      <c r="S881" s="24" t="n"/>
      <c r="Y881" s="24" t="n"/>
    </row>
    <row r="882">
      <c r="O882" s="23" t="n"/>
      <c r="R882" s="24" t="n"/>
      <c r="S882" s="24" t="n"/>
      <c r="Y882" s="24" t="n"/>
    </row>
    <row r="883">
      <c r="O883" s="23" t="n"/>
      <c r="R883" s="24" t="n"/>
      <c r="S883" s="24" t="n"/>
      <c r="Y883" s="24" t="n"/>
    </row>
    <row r="884">
      <c r="O884" s="23" t="n"/>
      <c r="R884" s="24" t="n"/>
      <c r="S884" s="24" t="n"/>
      <c r="Y884" s="24" t="n"/>
    </row>
    <row r="885">
      <c r="O885" s="23" t="n"/>
      <c r="R885" s="24" t="n"/>
      <c r="S885" s="24" t="n"/>
      <c r="Y885" s="24" t="n"/>
    </row>
    <row r="886">
      <c r="O886" s="23" t="n"/>
      <c r="R886" s="24" t="n"/>
      <c r="S886" s="24" t="n"/>
      <c r="Y886" s="24" t="n"/>
    </row>
    <row r="887">
      <c r="O887" s="23" t="n"/>
      <c r="R887" s="24" t="n"/>
      <c r="S887" s="24" t="n"/>
      <c r="Y887" s="24" t="n"/>
    </row>
    <row r="888">
      <c r="O888" s="23" t="n"/>
      <c r="R888" s="24" t="n"/>
      <c r="S888" s="24" t="n"/>
      <c r="Y888" s="24" t="n"/>
    </row>
    <row r="889">
      <c r="O889" s="23" t="n"/>
      <c r="R889" s="24" t="n"/>
      <c r="S889" s="24" t="n"/>
      <c r="Y889" s="24" t="n"/>
    </row>
    <row r="890">
      <c r="O890" s="23" t="n"/>
      <c r="R890" s="24" t="n"/>
      <c r="S890" s="24" t="n"/>
      <c r="Y890" s="24" t="n"/>
    </row>
    <row r="891">
      <c r="O891" s="23" t="n"/>
      <c r="R891" s="24" t="n"/>
      <c r="S891" s="24" t="n"/>
      <c r="Y891" s="24" t="n"/>
    </row>
    <row r="892">
      <c r="O892" s="23" t="n"/>
      <c r="R892" s="24" t="n"/>
      <c r="S892" s="24" t="n"/>
      <c r="Y892" s="24" t="n"/>
    </row>
    <row r="893">
      <c r="O893" s="23" t="n"/>
      <c r="R893" s="24" t="n"/>
      <c r="S893" s="24" t="n"/>
      <c r="Y893" s="24" t="n"/>
    </row>
    <row r="894">
      <c r="O894" s="23" t="n"/>
      <c r="R894" s="24" t="n"/>
      <c r="S894" s="24" t="n"/>
      <c r="Y894" s="24" t="n"/>
    </row>
    <row r="895">
      <c r="O895" s="23" t="n"/>
      <c r="R895" s="24" t="n"/>
      <c r="S895" s="24" t="n"/>
      <c r="Y895" s="24" t="n"/>
    </row>
    <row r="896">
      <c r="O896" s="23" t="n"/>
      <c r="R896" s="24" t="n"/>
      <c r="S896" s="24" t="n"/>
      <c r="Y896" s="24" t="n"/>
    </row>
    <row r="897">
      <c r="O897" s="23" t="n"/>
      <c r="R897" s="24" t="n"/>
      <c r="S897" s="24" t="n"/>
      <c r="Y897" s="24" t="n"/>
    </row>
    <row r="898">
      <c r="O898" s="23" t="n"/>
      <c r="R898" s="24" t="n"/>
      <c r="S898" s="24" t="n"/>
      <c r="Y898" s="24" t="n"/>
    </row>
    <row r="899">
      <c r="O899" s="23" t="n"/>
      <c r="R899" s="24" t="n"/>
      <c r="S899" s="24" t="n"/>
      <c r="Y899" s="24" t="n"/>
    </row>
    <row r="900">
      <c r="O900" s="23" t="n"/>
      <c r="R900" s="24" t="n"/>
      <c r="S900" s="24" t="n"/>
      <c r="Y900" s="24" t="n"/>
    </row>
    <row r="901">
      <c r="O901" s="23" t="n"/>
      <c r="R901" s="24" t="n"/>
      <c r="S901" s="24" t="n"/>
      <c r="Y901" s="24" t="n"/>
    </row>
    <row r="902">
      <c r="O902" s="23" t="n"/>
      <c r="R902" s="24" t="n"/>
      <c r="S902" s="24" t="n"/>
      <c r="Y902" s="24" t="n"/>
    </row>
    <row r="903">
      <c r="O903" s="23" t="n"/>
      <c r="R903" s="24" t="n"/>
      <c r="S903" s="24" t="n"/>
      <c r="Y903" s="24" t="n"/>
    </row>
    <row r="904">
      <c r="O904" s="23" t="n"/>
      <c r="R904" s="24" t="n"/>
      <c r="S904" s="24" t="n"/>
      <c r="Y904" s="24" t="n"/>
    </row>
    <row r="905">
      <c r="O905" s="23" t="n"/>
      <c r="R905" s="24" t="n"/>
      <c r="S905" s="24" t="n"/>
      <c r="Y905" s="24" t="n"/>
    </row>
    <row r="906">
      <c r="O906" s="23" t="n"/>
      <c r="R906" s="24" t="n"/>
      <c r="S906" s="24" t="n"/>
      <c r="Y906" s="24" t="n"/>
    </row>
    <row r="907">
      <c r="O907" s="23" t="n"/>
      <c r="R907" s="24" t="n"/>
      <c r="S907" s="24" t="n"/>
      <c r="Y907" s="24" t="n"/>
    </row>
    <row r="908">
      <c r="O908" s="23" t="n"/>
      <c r="R908" s="24" t="n"/>
      <c r="S908" s="24" t="n"/>
      <c r="Y908" s="24" t="n"/>
    </row>
    <row r="909">
      <c r="O909" s="23" t="n"/>
      <c r="R909" s="24" t="n"/>
      <c r="S909" s="24" t="n"/>
      <c r="Y909" s="24" t="n"/>
    </row>
    <row r="910">
      <c r="O910" s="23" t="n"/>
      <c r="R910" s="24" t="n"/>
      <c r="S910" s="24" t="n"/>
      <c r="Y910" s="24" t="n"/>
    </row>
    <row r="911">
      <c r="O911" s="23" t="n"/>
      <c r="R911" s="24" t="n"/>
      <c r="S911" s="24" t="n"/>
      <c r="Y911" s="24" t="n"/>
    </row>
    <row r="912">
      <c r="O912" s="23" t="n"/>
      <c r="R912" s="24" t="n"/>
      <c r="S912" s="24" t="n"/>
      <c r="Y912" s="24" t="n"/>
    </row>
    <row r="913">
      <c r="O913" s="23" t="n"/>
      <c r="R913" s="24" t="n"/>
      <c r="S913" s="24" t="n"/>
      <c r="Y913" s="24" t="n"/>
    </row>
    <row r="914">
      <c r="O914" s="23" t="n"/>
      <c r="R914" s="24" t="n"/>
      <c r="S914" s="24" t="n"/>
      <c r="Y914" s="24" t="n"/>
    </row>
    <row r="915">
      <c r="O915" s="23" t="n"/>
      <c r="R915" s="24" t="n"/>
      <c r="S915" s="24" t="n"/>
      <c r="Y915" s="24" t="n"/>
    </row>
    <row r="916">
      <c r="O916" s="23" t="n"/>
      <c r="R916" s="24" t="n"/>
      <c r="S916" s="24" t="n"/>
      <c r="Y916" s="24" t="n"/>
    </row>
    <row r="917">
      <c r="O917" s="23" t="n"/>
      <c r="R917" s="24" t="n"/>
      <c r="S917" s="24" t="n"/>
      <c r="Y917" s="24" t="n"/>
    </row>
    <row r="918">
      <c r="O918" s="23" t="n"/>
      <c r="R918" s="24" t="n"/>
      <c r="S918" s="24" t="n"/>
      <c r="Y918" s="24" t="n"/>
    </row>
    <row r="919">
      <c r="O919" s="23" t="n"/>
      <c r="R919" s="24" t="n"/>
      <c r="S919" s="24" t="n"/>
      <c r="Y919" s="24" t="n"/>
    </row>
    <row r="920">
      <c r="O920" s="23" t="n"/>
      <c r="R920" s="24" t="n"/>
      <c r="S920" s="24" t="n"/>
      <c r="Y920" s="24" t="n"/>
    </row>
    <row r="921">
      <c r="O921" s="23" t="n"/>
      <c r="R921" s="24" t="n"/>
      <c r="S921" s="24" t="n"/>
      <c r="Y921" s="24" t="n"/>
    </row>
    <row r="922">
      <c r="O922" s="23" t="n"/>
      <c r="R922" s="24" t="n"/>
      <c r="S922" s="24" t="n"/>
      <c r="Y922" s="24" t="n"/>
    </row>
    <row r="923">
      <c r="O923" s="23" t="n"/>
      <c r="R923" s="24" t="n"/>
      <c r="S923" s="24" t="n"/>
      <c r="Y923" s="24" t="n"/>
    </row>
    <row r="924">
      <c r="O924" s="23" t="n"/>
      <c r="R924" s="24" t="n"/>
      <c r="S924" s="24" t="n"/>
      <c r="Y924" s="24" t="n"/>
    </row>
    <row r="925">
      <c r="O925" s="23" t="n"/>
      <c r="R925" s="24" t="n"/>
      <c r="S925" s="24" t="n"/>
      <c r="Y925" s="24" t="n"/>
    </row>
    <row r="926">
      <c r="O926" s="23" t="n"/>
      <c r="R926" s="24" t="n"/>
      <c r="S926" s="24" t="n"/>
      <c r="Y926" s="24" t="n"/>
    </row>
    <row r="927">
      <c r="O927" s="23" t="n"/>
      <c r="R927" s="24" t="n"/>
      <c r="S927" s="24" t="n"/>
      <c r="Y927" s="24" t="n"/>
    </row>
    <row r="928">
      <c r="O928" s="23" t="n"/>
      <c r="R928" s="24" t="n"/>
      <c r="S928" s="24" t="n"/>
      <c r="Y928" s="24" t="n"/>
    </row>
    <row r="929">
      <c r="O929" s="23" t="n"/>
      <c r="R929" s="24" t="n"/>
      <c r="S929" s="24" t="n"/>
      <c r="Y929" s="24" t="n"/>
    </row>
    <row r="930">
      <c r="O930" s="23" t="n"/>
      <c r="R930" s="24" t="n"/>
      <c r="S930" s="24" t="n"/>
      <c r="Y930" s="24" t="n"/>
    </row>
    <row r="931">
      <c r="O931" s="23" t="n"/>
      <c r="R931" s="24" t="n"/>
      <c r="S931" s="24" t="n"/>
      <c r="Y931" s="24" t="n"/>
    </row>
    <row r="932">
      <c r="O932" s="23" t="n"/>
      <c r="R932" s="24" t="n"/>
      <c r="S932" s="24" t="n"/>
      <c r="Y932" s="24" t="n"/>
    </row>
    <row r="933">
      <c r="O933" s="23" t="n"/>
      <c r="R933" s="24" t="n"/>
      <c r="S933" s="24" t="n"/>
      <c r="Y933" s="24" t="n"/>
    </row>
    <row r="934">
      <c r="O934" s="23" t="n"/>
      <c r="R934" s="24" t="n"/>
      <c r="S934" s="24" t="n"/>
      <c r="Y934" s="24" t="n"/>
    </row>
    <row r="935">
      <c r="O935" s="23" t="n"/>
      <c r="R935" s="24" t="n"/>
      <c r="S935" s="24" t="n"/>
      <c r="Y935" s="24" t="n"/>
    </row>
    <row r="936">
      <c r="O936" s="23" t="n"/>
      <c r="R936" s="24" t="n"/>
      <c r="S936" s="24" t="n"/>
      <c r="Y936" s="24" t="n"/>
    </row>
    <row r="937">
      <c r="O937" s="23" t="n"/>
      <c r="R937" s="24" t="n"/>
      <c r="S937" s="24" t="n"/>
      <c r="Y937" s="24" t="n"/>
    </row>
    <row r="938">
      <c r="O938" s="23" t="n"/>
      <c r="R938" s="24" t="n"/>
      <c r="S938" s="24" t="n"/>
      <c r="Y938" s="24" t="n"/>
    </row>
    <row r="939">
      <c r="O939" s="23" t="n"/>
      <c r="R939" s="24" t="n"/>
      <c r="S939" s="24" t="n"/>
      <c r="Y939" s="24" t="n"/>
    </row>
    <row r="940">
      <c r="O940" s="23" t="n"/>
      <c r="R940" s="24" t="n"/>
      <c r="S940" s="24" t="n"/>
      <c r="Y940" s="24" t="n"/>
    </row>
    <row r="941">
      <c r="O941" s="23" t="n"/>
      <c r="R941" s="24" t="n"/>
      <c r="S941" s="24" t="n"/>
      <c r="Y941" s="24" t="n"/>
    </row>
    <row r="942">
      <c r="O942" s="23" t="n"/>
      <c r="R942" s="24" t="n"/>
      <c r="S942" s="24" t="n"/>
      <c r="Y942" s="24" t="n"/>
    </row>
    <row r="943">
      <c r="O943" s="23" t="n"/>
      <c r="R943" s="24" t="n"/>
      <c r="S943" s="24" t="n"/>
      <c r="Y943" s="24" t="n"/>
    </row>
    <row r="944">
      <c r="O944" s="23" t="n"/>
      <c r="R944" s="24" t="n"/>
      <c r="S944" s="24" t="n"/>
      <c r="Y944" s="24" t="n"/>
    </row>
    <row r="945">
      <c r="O945" s="23" t="n"/>
      <c r="R945" s="24" t="n"/>
      <c r="S945" s="24" t="n"/>
      <c r="Y945" s="24" t="n"/>
    </row>
    <row r="946">
      <c r="O946" s="23" t="n"/>
      <c r="R946" s="24" t="n"/>
      <c r="S946" s="24" t="n"/>
      <c r="Y946" s="24" t="n"/>
    </row>
    <row r="947">
      <c r="O947" s="23" t="n"/>
      <c r="R947" s="24" t="n"/>
      <c r="S947" s="24" t="n"/>
      <c r="Y947" s="24" t="n"/>
    </row>
    <row r="948">
      <c r="O948" s="23" t="n"/>
      <c r="R948" s="24" t="n"/>
      <c r="S948" s="24" t="n"/>
      <c r="Y948" s="24" t="n"/>
    </row>
    <row r="949">
      <c r="O949" s="23" t="n"/>
      <c r="R949" s="24" t="n"/>
      <c r="S949" s="24" t="n"/>
      <c r="Y949" s="24" t="n"/>
    </row>
    <row r="950">
      <c r="O950" s="23" t="n"/>
      <c r="R950" s="24" t="n"/>
      <c r="S950" s="24" t="n"/>
      <c r="Y950" s="24" t="n"/>
    </row>
    <row r="951">
      <c r="O951" s="23" t="n"/>
      <c r="R951" s="24" t="n"/>
      <c r="S951" s="24" t="n"/>
      <c r="Y951" s="24" t="n"/>
    </row>
    <row r="952">
      <c r="O952" s="23" t="n"/>
      <c r="R952" s="24" t="n"/>
      <c r="S952" s="24" t="n"/>
      <c r="Y952" s="24" t="n"/>
    </row>
    <row r="953">
      <c r="O953" s="23" t="n"/>
      <c r="R953" s="24" t="n"/>
      <c r="S953" s="24" t="n"/>
      <c r="Y953" s="24" t="n"/>
    </row>
    <row r="954">
      <c r="O954" s="23" t="n"/>
      <c r="R954" s="24" t="n"/>
      <c r="S954" s="24" t="n"/>
      <c r="Y954" s="24" t="n"/>
    </row>
    <row r="955">
      <c r="O955" s="23" t="n"/>
      <c r="R955" s="24" t="n"/>
      <c r="S955" s="24" t="n"/>
      <c r="Y955" s="24" t="n"/>
    </row>
    <row r="956">
      <c r="O956" s="23" t="n"/>
      <c r="R956" s="24" t="n"/>
      <c r="S956" s="24" t="n"/>
      <c r="Y956" s="24" t="n"/>
    </row>
    <row r="957">
      <c r="O957" s="23" t="n"/>
      <c r="R957" s="24" t="n"/>
      <c r="S957" s="24" t="n"/>
      <c r="Y957" s="24" t="n"/>
    </row>
    <row r="958">
      <c r="O958" s="23" t="n"/>
      <c r="R958" s="24" t="n"/>
      <c r="S958" s="24" t="n"/>
      <c r="Y958" s="24" t="n"/>
    </row>
    <row r="959">
      <c r="O959" s="23" t="n"/>
      <c r="R959" s="24" t="n"/>
      <c r="S959" s="24" t="n"/>
      <c r="Y959" s="24" t="n"/>
    </row>
    <row r="960">
      <c r="O960" s="23" t="n"/>
      <c r="R960" s="24" t="n"/>
      <c r="S960" s="24" t="n"/>
      <c r="Y960" s="24" t="n"/>
    </row>
    <row r="961">
      <c r="O961" s="23" t="n"/>
      <c r="R961" s="24" t="n"/>
      <c r="S961" s="24" t="n"/>
      <c r="Y961" s="24" t="n"/>
    </row>
    <row r="962">
      <c r="O962" s="23" t="n"/>
      <c r="R962" s="24" t="n"/>
      <c r="S962" s="24" t="n"/>
      <c r="Y962" s="24" t="n"/>
    </row>
    <row r="963">
      <c r="O963" s="23" t="n"/>
      <c r="R963" s="24" t="n"/>
      <c r="S963" s="24" t="n"/>
      <c r="Y963" s="24" t="n"/>
    </row>
    <row r="964">
      <c r="O964" s="23" t="n"/>
      <c r="R964" s="24" t="n"/>
      <c r="S964" s="24" t="n"/>
      <c r="Y964" s="24" t="n"/>
    </row>
    <row r="965">
      <c r="O965" s="23" t="n"/>
      <c r="R965" s="24" t="n"/>
      <c r="S965" s="24" t="n"/>
      <c r="Y965" s="24" t="n"/>
    </row>
    <row r="966">
      <c r="O966" s="23" t="n"/>
      <c r="R966" s="24" t="n"/>
      <c r="S966" s="24" t="n"/>
      <c r="Y966" s="24" t="n"/>
    </row>
    <row r="967">
      <c r="O967" s="23" t="n"/>
      <c r="R967" s="24" t="n"/>
      <c r="S967" s="24" t="n"/>
      <c r="Y967" s="24" t="n"/>
    </row>
    <row r="968">
      <c r="O968" s="23" t="n"/>
      <c r="R968" s="24" t="n"/>
      <c r="S968" s="24" t="n"/>
      <c r="Y968" s="24" t="n"/>
    </row>
    <row r="969">
      <c r="O969" s="23" t="n"/>
      <c r="R969" s="24" t="n"/>
      <c r="S969" s="24" t="n"/>
      <c r="Y969" s="24" t="n"/>
    </row>
    <row r="970">
      <c r="O970" s="23" t="n"/>
      <c r="R970" s="24" t="n"/>
      <c r="S970" s="24" t="n"/>
      <c r="Y970" s="24" t="n"/>
    </row>
    <row r="971">
      <c r="O971" s="23" t="n"/>
      <c r="R971" s="24" t="n"/>
      <c r="S971" s="24" t="n"/>
      <c r="Y971" s="24" t="n"/>
    </row>
    <row r="972">
      <c r="O972" s="23" t="n"/>
      <c r="R972" s="24" t="n"/>
      <c r="S972" s="24" t="n"/>
      <c r="Y972" s="24" t="n"/>
    </row>
    <row r="973">
      <c r="O973" s="23" t="n"/>
      <c r="R973" s="24" t="n"/>
      <c r="S973" s="24" t="n"/>
      <c r="Y973" s="24" t="n"/>
    </row>
    <row r="974">
      <c r="O974" s="23" t="n"/>
      <c r="R974" s="24" t="n"/>
      <c r="S974" s="24" t="n"/>
      <c r="Y974" s="24" t="n"/>
    </row>
    <row r="975">
      <c r="O975" s="23" t="n"/>
      <c r="R975" s="24" t="n"/>
      <c r="S975" s="24" t="n"/>
      <c r="Y975" s="24" t="n"/>
    </row>
    <row r="976">
      <c r="O976" s="23" t="n"/>
      <c r="R976" s="24" t="n"/>
      <c r="S976" s="24" t="n"/>
      <c r="Y976" s="24" t="n"/>
    </row>
    <row r="977">
      <c r="O977" s="23" t="n"/>
      <c r="R977" s="24" t="n"/>
      <c r="S977" s="24" t="n"/>
      <c r="Y977" s="24" t="n"/>
    </row>
    <row r="978">
      <c r="O978" s="23" t="n"/>
      <c r="R978" s="24" t="n"/>
      <c r="S978" s="24" t="n"/>
      <c r="Y978" s="24" t="n"/>
    </row>
    <row r="979">
      <c r="O979" s="23" t="n"/>
      <c r="R979" s="24" t="n"/>
      <c r="S979" s="24" t="n"/>
      <c r="Y979" s="24" t="n"/>
    </row>
    <row r="980">
      <c r="O980" s="23" t="n"/>
      <c r="R980" s="24" t="n"/>
      <c r="S980" s="24" t="n"/>
      <c r="Y980" s="24" t="n"/>
    </row>
    <row r="981">
      <c r="O981" s="23" t="n"/>
      <c r="R981" s="24" t="n"/>
      <c r="S981" s="24" t="n"/>
      <c r="Y981" s="24" t="n"/>
    </row>
    <row r="982">
      <c r="O982" s="23" t="n"/>
      <c r="R982" s="24" t="n"/>
      <c r="S982" s="24" t="n"/>
      <c r="Y982" s="24" t="n"/>
    </row>
    <row r="983">
      <c r="O983" s="23" t="n"/>
      <c r="R983" s="24" t="n"/>
      <c r="S983" s="24" t="n"/>
      <c r="Y983" s="24" t="n"/>
    </row>
    <row r="984">
      <c r="O984" s="23" t="n"/>
      <c r="R984" s="24" t="n"/>
      <c r="S984" s="24" t="n"/>
      <c r="Y984" s="24" t="n"/>
    </row>
    <row r="985">
      <c r="O985" s="23" t="n"/>
      <c r="R985" s="24" t="n"/>
      <c r="S985" s="24" t="n"/>
      <c r="Y985" s="24" t="n"/>
    </row>
    <row r="986">
      <c r="O986" s="23" t="n"/>
      <c r="R986" s="24" t="n"/>
      <c r="S986" s="24" t="n"/>
      <c r="Y986" s="24" t="n"/>
    </row>
    <row r="987">
      <c r="O987" s="23" t="n"/>
      <c r="R987" s="24" t="n"/>
      <c r="S987" s="24" t="n"/>
      <c r="Y987" s="24" t="n"/>
    </row>
    <row r="988">
      <c r="O988" s="23" t="n"/>
      <c r="R988" s="24" t="n"/>
      <c r="S988" s="24" t="n"/>
      <c r="Y988" s="24" t="n"/>
    </row>
    <row r="989">
      <c r="O989" s="23" t="n"/>
      <c r="R989" s="24" t="n"/>
      <c r="S989" s="24" t="n"/>
      <c r="Y989" s="24" t="n"/>
    </row>
    <row r="990">
      <c r="O990" s="23" t="n"/>
      <c r="R990" s="24" t="n"/>
      <c r="S990" s="24" t="n"/>
      <c r="Y990" s="24" t="n"/>
    </row>
    <row r="991">
      <c r="O991" s="23" t="n"/>
      <c r="R991" s="24" t="n"/>
      <c r="S991" s="24" t="n"/>
      <c r="Y991" s="24" t="n"/>
    </row>
    <row r="992">
      <c r="O992" s="23" t="n"/>
      <c r="R992" s="24" t="n"/>
      <c r="S992" s="24" t="n"/>
      <c r="Y992" s="24" t="n"/>
    </row>
    <row r="993">
      <c r="O993" s="23" t="n"/>
      <c r="R993" s="24" t="n"/>
      <c r="S993" s="24" t="n"/>
      <c r="Y993" s="24" t="n"/>
    </row>
    <row r="994">
      <c r="O994" s="23" t="n"/>
      <c r="R994" s="24" t="n"/>
      <c r="S994" s="24" t="n"/>
      <c r="Y994" s="24" t="n"/>
    </row>
    <row r="995">
      <c r="O995" s="23" t="n"/>
      <c r="R995" s="24" t="n"/>
      <c r="S995" s="24" t="n"/>
      <c r="Y995" s="24" t="n"/>
    </row>
    <row r="996">
      <c r="O996" s="23" t="n"/>
      <c r="R996" s="24" t="n"/>
      <c r="S996" s="24" t="n"/>
      <c r="Y996" s="24" t="n"/>
    </row>
    <row r="997">
      <c r="O997" s="23" t="n"/>
      <c r="R997" s="24" t="n"/>
      <c r="S997" s="24" t="n"/>
      <c r="Y997" s="24" t="n"/>
    </row>
    <row r="998">
      <c r="O998" s="23" t="n"/>
      <c r="R998" s="24" t="n"/>
      <c r="S998" s="24" t="n"/>
      <c r="Y998" s="24" t="n"/>
    </row>
    <row r="999">
      <c r="O999" s="23" t="n"/>
      <c r="R999" s="24" t="n"/>
      <c r="S999" s="24" t="n"/>
      <c r="Y999" s="24" t="n"/>
    </row>
    <row r="1000">
      <c r="O1000" s="23" t="n"/>
      <c r="R1000" s="24" t="n"/>
      <c r="S1000" s="24" t="n"/>
      <c r="Y1000" s="24" t="n"/>
    </row>
    <row r="1001">
      <c r="O1001" s="23" t="n"/>
      <c r="R1001" s="24" t="n"/>
      <c r="S1001" s="24" t="n"/>
      <c r="Y1001" s="24" t="n"/>
    </row>
    <row r="1002">
      <c r="O1002" s="23" t="n"/>
      <c r="R1002" s="24" t="n"/>
      <c r="S1002" s="24" t="n"/>
      <c r="Y1002" s="24" t="n"/>
    </row>
    <row r="1003">
      <c r="O1003" s="23" t="n"/>
      <c r="R1003" s="24" t="n"/>
      <c r="S1003" s="24" t="n"/>
      <c r="Y1003" s="24" t="n"/>
    </row>
    <row r="1004">
      <c r="O1004" s="23" t="n"/>
      <c r="R1004" s="24" t="n"/>
      <c r="S1004" s="24" t="n"/>
      <c r="Y1004" s="24" t="n"/>
    </row>
    <row r="1005">
      <c r="O1005" s="23" t="n"/>
      <c r="R1005" s="24" t="n"/>
      <c r="S1005" s="24" t="n"/>
      <c r="Y1005" s="24" t="n"/>
    </row>
    <row r="1006">
      <c r="O1006" s="23" t="n"/>
      <c r="R1006" s="24" t="n"/>
      <c r="S1006" s="24" t="n"/>
      <c r="Y1006" s="24" t="n"/>
    </row>
    <row r="1007">
      <c r="O1007" s="23" t="n"/>
      <c r="R1007" s="24" t="n"/>
      <c r="S1007" s="24" t="n"/>
      <c r="Y1007" s="24" t="n"/>
    </row>
    <row r="1008">
      <c r="O1008" s="23" t="n"/>
      <c r="R1008" s="24" t="n"/>
      <c r="S1008" s="24" t="n"/>
      <c r="Y1008" s="24" t="n"/>
    </row>
    <row r="1009">
      <c r="O1009" s="23" t="n"/>
      <c r="R1009" s="24" t="n"/>
      <c r="S1009" s="24" t="n"/>
      <c r="Y1009" s="24" t="n"/>
    </row>
    <row r="1010">
      <c r="O1010" s="23" t="n"/>
      <c r="R1010" s="24" t="n"/>
      <c r="S1010" s="24" t="n"/>
      <c r="Y1010" s="24" t="n"/>
    </row>
    <row r="1011">
      <c r="O1011" s="23" t="n"/>
      <c r="R1011" s="24" t="n"/>
      <c r="S1011" s="24" t="n"/>
      <c r="Y1011" s="24" t="n"/>
    </row>
    <row r="1012">
      <c r="O1012" s="23" t="n"/>
      <c r="R1012" s="24" t="n"/>
      <c r="S1012" s="24" t="n"/>
      <c r="Y1012" s="24" t="n"/>
    </row>
    <row r="1013">
      <c r="O1013" s="23" t="n"/>
      <c r="R1013" s="24" t="n"/>
      <c r="S1013" s="24" t="n"/>
      <c r="Y1013" s="24" t="n"/>
    </row>
    <row r="1014">
      <c r="O1014" s="23" t="n"/>
      <c r="R1014" s="24" t="n"/>
      <c r="S1014" s="24" t="n"/>
      <c r="Y1014" s="24" t="n"/>
    </row>
    <row r="1015">
      <c r="O1015" s="23" t="n"/>
      <c r="R1015" s="24" t="n"/>
      <c r="S1015" s="24" t="n"/>
      <c r="Y1015" s="24" t="n"/>
    </row>
    <row r="1016">
      <c r="O1016" s="23" t="n"/>
      <c r="R1016" s="24" t="n"/>
      <c r="S1016" s="24" t="n"/>
      <c r="Y1016" s="24" t="n"/>
    </row>
    <row r="1017">
      <c r="O1017" s="23" t="n"/>
      <c r="R1017" s="24" t="n"/>
      <c r="S1017" s="24" t="n"/>
      <c r="Y1017" s="24" t="n"/>
    </row>
    <row r="1018">
      <c r="O1018" s="23" t="n"/>
      <c r="R1018" s="24" t="n"/>
      <c r="S1018" s="24" t="n"/>
      <c r="Y1018" s="24" t="n"/>
    </row>
    <row r="1019">
      <c r="O1019" s="23" t="n"/>
      <c r="R1019" s="24" t="n"/>
      <c r="S1019" s="24" t="n"/>
      <c r="Y1019" s="24" t="n"/>
    </row>
    <row r="1020">
      <c r="O1020" s="23" t="n"/>
      <c r="R1020" s="24" t="n"/>
      <c r="S1020" s="24" t="n"/>
      <c r="Y1020" s="24" t="n"/>
    </row>
    <row r="1021">
      <c r="O1021" s="23" t="n"/>
      <c r="R1021" s="24" t="n"/>
      <c r="S1021" s="24" t="n"/>
      <c r="Y1021" s="24" t="n"/>
    </row>
    <row r="1022">
      <c r="O1022" s="23" t="n"/>
      <c r="R1022" s="24" t="n"/>
      <c r="S1022" s="24" t="n"/>
      <c r="Y1022" s="24" t="n"/>
    </row>
    <row r="1023">
      <c r="O1023" s="23" t="n"/>
      <c r="R1023" s="24" t="n"/>
      <c r="S1023" s="24" t="n"/>
      <c r="Y1023" s="24" t="n"/>
    </row>
    <row r="1024">
      <c r="O1024" s="23" t="n"/>
      <c r="R1024" s="24" t="n"/>
      <c r="S1024" s="24" t="n"/>
      <c r="Y1024" s="24" t="n"/>
    </row>
    <row r="1025">
      <c r="O1025" s="23" t="n"/>
      <c r="R1025" s="24" t="n"/>
      <c r="S1025" s="24" t="n"/>
      <c r="Y1025" s="24" t="n"/>
    </row>
    <row r="1026">
      <c r="O1026" s="23" t="n"/>
      <c r="R1026" s="24" t="n"/>
      <c r="S1026" s="24" t="n"/>
      <c r="Y1026" s="24" t="n"/>
    </row>
    <row r="1027">
      <c r="O1027" s="23" t="n"/>
      <c r="R1027" s="24" t="n"/>
      <c r="S1027" s="24" t="n"/>
      <c r="Y1027" s="24" t="n"/>
    </row>
    <row r="1028">
      <c r="O1028" s="23" t="n"/>
      <c r="R1028" s="24" t="n"/>
      <c r="S1028" s="24" t="n"/>
      <c r="Y1028" s="24" t="n"/>
    </row>
    <row r="1029">
      <c r="O1029" s="23" t="n"/>
      <c r="R1029" s="24" t="n"/>
      <c r="S1029" s="24" t="n"/>
      <c r="Y1029" s="24" t="n"/>
    </row>
    <row r="1030">
      <c r="O1030" s="23" t="n"/>
      <c r="R1030" s="24" t="n"/>
      <c r="S1030" s="24" t="n"/>
      <c r="Y1030" s="24" t="n"/>
    </row>
    <row r="1031">
      <c r="O1031" s="23" t="n"/>
      <c r="R1031" s="24" t="n"/>
      <c r="S1031" s="24" t="n"/>
      <c r="Y1031" s="24" t="n"/>
    </row>
    <row r="1032">
      <c r="O1032" s="23" t="n"/>
      <c r="R1032" s="24" t="n"/>
      <c r="S1032" s="24" t="n"/>
      <c r="Y1032" s="24" t="n"/>
    </row>
    <row r="1033">
      <c r="O1033" s="23" t="n"/>
      <c r="R1033" s="24" t="n"/>
      <c r="S1033" s="24" t="n"/>
      <c r="Y1033" s="24" t="n"/>
    </row>
    <row r="1034">
      <c r="O1034" s="23" t="n"/>
      <c r="R1034" s="24" t="n"/>
      <c r="S1034" s="24" t="n"/>
      <c r="Y1034" s="24" t="n"/>
    </row>
    <row r="1035">
      <c r="O1035" s="23" t="n"/>
      <c r="R1035" s="24" t="n"/>
      <c r="S1035" s="24" t="n"/>
      <c r="Y1035" s="24" t="n"/>
    </row>
    <row r="1036">
      <c r="O1036" s="23" t="n"/>
      <c r="R1036" s="24" t="n"/>
      <c r="S1036" s="24" t="n"/>
      <c r="Y1036" s="24" t="n"/>
    </row>
    <row r="1037">
      <c r="O1037" s="23" t="n"/>
      <c r="R1037" s="24" t="n"/>
      <c r="S1037" s="24" t="n"/>
      <c r="Y1037" s="24" t="n"/>
    </row>
    <row r="1038">
      <c r="O1038" s="23" t="n"/>
      <c r="R1038" s="24" t="n"/>
      <c r="S1038" s="24" t="n"/>
      <c r="Y1038" s="24" t="n"/>
    </row>
    <row r="1039">
      <c r="O1039" s="23" t="n"/>
      <c r="R1039" s="24" t="n"/>
      <c r="S1039" s="24" t="n"/>
      <c r="Y1039" s="24" t="n"/>
    </row>
    <row r="1040">
      <c r="O1040" s="23" t="n"/>
      <c r="R1040" s="24" t="n"/>
      <c r="S1040" s="24" t="n"/>
      <c r="Y1040" s="24" t="n"/>
    </row>
    <row r="1041">
      <c r="O1041" s="23" t="n"/>
      <c r="R1041" s="24" t="n"/>
      <c r="S1041" s="24" t="n"/>
      <c r="Y1041" s="24" t="n"/>
    </row>
    <row r="1042">
      <c r="O1042" s="23" t="n"/>
      <c r="R1042" s="24" t="n"/>
      <c r="S1042" s="24" t="n"/>
      <c r="Y1042" s="24" t="n"/>
    </row>
    <row r="1043">
      <c r="O1043" s="23" t="n"/>
      <c r="R1043" s="24" t="n"/>
      <c r="S1043" s="24" t="n"/>
      <c r="Y1043" s="24" t="n"/>
    </row>
    <row r="1044">
      <c r="O1044" s="23" t="n"/>
      <c r="R1044" s="24" t="n"/>
      <c r="S1044" s="24" t="n"/>
      <c r="Y1044" s="24" t="n"/>
    </row>
    <row r="1045">
      <c r="O1045" s="23" t="n"/>
      <c r="R1045" s="24" t="n"/>
      <c r="S1045" s="24" t="n"/>
      <c r="Y1045" s="24" t="n"/>
    </row>
    <row r="1046">
      <c r="O1046" s="23" t="n"/>
      <c r="R1046" s="24" t="n"/>
      <c r="S1046" s="24" t="n"/>
      <c r="Y1046" s="24" t="n"/>
    </row>
    <row r="1047">
      <c r="O1047" s="23" t="n"/>
      <c r="R1047" s="24" t="n"/>
      <c r="S1047" s="24" t="n"/>
      <c r="Y1047" s="24" t="n"/>
    </row>
    <row r="1048">
      <c r="O1048" s="23" t="n"/>
      <c r="R1048" s="24" t="n"/>
      <c r="S1048" s="24" t="n"/>
      <c r="Y1048" s="24" t="n"/>
    </row>
    <row r="1049">
      <c r="O1049" s="23" t="n"/>
      <c r="R1049" s="24" t="n"/>
      <c r="S1049" s="24" t="n"/>
      <c r="Y1049" s="24" t="n"/>
    </row>
    <row r="1050">
      <c r="O1050" s="23" t="n"/>
      <c r="R1050" s="24" t="n"/>
      <c r="S1050" s="24" t="n"/>
      <c r="Y1050" s="24" t="n"/>
    </row>
    <row r="1051">
      <c r="O1051" s="23" t="n"/>
      <c r="R1051" s="24" t="n"/>
      <c r="S1051" s="24" t="n"/>
      <c r="Y1051" s="24" t="n"/>
    </row>
    <row r="1052">
      <c r="O1052" s="23" t="n"/>
      <c r="R1052" s="24" t="n"/>
      <c r="S1052" s="24" t="n"/>
      <c r="Y1052" s="24" t="n"/>
    </row>
    <row r="1053">
      <c r="O1053" s="23" t="n"/>
      <c r="R1053" s="24" t="n"/>
      <c r="S1053" s="24" t="n"/>
      <c r="Y1053" s="24" t="n"/>
    </row>
    <row r="1054">
      <c r="O1054" s="23" t="n"/>
      <c r="R1054" s="24" t="n"/>
      <c r="S1054" s="24" t="n"/>
      <c r="Y1054" s="24" t="n"/>
    </row>
    <row r="1055">
      <c r="O1055" s="23" t="n"/>
      <c r="R1055" s="24" t="n"/>
      <c r="S1055" s="24" t="n"/>
      <c r="Y1055" s="24" t="n"/>
    </row>
    <row r="1056">
      <c r="O1056" s="23" t="n"/>
      <c r="R1056" s="24" t="n"/>
      <c r="S1056" s="24" t="n"/>
      <c r="Y1056" s="24" t="n"/>
    </row>
    <row r="1057">
      <c r="O1057" s="23" t="n"/>
      <c r="R1057" s="24" t="n"/>
      <c r="S1057" s="24" t="n"/>
      <c r="Y1057" s="24" t="n"/>
    </row>
    <row r="1058">
      <c r="O1058" s="23" t="n"/>
      <c r="R1058" s="24" t="n"/>
      <c r="S1058" s="24" t="n"/>
      <c r="Y1058" s="24" t="n"/>
    </row>
    <row r="1059">
      <c r="O1059" s="23" t="n"/>
      <c r="R1059" s="24" t="n"/>
      <c r="S1059" s="24" t="n"/>
      <c r="Y1059" s="24" t="n"/>
    </row>
    <row r="1060">
      <c r="O1060" s="23" t="n"/>
      <c r="R1060" s="24" t="n"/>
      <c r="S1060" s="24" t="n"/>
      <c r="Y1060" s="24" t="n"/>
    </row>
    <row r="1061">
      <c r="O1061" s="23" t="n"/>
      <c r="R1061" s="24" t="n"/>
      <c r="S1061" s="24" t="n"/>
      <c r="Y1061" s="24" t="n"/>
    </row>
    <row r="1062">
      <c r="O1062" s="23" t="n"/>
      <c r="R1062" s="24" t="n"/>
      <c r="S1062" s="24" t="n"/>
      <c r="Y1062" s="24" t="n"/>
    </row>
    <row r="1063">
      <c r="O1063" s="23" t="n"/>
      <c r="R1063" s="24" t="n"/>
      <c r="S1063" s="24" t="n"/>
      <c r="Y1063" s="24" t="n"/>
    </row>
    <row r="1064">
      <c r="O1064" s="23" t="n"/>
      <c r="R1064" s="24" t="n"/>
      <c r="S1064" s="24" t="n"/>
      <c r="Y1064" s="24" t="n"/>
    </row>
    <row r="1065">
      <c r="O1065" s="23" t="n"/>
      <c r="R1065" s="24" t="n"/>
      <c r="S1065" s="24" t="n"/>
      <c r="Y1065" s="24" t="n"/>
    </row>
    <row r="1066">
      <c r="O1066" s="23" t="n"/>
      <c r="R1066" s="24" t="n"/>
      <c r="S1066" s="24" t="n"/>
      <c r="Y1066" s="24" t="n"/>
    </row>
    <row r="1067">
      <c r="O1067" s="23" t="n"/>
      <c r="R1067" s="24" t="n"/>
      <c r="S1067" s="24" t="n"/>
      <c r="Y1067" s="24" t="n"/>
    </row>
    <row r="1068">
      <c r="O1068" s="23" t="n"/>
      <c r="R1068" s="24" t="n"/>
      <c r="S1068" s="24" t="n"/>
      <c r="Y1068" s="24" t="n"/>
    </row>
    <row r="1069">
      <c r="O1069" s="23" t="n"/>
      <c r="R1069" s="24" t="n"/>
      <c r="S1069" s="24" t="n"/>
      <c r="Y1069" s="24" t="n"/>
    </row>
    <row r="1070">
      <c r="O1070" s="23" t="n"/>
      <c r="R1070" s="24" t="n"/>
      <c r="S1070" s="24" t="n"/>
      <c r="Y1070" s="24" t="n"/>
    </row>
    <row r="1071">
      <c r="O1071" s="23" t="n"/>
      <c r="R1071" s="24" t="n"/>
      <c r="S1071" s="24" t="n"/>
      <c r="Y1071" s="24" t="n"/>
    </row>
    <row r="1072">
      <c r="O1072" s="23" t="n"/>
      <c r="R1072" s="24" t="n"/>
      <c r="S1072" s="24" t="n"/>
      <c r="Y1072" s="24" t="n"/>
    </row>
    <row r="1073">
      <c r="O1073" s="23" t="n"/>
      <c r="R1073" s="24" t="n"/>
      <c r="S1073" s="24" t="n"/>
      <c r="Y1073" s="24" t="n"/>
    </row>
    <row r="1074">
      <c r="O1074" s="23" t="n"/>
      <c r="R1074" s="24" t="n"/>
      <c r="S1074" s="24" t="n"/>
      <c r="Y1074" s="24" t="n"/>
    </row>
    <row r="1075">
      <c r="O1075" s="23" t="n"/>
      <c r="R1075" s="24" t="n"/>
      <c r="S1075" s="24" t="n"/>
      <c r="Y1075" s="24" t="n"/>
    </row>
    <row r="1076">
      <c r="O1076" s="23" t="n"/>
      <c r="R1076" s="24" t="n"/>
      <c r="S1076" s="24" t="n"/>
      <c r="Y1076" s="24" t="n"/>
    </row>
    <row r="1077">
      <c r="O1077" s="23" t="n"/>
      <c r="R1077" s="24" t="n"/>
      <c r="S1077" s="24" t="n"/>
      <c r="Y1077" s="24" t="n"/>
    </row>
    <row r="1078">
      <c r="O1078" s="23" t="n"/>
      <c r="R1078" s="24" t="n"/>
      <c r="S1078" s="24" t="n"/>
      <c r="Y1078" s="24" t="n"/>
    </row>
    <row r="1079">
      <c r="O1079" s="23" t="n"/>
      <c r="R1079" s="24" t="n"/>
      <c r="S1079" s="24" t="n"/>
      <c r="Y1079" s="24" t="n"/>
    </row>
    <row r="1080">
      <c r="O1080" s="23" t="n"/>
      <c r="R1080" s="24" t="n"/>
      <c r="S1080" s="24" t="n"/>
      <c r="Y1080" s="24" t="n"/>
    </row>
    <row r="1081">
      <c r="O1081" s="23" t="n"/>
      <c r="R1081" s="24" t="n"/>
      <c r="S1081" s="24" t="n"/>
      <c r="Y1081" s="24" t="n"/>
    </row>
    <row r="1082">
      <c r="O1082" s="23" t="n"/>
      <c r="R1082" s="24" t="n"/>
      <c r="S1082" s="24" t="n"/>
      <c r="Y1082" s="24" t="n"/>
    </row>
    <row r="1083">
      <c r="O1083" s="23" t="n"/>
      <c r="R1083" s="24" t="n"/>
      <c r="S1083" s="24" t="n"/>
      <c r="Y1083" s="24" t="n"/>
    </row>
    <row r="1084">
      <c r="O1084" s="23" t="n"/>
      <c r="R1084" s="24" t="n"/>
      <c r="S1084" s="24" t="n"/>
      <c r="Y1084" s="24" t="n"/>
    </row>
    <row r="1085">
      <c r="O1085" s="23" t="n"/>
      <c r="R1085" s="24" t="n"/>
      <c r="S1085" s="24" t="n"/>
      <c r="Y1085" s="24" t="n"/>
    </row>
    <row r="1086">
      <c r="O1086" s="23" t="n"/>
      <c r="R1086" s="24" t="n"/>
      <c r="S1086" s="24" t="n"/>
      <c r="Y1086" s="24" t="n"/>
    </row>
    <row r="1087">
      <c r="O1087" s="23" t="n"/>
      <c r="R1087" s="24" t="n"/>
      <c r="S1087" s="24" t="n"/>
      <c r="Y1087" s="24" t="n"/>
    </row>
    <row r="1088">
      <c r="O1088" s="23" t="n"/>
      <c r="R1088" s="24" t="n"/>
      <c r="S1088" s="24" t="n"/>
      <c r="Y1088" s="24" t="n"/>
    </row>
    <row r="1089">
      <c r="O1089" s="23" t="n"/>
      <c r="R1089" s="24" t="n"/>
      <c r="S1089" s="24" t="n"/>
      <c r="Y1089" s="24" t="n"/>
    </row>
    <row r="1090">
      <c r="O1090" s="23" t="n"/>
      <c r="R1090" s="24" t="n"/>
      <c r="S1090" s="24" t="n"/>
      <c r="Y1090" s="24" t="n"/>
    </row>
    <row r="1091">
      <c r="O1091" s="23" t="n"/>
      <c r="R1091" s="24" t="n"/>
      <c r="S1091" s="24" t="n"/>
      <c r="Y1091" s="24" t="n"/>
    </row>
    <row r="1092">
      <c r="O1092" s="23" t="n"/>
      <c r="R1092" s="24" t="n"/>
      <c r="S1092" s="24" t="n"/>
      <c r="Y1092" s="24" t="n"/>
    </row>
    <row r="1093">
      <c r="O1093" s="23" t="n"/>
      <c r="R1093" s="24" t="n"/>
      <c r="S1093" s="24" t="n"/>
      <c r="Y1093" s="24" t="n"/>
    </row>
    <row r="1094">
      <c r="O1094" s="23" t="n"/>
      <c r="R1094" s="24" t="n"/>
      <c r="S1094" s="24" t="n"/>
      <c r="Y1094" s="24" t="n"/>
    </row>
    <row r="1095">
      <c r="O1095" s="23" t="n"/>
      <c r="R1095" s="24" t="n"/>
      <c r="S1095" s="24" t="n"/>
      <c r="Y1095" s="24" t="n"/>
    </row>
    <row r="1096">
      <c r="O1096" s="23" t="n"/>
      <c r="R1096" s="24" t="n"/>
      <c r="S1096" s="24" t="n"/>
      <c r="Y1096" s="24" t="n"/>
    </row>
    <row r="1097">
      <c r="O1097" s="23" t="n"/>
      <c r="R1097" s="24" t="n"/>
      <c r="S1097" s="24" t="n"/>
      <c r="Y1097" s="24" t="n"/>
    </row>
    <row r="1098">
      <c r="O1098" s="23" t="n"/>
      <c r="R1098" s="24" t="n"/>
      <c r="S1098" s="24" t="n"/>
      <c r="Y1098" s="24" t="n"/>
    </row>
    <row r="1099">
      <c r="O1099" s="23" t="n"/>
      <c r="R1099" s="24" t="n"/>
      <c r="S1099" s="24" t="n"/>
      <c r="Y1099" s="24" t="n"/>
    </row>
    <row r="1100">
      <c r="O1100" s="23" t="n"/>
      <c r="R1100" s="24" t="n"/>
      <c r="S1100" s="24" t="n"/>
      <c r="Y1100" s="24" t="n"/>
    </row>
    <row r="1101">
      <c r="O1101" s="23" t="n"/>
      <c r="R1101" s="24" t="n"/>
      <c r="S1101" s="24" t="n"/>
      <c r="Y1101" s="24" t="n"/>
    </row>
    <row r="1102">
      <c r="O1102" s="23" t="n"/>
      <c r="R1102" s="24" t="n"/>
      <c r="S1102" s="24" t="n"/>
      <c r="Y1102" s="24" t="n"/>
    </row>
    <row r="1103">
      <c r="O1103" s="23" t="n"/>
      <c r="R1103" s="24" t="n"/>
      <c r="S1103" s="24" t="n"/>
      <c r="Y1103" s="24" t="n"/>
    </row>
    <row r="1104">
      <c r="O1104" s="23" t="n"/>
      <c r="R1104" s="24" t="n"/>
      <c r="S1104" s="24" t="n"/>
      <c r="Y1104" s="24" t="n"/>
    </row>
    <row r="1105">
      <c r="O1105" s="23" t="n"/>
      <c r="R1105" s="24" t="n"/>
      <c r="S1105" s="24" t="n"/>
      <c r="Y1105" s="24" t="n"/>
    </row>
    <row r="1106">
      <c r="O1106" s="23" t="n"/>
      <c r="R1106" s="24" t="n"/>
      <c r="S1106" s="24" t="n"/>
      <c r="Y1106" s="24" t="n"/>
    </row>
    <row r="1107">
      <c r="O1107" s="23" t="n"/>
      <c r="R1107" s="24" t="n"/>
      <c r="S1107" s="24" t="n"/>
      <c r="Y1107" s="24" t="n"/>
    </row>
    <row r="1108">
      <c r="O1108" s="23" t="n"/>
      <c r="R1108" s="24" t="n"/>
      <c r="S1108" s="24" t="n"/>
      <c r="Y1108" s="24" t="n"/>
    </row>
    <row r="1109">
      <c r="O1109" s="23" t="n"/>
      <c r="R1109" s="24" t="n"/>
      <c r="S1109" s="24" t="n"/>
      <c r="Y1109" s="24" t="n"/>
    </row>
    <row r="1110">
      <c r="O1110" s="23" t="n"/>
      <c r="R1110" s="24" t="n"/>
      <c r="S1110" s="24" t="n"/>
      <c r="Y1110" s="24" t="n"/>
    </row>
    <row r="1111">
      <c r="O1111" s="23" t="n"/>
      <c r="R1111" s="24" t="n"/>
      <c r="S1111" s="24" t="n"/>
      <c r="Y1111" s="24" t="n"/>
    </row>
    <row r="1112">
      <c r="O1112" s="23" t="n"/>
      <c r="R1112" s="24" t="n"/>
      <c r="S1112" s="24" t="n"/>
      <c r="Y1112" s="24" t="n"/>
    </row>
    <row r="1113">
      <c r="O1113" s="23" t="n"/>
      <c r="R1113" s="24" t="n"/>
      <c r="S1113" s="24" t="n"/>
      <c r="Y1113" s="24" t="n"/>
    </row>
    <row r="1114">
      <c r="O1114" s="23" t="n"/>
      <c r="R1114" s="24" t="n"/>
      <c r="S1114" s="24" t="n"/>
      <c r="Y1114" s="24" t="n"/>
    </row>
    <row r="1115">
      <c r="O1115" s="23" t="n"/>
      <c r="R1115" s="24" t="n"/>
      <c r="S1115" s="24" t="n"/>
      <c r="Y1115" s="24" t="n"/>
    </row>
    <row r="1116">
      <c r="O1116" s="23" t="n"/>
      <c r="R1116" s="24" t="n"/>
      <c r="S1116" s="24" t="n"/>
      <c r="Y1116" s="24" t="n"/>
    </row>
    <row r="1117">
      <c r="O1117" s="23" t="n"/>
      <c r="R1117" s="24" t="n"/>
      <c r="S1117" s="24" t="n"/>
      <c r="Y1117" s="24" t="n"/>
    </row>
    <row r="1118">
      <c r="O1118" s="23" t="n"/>
      <c r="R1118" s="24" t="n"/>
      <c r="S1118" s="24" t="n"/>
      <c r="Y1118" s="24" t="n"/>
    </row>
    <row r="1119">
      <c r="O1119" s="23" t="n"/>
      <c r="R1119" s="24" t="n"/>
      <c r="S1119" s="24" t="n"/>
      <c r="Y1119" s="24" t="n"/>
    </row>
    <row r="1120">
      <c r="O1120" s="23" t="n"/>
      <c r="R1120" s="24" t="n"/>
      <c r="S1120" s="24" t="n"/>
      <c r="Y1120" s="24" t="n"/>
    </row>
    <row r="1121">
      <c r="O1121" s="23" t="n"/>
      <c r="R1121" s="24" t="n"/>
      <c r="S1121" s="24" t="n"/>
      <c r="Y1121" s="24" t="n"/>
    </row>
    <row r="1122">
      <c r="O1122" s="23" t="n"/>
      <c r="R1122" s="24" t="n"/>
      <c r="S1122" s="24" t="n"/>
      <c r="Y1122" s="24" t="n"/>
    </row>
    <row r="1123">
      <c r="O1123" s="23" t="n"/>
      <c r="R1123" s="24" t="n"/>
      <c r="S1123" s="24" t="n"/>
      <c r="Y1123" s="24" t="n"/>
    </row>
    <row r="1124">
      <c r="O1124" s="23" t="n"/>
      <c r="R1124" s="24" t="n"/>
      <c r="S1124" s="24" t="n"/>
      <c r="Y1124" s="24" t="n"/>
    </row>
    <row r="1125">
      <c r="O1125" s="23" t="n"/>
      <c r="R1125" s="24" t="n"/>
      <c r="S1125" s="24" t="n"/>
      <c r="Y1125" s="24" t="n"/>
    </row>
    <row r="1126">
      <c r="O1126" s="23" t="n"/>
      <c r="R1126" s="24" t="n"/>
      <c r="S1126" s="24" t="n"/>
      <c r="Y1126" s="24" t="n"/>
    </row>
    <row r="1127">
      <c r="O1127" s="23" t="n"/>
      <c r="R1127" s="24" t="n"/>
      <c r="S1127" s="24" t="n"/>
      <c r="Y1127" s="24" t="n"/>
    </row>
    <row r="1128">
      <c r="O1128" s="23" t="n"/>
      <c r="R1128" s="24" t="n"/>
      <c r="S1128" s="24" t="n"/>
      <c r="Y1128" s="24" t="n"/>
    </row>
    <row r="1129">
      <c r="O1129" s="23" t="n"/>
      <c r="R1129" s="24" t="n"/>
      <c r="S1129" s="24" t="n"/>
      <c r="Y1129" s="24" t="n"/>
    </row>
    <row r="1130">
      <c r="O1130" s="23" t="n"/>
      <c r="R1130" s="24" t="n"/>
      <c r="S1130" s="24" t="n"/>
      <c r="Y1130" s="24" t="n"/>
    </row>
    <row r="1131">
      <c r="O1131" s="23" t="n"/>
      <c r="R1131" s="24" t="n"/>
      <c r="S1131" s="24" t="n"/>
      <c r="Y1131" s="24" t="n"/>
    </row>
    <row r="1132">
      <c r="O1132" s="23" t="n"/>
      <c r="R1132" s="24" t="n"/>
      <c r="S1132" s="24" t="n"/>
      <c r="Y1132" s="24" t="n"/>
    </row>
    <row r="1133">
      <c r="O1133" s="23" t="n"/>
      <c r="R1133" s="24" t="n"/>
      <c r="S1133" s="24" t="n"/>
      <c r="Y1133" s="24" t="n"/>
    </row>
    <row r="1134">
      <c r="O1134" s="23" t="n"/>
      <c r="R1134" s="24" t="n"/>
      <c r="S1134" s="24" t="n"/>
      <c r="Y1134" s="24" t="n"/>
    </row>
    <row r="1135">
      <c r="O1135" s="23" t="n"/>
      <c r="R1135" s="24" t="n"/>
      <c r="S1135" s="24" t="n"/>
      <c r="Y1135" s="24" t="n"/>
    </row>
    <row r="1136">
      <c r="O1136" s="23" t="n"/>
      <c r="R1136" s="24" t="n"/>
      <c r="S1136" s="24" t="n"/>
      <c r="Y1136" s="24" t="n"/>
    </row>
    <row r="1137">
      <c r="O1137" s="23" t="n"/>
      <c r="R1137" s="24" t="n"/>
      <c r="S1137" s="24" t="n"/>
      <c r="Y1137" s="24" t="n"/>
    </row>
    <row r="1138">
      <c r="O1138" s="23" t="n"/>
      <c r="R1138" s="24" t="n"/>
      <c r="S1138" s="24" t="n"/>
      <c r="Y1138" s="24" t="n"/>
    </row>
    <row r="1139">
      <c r="O1139" s="23" t="n"/>
      <c r="R1139" s="24" t="n"/>
      <c r="S1139" s="24" t="n"/>
      <c r="Y1139" s="24" t="n"/>
    </row>
    <row r="1140">
      <c r="O1140" s="23" t="n"/>
      <c r="R1140" s="24" t="n"/>
      <c r="S1140" s="24" t="n"/>
      <c r="Y1140" s="24" t="n"/>
    </row>
    <row r="1141">
      <c r="O1141" s="23" t="n"/>
      <c r="R1141" s="24" t="n"/>
      <c r="S1141" s="24" t="n"/>
      <c r="Y1141" s="24" t="n"/>
    </row>
    <row r="1142">
      <c r="O1142" s="23" t="n"/>
      <c r="R1142" s="24" t="n"/>
      <c r="S1142" s="24" t="n"/>
      <c r="Y1142" s="24" t="n"/>
    </row>
    <row r="1143">
      <c r="O1143" s="23" t="n"/>
      <c r="R1143" s="24" t="n"/>
      <c r="S1143" s="24" t="n"/>
      <c r="Y1143" s="24" t="n"/>
    </row>
    <row r="1144">
      <c r="O1144" s="23" t="n"/>
      <c r="R1144" s="24" t="n"/>
      <c r="S1144" s="24" t="n"/>
      <c r="Y1144" s="24" t="n"/>
    </row>
    <row r="1145">
      <c r="O1145" s="23" t="n"/>
      <c r="R1145" s="24" t="n"/>
      <c r="S1145" s="24" t="n"/>
      <c r="Y1145" s="24" t="n"/>
    </row>
    <row r="1146">
      <c r="O1146" s="23" t="n"/>
      <c r="R1146" s="24" t="n"/>
      <c r="S1146" s="24" t="n"/>
      <c r="Y1146" s="24" t="n"/>
    </row>
    <row r="1147">
      <c r="O1147" s="23" t="n"/>
      <c r="R1147" s="24" t="n"/>
      <c r="S1147" s="24" t="n"/>
      <c r="Y1147" s="24" t="n"/>
    </row>
    <row r="1148">
      <c r="O1148" s="23" t="n"/>
      <c r="R1148" s="24" t="n"/>
      <c r="S1148" s="24" t="n"/>
      <c r="Y1148" s="24" t="n"/>
    </row>
    <row r="1149">
      <c r="O1149" s="23" t="n"/>
      <c r="R1149" s="24" t="n"/>
      <c r="S1149" s="24" t="n"/>
      <c r="Y1149" s="24" t="n"/>
    </row>
    <row r="1150">
      <c r="O1150" s="23" t="n"/>
      <c r="R1150" s="24" t="n"/>
      <c r="S1150" s="24" t="n"/>
      <c r="Y1150" s="24" t="n"/>
    </row>
    <row r="1151">
      <c r="O1151" s="23" t="n"/>
      <c r="R1151" s="24" t="n"/>
      <c r="S1151" s="24" t="n"/>
      <c r="Y1151" s="24" t="n"/>
    </row>
    <row r="1152">
      <c r="O1152" s="23" t="n"/>
      <c r="R1152" s="24" t="n"/>
      <c r="S1152" s="24" t="n"/>
      <c r="Y1152" s="24" t="n"/>
    </row>
    <row r="1153">
      <c r="O1153" s="23" t="n"/>
      <c r="R1153" s="24" t="n"/>
      <c r="S1153" s="24" t="n"/>
      <c r="Y1153" s="24" t="n"/>
    </row>
    <row r="1154">
      <c r="O1154" s="23" t="n"/>
      <c r="R1154" s="24" t="n"/>
      <c r="S1154" s="24" t="n"/>
      <c r="Y1154" s="24" t="n"/>
    </row>
    <row r="1155">
      <c r="O1155" s="23" t="n"/>
      <c r="R1155" s="24" t="n"/>
      <c r="S1155" s="24" t="n"/>
      <c r="Y1155" s="24" t="n"/>
    </row>
    <row r="1156">
      <c r="O1156" s="23" t="n"/>
      <c r="R1156" s="24" t="n"/>
      <c r="S1156" s="24" t="n"/>
      <c r="Y1156" s="24" t="n"/>
    </row>
    <row r="1157">
      <c r="O1157" s="23" t="n"/>
      <c r="R1157" s="24" t="n"/>
      <c r="S1157" s="24" t="n"/>
      <c r="Y1157" s="24" t="n"/>
    </row>
    <row r="1158">
      <c r="O1158" s="23" t="n"/>
      <c r="R1158" s="24" t="n"/>
      <c r="S1158" s="24" t="n"/>
      <c r="Y1158" s="24" t="n"/>
    </row>
    <row r="1159">
      <c r="O1159" s="23" t="n"/>
      <c r="R1159" s="24" t="n"/>
      <c r="S1159" s="24" t="n"/>
      <c r="Y1159" s="24" t="n"/>
    </row>
    <row r="1160">
      <c r="O1160" s="23" t="n"/>
      <c r="R1160" s="24" t="n"/>
      <c r="S1160" s="24" t="n"/>
      <c r="Y1160" s="24" t="n"/>
    </row>
    <row r="1161">
      <c r="O1161" s="23" t="n"/>
      <c r="R1161" s="24" t="n"/>
      <c r="S1161" s="24" t="n"/>
      <c r="Y1161" s="24" t="n"/>
    </row>
    <row r="1162">
      <c r="O1162" s="23" t="n"/>
      <c r="R1162" s="24" t="n"/>
      <c r="S1162" s="24" t="n"/>
      <c r="Y1162" s="24" t="n"/>
    </row>
    <row r="1163">
      <c r="O1163" s="23" t="n"/>
      <c r="R1163" s="24" t="n"/>
      <c r="S1163" s="24" t="n"/>
      <c r="Y1163" s="24" t="n"/>
    </row>
    <row r="1164">
      <c r="O1164" s="23" t="n"/>
      <c r="R1164" s="24" t="n"/>
      <c r="S1164" s="24" t="n"/>
      <c r="Y1164" s="24" t="n"/>
    </row>
    <row r="1165">
      <c r="O1165" s="23" t="n"/>
      <c r="R1165" s="24" t="n"/>
      <c r="S1165" s="24" t="n"/>
      <c r="Y1165" s="24" t="n"/>
    </row>
    <row r="1166">
      <c r="O1166" s="23" t="n"/>
      <c r="R1166" s="24" t="n"/>
      <c r="S1166" s="24" t="n"/>
      <c r="Y1166" s="24" t="n"/>
    </row>
    <row r="1167">
      <c r="O1167" s="23" t="n"/>
      <c r="R1167" s="24" t="n"/>
      <c r="S1167" s="24" t="n"/>
      <c r="Y1167" s="24" t="n"/>
    </row>
    <row r="1168">
      <c r="O1168" s="23" t="n"/>
      <c r="R1168" s="24" t="n"/>
      <c r="S1168" s="24" t="n"/>
      <c r="Y1168" s="24" t="n"/>
    </row>
    <row r="1169">
      <c r="O1169" s="23" t="n"/>
      <c r="R1169" s="24" t="n"/>
      <c r="S1169" s="24" t="n"/>
      <c r="Y1169" s="24" t="n"/>
    </row>
    <row r="1170">
      <c r="O1170" s="23" t="n"/>
      <c r="R1170" s="24" t="n"/>
      <c r="S1170" s="24" t="n"/>
      <c r="Y1170" s="24" t="n"/>
    </row>
    <row r="1171">
      <c r="O1171" s="23" t="n"/>
      <c r="R1171" s="24" t="n"/>
      <c r="S1171" s="24" t="n"/>
      <c r="Y1171" s="24" t="n"/>
    </row>
    <row r="1172">
      <c r="O1172" s="23" t="n"/>
      <c r="R1172" s="24" t="n"/>
      <c r="S1172" s="24" t="n"/>
      <c r="Y1172" s="24" t="n"/>
    </row>
    <row r="1173">
      <c r="O1173" s="23" t="n"/>
      <c r="R1173" s="24" t="n"/>
      <c r="S1173" s="24" t="n"/>
      <c r="Y1173" s="24" t="n"/>
    </row>
    <row r="1174">
      <c r="O1174" s="23" t="n"/>
      <c r="R1174" s="24" t="n"/>
      <c r="S1174" s="24" t="n"/>
      <c r="Y1174" s="24" t="n"/>
    </row>
    <row r="1175">
      <c r="O1175" s="23" t="n"/>
      <c r="R1175" s="24" t="n"/>
      <c r="S1175" s="24" t="n"/>
      <c r="Y1175" s="24" t="n"/>
    </row>
    <row r="1176">
      <c r="O1176" s="23" t="n"/>
      <c r="R1176" s="24" t="n"/>
      <c r="S1176" s="24" t="n"/>
      <c r="Y1176" s="24" t="n"/>
    </row>
    <row r="1177">
      <c r="O1177" s="23" t="n"/>
      <c r="R1177" s="24" t="n"/>
      <c r="S1177" s="24" t="n"/>
      <c r="Y1177" s="24" t="n"/>
    </row>
    <row r="1178">
      <c r="O1178" s="23" t="n"/>
      <c r="R1178" s="24" t="n"/>
      <c r="S1178" s="24" t="n"/>
      <c r="Y1178" s="24" t="n"/>
    </row>
    <row r="1179">
      <c r="O1179" s="23" t="n"/>
      <c r="R1179" s="24" t="n"/>
      <c r="S1179" s="24" t="n"/>
      <c r="Y1179" s="24" t="n"/>
    </row>
    <row r="1180">
      <c r="O1180" s="23" t="n"/>
      <c r="R1180" s="24" t="n"/>
      <c r="S1180" s="24" t="n"/>
      <c r="Y1180" s="24" t="n"/>
    </row>
    <row r="1181">
      <c r="O1181" s="23" t="n"/>
      <c r="R1181" s="24" t="n"/>
      <c r="S1181" s="24" t="n"/>
      <c r="Y1181" s="24" t="n"/>
    </row>
    <row r="1182">
      <c r="O1182" s="23" t="n"/>
      <c r="R1182" s="24" t="n"/>
      <c r="S1182" s="24" t="n"/>
      <c r="Y1182" s="24" t="n"/>
    </row>
    <row r="1183">
      <c r="O1183" s="23" t="n"/>
      <c r="R1183" s="24" t="n"/>
      <c r="S1183" s="24" t="n"/>
      <c r="Y1183" s="24" t="n"/>
    </row>
    <row r="1184">
      <c r="O1184" s="23" t="n"/>
      <c r="R1184" s="24" t="n"/>
      <c r="S1184" s="24" t="n"/>
      <c r="Y1184" s="24" t="n"/>
    </row>
    <row r="1185">
      <c r="O1185" s="23" t="n"/>
      <c r="R1185" s="24" t="n"/>
      <c r="S1185" s="24" t="n"/>
      <c r="Y1185" s="24" t="n"/>
    </row>
    <row r="1186">
      <c r="O1186" s="23" t="n"/>
      <c r="R1186" s="24" t="n"/>
      <c r="S1186" s="24" t="n"/>
      <c r="Y1186" s="24" t="n"/>
    </row>
    <row r="1187">
      <c r="O1187" s="23" t="n"/>
      <c r="R1187" s="24" t="n"/>
      <c r="S1187" s="24" t="n"/>
      <c r="Y1187" s="24" t="n"/>
    </row>
    <row r="1188">
      <c r="O1188" s="23" t="n"/>
      <c r="R1188" s="24" t="n"/>
      <c r="S1188" s="24" t="n"/>
      <c r="Y1188" s="24" t="n"/>
    </row>
    <row r="1189">
      <c r="O1189" s="23" t="n"/>
      <c r="R1189" s="24" t="n"/>
      <c r="S1189" s="24" t="n"/>
      <c r="Y1189" s="24" t="n"/>
    </row>
    <row r="1190">
      <c r="O1190" s="23" t="n"/>
      <c r="R1190" s="24" t="n"/>
      <c r="S1190" s="24" t="n"/>
      <c r="Y1190" s="24" t="n"/>
    </row>
    <row r="1191">
      <c r="O1191" s="23" t="n"/>
      <c r="R1191" s="24" t="n"/>
      <c r="S1191" s="24" t="n"/>
      <c r="Y1191" s="24" t="n"/>
    </row>
    <row r="1192">
      <c r="O1192" s="23" t="n"/>
      <c r="R1192" s="24" t="n"/>
      <c r="S1192" s="24" t="n"/>
      <c r="Y1192" s="24" t="n"/>
    </row>
    <row r="1193">
      <c r="O1193" s="23" t="n"/>
      <c r="R1193" s="24" t="n"/>
      <c r="S1193" s="24" t="n"/>
      <c r="Y1193" s="24" t="n"/>
    </row>
    <row r="1194">
      <c r="O1194" s="23" t="n"/>
      <c r="R1194" s="24" t="n"/>
      <c r="S1194" s="24" t="n"/>
      <c r="Y1194" s="24" t="n"/>
    </row>
    <row r="1195">
      <c r="O1195" s="23" t="n"/>
      <c r="R1195" s="24" t="n"/>
      <c r="S1195" s="24" t="n"/>
      <c r="Y1195" s="24" t="n"/>
    </row>
    <row r="1196">
      <c r="O1196" s="23" t="n"/>
      <c r="R1196" s="24" t="n"/>
      <c r="S1196" s="24" t="n"/>
      <c r="Y1196" s="24" t="n"/>
    </row>
    <row r="1197">
      <c r="O1197" s="23" t="n"/>
      <c r="R1197" s="24" t="n"/>
      <c r="S1197" s="24" t="n"/>
      <c r="Y1197" s="24" t="n"/>
    </row>
    <row r="1198">
      <c r="O1198" s="23" t="n"/>
      <c r="R1198" s="24" t="n"/>
      <c r="S1198" s="24" t="n"/>
      <c r="Y1198" s="24" t="n"/>
    </row>
    <row r="1199">
      <c r="O1199" s="23" t="n"/>
      <c r="R1199" s="24" t="n"/>
      <c r="S1199" s="24" t="n"/>
      <c r="Y1199" s="24" t="n"/>
    </row>
    <row r="1200">
      <c r="O1200" s="23" t="n"/>
      <c r="R1200" s="24" t="n"/>
      <c r="S1200" s="24" t="n"/>
      <c r="Y1200" s="24" t="n"/>
    </row>
    <row r="1201">
      <c r="O1201" s="23" t="n"/>
      <c r="R1201" s="24" t="n"/>
      <c r="S1201" s="24" t="n"/>
      <c r="Y1201" s="24" t="n"/>
    </row>
    <row r="1202">
      <c r="O1202" s="23" t="n"/>
      <c r="R1202" s="24" t="n"/>
      <c r="S1202" s="24" t="n"/>
      <c r="Y1202" s="24" t="n"/>
    </row>
    <row r="1203">
      <c r="O1203" s="23" t="n"/>
      <c r="R1203" s="24" t="n"/>
      <c r="S1203" s="24" t="n"/>
      <c r="Y1203" s="24" t="n"/>
    </row>
    <row r="1204">
      <c r="O1204" s="23" t="n"/>
      <c r="R1204" s="24" t="n"/>
      <c r="S1204" s="24" t="n"/>
      <c r="Y1204" s="24" t="n"/>
    </row>
    <row r="1205">
      <c r="O1205" s="23" t="n"/>
      <c r="R1205" s="24" t="n"/>
      <c r="S1205" s="24" t="n"/>
      <c r="Y1205" s="24" t="n"/>
    </row>
    <row r="1206">
      <c r="O1206" s="23" t="n"/>
      <c r="R1206" s="24" t="n"/>
      <c r="S1206" s="24" t="n"/>
      <c r="Y1206" s="24" t="n"/>
    </row>
    <row r="1207">
      <c r="O1207" s="23" t="n"/>
      <c r="R1207" s="24" t="n"/>
      <c r="S1207" s="24" t="n"/>
      <c r="Y1207" s="24" t="n"/>
    </row>
    <row r="1208">
      <c r="O1208" s="23" t="n"/>
      <c r="R1208" s="24" t="n"/>
      <c r="S1208" s="24" t="n"/>
      <c r="Y1208" s="24" t="n"/>
    </row>
    <row r="1209">
      <c r="O1209" s="23" t="n"/>
      <c r="R1209" s="24" t="n"/>
      <c r="S1209" s="24" t="n"/>
      <c r="Y1209" s="24" t="n"/>
    </row>
    <row r="1210">
      <c r="O1210" s="23" t="n"/>
      <c r="R1210" s="24" t="n"/>
      <c r="S1210" s="24" t="n"/>
      <c r="Y1210" s="24" t="n"/>
    </row>
    <row r="1211">
      <c r="O1211" s="23" t="n"/>
      <c r="R1211" s="24" t="n"/>
      <c r="S1211" s="24" t="n"/>
      <c r="Y1211" s="24" t="n"/>
    </row>
    <row r="1212">
      <c r="O1212" s="23" t="n"/>
      <c r="R1212" s="24" t="n"/>
      <c r="S1212" s="24" t="n"/>
      <c r="Y1212" s="24" t="n"/>
    </row>
    <row r="1213">
      <c r="O1213" s="23" t="n"/>
      <c r="R1213" s="24" t="n"/>
      <c r="S1213" s="24" t="n"/>
      <c r="Y1213" s="24" t="n"/>
    </row>
    <row r="1214">
      <c r="O1214" s="23" t="n"/>
      <c r="R1214" s="24" t="n"/>
      <c r="S1214" s="24" t="n"/>
      <c r="Y1214" s="24" t="n"/>
    </row>
    <row r="1215">
      <c r="O1215" s="23" t="n"/>
      <c r="R1215" s="24" t="n"/>
      <c r="S1215" s="24" t="n"/>
      <c r="Y1215" s="24" t="n"/>
    </row>
    <row r="1216">
      <c r="O1216" s="23" t="n"/>
      <c r="R1216" s="24" t="n"/>
      <c r="S1216" s="24" t="n"/>
      <c r="Y1216" s="24" t="n"/>
    </row>
    <row r="1217">
      <c r="O1217" s="23" t="n"/>
      <c r="R1217" s="24" t="n"/>
      <c r="S1217" s="24" t="n"/>
      <c r="Y1217" s="24" t="n"/>
    </row>
    <row r="1218">
      <c r="O1218" s="23" t="n"/>
      <c r="R1218" s="24" t="n"/>
      <c r="S1218" s="24" t="n"/>
      <c r="Y1218" s="24" t="n"/>
    </row>
    <row r="1219">
      <c r="O1219" s="23" t="n"/>
      <c r="R1219" s="24" t="n"/>
      <c r="S1219" s="24" t="n"/>
      <c r="Y1219" s="24" t="n"/>
    </row>
    <row r="1220">
      <c r="O1220" s="23" t="n"/>
      <c r="R1220" s="24" t="n"/>
      <c r="S1220" s="24" t="n"/>
      <c r="Y1220" s="24" t="n"/>
    </row>
    <row r="1221">
      <c r="O1221" s="23" t="n"/>
      <c r="R1221" s="24" t="n"/>
      <c r="S1221" s="24" t="n"/>
      <c r="Y1221" s="24" t="n"/>
    </row>
    <row r="1222">
      <c r="O1222" s="23" t="n"/>
      <c r="R1222" s="24" t="n"/>
      <c r="S1222" s="24" t="n"/>
      <c r="Y1222" s="24" t="n"/>
    </row>
    <row r="1223">
      <c r="O1223" s="23" t="n"/>
      <c r="R1223" s="24" t="n"/>
      <c r="S1223" s="24" t="n"/>
      <c r="Y1223" s="24" t="n"/>
    </row>
    <row r="1224">
      <c r="O1224" s="23" t="n"/>
      <c r="R1224" s="24" t="n"/>
      <c r="S1224" s="24" t="n"/>
      <c r="Y1224" s="24" t="n"/>
    </row>
    <row r="1225">
      <c r="O1225" s="23" t="n"/>
      <c r="R1225" s="24" t="n"/>
      <c r="S1225" s="24" t="n"/>
      <c r="Y1225" s="24" t="n"/>
    </row>
    <row r="1226">
      <c r="O1226" s="23" t="n"/>
      <c r="R1226" s="24" t="n"/>
      <c r="S1226" s="24" t="n"/>
      <c r="Y1226" s="24" t="n"/>
    </row>
    <row r="1227">
      <c r="O1227" s="23" t="n"/>
      <c r="R1227" s="24" t="n"/>
      <c r="S1227" s="24" t="n"/>
      <c r="Y1227" s="24" t="n"/>
    </row>
    <row r="1228">
      <c r="O1228" s="23" t="n"/>
      <c r="R1228" s="24" t="n"/>
      <c r="S1228" s="24" t="n"/>
      <c r="Y1228" s="24" t="n"/>
    </row>
    <row r="1229">
      <c r="O1229" s="23" t="n"/>
      <c r="R1229" s="24" t="n"/>
      <c r="S1229" s="24" t="n"/>
      <c r="Y1229" s="24" t="n"/>
    </row>
    <row r="1230">
      <c r="O1230" s="23" t="n"/>
      <c r="R1230" s="24" t="n"/>
      <c r="S1230" s="24" t="n"/>
      <c r="Y1230" s="24" t="n"/>
    </row>
    <row r="1231">
      <c r="O1231" s="23" t="n"/>
      <c r="R1231" s="24" t="n"/>
      <c r="S1231" s="24" t="n"/>
      <c r="Y1231" s="24" t="n"/>
    </row>
    <row r="1232">
      <c r="O1232" s="23" t="n"/>
      <c r="R1232" s="24" t="n"/>
      <c r="S1232" s="24" t="n"/>
      <c r="Y1232" s="24" t="n"/>
    </row>
    <row r="1233">
      <c r="O1233" s="23" t="n"/>
      <c r="R1233" s="24" t="n"/>
      <c r="S1233" s="24" t="n"/>
      <c r="Y1233" s="24" t="n"/>
    </row>
    <row r="1234">
      <c r="O1234" s="23" t="n"/>
      <c r="R1234" s="24" t="n"/>
      <c r="S1234" s="24" t="n"/>
      <c r="Y1234" s="24" t="n"/>
    </row>
    <row r="1235">
      <c r="O1235" s="23" t="n"/>
      <c r="R1235" s="24" t="n"/>
      <c r="S1235" s="24" t="n"/>
      <c r="Y1235" s="24" t="n"/>
    </row>
    <row r="1236">
      <c r="O1236" s="23" t="n"/>
      <c r="R1236" s="24" t="n"/>
      <c r="S1236" s="24" t="n"/>
      <c r="Y1236" s="24" t="n"/>
    </row>
    <row r="1237">
      <c r="O1237" s="23" t="n"/>
      <c r="R1237" s="24" t="n"/>
      <c r="S1237" s="24" t="n"/>
      <c r="Y1237" s="24" t="n"/>
    </row>
    <row r="1238">
      <c r="O1238" s="23" t="n"/>
      <c r="R1238" s="24" t="n"/>
      <c r="S1238" s="24" t="n"/>
      <c r="Y1238" s="24" t="n"/>
    </row>
    <row r="1239">
      <c r="O1239" s="23" t="n"/>
      <c r="R1239" s="24" t="n"/>
      <c r="S1239" s="24" t="n"/>
      <c r="Y1239" s="24" t="n"/>
    </row>
    <row r="1240">
      <c r="O1240" s="23" t="n"/>
      <c r="R1240" s="24" t="n"/>
      <c r="S1240" s="24" t="n"/>
      <c r="Y1240" s="24" t="n"/>
    </row>
    <row r="1241">
      <c r="O1241" s="23" t="n"/>
      <c r="R1241" s="24" t="n"/>
      <c r="S1241" s="24" t="n"/>
      <c r="Y1241" s="24" t="n"/>
    </row>
    <row r="1242">
      <c r="O1242" s="23" t="n"/>
      <c r="R1242" s="24" t="n"/>
      <c r="S1242" s="24" t="n"/>
      <c r="Y1242" s="24" t="n"/>
    </row>
    <row r="1243">
      <c r="O1243" s="23" t="n"/>
      <c r="R1243" s="24" t="n"/>
      <c r="S1243" s="24" t="n"/>
      <c r="Y1243" s="24" t="n"/>
    </row>
    <row r="1244">
      <c r="O1244" s="23" t="n"/>
      <c r="R1244" s="24" t="n"/>
      <c r="S1244" s="24" t="n"/>
      <c r="Y1244" s="24" t="n"/>
    </row>
    <row r="1245">
      <c r="O1245" s="23" t="n"/>
      <c r="R1245" s="24" t="n"/>
      <c r="S1245" s="24" t="n"/>
      <c r="Y1245" s="24" t="n"/>
    </row>
    <row r="1246">
      <c r="O1246" s="23" t="n"/>
      <c r="R1246" s="24" t="n"/>
      <c r="S1246" s="24" t="n"/>
      <c r="Y1246" s="24" t="n"/>
    </row>
    <row r="1247">
      <c r="O1247" s="23" t="n"/>
      <c r="R1247" s="24" t="n"/>
      <c r="S1247" s="24" t="n"/>
      <c r="Y1247" s="24" t="n"/>
    </row>
    <row r="1248">
      <c r="O1248" s="23" t="n"/>
      <c r="R1248" s="24" t="n"/>
      <c r="S1248" s="24" t="n"/>
      <c r="Y1248" s="24" t="n"/>
    </row>
    <row r="1249">
      <c r="O1249" s="23" t="n"/>
      <c r="R1249" s="24" t="n"/>
      <c r="S1249" s="24" t="n"/>
      <c r="Y1249" s="24" t="n"/>
    </row>
    <row r="1250">
      <c r="O1250" s="23" t="n"/>
      <c r="R1250" s="24" t="n"/>
      <c r="S1250" s="24" t="n"/>
      <c r="Y1250" s="24" t="n"/>
    </row>
    <row r="1251">
      <c r="O1251" s="23" t="n"/>
      <c r="R1251" s="24" t="n"/>
      <c r="S1251" s="24" t="n"/>
      <c r="Y1251" s="24" t="n"/>
    </row>
    <row r="1252">
      <c r="O1252" s="23" t="n"/>
      <c r="R1252" s="24" t="n"/>
      <c r="S1252" s="24" t="n"/>
      <c r="Y1252" s="24" t="n"/>
    </row>
    <row r="1253">
      <c r="O1253" s="23" t="n"/>
      <c r="R1253" s="24" t="n"/>
      <c r="S1253" s="24" t="n"/>
      <c r="Y1253" s="24" t="n"/>
    </row>
    <row r="1254">
      <c r="O1254" s="23" t="n"/>
      <c r="R1254" s="24" t="n"/>
      <c r="S1254" s="24" t="n"/>
      <c r="Y1254" s="24" t="n"/>
    </row>
    <row r="1255">
      <c r="O1255" s="23" t="n"/>
      <c r="R1255" s="24" t="n"/>
      <c r="S1255" s="24" t="n"/>
      <c r="Y1255" s="24" t="n"/>
    </row>
    <row r="1256">
      <c r="O1256" s="23" t="n"/>
      <c r="R1256" s="24" t="n"/>
      <c r="S1256" s="24" t="n"/>
      <c r="Y1256" s="24" t="n"/>
    </row>
    <row r="1257">
      <c r="O1257" s="23" t="n"/>
      <c r="R1257" s="24" t="n"/>
      <c r="S1257" s="24" t="n"/>
      <c r="Y1257" s="24" t="n"/>
    </row>
    <row r="1258">
      <c r="O1258" s="23" t="n"/>
      <c r="R1258" s="24" t="n"/>
      <c r="S1258" s="24" t="n"/>
      <c r="Y1258" s="24" t="n"/>
    </row>
    <row r="1259">
      <c r="O1259" s="23" t="n"/>
      <c r="R1259" s="24" t="n"/>
      <c r="S1259" s="24" t="n"/>
      <c r="Y1259" s="24" t="n"/>
    </row>
    <row r="1260">
      <c r="O1260" s="23" t="n"/>
      <c r="R1260" s="24" t="n"/>
      <c r="S1260" s="24" t="n"/>
      <c r="Y1260" s="24" t="n"/>
    </row>
    <row r="1261">
      <c r="O1261" s="23" t="n"/>
      <c r="R1261" s="24" t="n"/>
      <c r="S1261" s="24" t="n"/>
      <c r="Y1261" s="24" t="n"/>
    </row>
    <row r="1262">
      <c r="O1262" s="23" t="n"/>
      <c r="R1262" s="24" t="n"/>
      <c r="S1262" s="24" t="n"/>
      <c r="Y1262" s="24" t="n"/>
    </row>
    <row r="1263">
      <c r="O1263" s="23" t="n"/>
      <c r="R1263" s="24" t="n"/>
      <c r="S1263" s="24" t="n"/>
      <c r="Y1263" s="24" t="n"/>
    </row>
    <row r="1264">
      <c r="O1264" s="23" t="n"/>
      <c r="R1264" s="24" t="n"/>
      <c r="S1264" s="24" t="n"/>
      <c r="Y1264" s="24" t="n"/>
    </row>
    <row r="1265">
      <c r="O1265" s="23" t="n"/>
      <c r="R1265" s="24" t="n"/>
      <c r="S1265" s="24" t="n"/>
      <c r="Y1265" s="24" t="n"/>
    </row>
    <row r="1266">
      <c r="O1266" s="23" t="n"/>
      <c r="R1266" s="24" t="n"/>
      <c r="S1266" s="24" t="n"/>
      <c r="Y1266" s="24" t="n"/>
    </row>
    <row r="1267">
      <c r="O1267" s="23" t="n"/>
      <c r="R1267" s="24" t="n"/>
      <c r="S1267" s="24" t="n"/>
      <c r="Y1267" s="24" t="n"/>
    </row>
    <row r="1268">
      <c r="O1268" s="23" t="n"/>
      <c r="R1268" s="24" t="n"/>
      <c r="S1268" s="24" t="n"/>
      <c r="Y1268" s="24" t="n"/>
    </row>
    <row r="1269">
      <c r="O1269" s="23" t="n"/>
      <c r="R1269" s="24" t="n"/>
      <c r="S1269" s="24" t="n"/>
      <c r="Y1269" s="24" t="n"/>
    </row>
    <row r="1270">
      <c r="O1270" s="23" t="n"/>
      <c r="R1270" s="24" t="n"/>
      <c r="S1270" s="24" t="n"/>
      <c r="Y1270" s="24" t="n"/>
    </row>
    <row r="1271">
      <c r="O1271" s="23" t="n"/>
      <c r="R1271" s="24" t="n"/>
      <c r="S1271" s="24" t="n"/>
      <c r="Y1271" s="24" t="n"/>
    </row>
    <row r="1272">
      <c r="O1272" s="23" t="n"/>
      <c r="R1272" s="24" t="n"/>
      <c r="S1272" s="24" t="n"/>
      <c r="Y1272" s="24" t="n"/>
    </row>
    <row r="1273">
      <c r="O1273" s="23" t="n"/>
      <c r="R1273" s="24" t="n"/>
      <c r="S1273" s="24" t="n"/>
      <c r="Y1273" s="24" t="n"/>
    </row>
    <row r="1274">
      <c r="O1274" s="23" t="n"/>
      <c r="R1274" s="24" t="n"/>
      <c r="S1274" s="24" t="n"/>
      <c r="Y1274" s="24" t="n"/>
    </row>
    <row r="1275">
      <c r="O1275" s="23" t="n"/>
      <c r="R1275" s="24" t="n"/>
      <c r="S1275" s="24" t="n"/>
      <c r="Y1275" s="24" t="n"/>
    </row>
    <row r="1276">
      <c r="O1276" s="23" t="n"/>
      <c r="R1276" s="24" t="n"/>
      <c r="S1276" s="24" t="n"/>
      <c r="Y1276" s="24" t="n"/>
    </row>
    <row r="1277">
      <c r="O1277" s="23" t="n"/>
      <c r="R1277" s="24" t="n"/>
      <c r="S1277" s="24" t="n"/>
      <c r="Y1277" s="24" t="n"/>
    </row>
    <row r="1278">
      <c r="O1278" s="23" t="n"/>
      <c r="R1278" s="24" t="n"/>
      <c r="S1278" s="24" t="n"/>
      <c r="Y1278" s="24" t="n"/>
    </row>
    <row r="1279">
      <c r="O1279" s="23" t="n"/>
      <c r="R1279" s="24" t="n"/>
      <c r="S1279" s="24" t="n"/>
      <c r="Y1279" s="24" t="n"/>
    </row>
    <row r="1280">
      <c r="O1280" s="23" t="n"/>
      <c r="R1280" s="24" t="n"/>
      <c r="S1280" s="24" t="n"/>
      <c r="Y1280" s="24" t="n"/>
    </row>
    <row r="1281">
      <c r="O1281" s="23" t="n"/>
      <c r="R1281" s="24" t="n"/>
      <c r="S1281" s="24" t="n"/>
      <c r="Y1281" s="24" t="n"/>
    </row>
    <row r="1282">
      <c r="O1282" s="23" t="n"/>
      <c r="R1282" s="24" t="n"/>
      <c r="S1282" s="24" t="n"/>
      <c r="Y1282" s="24" t="n"/>
    </row>
    <row r="1283">
      <c r="O1283" s="23" t="n"/>
      <c r="R1283" s="24" t="n"/>
      <c r="S1283" s="24" t="n"/>
      <c r="Y1283" s="24" t="n"/>
    </row>
    <row r="1284">
      <c r="O1284" s="23" t="n"/>
      <c r="R1284" s="24" t="n"/>
      <c r="S1284" s="24" t="n"/>
      <c r="Y1284" s="24" t="n"/>
    </row>
    <row r="1285">
      <c r="O1285" s="23" t="n"/>
      <c r="R1285" s="24" t="n"/>
      <c r="S1285" s="24" t="n"/>
      <c r="Y1285" s="24" t="n"/>
    </row>
    <row r="1286">
      <c r="O1286" s="23" t="n"/>
      <c r="R1286" s="24" t="n"/>
      <c r="S1286" s="24" t="n"/>
      <c r="Y1286" s="24" t="n"/>
    </row>
    <row r="1287">
      <c r="O1287" s="23" t="n"/>
      <c r="R1287" s="24" t="n"/>
      <c r="S1287" s="24" t="n"/>
      <c r="Y1287" s="24" t="n"/>
    </row>
    <row r="1288">
      <c r="O1288" s="23" t="n"/>
      <c r="R1288" s="24" t="n"/>
      <c r="S1288" s="24" t="n"/>
      <c r="Y1288" s="24" t="n"/>
    </row>
    <row r="1289">
      <c r="O1289" s="23" t="n"/>
      <c r="R1289" s="24" t="n"/>
      <c r="S1289" s="24" t="n"/>
      <c r="Y1289" s="24" t="n"/>
    </row>
    <row r="1290">
      <c r="O1290" s="23" t="n"/>
      <c r="R1290" s="24" t="n"/>
      <c r="S1290" s="24" t="n"/>
      <c r="Y1290" s="24" t="n"/>
    </row>
    <row r="1291">
      <c r="O1291" s="23" t="n"/>
      <c r="R1291" s="24" t="n"/>
      <c r="S1291" s="24" t="n"/>
      <c r="Y1291" s="24" t="n"/>
    </row>
    <row r="1292">
      <c r="O1292" s="23" t="n"/>
      <c r="R1292" s="24" t="n"/>
      <c r="S1292" s="24" t="n"/>
      <c r="Y1292" s="24" t="n"/>
    </row>
    <row r="1293">
      <c r="O1293" s="23" t="n"/>
      <c r="R1293" s="24" t="n"/>
      <c r="S1293" s="24" t="n"/>
      <c r="Y1293" s="24" t="n"/>
    </row>
    <row r="1294">
      <c r="O1294" s="23" t="n"/>
      <c r="R1294" s="24" t="n"/>
      <c r="S1294" s="24" t="n"/>
      <c r="Y1294" s="24" t="n"/>
    </row>
    <row r="1295">
      <c r="O1295" s="23" t="n"/>
      <c r="R1295" s="24" t="n"/>
      <c r="S1295" s="24" t="n"/>
      <c r="Y1295" s="24" t="n"/>
    </row>
    <row r="1296">
      <c r="O1296" s="23" t="n"/>
      <c r="R1296" s="24" t="n"/>
      <c r="S1296" s="24" t="n"/>
      <c r="Y1296" s="24" t="n"/>
    </row>
    <row r="1297">
      <c r="O1297" s="23" t="n"/>
      <c r="R1297" s="24" t="n"/>
      <c r="S1297" s="24" t="n"/>
      <c r="Y1297" s="24" t="n"/>
    </row>
    <row r="1298">
      <c r="O1298" s="23" t="n"/>
      <c r="R1298" s="24" t="n"/>
      <c r="S1298" s="24" t="n"/>
      <c r="Y1298" s="24" t="n"/>
    </row>
    <row r="1299">
      <c r="O1299" s="23" t="n"/>
      <c r="R1299" s="24" t="n"/>
      <c r="S1299" s="24" t="n"/>
      <c r="Y1299" s="24" t="n"/>
    </row>
    <row r="1300">
      <c r="O1300" s="23" t="n"/>
      <c r="R1300" s="24" t="n"/>
      <c r="S1300" s="24" t="n"/>
      <c r="Y1300" s="24" t="n"/>
    </row>
    <row r="1301">
      <c r="O1301" s="23" t="n"/>
      <c r="R1301" s="24" t="n"/>
      <c r="S1301" s="24" t="n"/>
      <c r="Y1301" s="24" t="n"/>
    </row>
    <row r="1302">
      <c r="O1302" s="23" t="n"/>
      <c r="R1302" s="24" t="n"/>
      <c r="S1302" s="24" t="n"/>
      <c r="Y1302" s="24" t="n"/>
    </row>
    <row r="1303">
      <c r="O1303" s="23" t="n"/>
      <c r="R1303" s="24" t="n"/>
      <c r="S1303" s="24" t="n"/>
      <c r="Y1303" s="24" t="n"/>
    </row>
    <row r="1304">
      <c r="O1304" s="23" t="n"/>
      <c r="R1304" s="24" t="n"/>
      <c r="S1304" s="24" t="n"/>
      <c r="Y1304" s="24" t="n"/>
    </row>
    <row r="1305">
      <c r="O1305" s="23" t="n"/>
      <c r="R1305" s="24" t="n"/>
      <c r="S1305" s="24" t="n"/>
      <c r="Y1305" s="24" t="n"/>
    </row>
    <row r="1306">
      <c r="O1306" s="23" t="n"/>
      <c r="R1306" s="24" t="n"/>
      <c r="S1306" s="24" t="n"/>
      <c r="Y1306" s="24" t="n"/>
    </row>
    <row r="1307">
      <c r="O1307" s="23" t="n"/>
      <c r="R1307" s="24" t="n"/>
      <c r="S1307" s="24" t="n"/>
      <c r="Y1307" s="24" t="n"/>
    </row>
    <row r="1308">
      <c r="O1308" s="23" t="n"/>
      <c r="R1308" s="24" t="n"/>
      <c r="S1308" s="24" t="n"/>
      <c r="Y1308" s="24" t="n"/>
    </row>
    <row r="1309">
      <c r="O1309" s="23" t="n"/>
      <c r="R1309" s="24" t="n"/>
      <c r="S1309" s="24" t="n"/>
      <c r="Y1309" s="24" t="n"/>
    </row>
    <row r="1310">
      <c r="O1310" s="23" t="n"/>
      <c r="R1310" s="24" t="n"/>
      <c r="S1310" s="24" t="n"/>
      <c r="Y1310" s="24" t="n"/>
    </row>
    <row r="1311">
      <c r="O1311" s="23" t="n"/>
      <c r="R1311" s="24" t="n"/>
      <c r="S1311" s="24" t="n"/>
      <c r="Y1311" s="24" t="n"/>
    </row>
    <row r="1312">
      <c r="O1312" s="23" t="n"/>
      <c r="R1312" s="24" t="n"/>
      <c r="S1312" s="24" t="n"/>
      <c r="Y1312" s="24" t="n"/>
    </row>
    <row r="1313">
      <c r="O1313" s="23" t="n"/>
      <c r="R1313" s="24" t="n"/>
      <c r="S1313" s="24" t="n"/>
      <c r="Y1313" s="24" t="n"/>
    </row>
    <row r="1314">
      <c r="O1314" s="23" t="n"/>
      <c r="R1314" s="24" t="n"/>
      <c r="S1314" s="24" t="n"/>
      <c r="Y1314" s="24" t="n"/>
    </row>
    <row r="1315">
      <c r="O1315" s="23" t="n"/>
      <c r="R1315" s="24" t="n"/>
      <c r="S1315" s="24" t="n"/>
      <c r="Y1315" s="24" t="n"/>
    </row>
    <row r="1316">
      <c r="O1316" s="23" t="n"/>
      <c r="R1316" s="24" t="n"/>
      <c r="S1316" s="24" t="n"/>
      <c r="Y1316" s="24" t="n"/>
    </row>
    <row r="1317">
      <c r="O1317" s="23" t="n"/>
      <c r="R1317" s="24" t="n"/>
      <c r="S1317" s="24" t="n"/>
      <c r="Y1317" s="24" t="n"/>
    </row>
    <row r="1318">
      <c r="O1318" s="23" t="n"/>
      <c r="R1318" s="24" t="n"/>
      <c r="S1318" s="24" t="n"/>
      <c r="Y1318" s="24" t="n"/>
    </row>
    <row r="1319">
      <c r="O1319" s="23" t="n"/>
      <c r="R1319" s="24" t="n"/>
      <c r="S1319" s="24" t="n"/>
      <c r="Y1319" s="24" t="n"/>
    </row>
    <row r="1320">
      <c r="O1320" s="23" t="n"/>
      <c r="R1320" s="24" t="n"/>
      <c r="S1320" s="24" t="n"/>
      <c r="Y1320" s="24" t="n"/>
    </row>
    <row r="1321">
      <c r="O1321" s="23" t="n"/>
      <c r="R1321" s="24" t="n"/>
      <c r="S1321" s="24" t="n"/>
      <c r="Y1321" s="24" t="n"/>
    </row>
    <row r="1322">
      <c r="O1322" s="23" t="n"/>
      <c r="R1322" s="24" t="n"/>
      <c r="S1322" s="24" t="n"/>
      <c r="Y1322" s="24" t="n"/>
    </row>
    <row r="1323">
      <c r="O1323" s="23" t="n"/>
      <c r="R1323" s="24" t="n"/>
      <c r="S1323" s="24" t="n"/>
      <c r="Y1323" s="24" t="n"/>
    </row>
    <row r="1324">
      <c r="O1324" s="23" t="n"/>
      <c r="R1324" s="24" t="n"/>
      <c r="S1324" s="24" t="n"/>
      <c r="Y1324" s="24" t="n"/>
    </row>
    <row r="1325">
      <c r="O1325" s="23" t="n"/>
      <c r="R1325" s="24" t="n"/>
      <c r="S1325" s="24" t="n"/>
      <c r="Y1325" s="24" t="n"/>
    </row>
    <row r="1326">
      <c r="O1326" s="23" t="n"/>
      <c r="R1326" s="24" t="n"/>
      <c r="S1326" s="24" t="n"/>
      <c r="Y1326" s="24" t="n"/>
    </row>
    <row r="1327">
      <c r="O1327" s="23" t="n"/>
      <c r="R1327" s="24" t="n"/>
      <c r="S1327" s="24" t="n"/>
      <c r="Y1327" s="24" t="n"/>
    </row>
    <row r="1328">
      <c r="O1328" s="23" t="n"/>
      <c r="R1328" s="24" t="n"/>
      <c r="S1328" s="24" t="n"/>
      <c r="Y1328" s="24" t="n"/>
    </row>
    <row r="1329">
      <c r="O1329" s="23" t="n"/>
      <c r="R1329" s="24" t="n"/>
      <c r="S1329" s="24" t="n"/>
      <c r="Y1329" s="24" t="n"/>
    </row>
    <row r="1330">
      <c r="O1330" s="23" t="n"/>
      <c r="R1330" s="24" t="n"/>
      <c r="S1330" s="24" t="n"/>
      <c r="Y1330" s="24" t="n"/>
    </row>
    <row r="1331">
      <c r="O1331" s="23" t="n"/>
      <c r="R1331" s="24" t="n"/>
      <c r="S1331" s="24" t="n"/>
      <c r="Y1331" s="24" t="n"/>
    </row>
    <row r="1332">
      <c r="O1332" s="23" t="n"/>
      <c r="R1332" s="24" t="n"/>
      <c r="S1332" s="24" t="n"/>
      <c r="Y1332" s="24" t="n"/>
    </row>
    <row r="1333">
      <c r="O1333" s="23" t="n"/>
      <c r="R1333" s="24" t="n"/>
      <c r="S1333" s="24" t="n"/>
      <c r="Y1333" s="24" t="n"/>
    </row>
    <row r="1334">
      <c r="O1334" s="23" t="n"/>
      <c r="R1334" s="24" t="n"/>
      <c r="S1334" s="24" t="n"/>
      <c r="Y1334" s="24" t="n"/>
    </row>
    <row r="1335">
      <c r="O1335" s="23" t="n"/>
      <c r="R1335" s="24" t="n"/>
      <c r="S1335" s="24" t="n"/>
      <c r="Y1335" s="24" t="n"/>
    </row>
    <row r="1336">
      <c r="O1336" s="23" t="n"/>
      <c r="R1336" s="24" t="n"/>
      <c r="S1336" s="24" t="n"/>
      <c r="Y1336" s="24" t="n"/>
    </row>
    <row r="1337">
      <c r="O1337" s="23" t="n"/>
      <c r="R1337" s="24" t="n"/>
      <c r="S1337" s="24" t="n"/>
      <c r="Y1337" s="24" t="n"/>
    </row>
    <row r="1338">
      <c r="O1338" s="23" t="n"/>
      <c r="R1338" s="24" t="n"/>
      <c r="S1338" s="24" t="n"/>
      <c r="Y1338" s="24" t="n"/>
    </row>
    <row r="1339">
      <c r="O1339" s="23" t="n"/>
      <c r="R1339" s="24" t="n"/>
      <c r="S1339" s="24" t="n"/>
      <c r="Y1339" s="24" t="n"/>
    </row>
    <row r="1340">
      <c r="O1340" s="23" t="n"/>
      <c r="R1340" s="24" t="n"/>
      <c r="S1340" s="24" t="n"/>
      <c r="Y1340" s="24" t="n"/>
    </row>
    <row r="1341">
      <c r="O1341" s="23" t="n"/>
      <c r="R1341" s="24" t="n"/>
      <c r="S1341" s="24" t="n"/>
      <c r="Y1341" s="24" t="n"/>
    </row>
    <row r="1342">
      <c r="O1342" s="23" t="n"/>
      <c r="R1342" s="24" t="n"/>
      <c r="S1342" s="24" t="n"/>
      <c r="Y1342" s="24" t="n"/>
    </row>
    <row r="1343">
      <c r="O1343" s="23" t="n"/>
      <c r="R1343" s="24" t="n"/>
      <c r="S1343" s="24" t="n"/>
      <c r="Y1343" s="24" t="n"/>
    </row>
    <row r="1344">
      <c r="O1344" s="23" t="n"/>
      <c r="R1344" s="24" t="n"/>
      <c r="S1344" s="24" t="n"/>
      <c r="Y1344" s="24" t="n"/>
    </row>
    <row r="1345">
      <c r="O1345" s="23" t="n"/>
      <c r="R1345" s="24" t="n"/>
      <c r="S1345" s="24" t="n"/>
      <c r="Y1345" s="24" t="n"/>
    </row>
    <row r="1346">
      <c r="O1346" s="23" t="n"/>
      <c r="R1346" s="24" t="n"/>
      <c r="S1346" s="24" t="n"/>
      <c r="Y1346" s="24" t="n"/>
    </row>
    <row r="1347">
      <c r="O1347" s="23" t="n"/>
      <c r="R1347" s="24" t="n"/>
      <c r="S1347" s="24" t="n"/>
      <c r="Y1347" s="24" t="n"/>
    </row>
    <row r="1348">
      <c r="O1348" s="23" t="n"/>
      <c r="R1348" s="24" t="n"/>
      <c r="S1348" s="24" t="n"/>
      <c r="Y1348" s="24" t="n"/>
    </row>
    <row r="1349">
      <c r="O1349" s="23" t="n"/>
      <c r="R1349" s="24" t="n"/>
      <c r="S1349" s="24" t="n"/>
      <c r="Y1349" s="24" t="n"/>
    </row>
    <row r="1350">
      <c r="O1350" s="23" t="n"/>
      <c r="R1350" s="24" t="n"/>
      <c r="S1350" s="24" t="n"/>
      <c r="Y1350" s="24" t="n"/>
    </row>
    <row r="1351">
      <c r="O1351" s="23" t="n"/>
      <c r="R1351" s="24" t="n"/>
      <c r="S1351" s="24" t="n"/>
      <c r="Y1351" s="24" t="n"/>
    </row>
    <row r="1352">
      <c r="O1352" s="23" t="n"/>
      <c r="R1352" s="24" t="n"/>
      <c r="S1352" s="24" t="n"/>
      <c r="Y1352" s="24" t="n"/>
    </row>
    <row r="1353">
      <c r="O1353" s="23" t="n"/>
      <c r="R1353" s="24" t="n"/>
      <c r="S1353" s="24" t="n"/>
      <c r="Y1353" s="24" t="n"/>
    </row>
    <row r="1354">
      <c r="O1354" s="23" t="n"/>
      <c r="R1354" s="24" t="n"/>
      <c r="S1354" s="24" t="n"/>
      <c r="Y1354" s="24" t="n"/>
    </row>
    <row r="1355">
      <c r="O1355" s="23" t="n"/>
      <c r="R1355" s="24" t="n"/>
      <c r="S1355" s="24" t="n"/>
      <c r="Y1355" s="24" t="n"/>
    </row>
    <row r="1356">
      <c r="O1356" s="23" t="n"/>
      <c r="R1356" s="24" t="n"/>
      <c r="S1356" s="24" t="n"/>
      <c r="Y1356" s="24" t="n"/>
    </row>
    <row r="1357">
      <c r="O1357" s="23" t="n"/>
      <c r="R1357" s="24" t="n"/>
      <c r="S1357" s="24" t="n"/>
      <c r="Y1357" s="24" t="n"/>
    </row>
    <row r="1358">
      <c r="O1358" s="23" t="n"/>
      <c r="R1358" s="24" t="n"/>
      <c r="S1358" s="24" t="n"/>
      <c r="Y1358" s="24" t="n"/>
    </row>
    <row r="1359">
      <c r="O1359" s="23" t="n"/>
      <c r="R1359" s="24" t="n"/>
      <c r="S1359" s="24" t="n"/>
      <c r="Y1359" s="24" t="n"/>
    </row>
    <row r="1360">
      <c r="O1360" s="23" t="n"/>
      <c r="R1360" s="24" t="n"/>
      <c r="S1360" s="24" t="n"/>
      <c r="Y1360" s="24" t="n"/>
    </row>
    <row r="1361">
      <c r="O1361" s="23" t="n"/>
      <c r="R1361" s="24" t="n"/>
      <c r="S1361" s="24" t="n"/>
      <c r="Y1361" s="24" t="n"/>
    </row>
    <row r="1362">
      <c r="O1362" s="23" t="n"/>
      <c r="R1362" s="24" t="n"/>
      <c r="S1362" s="24" t="n"/>
      <c r="Y1362" s="24" t="n"/>
    </row>
    <row r="1363">
      <c r="O1363" s="23" t="n"/>
      <c r="R1363" s="24" t="n"/>
      <c r="S1363" s="24" t="n"/>
      <c r="Y1363" s="24" t="n"/>
    </row>
    <row r="1364">
      <c r="O1364" s="23" t="n"/>
      <c r="R1364" s="24" t="n"/>
      <c r="S1364" s="24" t="n"/>
      <c r="Y1364" s="24" t="n"/>
    </row>
    <row r="1365">
      <c r="O1365" s="23" t="n"/>
      <c r="R1365" s="24" t="n"/>
      <c r="S1365" s="24" t="n"/>
      <c r="Y1365" s="24" t="n"/>
    </row>
    <row r="1366">
      <c r="O1366" s="23" t="n"/>
      <c r="R1366" s="24" t="n"/>
      <c r="S1366" s="24" t="n"/>
      <c r="Y1366" s="24" t="n"/>
    </row>
    <row r="1367">
      <c r="O1367" s="23" t="n"/>
      <c r="R1367" s="24" t="n"/>
      <c r="S1367" s="24" t="n"/>
      <c r="Y1367" s="24" t="n"/>
    </row>
    <row r="1368">
      <c r="O1368" s="23" t="n"/>
      <c r="R1368" s="24" t="n"/>
      <c r="S1368" s="24" t="n"/>
      <c r="Y1368" s="24" t="n"/>
    </row>
    <row r="1369">
      <c r="O1369" s="23" t="n"/>
      <c r="R1369" s="24" t="n"/>
      <c r="S1369" s="24" t="n"/>
      <c r="Y1369" s="24" t="n"/>
    </row>
    <row r="1370">
      <c r="O1370" s="23" t="n"/>
      <c r="R1370" s="24" t="n"/>
      <c r="S1370" s="24" t="n"/>
      <c r="Y1370" s="24" t="n"/>
    </row>
    <row r="1371">
      <c r="O1371" s="23" t="n"/>
      <c r="R1371" s="24" t="n"/>
      <c r="S1371" s="24" t="n"/>
      <c r="Y1371" s="24" t="n"/>
    </row>
    <row r="1372">
      <c r="O1372" s="23" t="n"/>
      <c r="R1372" s="24" t="n"/>
      <c r="S1372" s="24" t="n"/>
      <c r="Y1372" s="24" t="n"/>
    </row>
    <row r="1373">
      <c r="O1373" s="23" t="n"/>
      <c r="R1373" s="24" t="n"/>
      <c r="S1373" s="24" t="n"/>
      <c r="Y1373" s="24" t="n"/>
    </row>
    <row r="1374">
      <c r="O1374" s="23" t="n"/>
      <c r="R1374" s="24" t="n"/>
      <c r="S1374" s="24" t="n"/>
      <c r="Y1374" s="24" t="n"/>
    </row>
    <row r="1375">
      <c r="O1375" s="23" t="n"/>
      <c r="R1375" s="24" t="n"/>
      <c r="S1375" s="24" t="n"/>
      <c r="Y1375" s="24" t="n"/>
    </row>
    <row r="1376">
      <c r="O1376" s="23" t="n"/>
      <c r="R1376" s="24" t="n"/>
      <c r="S1376" s="24" t="n"/>
      <c r="Y1376" s="24" t="n"/>
    </row>
    <row r="1377">
      <c r="O1377" s="23" t="n"/>
      <c r="R1377" s="24" t="n"/>
      <c r="S1377" s="24" t="n"/>
      <c r="Y1377" s="24" t="n"/>
    </row>
    <row r="1378">
      <c r="O1378" s="23" t="n"/>
      <c r="R1378" s="24" t="n"/>
      <c r="S1378" s="24" t="n"/>
      <c r="Y1378" s="24" t="n"/>
    </row>
    <row r="1379">
      <c r="O1379" s="23" t="n"/>
      <c r="R1379" s="24" t="n"/>
      <c r="S1379" s="24" t="n"/>
      <c r="Y1379" s="24" t="n"/>
    </row>
    <row r="1380">
      <c r="O1380" s="23" t="n"/>
      <c r="R1380" s="24" t="n"/>
      <c r="S1380" s="24" t="n"/>
      <c r="Y1380" s="24" t="n"/>
    </row>
    <row r="1381">
      <c r="O1381" s="23" t="n"/>
      <c r="R1381" s="24" t="n"/>
      <c r="S1381" s="24" t="n"/>
      <c r="Y1381" s="24" t="n"/>
    </row>
    <row r="1382">
      <c r="O1382" s="23" t="n"/>
      <c r="R1382" s="24" t="n"/>
      <c r="S1382" s="24" t="n"/>
      <c r="Y1382" s="24" t="n"/>
    </row>
    <row r="1383">
      <c r="O1383" s="23" t="n"/>
      <c r="R1383" s="24" t="n"/>
      <c r="S1383" s="24" t="n"/>
      <c r="Y1383" s="24" t="n"/>
    </row>
    <row r="1384">
      <c r="O1384" s="23" t="n"/>
      <c r="R1384" s="24" t="n"/>
      <c r="S1384" s="24" t="n"/>
      <c r="Y1384" s="24" t="n"/>
    </row>
    <row r="1385">
      <c r="O1385" s="23" t="n"/>
      <c r="R1385" s="24" t="n"/>
      <c r="S1385" s="24" t="n"/>
      <c r="Y1385" s="24" t="n"/>
    </row>
    <row r="1386">
      <c r="O1386" s="23" t="n"/>
      <c r="R1386" s="24" t="n"/>
      <c r="S1386" s="24" t="n"/>
      <c r="Y1386" s="24" t="n"/>
    </row>
    <row r="1387">
      <c r="O1387" s="23" t="n"/>
      <c r="R1387" s="24" t="n"/>
      <c r="S1387" s="24" t="n"/>
      <c r="Y1387" s="24" t="n"/>
    </row>
    <row r="1388">
      <c r="O1388" s="23" t="n"/>
      <c r="R1388" s="24" t="n"/>
      <c r="S1388" s="24" t="n"/>
      <c r="Y1388" s="24" t="n"/>
    </row>
    <row r="1389">
      <c r="O1389" s="23" t="n"/>
      <c r="R1389" s="24" t="n"/>
      <c r="S1389" s="24" t="n"/>
      <c r="Y1389" s="24" t="n"/>
    </row>
    <row r="1390">
      <c r="O1390" s="23" t="n"/>
      <c r="R1390" s="24" t="n"/>
      <c r="S1390" s="24" t="n"/>
      <c r="Y1390" s="24" t="n"/>
    </row>
    <row r="1391">
      <c r="O1391" s="23" t="n"/>
      <c r="R1391" s="24" t="n"/>
      <c r="S1391" s="24" t="n"/>
      <c r="Y1391" s="24" t="n"/>
    </row>
    <row r="1392">
      <c r="O1392" s="23" t="n"/>
      <c r="R1392" s="24" t="n"/>
      <c r="S1392" s="24" t="n"/>
      <c r="Y1392" s="24" t="n"/>
    </row>
    <row r="1393">
      <c r="O1393" s="23" t="n"/>
      <c r="R1393" s="24" t="n"/>
      <c r="S1393" s="24" t="n"/>
      <c r="Y1393" s="24" t="n"/>
    </row>
    <row r="1394">
      <c r="O1394" s="23" t="n"/>
      <c r="R1394" s="24" t="n"/>
      <c r="S1394" s="24" t="n"/>
      <c r="Y1394" s="24" t="n"/>
    </row>
    <row r="1395">
      <c r="O1395" s="23" t="n"/>
      <c r="R1395" s="24" t="n"/>
      <c r="S1395" s="24" t="n"/>
      <c r="Y1395" s="24" t="n"/>
    </row>
    <row r="1396">
      <c r="O1396" s="23" t="n"/>
      <c r="R1396" s="24" t="n"/>
      <c r="S1396" s="24" t="n"/>
      <c r="Y1396" s="24" t="n"/>
    </row>
    <row r="1397">
      <c r="O1397" s="23" t="n"/>
      <c r="R1397" s="24" t="n"/>
      <c r="S1397" s="24" t="n"/>
      <c r="Y1397" s="24" t="n"/>
    </row>
    <row r="1398">
      <c r="O1398" s="23" t="n"/>
      <c r="R1398" s="24" t="n"/>
      <c r="S1398" s="24" t="n"/>
      <c r="Y1398" s="24" t="n"/>
    </row>
    <row r="1399">
      <c r="O1399" s="23" t="n"/>
      <c r="R1399" s="24" t="n"/>
      <c r="S1399" s="24" t="n"/>
      <c r="Y1399" s="24" t="n"/>
    </row>
    <row r="1400">
      <c r="O1400" s="23" t="n"/>
      <c r="R1400" s="24" t="n"/>
      <c r="S1400" s="24" t="n"/>
      <c r="Y1400" s="24" t="n"/>
    </row>
    <row r="1401">
      <c r="O1401" s="23" t="n"/>
      <c r="R1401" s="24" t="n"/>
      <c r="S1401" s="24" t="n"/>
      <c r="Y1401" s="24" t="n"/>
    </row>
    <row r="1402">
      <c r="O1402" s="23" t="n"/>
      <c r="R1402" s="24" t="n"/>
      <c r="S1402" s="24" t="n"/>
      <c r="Y1402" s="24" t="n"/>
    </row>
    <row r="1403">
      <c r="O1403" s="23" t="n"/>
      <c r="R1403" s="24" t="n"/>
      <c r="S1403" s="24" t="n"/>
      <c r="Y1403" s="24" t="n"/>
    </row>
    <row r="1404">
      <c r="O1404" s="23" t="n"/>
      <c r="R1404" s="24" t="n"/>
      <c r="S1404" s="24" t="n"/>
      <c r="Y1404" s="24" t="n"/>
    </row>
    <row r="1405">
      <c r="O1405" s="23" t="n"/>
      <c r="R1405" s="24" t="n"/>
      <c r="S1405" s="24" t="n"/>
      <c r="Y1405" s="24" t="n"/>
    </row>
    <row r="1406">
      <c r="O1406" s="23" t="n"/>
      <c r="R1406" s="24" t="n"/>
      <c r="S1406" s="24" t="n"/>
      <c r="Y1406" s="24" t="n"/>
    </row>
    <row r="1407">
      <c r="O1407" s="23" t="n"/>
      <c r="R1407" s="24" t="n"/>
      <c r="S1407" s="24" t="n"/>
      <c r="Y1407" s="24" t="n"/>
    </row>
    <row r="1408">
      <c r="O1408" s="23" t="n"/>
      <c r="R1408" s="24" t="n"/>
      <c r="S1408" s="24" t="n"/>
      <c r="Y1408" s="24" t="n"/>
    </row>
    <row r="1409">
      <c r="O1409" s="23" t="n"/>
      <c r="R1409" s="24" t="n"/>
      <c r="S1409" s="24" t="n"/>
      <c r="Y1409" s="24" t="n"/>
    </row>
    <row r="1410">
      <c r="O1410" s="23" t="n"/>
      <c r="R1410" s="24" t="n"/>
      <c r="S1410" s="24" t="n"/>
      <c r="Y1410" s="24" t="n"/>
    </row>
    <row r="1411">
      <c r="O1411" s="23" t="n"/>
      <c r="R1411" s="24" t="n"/>
      <c r="S1411" s="24" t="n"/>
      <c r="Y1411" s="24" t="n"/>
    </row>
    <row r="1412">
      <c r="O1412" s="23" t="n"/>
      <c r="R1412" s="24" t="n"/>
      <c r="S1412" s="24" t="n"/>
      <c r="Y1412" s="24" t="n"/>
    </row>
    <row r="1413">
      <c r="O1413" s="23" t="n"/>
      <c r="R1413" s="24" t="n"/>
      <c r="S1413" s="24" t="n"/>
      <c r="Y1413" s="24" t="n"/>
    </row>
    <row r="1414">
      <c r="O1414" s="23" t="n"/>
      <c r="R1414" s="24" t="n"/>
      <c r="S1414" s="24" t="n"/>
      <c r="Y1414" s="24" t="n"/>
    </row>
    <row r="1415">
      <c r="O1415" s="23" t="n"/>
      <c r="R1415" s="24" t="n"/>
      <c r="S1415" s="24" t="n"/>
      <c r="Y1415" s="24" t="n"/>
    </row>
    <row r="1416">
      <c r="O1416" s="23" t="n"/>
      <c r="R1416" s="24" t="n"/>
      <c r="S1416" s="24" t="n"/>
      <c r="Y1416" s="24" t="n"/>
    </row>
    <row r="1417">
      <c r="O1417" s="23" t="n"/>
      <c r="R1417" s="24" t="n"/>
      <c r="S1417" s="24" t="n"/>
      <c r="Y1417" s="24" t="n"/>
    </row>
    <row r="1418">
      <c r="O1418" s="23" t="n"/>
      <c r="R1418" s="24" t="n"/>
      <c r="S1418" s="24" t="n"/>
      <c r="Y1418" s="24" t="n"/>
    </row>
    <row r="1419">
      <c r="O1419" s="23" t="n"/>
      <c r="R1419" s="24" t="n"/>
      <c r="S1419" s="24" t="n"/>
      <c r="Y1419" s="24" t="n"/>
    </row>
    <row r="1420">
      <c r="O1420" s="23" t="n"/>
      <c r="R1420" s="24" t="n"/>
      <c r="S1420" s="24" t="n"/>
      <c r="Y1420" s="24" t="n"/>
    </row>
    <row r="1421">
      <c r="O1421" s="23" t="n"/>
      <c r="R1421" s="24" t="n"/>
      <c r="S1421" s="24" t="n"/>
      <c r="Y1421" s="24" t="n"/>
    </row>
    <row r="1422">
      <c r="O1422" s="23" t="n"/>
      <c r="R1422" s="24" t="n"/>
      <c r="S1422" s="24" t="n"/>
      <c r="Y1422" s="24" t="n"/>
    </row>
    <row r="1423">
      <c r="O1423" s="23" t="n"/>
      <c r="R1423" s="24" t="n"/>
      <c r="S1423" s="24" t="n"/>
      <c r="Y1423" s="24" t="n"/>
    </row>
    <row r="1424">
      <c r="O1424" s="23" t="n"/>
      <c r="R1424" s="24" t="n"/>
      <c r="S1424" s="24" t="n"/>
      <c r="Y1424" s="24" t="n"/>
    </row>
    <row r="1425">
      <c r="O1425" s="23" t="n"/>
      <c r="R1425" s="24" t="n"/>
      <c r="S1425" s="24" t="n"/>
      <c r="Y1425" s="24" t="n"/>
    </row>
    <row r="1426">
      <c r="O1426" s="23" t="n"/>
      <c r="R1426" s="24" t="n"/>
      <c r="S1426" s="24" t="n"/>
      <c r="Y1426" s="24" t="n"/>
    </row>
    <row r="1427">
      <c r="O1427" s="23" t="n"/>
      <c r="R1427" s="24" t="n"/>
      <c r="S1427" s="24" t="n"/>
      <c r="Y1427" s="24" t="n"/>
    </row>
    <row r="1428">
      <c r="O1428" s="23" t="n"/>
      <c r="R1428" s="24" t="n"/>
      <c r="S1428" s="24" t="n"/>
      <c r="Y1428" s="24" t="n"/>
    </row>
    <row r="1429">
      <c r="O1429" s="23" t="n"/>
      <c r="R1429" s="24" t="n"/>
      <c r="S1429" s="24" t="n"/>
      <c r="Y1429" s="24" t="n"/>
    </row>
    <row r="1430">
      <c r="O1430" s="23" t="n"/>
      <c r="R1430" s="24" t="n"/>
      <c r="S1430" s="24" t="n"/>
      <c r="Y1430" s="24" t="n"/>
    </row>
    <row r="1431">
      <c r="O1431" s="23" t="n"/>
      <c r="R1431" s="24" t="n"/>
      <c r="S1431" s="24" t="n"/>
      <c r="Y1431" s="24" t="n"/>
    </row>
    <row r="1432">
      <c r="O1432" s="23" t="n"/>
      <c r="R1432" s="24" t="n"/>
      <c r="S1432" s="24" t="n"/>
      <c r="Y1432" s="24" t="n"/>
    </row>
    <row r="1433">
      <c r="O1433" s="23" t="n"/>
      <c r="R1433" s="24" t="n"/>
      <c r="S1433" s="24" t="n"/>
      <c r="Y1433" s="24" t="n"/>
    </row>
    <row r="1434">
      <c r="O1434" s="23" t="n"/>
      <c r="R1434" s="24" t="n"/>
      <c r="S1434" s="24" t="n"/>
      <c r="Y1434" s="24" t="n"/>
    </row>
    <row r="1435">
      <c r="O1435" s="23" t="n"/>
      <c r="R1435" s="24" t="n"/>
      <c r="S1435" s="24" t="n"/>
      <c r="Y1435" s="24" t="n"/>
    </row>
    <row r="1436">
      <c r="O1436" s="23" t="n"/>
      <c r="R1436" s="24" t="n"/>
      <c r="S1436" s="24" t="n"/>
      <c r="Y1436" s="24" t="n"/>
    </row>
    <row r="1437">
      <c r="O1437" s="23" t="n"/>
      <c r="R1437" s="24" t="n"/>
      <c r="S1437" s="24" t="n"/>
      <c r="Y1437" s="24" t="n"/>
    </row>
    <row r="1438">
      <c r="O1438" s="23" t="n"/>
      <c r="R1438" s="24" t="n"/>
      <c r="S1438" s="24" t="n"/>
      <c r="Y1438" s="24" t="n"/>
    </row>
    <row r="1439">
      <c r="O1439" s="23" t="n"/>
      <c r="R1439" s="24" t="n"/>
      <c r="S1439" s="24" t="n"/>
      <c r="Y1439" s="24" t="n"/>
    </row>
    <row r="1440">
      <c r="O1440" s="23" t="n"/>
      <c r="R1440" s="24" t="n"/>
      <c r="S1440" s="24" t="n"/>
      <c r="Y1440" s="24" t="n"/>
    </row>
    <row r="1441">
      <c r="O1441" s="23" t="n"/>
      <c r="R1441" s="24" t="n"/>
      <c r="S1441" s="24" t="n"/>
      <c r="Y1441" s="24" t="n"/>
    </row>
    <row r="1442">
      <c r="O1442" s="23" t="n"/>
      <c r="R1442" s="24" t="n"/>
      <c r="S1442" s="24" t="n"/>
      <c r="Y1442" s="24" t="n"/>
    </row>
    <row r="1443">
      <c r="O1443" s="23" t="n"/>
      <c r="R1443" s="24" t="n"/>
      <c r="S1443" s="24" t="n"/>
      <c r="Y1443" s="24" t="n"/>
    </row>
    <row r="1444">
      <c r="O1444" s="23" t="n"/>
      <c r="R1444" s="24" t="n"/>
      <c r="S1444" s="24" t="n"/>
      <c r="Y1444" s="24" t="n"/>
    </row>
    <row r="1445">
      <c r="O1445" s="23" t="n"/>
      <c r="R1445" s="24" t="n"/>
      <c r="S1445" s="24" t="n"/>
      <c r="Y1445" s="24" t="n"/>
    </row>
    <row r="1446">
      <c r="O1446" s="23" t="n"/>
      <c r="R1446" s="24" t="n"/>
      <c r="S1446" s="24" t="n"/>
      <c r="Y1446" s="24" t="n"/>
    </row>
    <row r="1447">
      <c r="O1447" s="23" t="n"/>
      <c r="R1447" s="24" t="n"/>
      <c r="S1447" s="24" t="n"/>
      <c r="Y1447" s="24" t="n"/>
    </row>
    <row r="1448">
      <c r="O1448" s="23" t="n"/>
      <c r="R1448" s="24" t="n"/>
      <c r="S1448" s="24" t="n"/>
      <c r="Y1448" s="24" t="n"/>
    </row>
    <row r="1449">
      <c r="O1449" s="23" t="n"/>
      <c r="R1449" s="24" t="n"/>
      <c r="S1449" s="24" t="n"/>
      <c r="Y1449" s="24" t="n"/>
    </row>
    <row r="1450">
      <c r="O1450" s="23" t="n"/>
      <c r="R1450" s="24" t="n"/>
      <c r="S1450" s="24" t="n"/>
      <c r="Y1450" s="24" t="n"/>
    </row>
    <row r="1451">
      <c r="O1451" s="23" t="n"/>
      <c r="R1451" s="24" t="n"/>
      <c r="S1451" s="24" t="n"/>
      <c r="Y1451" s="24" t="n"/>
    </row>
    <row r="1452">
      <c r="O1452" s="23" t="n"/>
      <c r="R1452" s="24" t="n"/>
      <c r="S1452" s="24" t="n"/>
      <c r="Y1452" s="24" t="n"/>
    </row>
    <row r="1453">
      <c r="O1453" s="23" t="n"/>
      <c r="R1453" s="24" t="n"/>
      <c r="S1453" s="24" t="n"/>
      <c r="Y1453" s="24" t="n"/>
    </row>
    <row r="1454">
      <c r="O1454" s="23" t="n"/>
      <c r="R1454" s="24" t="n"/>
      <c r="S1454" s="24" t="n"/>
      <c r="Y1454" s="24" t="n"/>
    </row>
    <row r="1455">
      <c r="O1455" s="23" t="n"/>
      <c r="R1455" s="24" t="n"/>
      <c r="S1455" s="24" t="n"/>
      <c r="Y1455" s="24" t="n"/>
    </row>
    <row r="1456">
      <c r="O1456" s="23" t="n"/>
      <c r="R1456" s="24" t="n"/>
      <c r="S1456" s="24" t="n"/>
      <c r="Y1456" s="24" t="n"/>
    </row>
    <row r="1457">
      <c r="O1457" s="23" t="n"/>
      <c r="R1457" s="24" t="n"/>
      <c r="S1457" s="24" t="n"/>
      <c r="Y1457" s="24" t="n"/>
    </row>
    <row r="1458">
      <c r="O1458" s="23" t="n"/>
      <c r="R1458" s="24" t="n"/>
      <c r="S1458" s="24" t="n"/>
      <c r="Y1458" s="24" t="n"/>
    </row>
    <row r="1459">
      <c r="O1459" s="23" t="n"/>
      <c r="R1459" s="24" t="n"/>
      <c r="S1459" s="24" t="n"/>
      <c r="Y1459" s="24" t="n"/>
    </row>
    <row r="1460">
      <c r="O1460" s="23" t="n"/>
      <c r="R1460" s="24" t="n"/>
      <c r="S1460" s="24" t="n"/>
      <c r="Y1460" s="24" t="n"/>
    </row>
    <row r="1461">
      <c r="O1461" s="23" t="n"/>
      <c r="R1461" s="24" t="n"/>
      <c r="S1461" s="24" t="n"/>
      <c r="Y1461" s="24" t="n"/>
    </row>
    <row r="1462">
      <c r="O1462" s="23" t="n"/>
      <c r="R1462" s="24" t="n"/>
      <c r="S1462" s="24" t="n"/>
      <c r="Y1462" s="24" t="n"/>
    </row>
    <row r="1463">
      <c r="O1463" s="23" t="n"/>
      <c r="R1463" s="24" t="n"/>
      <c r="S1463" s="24" t="n"/>
      <c r="Y1463" s="24" t="n"/>
    </row>
    <row r="1464">
      <c r="O1464" s="23" t="n"/>
      <c r="R1464" s="24" t="n"/>
      <c r="S1464" s="24" t="n"/>
      <c r="Y1464" s="24" t="n"/>
    </row>
    <row r="1465">
      <c r="O1465" s="23" t="n"/>
      <c r="R1465" s="24" t="n"/>
      <c r="S1465" s="24" t="n"/>
      <c r="Y1465" s="24" t="n"/>
    </row>
    <row r="1466">
      <c r="O1466" s="23" t="n"/>
      <c r="R1466" s="24" t="n"/>
      <c r="S1466" s="24" t="n"/>
      <c r="Y1466" s="24" t="n"/>
    </row>
    <row r="1467">
      <c r="O1467" s="23" t="n"/>
      <c r="R1467" s="24" t="n"/>
      <c r="S1467" s="24" t="n"/>
      <c r="Y1467" s="24" t="n"/>
    </row>
    <row r="1468">
      <c r="O1468" s="23" t="n"/>
      <c r="R1468" s="24" t="n"/>
      <c r="S1468" s="24" t="n"/>
      <c r="Y1468" s="24" t="n"/>
    </row>
    <row r="1469">
      <c r="O1469" s="23" t="n"/>
      <c r="R1469" s="24" t="n"/>
      <c r="S1469" s="24" t="n"/>
      <c r="Y1469" s="24" t="n"/>
    </row>
    <row r="1470">
      <c r="O1470" s="23" t="n"/>
      <c r="R1470" s="24" t="n"/>
      <c r="S1470" s="24" t="n"/>
      <c r="Y1470" s="24" t="n"/>
    </row>
    <row r="1471">
      <c r="O1471" s="23" t="n"/>
      <c r="R1471" s="24" t="n"/>
      <c r="S1471" s="24" t="n"/>
      <c r="Y1471" s="24" t="n"/>
    </row>
    <row r="1472">
      <c r="O1472" s="23" t="n"/>
      <c r="R1472" s="24" t="n"/>
      <c r="S1472" s="24" t="n"/>
      <c r="Y1472" s="24" t="n"/>
    </row>
    <row r="1473">
      <c r="O1473" s="23" t="n"/>
      <c r="R1473" s="24" t="n"/>
      <c r="S1473" s="24" t="n"/>
      <c r="Y1473" s="24" t="n"/>
    </row>
    <row r="1474">
      <c r="O1474" s="23" t="n"/>
      <c r="R1474" s="24" t="n"/>
      <c r="S1474" s="24" t="n"/>
      <c r="Y1474" s="24" t="n"/>
    </row>
    <row r="1475">
      <c r="O1475" s="23" t="n"/>
      <c r="R1475" s="24" t="n"/>
      <c r="S1475" s="24" t="n"/>
      <c r="Y1475" s="24" t="n"/>
    </row>
    <row r="1476">
      <c r="O1476" s="23" t="n"/>
      <c r="R1476" s="24" t="n"/>
      <c r="S1476" s="24" t="n"/>
      <c r="Y1476" s="24" t="n"/>
    </row>
    <row r="1477">
      <c r="O1477" s="23" t="n"/>
      <c r="R1477" s="24" t="n"/>
      <c r="S1477" s="24" t="n"/>
      <c r="Y1477" s="24" t="n"/>
    </row>
    <row r="1478">
      <c r="O1478" s="23" t="n"/>
      <c r="R1478" s="24" t="n"/>
      <c r="S1478" s="24" t="n"/>
      <c r="Y1478" s="24" t="n"/>
    </row>
    <row r="1479">
      <c r="O1479" s="23" t="n"/>
      <c r="R1479" s="24" t="n"/>
      <c r="S1479" s="24" t="n"/>
      <c r="Y1479" s="24" t="n"/>
    </row>
    <row r="1480">
      <c r="O1480" s="23" t="n"/>
      <c r="R1480" s="24" t="n"/>
      <c r="S1480" s="24" t="n"/>
      <c r="Y1480" s="24" t="n"/>
    </row>
    <row r="1481">
      <c r="O1481" s="23" t="n"/>
      <c r="R1481" s="24" t="n"/>
      <c r="S1481" s="24" t="n"/>
      <c r="Y1481" s="24" t="n"/>
    </row>
    <row r="1482">
      <c r="O1482" s="23" t="n"/>
      <c r="R1482" s="24" t="n"/>
      <c r="S1482" s="24" t="n"/>
      <c r="Y1482" s="24" t="n"/>
    </row>
    <row r="1483">
      <c r="O1483" s="23" t="n"/>
      <c r="R1483" s="24" t="n"/>
      <c r="S1483" s="24" t="n"/>
      <c r="Y1483" s="24" t="n"/>
    </row>
    <row r="1484">
      <c r="O1484" s="23" t="n"/>
      <c r="R1484" s="24" t="n"/>
      <c r="S1484" s="24" t="n"/>
      <c r="Y1484" s="24" t="n"/>
    </row>
    <row r="1485">
      <c r="O1485" s="23" t="n"/>
      <c r="R1485" s="24" t="n"/>
      <c r="S1485" s="24" t="n"/>
      <c r="Y1485" s="24" t="n"/>
    </row>
    <row r="1486">
      <c r="O1486" s="23" t="n"/>
      <c r="R1486" s="24" t="n"/>
      <c r="S1486" s="24" t="n"/>
      <c r="Y1486" s="24" t="n"/>
    </row>
    <row r="1487">
      <c r="O1487" s="23" t="n"/>
      <c r="R1487" s="24" t="n"/>
      <c r="S1487" s="24" t="n"/>
      <c r="Y1487" s="24" t="n"/>
    </row>
    <row r="1488">
      <c r="O1488" s="23" t="n"/>
      <c r="R1488" s="24" t="n"/>
      <c r="S1488" s="24" t="n"/>
      <c r="Y1488" s="24" t="n"/>
    </row>
    <row r="1489">
      <c r="O1489" s="23" t="n"/>
      <c r="R1489" s="24" t="n"/>
      <c r="S1489" s="24" t="n"/>
      <c r="Y1489" s="24" t="n"/>
    </row>
    <row r="1490">
      <c r="O1490" s="23" t="n"/>
      <c r="R1490" s="24" t="n"/>
      <c r="S1490" s="24" t="n"/>
      <c r="Y1490" s="24" t="n"/>
    </row>
    <row r="1491">
      <c r="O1491" s="23" t="n"/>
      <c r="R1491" s="24" t="n"/>
      <c r="S1491" s="24" t="n"/>
      <c r="Y1491" s="24" t="n"/>
    </row>
    <row r="1492">
      <c r="O1492" s="23" t="n"/>
      <c r="R1492" s="24" t="n"/>
      <c r="S1492" s="24" t="n"/>
      <c r="Y1492" s="24" t="n"/>
    </row>
    <row r="1493">
      <c r="O1493" s="23" t="n"/>
      <c r="R1493" s="24" t="n"/>
      <c r="S1493" s="24" t="n"/>
      <c r="Y1493" s="24" t="n"/>
    </row>
    <row r="1494">
      <c r="O1494" s="23" t="n"/>
      <c r="R1494" s="24" t="n"/>
      <c r="S1494" s="24" t="n"/>
      <c r="Y1494" s="24" t="n"/>
    </row>
    <row r="1495">
      <c r="O1495" s="23" t="n"/>
      <c r="R1495" s="24" t="n"/>
      <c r="S1495" s="24" t="n"/>
      <c r="Y1495" s="24" t="n"/>
    </row>
    <row r="1496">
      <c r="O1496" s="23" t="n"/>
      <c r="R1496" s="24" t="n"/>
      <c r="S1496" s="24" t="n"/>
      <c r="Y1496" s="24" t="n"/>
    </row>
    <row r="1497">
      <c r="O1497" s="23" t="n"/>
      <c r="R1497" s="24" t="n"/>
      <c r="S1497" s="24" t="n"/>
      <c r="Y1497" s="24" t="n"/>
    </row>
    <row r="1498">
      <c r="O1498" s="23" t="n"/>
      <c r="R1498" s="24" t="n"/>
      <c r="S1498" s="24" t="n"/>
      <c r="Y1498" s="24" t="n"/>
    </row>
    <row r="1499">
      <c r="O1499" s="23" t="n"/>
      <c r="R1499" s="24" t="n"/>
      <c r="S1499" s="24" t="n"/>
      <c r="Y1499" s="24" t="n"/>
    </row>
    <row r="1500">
      <c r="O1500" s="23" t="n"/>
      <c r="R1500" s="24" t="n"/>
      <c r="S1500" s="24" t="n"/>
      <c r="Y1500" s="24" t="n"/>
    </row>
    <row r="1501">
      <c r="O1501" s="23" t="n"/>
      <c r="R1501" s="24" t="n"/>
      <c r="S1501" s="24" t="n"/>
      <c r="Y1501" s="24" t="n"/>
    </row>
    <row r="1502">
      <c r="O1502" s="23" t="n"/>
      <c r="R1502" s="24" t="n"/>
      <c r="S1502" s="24" t="n"/>
      <c r="Y1502" s="24" t="n"/>
    </row>
    <row r="1503">
      <c r="O1503" s="23" t="n"/>
      <c r="R1503" s="24" t="n"/>
      <c r="S1503" s="24" t="n"/>
      <c r="Y1503" s="24" t="n"/>
    </row>
    <row r="1504">
      <c r="O1504" s="23" t="n"/>
      <c r="R1504" s="24" t="n"/>
      <c r="S1504" s="24" t="n"/>
      <c r="Y1504" s="24" t="n"/>
    </row>
    <row r="1505">
      <c r="O1505" s="23" t="n"/>
      <c r="R1505" s="24" t="n"/>
      <c r="S1505" s="24" t="n"/>
      <c r="Y1505" s="24" t="n"/>
    </row>
    <row r="1506">
      <c r="O1506" s="23" t="n"/>
      <c r="R1506" s="24" t="n"/>
      <c r="S1506" s="24" t="n"/>
      <c r="Y1506" s="24" t="n"/>
    </row>
    <row r="1507">
      <c r="O1507" s="23" t="n"/>
      <c r="R1507" s="24" t="n"/>
      <c r="S1507" s="24" t="n"/>
      <c r="Y1507" s="24" t="n"/>
    </row>
    <row r="1508">
      <c r="O1508" s="23" t="n"/>
      <c r="R1508" s="24" t="n"/>
      <c r="S1508" s="24" t="n"/>
      <c r="Y1508" s="24" t="n"/>
    </row>
    <row r="1509">
      <c r="O1509" s="23" t="n"/>
      <c r="R1509" s="24" t="n"/>
      <c r="S1509" s="24" t="n"/>
      <c r="Y1509" s="24" t="n"/>
    </row>
    <row r="1510">
      <c r="O1510" s="23" t="n"/>
      <c r="R1510" s="24" t="n"/>
      <c r="S1510" s="24" t="n"/>
      <c r="Y1510" s="24" t="n"/>
    </row>
    <row r="1511">
      <c r="O1511" s="23" t="n"/>
      <c r="R1511" s="24" t="n"/>
      <c r="S1511" s="24" t="n"/>
      <c r="Y1511" s="24" t="n"/>
    </row>
    <row r="1512">
      <c r="O1512" s="23" t="n"/>
      <c r="R1512" s="24" t="n"/>
      <c r="S1512" s="24" t="n"/>
      <c r="Y1512" s="24" t="n"/>
    </row>
    <row r="1513">
      <c r="O1513" s="23" t="n"/>
      <c r="R1513" s="24" t="n"/>
      <c r="S1513" s="24" t="n"/>
      <c r="Y1513" s="24" t="n"/>
    </row>
    <row r="1514">
      <c r="O1514" s="23" t="n"/>
      <c r="R1514" s="24" t="n"/>
      <c r="S1514" s="24" t="n"/>
      <c r="Y1514" s="24" t="n"/>
    </row>
    <row r="1515">
      <c r="O1515" s="23" t="n"/>
      <c r="R1515" s="24" t="n"/>
      <c r="S1515" s="24" t="n"/>
      <c r="Y1515" s="24" t="n"/>
    </row>
    <row r="1516">
      <c r="O1516" s="23" t="n"/>
      <c r="R1516" s="24" t="n"/>
      <c r="S1516" s="24" t="n"/>
      <c r="Y1516" s="24" t="n"/>
    </row>
    <row r="1517">
      <c r="O1517" s="23" t="n"/>
      <c r="R1517" s="24" t="n"/>
      <c r="S1517" s="24" t="n"/>
      <c r="Y1517" s="24" t="n"/>
    </row>
    <row r="1518">
      <c r="O1518" s="23" t="n"/>
      <c r="R1518" s="24" t="n"/>
      <c r="S1518" s="24" t="n"/>
      <c r="Y1518" s="24" t="n"/>
    </row>
    <row r="1519">
      <c r="O1519" s="23" t="n"/>
      <c r="R1519" s="24" t="n"/>
      <c r="S1519" s="24" t="n"/>
      <c r="Y1519" s="24" t="n"/>
    </row>
    <row r="1520">
      <c r="O1520" s="23" t="n"/>
      <c r="R1520" s="24" t="n"/>
      <c r="S1520" s="24" t="n"/>
      <c r="Y1520" s="24" t="n"/>
    </row>
    <row r="1521">
      <c r="O1521" s="23" t="n"/>
      <c r="R1521" s="24" t="n"/>
      <c r="S1521" s="24" t="n"/>
      <c r="Y1521" s="24" t="n"/>
    </row>
    <row r="1522">
      <c r="O1522" s="23" t="n"/>
      <c r="R1522" s="24" t="n"/>
      <c r="S1522" s="24" t="n"/>
      <c r="Y1522" s="24" t="n"/>
    </row>
    <row r="1523">
      <c r="O1523" s="23" t="n"/>
      <c r="R1523" s="24" t="n"/>
      <c r="S1523" s="24" t="n"/>
      <c r="Y1523" s="24" t="n"/>
    </row>
    <row r="1524">
      <c r="O1524" s="23" t="n"/>
      <c r="R1524" s="24" t="n"/>
      <c r="S1524" s="24" t="n"/>
      <c r="Y1524" s="24" t="n"/>
    </row>
    <row r="1525">
      <c r="O1525" s="23" t="n"/>
      <c r="R1525" s="24" t="n"/>
      <c r="S1525" s="24" t="n"/>
      <c r="Y1525" s="24" t="n"/>
    </row>
    <row r="1526">
      <c r="O1526" s="23" t="n"/>
      <c r="R1526" s="24" t="n"/>
      <c r="S1526" s="24" t="n"/>
      <c r="Y1526" s="24" t="n"/>
    </row>
    <row r="1527">
      <c r="O1527" s="23" t="n"/>
      <c r="R1527" s="24" t="n"/>
      <c r="S1527" s="24" t="n"/>
      <c r="Y1527" s="24" t="n"/>
    </row>
    <row r="1528">
      <c r="O1528" s="23" t="n"/>
      <c r="R1528" s="24" t="n"/>
      <c r="S1528" s="24" t="n"/>
      <c r="Y1528" s="24" t="n"/>
    </row>
    <row r="1529">
      <c r="O1529" s="23" t="n"/>
      <c r="R1529" s="24" t="n"/>
      <c r="S1529" s="24" t="n"/>
      <c r="Y1529" s="24" t="n"/>
    </row>
    <row r="1530">
      <c r="O1530" s="23" t="n"/>
      <c r="R1530" s="24" t="n"/>
      <c r="S1530" s="24" t="n"/>
      <c r="Y1530" s="24" t="n"/>
    </row>
    <row r="1531">
      <c r="O1531" s="23" t="n"/>
      <c r="R1531" s="24" t="n"/>
      <c r="S1531" s="24" t="n"/>
      <c r="Y1531" s="24" t="n"/>
    </row>
    <row r="1532">
      <c r="O1532" s="23" t="n"/>
      <c r="R1532" s="24" t="n"/>
      <c r="S1532" s="24" t="n"/>
      <c r="Y1532" s="24" t="n"/>
    </row>
    <row r="1533">
      <c r="O1533" s="23" t="n"/>
      <c r="R1533" s="24" t="n"/>
      <c r="S1533" s="24" t="n"/>
      <c r="Y1533" s="24" t="n"/>
    </row>
    <row r="1534">
      <c r="O1534" s="23" t="n"/>
      <c r="R1534" s="24" t="n"/>
      <c r="S1534" s="24" t="n"/>
      <c r="Y1534" s="24" t="n"/>
    </row>
    <row r="1535">
      <c r="O1535" s="23" t="n"/>
      <c r="R1535" s="24" t="n"/>
      <c r="S1535" s="24" t="n"/>
      <c r="Y1535" s="24" t="n"/>
    </row>
    <row r="1536">
      <c r="O1536" s="23" t="n"/>
      <c r="R1536" s="24" t="n"/>
      <c r="S1536" s="24" t="n"/>
      <c r="Y1536" s="24" t="n"/>
    </row>
    <row r="1537">
      <c r="O1537" s="23" t="n"/>
      <c r="R1537" s="24" t="n"/>
      <c r="S1537" s="24" t="n"/>
      <c r="Y1537" s="24" t="n"/>
    </row>
    <row r="1538">
      <c r="O1538" s="23" t="n"/>
      <c r="R1538" s="24" t="n"/>
      <c r="S1538" s="24" t="n"/>
      <c r="Y1538" s="24" t="n"/>
    </row>
    <row r="1539">
      <c r="O1539" s="23" t="n"/>
      <c r="R1539" s="24" t="n"/>
      <c r="S1539" s="24" t="n"/>
      <c r="Y1539" s="24" t="n"/>
    </row>
    <row r="1540">
      <c r="O1540" s="23" t="n"/>
      <c r="R1540" s="24" t="n"/>
      <c r="S1540" s="24" t="n"/>
      <c r="Y1540" s="24" t="n"/>
    </row>
    <row r="1541">
      <c r="O1541" s="23" t="n"/>
      <c r="R1541" s="24" t="n"/>
      <c r="S1541" s="24" t="n"/>
      <c r="Y1541" s="24" t="n"/>
    </row>
    <row r="1542">
      <c r="O1542" s="23" t="n"/>
      <c r="R1542" s="24" t="n"/>
      <c r="S1542" s="24" t="n"/>
      <c r="Y1542" s="24" t="n"/>
    </row>
    <row r="1543">
      <c r="O1543" s="23" t="n"/>
      <c r="R1543" s="24" t="n"/>
      <c r="S1543" s="24" t="n"/>
      <c r="Y1543" s="24" t="n"/>
    </row>
    <row r="1544">
      <c r="O1544" s="23" t="n"/>
      <c r="R1544" s="24" t="n"/>
      <c r="S1544" s="24" t="n"/>
      <c r="Y1544" s="24" t="n"/>
    </row>
    <row r="1545">
      <c r="O1545" s="23" t="n"/>
      <c r="R1545" s="24" t="n"/>
      <c r="S1545" s="24" t="n"/>
      <c r="Y1545" s="24" t="n"/>
    </row>
    <row r="1546">
      <c r="O1546" s="23" t="n"/>
      <c r="R1546" s="24" t="n"/>
      <c r="S1546" s="24" t="n"/>
      <c r="Y1546" s="24" t="n"/>
    </row>
    <row r="1547">
      <c r="O1547" s="23" t="n"/>
      <c r="R1547" s="24" t="n"/>
      <c r="S1547" s="24" t="n"/>
      <c r="Y1547" s="24" t="n"/>
    </row>
    <row r="1548">
      <c r="O1548" s="23" t="n"/>
      <c r="R1548" s="24" t="n"/>
      <c r="S1548" s="24" t="n"/>
      <c r="Y1548" s="24" t="n"/>
    </row>
    <row r="1549">
      <c r="O1549" s="23" t="n"/>
      <c r="R1549" s="24" t="n"/>
      <c r="S1549" s="24" t="n"/>
      <c r="Y1549" s="24" t="n"/>
    </row>
    <row r="1550">
      <c r="O1550" s="23" t="n"/>
      <c r="R1550" s="24" t="n"/>
      <c r="S1550" s="24" t="n"/>
      <c r="Y1550" s="24" t="n"/>
    </row>
    <row r="1551">
      <c r="O1551" s="23" t="n"/>
      <c r="R1551" s="24" t="n"/>
      <c r="S1551" s="24" t="n"/>
      <c r="Y1551" s="24" t="n"/>
    </row>
    <row r="1552">
      <c r="O1552" s="23" t="n"/>
      <c r="R1552" s="24" t="n"/>
      <c r="S1552" s="24" t="n"/>
      <c r="Y1552" s="24" t="n"/>
    </row>
    <row r="1553">
      <c r="O1553" s="23" t="n"/>
      <c r="R1553" s="24" t="n"/>
      <c r="S1553" s="24" t="n"/>
      <c r="Y1553" s="24" t="n"/>
    </row>
    <row r="1554">
      <c r="O1554" s="23" t="n"/>
      <c r="R1554" s="24" t="n"/>
      <c r="S1554" s="24" t="n"/>
      <c r="Y1554" s="24" t="n"/>
    </row>
    <row r="1555">
      <c r="O1555" s="23" t="n"/>
      <c r="R1555" s="24" t="n"/>
      <c r="S1555" s="24" t="n"/>
      <c r="Y1555" s="24" t="n"/>
    </row>
    <row r="1556">
      <c r="O1556" s="23" t="n"/>
      <c r="R1556" s="24" t="n"/>
      <c r="S1556" s="24" t="n"/>
      <c r="Y1556" s="24" t="n"/>
    </row>
    <row r="1557">
      <c r="O1557" s="23" t="n"/>
      <c r="R1557" s="24" t="n"/>
      <c r="S1557" s="24" t="n"/>
      <c r="Y1557" s="24" t="n"/>
    </row>
    <row r="1558">
      <c r="O1558" s="23" t="n"/>
      <c r="R1558" s="24" t="n"/>
      <c r="S1558" s="24" t="n"/>
      <c r="Y1558" s="24" t="n"/>
    </row>
    <row r="1559">
      <c r="O1559" s="23" t="n"/>
      <c r="R1559" s="24" t="n"/>
      <c r="S1559" s="24" t="n"/>
      <c r="Y1559" s="24" t="n"/>
    </row>
    <row r="1560">
      <c r="O1560" s="23" t="n"/>
      <c r="R1560" s="24" t="n"/>
      <c r="S1560" s="24" t="n"/>
      <c r="Y1560" s="24" t="n"/>
    </row>
    <row r="1561">
      <c r="O1561" s="23" t="n"/>
      <c r="R1561" s="24" t="n"/>
      <c r="S1561" s="24" t="n"/>
      <c r="Y1561" s="24" t="n"/>
    </row>
    <row r="1562">
      <c r="O1562" s="23" t="n"/>
      <c r="R1562" s="24" t="n"/>
      <c r="S1562" s="24" t="n"/>
      <c r="Y1562" s="24" t="n"/>
    </row>
    <row r="1563">
      <c r="O1563" s="23" t="n"/>
      <c r="R1563" s="24" t="n"/>
      <c r="S1563" s="24" t="n"/>
      <c r="Y1563" s="24" t="n"/>
    </row>
    <row r="1564">
      <c r="O1564" s="23" t="n"/>
      <c r="R1564" s="24" t="n"/>
      <c r="S1564" s="24" t="n"/>
      <c r="Y1564" s="24" t="n"/>
    </row>
    <row r="1565">
      <c r="O1565" s="23" t="n"/>
      <c r="R1565" s="24" t="n"/>
      <c r="S1565" s="24" t="n"/>
      <c r="Y1565" s="24" t="n"/>
    </row>
    <row r="1566">
      <c r="O1566" s="23" t="n"/>
      <c r="R1566" s="24" t="n"/>
      <c r="S1566" s="24" t="n"/>
      <c r="Y1566" s="24" t="n"/>
    </row>
    <row r="1567">
      <c r="O1567" s="23" t="n"/>
      <c r="R1567" s="24" t="n"/>
      <c r="S1567" s="24" t="n"/>
      <c r="Y1567" s="24" t="n"/>
    </row>
    <row r="1568">
      <c r="O1568" s="23" t="n"/>
      <c r="R1568" s="24" t="n"/>
      <c r="S1568" s="24" t="n"/>
      <c r="Y1568" s="24" t="n"/>
    </row>
    <row r="1569">
      <c r="O1569" s="23" t="n"/>
      <c r="R1569" s="24" t="n"/>
      <c r="S1569" s="24" t="n"/>
      <c r="Y1569" s="24" t="n"/>
    </row>
    <row r="1570">
      <c r="O1570" s="23" t="n"/>
      <c r="R1570" s="24" t="n"/>
      <c r="S1570" s="24" t="n"/>
      <c r="Y1570" s="24" t="n"/>
    </row>
    <row r="1571">
      <c r="O1571" s="23" t="n"/>
      <c r="R1571" s="24" t="n"/>
      <c r="S1571" s="24" t="n"/>
      <c r="Y1571" s="24" t="n"/>
    </row>
    <row r="1572">
      <c r="O1572" s="23" t="n"/>
      <c r="R1572" s="24" t="n"/>
      <c r="S1572" s="24" t="n"/>
      <c r="Y1572" s="24" t="n"/>
    </row>
    <row r="1573">
      <c r="O1573" s="23" t="n"/>
      <c r="R1573" s="24" t="n"/>
      <c r="S1573" s="24" t="n"/>
      <c r="Y1573" s="24" t="n"/>
    </row>
    <row r="1574">
      <c r="O1574" s="23" t="n"/>
      <c r="R1574" s="24" t="n"/>
      <c r="S1574" s="24" t="n"/>
      <c r="Y1574" s="24" t="n"/>
    </row>
    <row r="1575">
      <c r="O1575" s="23" t="n"/>
      <c r="R1575" s="24" t="n"/>
      <c r="S1575" s="24" t="n"/>
      <c r="Y1575" s="24" t="n"/>
    </row>
    <row r="1576">
      <c r="O1576" s="23" t="n"/>
      <c r="R1576" s="24" t="n"/>
      <c r="S1576" s="24" t="n"/>
      <c r="Y1576" s="24" t="n"/>
    </row>
    <row r="1577">
      <c r="O1577" s="23" t="n"/>
      <c r="R1577" s="24" t="n"/>
      <c r="S1577" s="24" t="n"/>
      <c r="Y1577" s="24" t="n"/>
    </row>
    <row r="1578">
      <c r="O1578" s="23" t="n"/>
      <c r="R1578" s="24" t="n"/>
      <c r="S1578" s="24" t="n"/>
      <c r="Y1578" s="24" t="n"/>
    </row>
    <row r="1579">
      <c r="O1579" s="23" t="n"/>
      <c r="R1579" s="24" t="n"/>
      <c r="S1579" s="24" t="n"/>
      <c r="Y1579" s="24" t="n"/>
    </row>
    <row r="1580">
      <c r="O1580" s="23" t="n"/>
      <c r="R1580" s="24" t="n"/>
      <c r="S1580" s="24" t="n"/>
      <c r="Y1580" s="24" t="n"/>
    </row>
    <row r="1581">
      <c r="O1581" s="23" t="n"/>
      <c r="R1581" s="24" t="n"/>
      <c r="S1581" s="24" t="n"/>
      <c r="Y1581" s="24" t="n"/>
    </row>
    <row r="1582">
      <c r="O1582" s="23" t="n"/>
      <c r="R1582" s="24" t="n"/>
      <c r="S1582" s="24" t="n"/>
      <c r="Y1582" s="24" t="n"/>
    </row>
    <row r="1583">
      <c r="O1583" s="23" t="n"/>
      <c r="R1583" s="24" t="n"/>
      <c r="S1583" s="24" t="n"/>
      <c r="Y1583" s="24" t="n"/>
    </row>
    <row r="1584">
      <c r="O1584" s="23" t="n"/>
      <c r="R1584" s="24" t="n"/>
      <c r="S1584" s="24" t="n"/>
      <c r="Y1584" s="24" t="n"/>
    </row>
    <row r="1585">
      <c r="O1585" s="23" t="n"/>
      <c r="R1585" s="24" t="n"/>
      <c r="S1585" s="24" t="n"/>
      <c r="Y1585" s="24" t="n"/>
    </row>
    <row r="1586">
      <c r="O1586" s="23" t="n"/>
      <c r="R1586" s="24" t="n"/>
      <c r="S1586" s="24" t="n"/>
      <c r="Y1586" s="24" t="n"/>
    </row>
    <row r="1587">
      <c r="O1587" s="23" t="n"/>
      <c r="R1587" s="24" t="n"/>
      <c r="S1587" s="24" t="n"/>
      <c r="Y1587" s="24" t="n"/>
    </row>
    <row r="1588">
      <c r="O1588" s="23" t="n"/>
      <c r="R1588" s="24" t="n"/>
      <c r="S1588" s="24" t="n"/>
      <c r="Y1588" s="24" t="n"/>
    </row>
    <row r="1589">
      <c r="O1589" s="23" t="n"/>
      <c r="R1589" s="24" t="n"/>
      <c r="S1589" s="24" t="n"/>
      <c r="Y1589" s="24" t="n"/>
    </row>
    <row r="1590">
      <c r="O1590" s="23" t="n"/>
      <c r="R1590" s="24" t="n"/>
      <c r="S1590" s="24" t="n"/>
      <c r="Y1590" s="24" t="n"/>
    </row>
    <row r="1591">
      <c r="O1591" s="23" t="n"/>
      <c r="R1591" s="24" t="n"/>
      <c r="S1591" s="24" t="n"/>
      <c r="Y1591" s="24" t="n"/>
    </row>
    <row r="1592">
      <c r="O1592" s="23" t="n"/>
      <c r="R1592" s="24" t="n"/>
      <c r="S1592" s="24" t="n"/>
      <c r="Y1592" s="24" t="n"/>
    </row>
    <row r="1593">
      <c r="O1593" s="23" t="n"/>
      <c r="R1593" s="24" t="n"/>
      <c r="S1593" s="24" t="n"/>
      <c r="Y1593" s="24" t="n"/>
    </row>
    <row r="1594">
      <c r="O1594" s="23" t="n"/>
      <c r="R1594" s="24" t="n"/>
      <c r="S1594" s="24" t="n"/>
      <c r="Y1594" s="24" t="n"/>
    </row>
    <row r="1595">
      <c r="O1595" s="23" t="n"/>
      <c r="R1595" s="24" t="n"/>
      <c r="S1595" s="24" t="n"/>
      <c r="Y1595" s="24" t="n"/>
    </row>
    <row r="1596">
      <c r="O1596" s="23" t="n"/>
      <c r="R1596" s="24" t="n"/>
      <c r="S1596" s="24" t="n"/>
      <c r="Y1596" s="24" t="n"/>
    </row>
    <row r="1597">
      <c r="O1597" s="23" t="n"/>
      <c r="R1597" s="24" t="n"/>
      <c r="S1597" s="24" t="n"/>
      <c r="Y1597" s="24" t="n"/>
    </row>
    <row r="1598">
      <c r="O1598" s="23" t="n"/>
      <c r="R1598" s="24" t="n"/>
      <c r="S1598" s="24" t="n"/>
      <c r="Y1598" s="24" t="n"/>
    </row>
    <row r="1599">
      <c r="O1599" s="23" t="n"/>
      <c r="R1599" s="24" t="n"/>
      <c r="S1599" s="24" t="n"/>
      <c r="Y1599" s="24" t="n"/>
    </row>
    <row r="1600">
      <c r="O1600" s="23" t="n"/>
      <c r="R1600" s="24" t="n"/>
      <c r="S1600" s="24" t="n"/>
      <c r="Y1600" s="24" t="n"/>
    </row>
    <row r="1601">
      <c r="O1601" s="23" t="n"/>
      <c r="R1601" s="24" t="n"/>
      <c r="S1601" s="24" t="n"/>
      <c r="Y1601" s="24" t="n"/>
    </row>
    <row r="1602">
      <c r="O1602" s="23" t="n"/>
      <c r="R1602" s="24" t="n"/>
      <c r="S1602" s="24" t="n"/>
      <c r="Y1602" s="24" t="n"/>
    </row>
    <row r="1603">
      <c r="O1603" s="23" t="n"/>
      <c r="R1603" s="24" t="n"/>
      <c r="S1603" s="24" t="n"/>
      <c r="Y1603" s="24" t="n"/>
    </row>
    <row r="1604">
      <c r="O1604" s="23" t="n"/>
      <c r="R1604" s="24" t="n"/>
      <c r="S1604" s="24" t="n"/>
      <c r="Y1604" s="24" t="n"/>
    </row>
    <row r="1605">
      <c r="O1605" s="23" t="n"/>
      <c r="R1605" s="24" t="n"/>
      <c r="S1605" s="24" t="n"/>
      <c r="Y1605" s="24" t="n"/>
    </row>
    <row r="1606">
      <c r="O1606" s="23" t="n"/>
      <c r="R1606" s="24" t="n"/>
      <c r="S1606" s="24" t="n"/>
      <c r="Y1606" s="24" t="n"/>
    </row>
    <row r="1607">
      <c r="O1607" s="23" t="n"/>
      <c r="R1607" s="24" t="n"/>
      <c r="S1607" s="24" t="n"/>
      <c r="Y1607" s="24" t="n"/>
    </row>
    <row r="1608">
      <c r="O1608" s="23" t="n"/>
      <c r="R1608" s="24" t="n"/>
      <c r="S1608" s="24" t="n"/>
      <c r="Y1608" s="24" t="n"/>
    </row>
    <row r="1609">
      <c r="O1609" s="23" t="n"/>
      <c r="R1609" s="24" t="n"/>
      <c r="S1609" s="24" t="n"/>
      <c r="Y1609" s="24" t="n"/>
    </row>
    <row r="1610">
      <c r="O1610" s="23" t="n"/>
      <c r="R1610" s="24" t="n"/>
      <c r="S1610" s="24" t="n"/>
      <c r="Y1610" s="24" t="n"/>
    </row>
    <row r="1611">
      <c r="O1611" s="23" t="n"/>
      <c r="R1611" s="24" t="n"/>
      <c r="S1611" s="24" t="n"/>
      <c r="Y1611" s="24" t="n"/>
    </row>
    <row r="1612">
      <c r="O1612" s="23" t="n"/>
      <c r="R1612" s="24" t="n"/>
      <c r="S1612" s="24" t="n"/>
      <c r="Y1612" s="24" t="n"/>
    </row>
    <row r="1613">
      <c r="O1613" s="23" t="n"/>
      <c r="R1613" s="24" t="n"/>
      <c r="S1613" s="24" t="n"/>
      <c r="Y1613" s="24" t="n"/>
    </row>
    <row r="1614">
      <c r="O1614" s="23" t="n"/>
      <c r="R1614" s="24" t="n"/>
      <c r="S1614" s="24" t="n"/>
      <c r="Y1614" s="24" t="n"/>
    </row>
    <row r="1615">
      <c r="O1615" s="23" t="n"/>
      <c r="R1615" s="24" t="n"/>
      <c r="S1615" s="24" t="n"/>
      <c r="Y1615" s="24" t="n"/>
    </row>
    <row r="1616">
      <c r="O1616" s="23" t="n"/>
      <c r="R1616" s="24" t="n"/>
      <c r="S1616" s="24" t="n"/>
      <c r="Y1616" s="24" t="n"/>
    </row>
    <row r="1617">
      <c r="O1617" s="23" t="n"/>
      <c r="R1617" s="24" t="n"/>
      <c r="S1617" s="24" t="n"/>
      <c r="Y1617" s="24" t="n"/>
    </row>
    <row r="1618">
      <c r="O1618" s="23" t="n"/>
      <c r="R1618" s="24" t="n"/>
      <c r="S1618" s="24" t="n"/>
      <c r="Y1618" s="24" t="n"/>
    </row>
    <row r="1619">
      <c r="O1619" s="23" t="n"/>
      <c r="R1619" s="24" t="n"/>
      <c r="S1619" s="24" t="n"/>
      <c r="Y1619" s="24" t="n"/>
    </row>
    <row r="1620">
      <c r="O1620" s="23" t="n"/>
      <c r="R1620" s="24" t="n"/>
      <c r="S1620" s="24" t="n"/>
      <c r="Y1620" s="24" t="n"/>
    </row>
    <row r="1621">
      <c r="O1621" s="23" t="n"/>
      <c r="R1621" s="24" t="n"/>
      <c r="S1621" s="24" t="n"/>
      <c r="Y1621" s="24" t="n"/>
    </row>
    <row r="1622">
      <c r="O1622" s="23" t="n"/>
      <c r="R1622" s="24" t="n"/>
      <c r="S1622" s="24" t="n"/>
      <c r="Y1622" s="24" t="n"/>
    </row>
    <row r="1623">
      <c r="O1623" s="23" t="n"/>
      <c r="R1623" s="24" t="n"/>
      <c r="S1623" s="24" t="n"/>
      <c r="Y1623" s="24" t="n"/>
    </row>
    <row r="1624">
      <c r="O1624" s="23" t="n"/>
      <c r="R1624" s="24" t="n"/>
      <c r="S1624" s="24" t="n"/>
      <c r="Y1624" s="24" t="n"/>
    </row>
    <row r="1625">
      <c r="O1625" s="23" t="n"/>
      <c r="R1625" s="24" t="n"/>
      <c r="S1625" s="24" t="n"/>
      <c r="Y1625" s="24" t="n"/>
    </row>
    <row r="1626">
      <c r="O1626" s="23" t="n"/>
      <c r="R1626" s="24" t="n"/>
      <c r="S1626" s="24" t="n"/>
      <c r="Y1626" s="24" t="n"/>
    </row>
    <row r="1627">
      <c r="O1627" s="23" t="n"/>
      <c r="R1627" s="24" t="n"/>
      <c r="S1627" s="24" t="n"/>
      <c r="Y1627" s="24" t="n"/>
    </row>
    <row r="1628">
      <c r="O1628" s="23" t="n"/>
      <c r="R1628" s="24" t="n"/>
      <c r="S1628" s="24" t="n"/>
      <c r="Y1628" s="24" t="n"/>
    </row>
    <row r="1629">
      <c r="O1629" s="23" t="n"/>
      <c r="R1629" s="24" t="n"/>
      <c r="S1629" s="24" t="n"/>
      <c r="Y1629" s="24" t="n"/>
    </row>
    <row r="1630">
      <c r="O1630" s="23" t="n"/>
      <c r="R1630" s="24" t="n"/>
      <c r="S1630" s="24" t="n"/>
      <c r="Y1630" s="24" t="n"/>
    </row>
    <row r="1631">
      <c r="O1631" s="23" t="n"/>
      <c r="R1631" s="24" t="n"/>
      <c r="S1631" s="24" t="n"/>
      <c r="Y1631" s="24" t="n"/>
    </row>
    <row r="1632">
      <c r="O1632" s="23" t="n"/>
      <c r="R1632" s="24" t="n"/>
      <c r="S1632" s="24" t="n"/>
      <c r="Y1632" s="24" t="n"/>
    </row>
    <row r="1633">
      <c r="O1633" s="23" t="n"/>
      <c r="R1633" s="24" t="n"/>
      <c r="S1633" s="24" t="n"/>
      <c r="Y1633" s="24" t="n"/>
    </row>
    <row r="1634">
      <c r="O1634" s="23" t="n"/>
      <c r="R1634" s="24" t="n"/>
      <c r="S1634" s="24" t="n"/>
      <c r="Y1634" s="24" t="n"/>
    </row>
    <row r="1635">
      <c r="O1635" s="23" t="n"/>
      <c r="R1635" s="24" t="n"/>
      <c r="S1635" s="24" t="n"/>
      <c r="Y1635" s="24" t="n"/>
    </row>
    <row r="1636">
      <c r="O1636" s="23" t="n"/>
      <c r="R1636" s="24" t="n"/>
      <c r="S1636" s="24" t="n"/>
      <c r="Y1636" s="24" t="n"/>
    </row>
    <row r="1637">
      <c r="O1637" s="23" t="n"/>
      <c r="R1637" s="24" t="n"/>
      <c r="S1637" s="24" t="n"/>
      <c r="Y1637" s="24" t="n"/>
    </row>
    <row r="1638">
      <c r="O1638" s="23" t="n"/>
      <c r="R1638" s="24" t="n"/>
      <c r="S1638" s="24" t="n"/>
      <c r="Y1638" s="24" t="n"/>
    </row>
    <row r="1639">
      <c r="O1639" s="23" t="n"/>
      <c r="R1639" s="24" t="n"/>
      <c r="S1639" s="24" t="n"/>
      <c r="Y1639" s="24" t="n"/>
    </row>
    <row r="1640">
      <c r="O1640" s="23" t="n"/>
      <c r="R1640" s="24" t="n"/>
      <c r="S1640" s="24" t="n"/>
      <c r="Y1640" s="24" t="n"/>
    </row>
    <row r="1641">
      <c r="O1641" s="23" t="n"/>
      <c r="R1641" s="24" t="n"/>
      <c r="S1641" s="24" t="n"/>
      <c r="Y1641" s="24" t="n"/>
    </row>
    <row r="1642">
      <c r="O1642" s="23" t="n"/>
      <c r="R1642" s="24" t="n"/>
      <c r="S1642" s="24" t="n"/>
      <c r="Y1642" s="24" t="n"/>
    </row>
    <row r="1643">
      <c r="O1643" s="23" t="n"/>
      <c r="R1643" s="24" t="n"/>
      <c r="S1643" s="24" t="n"/>
      <c r="Y1643" s="24" t="n"/>
    </row>
    <row r="1644">
      <c r="O1644" s="23" t="n"/>
      <c r="R1644" s="24" t="n"/>
      <c r="S1644" s="24" t="n"/>
      <c r="Y1644" s="24" t="n"/>
    </row>
    <row r="1645">
      <c r="O1645" s="23" t="n"/>
      <c r="R1645" s="24" t="n"/>
      <c r="S1645" s="24" t="n"/>
      <c r="Y1645" s="24" t="n"/>
    </row>
    <row r="1646">
      <c r="O1646" s="23" t="n"/>
      <c r="R1646" s="24" t="n"/>
      <c r="S1646" s="24" t="n"/>
      <c r="Y1646" s="24" t="n"/>
    </row>
    <row r="1647">
      <c r="O1647" s="23" t="n"/>
      <c r="R1647" s="24" t="n"/>
      <c r="S1647" s="24" t="n"/>
      <c r="Y1647" s="24" t="n"/>
    </row>
    <row r="1648">
      <c r="O1648" s="23" t="n"/>
      <c r="R1648" s="24" t="n"/>
      <c r="S1648" s="24" t="n"/>
      <c r="Y1648" s="24" t="n"/>
    </row>
    <row r="1649">
      <c r="O1649" s="23" t="n"/>
      <c r="R1649" s="24" t="n"/>
      <c r="S1649" s="24" t="n"/>
      <c r="Y1649" s="24" t="n"/>
    </row>
    <row r="1650">
      <c r="O1650" s="23" t="n"/>
      <c r="R1650" s="24" t="n"/>
      <c r="S1650" s="24" t="n"/>
      <c r="Y1650" s="24" t="n"/>
    </row>
    <row r="1651">
      <c r="O1651" s="23" t="n"/>
      <c r="R1651" s="24" t="n"/>
      <c r="S1651" s="24" t="n"/>
      <c r="Y1651" s="24" t="n"/>
    </row>
    <row r="1652">
      <c r="O1652" s="23" t="n"/>
      <c r="R1652" s="24" t="n"/>
      <c r="S1652" s="24" t="n"/>
      <c r="Y1652" s="24" t="n"/>
    </row>
    <row r="1653">
      <c r="O1653" s="23" t="n"/>
      <c r="R1653" s="24" t="n"/>
      <c r="S1653" s="24" t="n"/>
      <c r="Y1653" s="24" t="n"/>
    </row>
    <row r="1654">
      <c r="O1654" s="23" t="n"/>
      <c r="R1654" s="24" t="n"/>
      <c r="S1654" s="24" t="n"/>
      <c r="Y1654" s="24" t="n"/>
    </row>
    <row r="1655">
      <c r="O1655" s="23" t="n"/>
      <c r="R1655" s="24" t="n"/>
      <c r="S1655" s="24" t="n"/>
      <c r="Y1655" s="24" t="n"/>
    </row>
    <row r="1656">
      <c r="O1656" s="23" t="n"/>
      <c r="R1656" s="24" t="n"/>
      <c r="S1656" s="24" t="n"/>
      <c r="Y1656" s="24" t="n"/>
    </row>
    <row r="1657">
      <c r="O1657" s="23" t="n"/>
      <c r="R1657" s="24" t="n"/>
      <c r="S1657" s="24" t="n"/>
      <c r="Y1657" s="24" t="n"/>
    </row>
    <row r="1658">
      <c r="O1658" s="23" t="n"/>
      <c r="R1658" s="24" t="n"/>
      <c r="S1658" s="24" t="n"/>
      <c r="Y1658" s="24" t="n"/>
    </row>
    <row r="1659">
      <c r="O1659" s="23" t="n"/>
      <c r="R1659" s="24" t="n"/>
      <c r="S1659" s="24" t="n"/>
      <c r="Y1659" s="24" t="n"/>
    </row>
    <row r="1660">
      <c r="O1660" s="23" t="n"/>
      <c r="R1660" s="24" t="n"/>
      <c r="S1660" s="24" t="n"/>
      <c r="Y1660" s="24" t="n"/>
    </row>
    <row r="1661">
      <c r="O1661" s="23" t="n"/>
      <c r="R1661" s="24" t="n"/>
      <c r="S1661" s="24" t="n"/>
      <c r="Y1661" s="24" t="n"/>
    </row>
    <row r="1662">
      <c r="O1662" s="23" t="n"/>
      <c r="R1662" s="24" t="n"/>
      <c r="S1662" s="24" t="n"/>
      <c r="Y1662" s="24" t="n"/>
    </row>
    <row r="1663">
      <c r="O1663" s="23" t="n"/>
      <c r="R1663" s="24" t="n"/>
      <c r="S1663" s="24" t="n"/>
      <c r="Y1663" s="24" t="n"/>
    </row>
    <row r="1664">
      <c r="O1664" s="23" t="n"/>
      <c r="R1664" s="24" t="n"/>
      <c r="S1664" s="24" t="n"/>
      <c r="Y1664" s="24" t="n"/>
    </row>
    <row r="1665">
      <c r="O1665" s="23" t="n"/>
      <c r="R1665" s="24" t="n"/>
      <c r="S1665" s="24" t="n"/>
      <c r="Y1665" s="24" t="n"/>
    </row>
    <row r="1666">
      <c r="O1666" s="23" t="n"/>
      <c r="R1666" s="24" t="n"/>
      <c r="S1666" s="24" t="n"/>
      <c r="Y1666" s="24" t="n"/>
    </row>
    <row r="1667">
      <c r="O1667" s="23" t="n"/>
      <c r="R1667" s="24" t="n"/>
      <c r="S1667" s="24" t="n"/>
      <c r="Y1667" s="24" t="n"/>
    </row>
    <row r="1668">
      <c r="O1668" s="23" t="n"/>
      <c r="R1668" s="24" t="n"/>
      <c r="S1668" s="24" t="n"/>
      <c r="Y1668" s="24" t="n"/>
    </row>
    <row r="1669">
      <c r="O1669" s="23" t="n"/>
      <c r="R1669" s="24" t="n"/>
      <c r="S1669" s="24" t="n"/>
      <c r="Y1669" s="24" t="n"/>
    </row>
    <row r="1670">
      <c r="O1670" s="23" t="n"/>
      <c r="R1670" s="24" t="n"/>
      <c r="S1670" s="24" t="n"/>
      <c r="Y1670" s="24" t="n"/>
    </row>
    <row r="1671">
      <c r="O1671" s="23" t="n"/>
      <c r="R1671" s="24" t="n"/>
      <c r="S1671" s="24" t="n"/>
      <c r="Y1671" s="24" t="n"/>
    </row>
    <row r="1672">
      <c r="O1672" s="23" t="n"/>
      <c r="R1672" s="24" t="n"/>
      <c r="S1672" s="24" t="n"/>
      <c r="Y1672" s="24" t="n"/>
    </row>
    <row r="1673">
      <c r="O1673" s="23" t="n"/>
      <c r="R1673" s="24" t="n"/>
      <c r="S1673" s="24" t="n"/>
      <c r="Y1673" s="24" t="n"/>
    </row>
    <row r="1674">
      <c r="O1674" s="23" t="n"/>
      <c r="R1674" s="24" t="n"/>
      <c r="S1674" s="24" t="n"/>
      <c r="Y1674" s="24" t="n"/>
    </row>
    <row r="1675">
      <c r="O1675" s="23" t="n"/>
      <c r="R1675" s="24" t="n"/>
      <c r="S1675" s="24" t="n"/>
      <c r="Y1675" s="24" t="n"/>
    </row>
    <row r="1676">
      <c r="O1676" s="23" t="n"/>
      <c r="R1676" s="24" t="n"/>
      <c r="S1676" s="24" t="n"/>
      <c r="Y1676" s="24" t="n"/>
    </row>
    <row r="1677">
      <c r="O1677" s="23" t="n"/>
      <c r="R1677" s="24" t="n"/>
      <c r="S1677" s="24" t="n"/>
      <c r="Y1677" s="24" t="n"/>
    </row>
    <row r="1678">
      <c r="O1678" s="23" t="n"/>
      <c r="R1678" s="24" t="n"/>
      <c r="S1678" s="24" t="n"/>
      <c r="Y1678" s="24" t="n"/>
    </row>
    <row r="1679">
      <c r="O1679" s="23" t="n"/>
      <c r="R1679" s="24" t="n"/>
      <c r="S1679" s="24" t="n"/>
      <c r="Y1679" s="24" t="n"/>
    </row>
    <row r="1680">
      <c r="O1680" s="23" t="n"/>
      <c r="R1680" s="24" t="n"/>
      <c r="S1680" s="24" t="n"/>
      <c r="Y1680" s="24" t="n"/>
    </row>
    <row r="1681">
      <c r="O1681" s="23" t="n"/>
      <c r="R1681" s="24" t="n"/>
      <c r="S1681" s="24" t="n"/>
      <c r="Y1681" s="24" t="n"/>
    </row>
    <row r="1682">
      <c r="O1682" s="23" t="n"/>
      <c r="R1682" s="24" t="n"/>
      <c r="S1682" s="24" t="n"/>
      <c r="Y1682" s="24" t="n"/>
    </row>
    <row r="1683">
      <c r="O1683" s="23" t="n"/>
      <c r="R1683" s="24" t="n"/>
      <c r="S1683" s="24" t="n"/>
      <c r="Y1683" s="24" t="n"/>
    </row>
    <row r="1684">
      <c r="O1684" s="23" t="n"/>
      <c r="R1684" s="24" t="n"/>
      <c r="S1684" s="24" t="n"/>
      <c r="Y1684" s="24" t="n"/>
    </row>
    <row r="1685">
      <c r="O1685" s="23" t="n"/>
      <c r="R1685" s="24" t="n"/>
      <c r="S1685" s="24" t="n"/>
      <c r="Y1685" s="24" t="n"/>
    </row>
    <row r="1686">
      <c r="O1686" s="23" t="n"/>
      <c r="R1686" s="24" t="n"/>
      <c r="S1686" s="24" t="n"/>
      <c r="Y1686" s="24" t="n"/>
    </row>
    <row r="1687">
      <c r="O1687" s="23" t="n"/>
      <c r="R1687" s="24" t="n"/>
      <c r="S1687" s="24" t="n"/>
      <c r="Y1687" s="24" t="n"/>
    </row>
    <row r="1688">
      <c r="O1688" s="23" t="n"/>
      <c r="R1688" s="24" t="n"/>
      <c r="S1688" s="24" t="n"/>
      <c r="Y1688" s="24" t="n"/>
    </row>
    <row r="1689">
      <c r="O1689" s="23" t="n"/>
      <c r="R1689" s="24" t="n"/>
      <c r="S1689" s="24" t="n"/>
      <c r="Y1689" s="24" t="n"/>
    </row>
    <row r="1690">
      <c r="O1690" s="23" t="n"/>
      <c r="R1690" s="24" t="n"/>
      <c r="S1690" s="24" t="n"/>
      <c r="Y1690" s="24" t="n"/>
    </row>
    <row r="1691">
      <c r="O1691" s="23" t="n"/>
      <c r="R1691" s="24" t="n"/>
      <c r="S1691" s="24" t="n"/>
      <c r="Y1691" s="24" t="n"/>
    </row>
    <row r="1692">
      <c r="O1692" s="23" t="n"/>
      <c r="R1692" s="24" t="n"/>
      <c r="S1692" s="24" t="n"/>
      <c r="Y1692" s="24" t="n"/>
    </row>
    <row r="1693">
      <c r="O1693" s="23" t="n"/>
      <c r="R1693" s="24" t="n"/>
      <c r="S1693" s="24" t="n"/>
      <c r="Y1693" s="24" t="n"/>
    </row>
    <row r="1694">
      <c r="O1694" s="23" t="n"/>
      <c r="R1694" s="24" t="n"/>
      <c r="S1694" s="24" t="n"/>
      <c r="Y1694" s="24" t="n"/>
    </row>
    <row r="1695">
      <c r="O1695" s="23" t="n"/>
      <c r="R1695" s="24" t="n"/>
      <c r="S1695" s="24" t="n"/>
      <c r="Y1695" s="24" t="n"/>
    </row>
    <row r="1696">
      <c r="O1696" s="23" t="n"/>
      <c r="R1696" s="24" t="n"/>
      <c r="S1696" s="24" t="n"/>
      <c r="Y1696" s="24" t="n"/>
    </row>
    <row r="1697">
      <c r="O1697" s="23" t="n"/>
      <c r="R1697" s="24" t="n"/>
      <c r="S1697" s="24" t="n"/>
      <c r="Y1697" s="24" t="n"/>
    </row>
    <row r="1698">
      <c r="O1698" s="23" t="n"/>
      <c r="R1698" s="24" t="n"/>
      <c r="S1698" s="24" t="n"/>
      <c r="Y1698" s="24" t="n"/>
    </row>
    <row r="1699">
      <c r="O1699" s="23" t="n"/>
      <c r="R1699" s="24" t="n"/>
      <c r="S1699" s="24" t="n"/>
      <c r="Y1699" s="24" t="n"/>
    </row>
    <row r="1700">
      <c r="O1700" s="23" t="n"/>
      <c r="R1700" s="24" t="n"/>
      <c r="S1700" s="24" t="n"/>
      <c r="Y1700" s="24" t="n"/>
    </row>
    <row r="1701">
      <c r="O1701" s="23" t="n"/>
      <c r="R1701" s="24" t="n"/>
      <c r="S1701" s="24" t="n"/>
      <c r="Y1701" s="24" t="n"/>
    </row>
    <row r="1702">
      <c r="O1702" s="23" t="n"/>
      <c r="R1702" s="24" t="n"/>
      <c r="S1702" s="24" t="n"/>
      <c r="Y1702" s="24" t="n"/>
    </row>
    <row r="1703">
      <c r="O1703" s="23" t="n"/>
      <c r="R1703" s="24" t="n"/>
      <c r="S1703" s="24" t="n"/>
      <c r="Y1703" s="24" t="n"/>
    </row>
    <row r="1704">
      <c r="O1704" s="23" t="n"/>
      <c r="R1704" s="24" t="n"/>
      <c r="S1704" s="24" t="n"/>
      <c r="Y1704" s="24" t="n"/>
    </row>
    <row r="1705">
      <c r="O1705" s="23" t="n"/>
      <c r="R1705" s="24" t="n"/>
      <c r="S1705" s="24" t="n"/>
      <c r="Y1705" s="24" t="n"/>
    </row>
    <row r="1706">
      <c r="O1706" s="23" t="n"/>
      <c r="R1706" s="24" t="n"/>
      <c r="S1706" s="24" t="n"/>
      <c r="Y1706" s="24" t="n"/>
    </row>
    <row r="1707">
      <c r="O1707" s="23" t="n"/>
      <c r="R1707" s="24" t="n"/>
      <c r="S1707" s="24" t="n"/>
      <c r="Y1707" s="24" t="n"/>
    </row>
    <row r="1708">
      <c r="O1708" s="23" t="n"/>
      <c r="R1708" s="24" t="n"/>
      <c r="S1708" s="24" t="n"/>
      <c r="Y1708" s="24" t="n"/>
    </row>
    <row r="1709">
      <c r="O1709" s="23" t="n"/>
      <c r="R1709" s="24" t="n"/>
      <c r="S1709" s="24" t="n"/>
      <c r="Y1709" s="24" t="n"/>
    </row>
    <row r="1710">
      <c r="O1710" s="23" t="n"/>
      <c r="R1710" s="24" t="n"/>
      <c r="S1710" s="24" t="n"/>
      <c r="Y1710" s="24" t="n"/>
    </row>
    <row r="1711">
      <c r="O1711" s="23" t="n"/>
      <c r="R1711" s="24" t="n"/>
      <c r="S1711" s="24" t="n"/>
      <c r="Y1711" s="24" t="n"/>
    </row>
    <row r="1712">
      <c r="O1712" s="23" t="n"/>
      <c r="R1712" s="24" t="n"/>
      <c r="S1712" s="24" t="n"/>
      <c r="Y1712" s="24" t="n"/>
    </row>
    <row r="1713">
      <c r="O1713" s="23" t="n"/>
      <c r="R1713" s="24" t="n"/>
      <c r="S1713" s="24" t="n"/>
      <c r="Y1713" s="24" t="n"/>
    </row>
    <row r="1714">
      <c r="O1714" s="23" t="n"/>
      <c r="R1714" s="24" t="n"/>
      <c r="S1714" s="24" t="n"/>
      <c r="Y1714" s="24" t="n"/>
    </row>
    <row r="1715">
      <c r="O1715" s="23" t="n"/>
      <c r="R1715" s="24" t="n"/>
      <c r="S1715" s="24" t="n"/>
      <c r="Y1715" s="24" t="n"/>
    </row>
    <row r="1716">
      <c r="O1716" s="23" t="n"/>
      <c r="R1716" s="24" t="n"/>
      <c r="S1716" s="24" t="n"/>
      <c r="Y1716" s="24" t="n"/>
    </row>
    <row r="1717">
      <c r="O1717" s="23" t="n"/>
      <c r="R1717" s="24" t="n"/>
      <c r="S1717" s="24" t="n"/>
      <c r="Y1717" s="24" t="n"/>
    </row>
    <row r="1718">
      <c r="O1718" s="23" t="n"/>
      <c r="R1718" s="24" t="n"/>
      <c r="S1718" s="24" t="n"/>
      <c r="Y1718" s="24" t="n"/>
    </row>
    <row r="1719">
      <c r="O1719" s="23" t="n"/>
      <c r="R1719" s="24" t="n"/>
      <c r="S1719" s="24" t="n"/>
      <c r="Y1719" s="24" t="n"/>
    </row>
    <row r="1720">
      <c r="O1720" s="23" t="n"/>
      <c r="R1720" s="24" t="n"/>
      <c r="S1720" s="24" t="n"/>
      <c r="Y1720" s="24" t="n"/>
    </row>
    <row r="1721">
      <c r="O1721" s="23" t="n"/>
      <c r="R1721" s="24" t="n"/>
      <c r="S1721" s="24" t="n"/>
      <c r="Y1721" s="24" t="n"/>
    </row>
    <row r="1722">
      <c r="O1722" s="23" t="n"/>
      <c r="R1722" s="24" t="n"/>
      <c r="S1722" s="24" t="n"/>
      <c r="Y1722" s="24" t="n"/>
    </row>
    <row r="1723">
      <c r="O1723" s="23" t="n"/>
      <c r="R1723" s="24" t="n"/>
      <c r="S1723" s="24" t="n"/>
      <c r="Y1723" s="24" t="n"/>
    </row>
    <row r="1724">
      <c r="O1724" s="23" t="n"/>
      <c r="R1724" s="24" t="n"/>
      <c r="S1724" s="24" t="n"/>
      <c r="Y1724" s="24" t="n"/>
    </row>
    <row r="1725">
      <c r="O1725" s="23" t="n"/>
      <c r="R1725" s="24" t="n"/>
      <c r="S1725" s="24" t="n"/>
      <c r="Y1725" s="24" t="n"/>
    </row>
    <row r="1726">
      <c r="O1726" s="23" t="n"/>
      <c r="R1726" s="24" t="n"/>
      <c r="S1726" s="24" t="n"/>
      <c r="Y1726" s="24" t="n"/>
    </row>
    <row r="1727">
      <c r="O1727" s="23" t="n"/>
      <c r="R1727" s="24" t="n"/>
      <c r="S1727" s="24" t="n"/>
      <c r="Y1727" s="24" t="n"/>
    </row>
    <row r="1728">
      <c r="O1728" s="23" t="n"/>
      <c r="R1728" s="24" t="n"/>
      <c r="S1728" s="24" t="n"/>
      <c r="Y1728" s="24" t="n"/>
    </row>
    <row r="1729">
      <c r="O1729" s="23" t="n"/>
      <c r="R1729" s="24" t="n"/>
      <c r="S1729" s="24" t="n"/>
      <c r="Y1729" s="24" t="n"/>
    </row>
    <row r="1730">
      <c r="O1730" s="23" t="n"/>
      <c r="R1730" s="24" t="n"/>
      <c r="S1730" s="24" t="n"/>
      <c r="Y1730" s="24" t="n"/>
    </row>
    <row r="1731">
      <c r="O1731" s="23" t="n"/>
      <c r="R1731" s="24" t="n"/>
      <c r="S1731" s="24" t="n"/>
      <c r="Y1731" s="24" t="n"/>
    </row>
    <row r="1732">
      <c r="O1732" s="23" t="n"/>
      <c r="R1732" s="24" t="n"/>
      <c r="S1732" s="24" t="n"/>
      <c r="Y1732" s="24" t="n"/>
    </row>
    <row r="1733">
      <c r="O1733" s="23" t="n"/>
      <c r="R1733" s="24" t="n"/>
      <c r="S1733" s="24" t="n"/>
      <c r="Y1733" s="24" t="n"/>
    </row>
    <row r="1734">
      <c r="O1734" s="23" t="n"/>
      <c r="R1734" s="24" t="n"/>
      <c r="S1734" s="24" t="n"/>
      <c r="Y1734" s="24" t="n"/>
    </row>
    <row r="1735">
      <c r="O1735" s="23" t="n"/>
      <c r="R1735" s="24" t="n"/>
      <c r="S1735" s="24" t="n"/>
      <c r="Y1735" s="24" t="n"/>
    </row>
    <row r="1736">
      <c r="O1736" s="23" t="n"/>
      <c r="R1736" s="24" t="n"/>
      <c r="S1736" s="24" t="n"/>
      <c r="Y1736" s="24" t="n"/>
    </row>
    <row r="1737">
      <c r="O1737" s="23" t="n"/>
      <c r="R1737" s="24" t="n"/>
      <c r="S1737" s="24" t="n"/>
      <c r="Y1737" s="24" t="n"/>
    </row>
    <row r="1738">
      <c r="O1738" s="23" t="n"/>
      <c r="R1738" s="24" t="n"/>
      <c r="S1738" s="24" t="n"/>
      <c r="Y1738" s="24" t="n"/>
    </row>
    <row r="1739">
      <c r="O1739" s="23" t="n"/>
      <c r="R1739" s="24" t="n"/>
      <c r="S1739" s="24" t="n"/>
      <c r="Y1739" s="24" t="n"/>
    </row>
    <row r="1740">
      <c r="O1740" s="23" t="n"/>
      <c r="R1740" s="24" t="n"/>
      <c r="S1740" s="24" t="n"/>
      <c r="Y1740" s="24" t="n"/>
    </row>
    <row r="1741">
      <c r="O1741" s="23" t="n"/>
      <c r="R1741" s="24" t="n"/>
      <c r="S1741" s="24" t="n"/>
      <c r="Y1741" s="24" t="n"/>
    </row>
    <row r="1742">
      <c r="O1742" s="23" t="n"/>
      <c r="R1742" s="24" t="n"/>
      <c r="S1742" s="24" t="n"/>
      <c r="Y1742" s="24" t="n"/>
    </row>
    <row r="1743">
      <c r="O1743" s="23" t="n"/>
      <c r="R1743" s="24" t="n"/>
      <c r="S1743" s="24" t="n"/>
      <c r="Y1743" s="24" t="n"/>
    </row>
    <row r="1744">
      <c r="O1744" s="23" t="n"/>
      <c r="R1744" s="24" t="n"/>
      <c r="S1744" s="24" t="n"/>
      <c r="Y1744" s="24" t="n"/>
    </row>
    <row r="1745">
      <c r="O1745" s="23" t="n"/>
      <c r="R1745" s="24" t="n"/>
      <c r="S1745" s="24" t="n"/>
      <c r="Y1745" s="24" t="n"/>
    </row>
    <row r="1746">
      <c r="O1746" s="23" t="n"/>
      <c r="R1746" s="24" t="n"/>
      <c r="S1746" s="24" t="n"/>
      <c r="Y1746" s="24" t="n"/>
    </row>
    <row r="1747">
      <c r="O1747" s="23" t="n"/>
      <c r="R1747" s="24" t="n"/>
      <c r="S1747" s="24" t="n"/>
      <c r="Y1747" s="24" t="n"/>
    </row>
    <row r="1748">
      <c r="O1748" s="23" t="n"/>
      <c r="R1748" s="24" t="n"/>
      <c r="S1748" s="24" t="n"/>
      <c r="Y1748" s="24" t="n"/>
    </row>
    <row r="1749">
      <c r="O1749" s="23" t="n"/>
      <c r="R1749" s="24" t="n"/>
      <c r="S1749" s="24" t="n"/>
      <c r="Y1749" s="24" t="n"/>
    </row>
    <row r="1750">
      <c r="O1750" s="23" t="n"/>
      <c r="R1750" s="24" t="n"/>
      <c r="S1750" s="24" t="n"/>
      <c r="Y1750" s="24" t="n"/>
    </row>
    <row r="1751">
      <c r="O1751" s="23" t="n"/>
      <c r="R1751" s="24" t="n"/>
      <c r="S1751" s="24" t="n"/>
      <c r="Y1751" s="24" t="n"/>
    </row>
    <row r="1752">
      <c r="O1752" s="23" t="n"/>
      <c r="R1752" s="24" t="n"/>
      <c r="S1752" s="24" t="n"/>
      <c r="Y1752" s="24" t="n"/>
    </row>
    <row r="1753">
      <c r="O1753" s="23" t="n"/>
      <c r="R1753" s="24" t="n"/>
      <c r="S1753" s="24" t="n"/>
      <c r="Y1753" s="24" t="n"/>
    </row>
    <row r="1754">
      <c r="O1754" s="23" t="n"/>
      <c r="R1754" s="24" t="n"/>
      <c r="S1754" s="24" t="n"/>
      <c r="Y1754" s="24" t="n"/>
    </row>
    <row r="1755">
      <c r="O1755" s="23" t="n"/>
      <c r="R1755" s="24" t="n"/>
      <c r="S1755" s="24" t="n"/>
      <c r="Y1755" s="24" t="n"/>
    </row>
    <row r="1756">
      <c r="O1756" s="23" t="n"/>
      <c r="R1756" s="24" t="n"/>
      <c r="S1756" s="24" t="n"/>
      <c r="Y1756" s="24" t="n"/>
    </row>
    <row r="1757">
      <c r="O1757" s="23" t="n"/>
      <c r="R1757" s="24" t="n"/>
      <c r="S1757" s="24" t="n"/>
      <c r="Y1757" s="24" t="n"/>
    </row>
    <row r="1758">
      <c r="O1758" s="23" t="n"/>
      <c r="R1758" s="24" t="n"/>
      <c r="S1758" s="24" t="n"/>
      <c r="Y1758" s="24" t="n"/>
    </row>
    <row r="1759">
      <c r="O1759" s="23" t="n"/>
      <c r="R1759" s="24" t="n"/>
      <c r="S1759" s="24" t="n"/>
      <c r="Y1759" s="24" t="n"/>
    </row>
    <row r="1760">
      <c r="O1760" s="23" t="n"/>
      <c r="R1760" s="24" t="n"/>
      <c r="S1760" s="24" t="n"/>
      <c r="Y1760" s="24" t="n"/>
    </row>
    <row r="1761">
      <c r="O1761" s="23" t="n"/>
      <c r="R1761" s="24" t="n"/>
      <c r="S1761" s="24" t="n"/>
      <c r="Y1761" s="24" t="n"/>
    </row>
    <row r="1762">
      <c r="O1762" s="23" t="n"/>
      <c r="R1762" s="24" t="n"/>
      <c r="S1762" s="24" t="n"/>
      <c r="Y1762" s="24" t="n"/>
    </row>
    <row r="1763">
      <c r="O1763" s="23" t="n"/>
      <c r="R1763" s="24" t="n"/>
      <c r="S1763" s="24" t="n"/>
      <c r="Y1763" s="24" t="n"/>
    </row>
    <row r="1764">
      <c r="O1764" s="23" t="n"/>
      <c r="R1764" s="24" t="n"/>
      <c r="S1764" s="24" t="n"/>
      <c r="Y1764" s="24" t="n"/>
    </row>
    <row r="1765">
      <c r="O1765" s="23" t="n"/>
      <c r="R1765" s="24" t="n"/>
      <c r="S1765" s="24" t="n"/>
      <c r="Y1765" s="24" t="n"/>
    </row>
    <row r="1766">
      <c r="O1766" s="23" t="n"/>
      <c r="R1766" s="24" t="n"/>
      <c r="S1766" s="24" t="n"/>
      <c r="Y1766" s="24" t="n"/>
    </row>
    <row r="1767">
      <c r="O1767" s="23" t="n"/>
      <c r="R1767" s="24" t="n"/>
      <c r="S1767" s="24" t="n"/>
      <c r="Y1767" s="24" t="n"/>
    </row>
    <row r="1768">
      <c r="O1768" s="23" t="n"/>
      <c r="R1768" s="24" t="n"/>
      <c r="S1768" s="24" t="n"/>
      <c r="Y1768" s="24" t="n"/>
    </row>
    <row r="1769">
      <c r="O1769" s="23" t="n"/>
      <c r="R1769" s="24" t="n"/>
      <c r="S1769" s="24" t="n"/>
      <c r="Y1769" s="24" t="n"/>
    </row>
    <row r="1770">
      <c r="O1770" s="23" t="n"/>
      <c r="R1770" s="24" t="n"/>
      <c r="S1770" s="24" t="n"/>
      <c r="Y1770" s="24" t="n"/>
    </row>
    <row r="1771">
      <c r="O1771" s="23" t="n"/>
      <c r="R1771" s="24" t="n"/>
      <c r="S1771" s="24" t="n"/>
      <c r="Y1771" s="24" t="n"/>
    </row>
    <row r="1772">
      <c r="O1772" s="23" t="n"/>
      <c r="R1772" s="24" t="n"/>
      <c r="S1772" s="24" t="n"/>
      <c r="Y1772" s="24" t="n"/>
    </row>
    <row r="1773">
      <c r="O1773" s="23" t="n"/>
      <c r="R1773" s="24" t="n"/>
      <c r="S1773" s="24" t="n"/>
      <c r="Y1773" s="24" t="n"/>
    </row>
    <row r="1774">
      <c r="O1774" s="23" t="n"/>
      <c r="R1774" s="24" t="n"/>
      <c r="S1774" s="24" t="n"/>
      <c r="Y1774" s="24" t="n"/>
    </row>
    <row r="1775">
      <c r="O1775" s="23" t="n"/>
      <c r="R1775" s="24" t="n"/>
      <c r="S1775" s="24" t="n"/>
      <c r="Y1775" s="24" t="n"/>
    </row>
    <row r="1776">
      <c r="O1776" s="23" t="n"/>
      <c r="R1776" s="24" t="n"/>
      <c r="S1776" s="24" t="n"/>
      <c r="Y1776" s="24" t="n"/>
    </row>
    <row r="1777">
      <c r="O1777" s="23" t="n"/>
      <c r="R1777" s="24" t="n"/>
      <c r="S1777" s="24" t="n"/>
      <c r="Y1777" s="24" t="n"/>
    </row>
    <row r="1778">
      <c r="O1778" s="23" t="n"/>
      <c r="R1778" s="24" t="n"/>
      <c r="S1778" s="24" t="n"/>
      <c r="Y1778" s="24" t="n"/>
    </row>
    <row r="1779">
      <c r="O1779" s="23" t="n"/>
      <c r="R1779" s="24" t="n"/>
      <c r="S1779" s="24" t="n"/>
      <c r="Y1779" s="24" t="n"/>
    </row>
    <row r="1780">
      <c r="O1780" s="23" t="n"/>
      <c r="R1780" s="24" t="n"/>
      <c r="S1780" s="24" t="n"/>
      <c r="Y1780" s="24" t="n"/>
    </row>
    <row r="1781">
      <c r="O1781" s="23" t="n"/>
      <c r="R1781" s="24" t="n"/>
      <c r="S1781" s="24" t="n"/>
      <c r="Y1781" s="24" t="n"/>
    </row>
    <row r="1782">
      <c r="O1782" s="23" t="n"/>
      <c r="R1782" s="24" t="n"/>
      <c r="S1782" s="24" t="n"/>
      <c r="Y1782" s="24" t="n"/>
    </row>
    <row r="1783">
      <c r="O1783" s="23" t="n"/>
      <c r="R1783" s="24" t="n"/>
      <c r="S1783" s="24" t="n"/>
      <c r="Y1783" s="24" t="n"/>
    </row>
    <row r="1784">
      <c r="O1784" s="23" t="n"/>
      <c r="R1784" s="24" t="n"/>
      <c r="S1784" s="24" t="n"/>
      <c r="Y1784" s="24" t="n"/>
    </row>
    <row r="1785">
      <c r="O1785" s="23" t="n"/>
      <c r="R1785" s="24" t="n"/>
      <c r="S1785" s="24" t="n"/>
      <c r="Y1785" s="24" t="n"/>
    </row>
    <row r="1786">
      <c r="O1786" s="23" t="n"/>
      <c r="R1786" s="24" t="n"/>
      <c r="S1786" s="24" t="n"/>
      <c r="Y1786" s="24" t="n"/>
    </row>
    <row r="1787">
      <c r="O1787" s="23" t="n"/>
      <c r="R1787" s="24" t="n"/>
      <c r="S1787" s="24" t="n"/>
      <c r="Y1787" s="24" t="n"/>
    </row>
    <row r="1788">
      <c r="O1788" s="23" t="n"/>
      <c r="R1788" s="24" t="n"/>
      <c r="S1788" s="24" t="n"/>
      <c r="Y1788" s="24" t="n"/>
    </row>
    <row r="1789">
      <c r="O1789" s="23" t="n"/>
      <c r="R1789" s="24" t="n"/>
      <c r="S1789" s="24" t="n"/>
      <c r="Y1789" s="24" t="n"/>
    </row>
    <row r="1790">
      <c r="O1790" s="23" t="n"/>
      <c r="R1790" s="24" t="n"/>
      <c r="S1790" s="24" t="n"/>
      <c r="Y1790" s="24" t="n"/>
    </row>
    <row r="1791">
      <c r="O1791" s="23" t="n"/>
      <c r="R1791" s="24" t="n"/>
      <c r="S1791" s="24" t="n"/>
      <c r="Y1791" s="24" t="n"/>
    </row>
    <row r="1792">
      <c r="O1792" s="23" t="n"/>
      <c r="R1792" s="24" t="n"/>
      <c r="S1792" s="24" t="n"/>
      <c r="Y1792" s="24" t="n"/>
    </row>
    <row r="1793">
      <c r="O1793" s="23" t="n"/>
      <c r="R1793" s="24" t="n"/>
      <c r="S1793" s="24" t="n"/>
      <c r="Y1793" s="24" t="n"/>
    </row>
    <row r="1794">
      <c r="O1794" s="23" t="n"/>
      <c r="R1794" s="24" t="n"/>
      <c r="S1794" s="24" t="n"/>
      <c r="Y1794" s="24" t="n"/>
    </row>
    <row r="1795">
      <c r="O1795" s="23" t="n"/>
      <c r="R1795" s="24" t="n"/>
      <c r="S1795" s="24" t="n"/>
      <c r="Y1795" s="24" t="n"/>
    </row>
    <row r="1796">
      <c r="O1796" s="23" t="n"/>
      <c r="R1796" s="24" t="n"/>
      <c r="S1796" s="24" t="n"/>
      <c r="Y1796" s="24" t="n"/>
    </row>
    <row r="1797">
      <c r="O1797" s="23" t="n"/>
      <c r="R1797" s="24" t="n"/>
      <c r="S1797" s="24" t="n"/>
      <c r="Y1797" s="24" t="n"/>
    </row>
    <row r="1798">
      <c r="O1798" s="23" t="n"/>
      <c r="R1798" s="24" t="n"/>
      <c r="S1798" s="24" t="n"/>
      <c r="Y1798" s="24" t="n"/>
    </row>
    <row r="1799">
      <c r="O1799" s="23" t="n"/>
      <c r="R1799" s="24" t="n"/>
      <c r="S1799" s="24" t="n"/>
      <c r="Y1799" s="24" t="n"/>
    </row>
    <row r="1800">
      <c r="O1800" s="23" t="n"/>
      <c r="R1800" s="24" t="n"/>
      <c r="S1800" s="24" t="n"/>
      <c r="Y1800" s="24" t="n"/>
    </row>
    <row r="1801">
      <c r="O1801" s="23" t="n"/>
      <c r="R1801" s="24" t="n"/>
      <c r="S1801" s="24" t="n"/>
      <c r="Y1801" s="24" t="n"/>
    </row>
    <row r="1802">
      <c r="O1802" s="23" t="n"/>
      <c r="R1802" s="24" t="n"/>
      <c r="S1802" s="24" t="n"/>
      <c r="Y1802" s="24" t="n"/>
    </row>
    <row r="1803">
      <c r="O1803" s="23" t="n"/>
      <c r="R1803" s="24" t="n"/>
      <c r="S1803" s="24" t="n"/>
      <c r="Y1803" s="24" t="n"/>
    </row>
    <row r="1804">
      <c r="O1804" s="23" t="n"/>
      <c r="R1804" s="24" t="n"/>
      <c r="S1804" s="24" t="n"/>
      <c r="Y1804" s="24" t="n"/>
    </row>
    <row r="1805">
      <c r="O1805" s="23" t="n"/>
      <c r="R1805" s="24" t="n"/>
      <c r="S1805" s="24" t="n"/>
      <c r="Y1805" s="24" t="n"/>
    </row>
    <row r="1806">
      <c r="O1806" s="23" t="n"/>
      <c r="R1806" s="24" t="n"/>
      <c r="S1806" s="24" t="n"/>
      <c r="Y1806" s="24" t="n"/>
    </row>
    <row r="1807">
      <c r="O1807" s="23" t="n"/>
      <c r="R1807" s="24" t="n"/>
      <c r="S1807" s="24" t="n"/>
      <c r="Y1807" s="24" t="n"/>
    </row>
    <row r="1808">
      <c r="O1808" s="23" t="n"/>
      <c r="R1808" s="24" t="n"/>
      <c r="S1808" s="24" t="n"/>
      <c r="Y1808" s="24" t="n"/>
    </row>
    <row r="1809">
      <c r="O1809" s="23" t="n"/>
      <c r="R1809" s="24" t="n"/>
      <c r="S1809" s="24" t="n"/>
      <c r="Y1809" s="24" t="n"/>
    </row>
    <row r="1810">
      <c r="O1810" s="23" t="n"/>
      <c r="R1810" s="24" t="n"/>
      <c r="S1810" s="24" t="n"/>
      <c r="Y1810" s="24" t="n"/>
    </row>
    <row r="1811">
      <c r="O1811" s="23" t="n"/>
      <c r="R1811" s="24" t="n"/>
      <c r="S1811" s="24" t="n"/>
      <c r="Y1811" s="24" t="n"/>
    </row>
    <row r="1812">
      <c r="O1812" s="23" t="n"/>
      <c r="R1812" s="24" t="n"/>
      <c r="S1812" s="24" t="n"/>
      <c r="Y1812" s="24" t="n"/>
    </row>
    <row r="1813">
      <c r="O1813" s="23" t="n"/>
      <c r="R1813" s="24" t="n"/>
      <c r="S1813" s="24" t="n"/>
      <c r="Y1813" s="24" t="n"/>
    </row>
    <row r="1814">
      <c r="O1814" s="23" t="n"/>
      <c r="R1814" s="24" t="n"/>
      <c r="S1814" s="24" t="n"/>
      <c r="Y1814" s="24" t="n"/>
    </row>
    <row r="1815">
      <c r="O1815" s="23" t="n"/>
      <c r="R1815" s="24" t="n"/>
      <c r="S1815" s="24" t="n"/>
      <c r="Y1815" s="24" t="n"/>
    </row>
    <row r="1816">
      <c r="O1816" s="23" t="n"/>
      <c r="R1816" s="24" t="n"/>
      <c r="S1816" s="24" t="n"/>
      <c r="Y1816" s="24" t="n"/>
    </row>
    <row r="1817">
      <c r="O1817" s="23" t="n"/>
      <c r="R1817" s="24" t="n"/>
      <c r="S1817" s="24" t="n"/>
      <c r="Y1817" s="24" t="n"/>
    </row>
    <row r="1818">
      <c r="O1818" s="23" t="n"/>
      <c r="R1818" s="24" t="n"/>
      <c r="S1818" s="24" t="n"/>
      <c r="Y1818" s="24" t="n"/>
    </row>
    <row r="1819">
      <c r="O1819" s="23" t="n"/>
      <c r="R1819" s="24" t="n"/>
      <c r="S1819" s="24" t="n"/>
      <c r="Y1819" s="24" t="n"/>
    </row>
    <row r="1820">
      <c r="O1820" s="23" t="n"/>
      <c r="R1820" s="24" t="n"/>
      <c r="S1820" s="24" t="n"/>
      <c r="Y1820" s="24" t="n"/>
    </row>
    <row r="1821">
      <c r="O1821" s="23" t="n"/>
      <c r="R1821" s="24" t="n"/>
      <c r="S1821" s="24" t="n"/>
      <c r="Y1821" s="24" t="n"/>
    </row>
    <row r="1822">
      <c r="O1822" s="23" t="n"/>
      <c r="R1822" s="24" t="n"/>
      <c r="S1822" s="24" t="n"/>
      <c r="Y1822" s="24" t="n"/>
    </row>
    <row r="1823">
      <c r="O1823" s="23" t="n"/>
      <c r="R1823" s="24" t="n"/>
      <c r="S1823" s="24" t="n"/>
      <c r="Y1823" s="24" t="n"/>
    </row>
    <row r="1824">
      <c r="O1824" s="23" t="n"/>
      <c r="R1824" s="24" t="n"/>
      <c r="S1824" s="24" t="n"/>
      <c r="Y1824" s="24" t="n"/>
    </row>
    <row r="1825">
      <c r="O1825" s="23" t="n"/>
      <c r="R1825" s="24" t="n"/>
      <c r="S1825" s="24" t="n"/>
      <c r="Y1825" s="24" t="n"/>
    </row>
    <row r="1826">
      <c r="O1826" s="23" t="n"/>
      <c r="R1826" s="24" t="n"/>
      <c r="S1826" s="24" t="n"/>
      <c r="Y1826" s="24" t="n"/>
    </row>
    <row r="1827">
      <c r="O1827" s="23" t="n"/>
      <c r="R1827" s="24" t="n"/>
      <c r="S1827" s="24" t="n"/>
      <c r="Y1827" s="24" t="n"/>
    </row>
    <row r="1828">
      <c r="O1828" s="23" t="n"/>
      <c r="R1828" s="24" t="n"/>
      <c r="S1828" s="24" t="n"/>
      <c r="Y1828" s="24" t="n"/>
    </row>
    <row r="1829">
      <c r="O1829" s="23" t="n"/>
      <c r="R1829" s="24" t="n"/>
      <c r="S1829" s="24" t="n"/>
      <c r="Y1829" s="24" t="n"/>
    </row>
    <row r="1830">
      <c r="O1830" s="23" t="n"/>
      <c r="R1830" s="24" t="n"/>
      <c r="S1830" s="24" t="n"/>
      <c r="Y1830" s="24" t="n"/>
    </row>
    <row r="1831">
      <c r="O1831" s="23" t="n"/>
      <c r="R1831" s="24" t="n"/>
      <c r="S1831" s="24" t="n"/>
      <c r="Y1831" s="24" t="n"/>
    </row>
    <row r="1832">
      <c r="O1832" s="23" t="n"/>
      <c r="R1832" s="24" t="n"/>
      <c r="S1832" s="24" t="n"/>
      <c r="Y1832" s="24" t="n"/>
    </row>
    <row r="1833">
      <c r="O1833" s="23" t="n"/>
      <c r="R1833" s="24" t="n"/>
      <c r="S1833" s="24" t="n"/>
      <c r="Y1833" s="24" t="n"/>
    </row>
    <row r="1834">
      <c r="O1834" s="23" t="n"/>
      <c r="R1834" s="24" t="n"/>
      <c r="S1834" s="24" t="n"/>
      <c r="Y1834" s="24" t="n"/>
    </row>
    <row r="1835">
      <c r="O1835" s="23" t="n"/>
      <c r="R1835" s="24" t="n"/>
      <c r="S1835" s="24" t="n"/>
      <c r="Y1835" s="24" t="n"/>
    </row>
    <row r="1836">
      <c r="O1836" s="23" t="n"/>
      <c r="R1836" s="24" t="n"/>
      <c r="S1836" s="24" t="n"/>
      <c r="Y1836" s="24" t="n"/>
    </row>
    <row r="1837">
      <c r="O1837" s="23" t="n"/>
      <c r="R1837" s="24" t="n"/>
      <c r="S1837" s="24" t="n"/>
      <c r="Y1837" s="24" t="n"/>
    </row>
    <row r="1838">
      <c r="O1838" s="23" t="n"/>
      <c r="R1838" s="24" t="n"/>
      <c r="S1838" s="24" t="n"/>
      <c r="Y1838" s="24" t="n"/>
    </row>
    <row r="1839">
      <c r="O1839" s="23" t="n"/>
      <c r="R1839" s="24" t="n"/>
      <c r="S1839" s="24" t="n"/>
      <c r="Y1839" s="24" t="n"/>
    </row>
    <row r="1840">
      <c r="O1840" s="23" t="n"/>
      <c r="R1840" s="24" t="n"/>
      <c r="S1840" s="24" t="n"/>
      <c r="Y1840" s="24" t="n"/>
    </row>
    <row r="1841">
      <c r="O1841" s="23" t="n"/>
      <c r="R1841" s="24" t="n"/>
      <c r="S1841" s="24" t="n"/>
      <c r="Y1841" s="24" t="n"/>
    </row>
    <row r="1842">
      <c r="O1842" s="23" t="n"/>
      <c r="R1842" s="24" t="n"/>
      <c r="S1842" s="24" t="n"/>
      <c r="Y1842" s="24" t="n"/>
    </row>
    <row r="1843">
      <c r="O1843" s="23" t="n"/>
      <c r="R1843" s="24" t="n"/>
      <c r="S1843" s="24" t="n"/>
      <c r="Y1843" s="24" t="n"/>
    </row>
    <row r="1844">
      <c r="O1844" s="23" t="n"/>
      <c r="R1844" s="24" t="n"/>
      <c r="S1844" s="24" t="n"/>
      <c r="Y1844" s="24" t="n"/>
    </row>
    <row r="1845">
      <c r="O1845" s="23" t="n"/>
      <c r="R1845" s="24" t="n"/>
      <c r="S1845" s="24" t="n"/>
      <c r="Y1845" s="24" t="n"/>
    </row>
    <row r="1846">
      <c r="O1846" s="23" t="n"/>
      <c r="R1846" s="24" t="n"/>
      <c r="S1846" s="24" t="n"/>
      <c r="Y1846" s="24" t="n"/>
    </row>
    <row r="1847">
      <c r="O1847" s="23" t="n"/>
      <c r="R1847" s="24" t="n"/>
      <c r="S1847" s="24" t="n"/>
      <c r="Y1847" s="24" t="n"/>
    </row>
    <row r="1848">
      <c r="O1848" s="23" t="n"/>
      <c r="R1848" s="24" t="n"/>
      <c r="S1848" s="24" t="n"/>
      <c r="Y1848" s="24" t="n"/>
    </row>
    <row r="1849">
      <c r="O1849" s="23" t="n"/>
      <c r="R1849" s="24" t="n"/>
      <c r="S1849" s="24" t="n"/>
      <c r="Y1849" s="24" t="n"/>
    </row>
    <row r="1850">
      <c r="O1850" s="23" t="n"/>
      <c r="R1850" s="24" t="n"/>
      <c r="S1850" s="24" t="n"/>
      <c r="Y1850" s="24" t="n"/>
    </row>
    <row r="1851">
      <c r="O1851" s="23" t="n"/>
      <c r="R1851" s="24" t="n"/>
      <c r="S1851" s="24" t="n"/>
      <c r="Y1851" s="24" t="n"/>
    </row>
    <row r="1852">
      <c r="O1852" s="23" t="n"/>
      <c r="R1852" s="24" t="n"/>
      <c r="S1852" s="24" t="n"/>
      <c r="Y1852" s="24" t="n"/>
    </row>
    <row r="1853">
      <c r="O1853" s="23" t="n"/>
      <c r="R1853" s="24" t="n"/>
      <c r="S1853" s="24" t="n"/>
      <c r="Y1853" s="24" t="n"/>
    </row>
    <row r="1854">
      <c r="O1854" s="23" t="n"/>
      <c r="R1854" s="24" t="n"/>
      <c r="S1854" s="24" t="n"/>
      <c r="Y1854" s="24" t="n"/>
    </row>
    <row r="1855">
      <c r="O1855" s="23" t="n"/>
      <c r="R1855" s="24" t="n"/>
      <c r="S1855" s="24" t="n"/>
      <c r="Y1855" s="24" t="n"/>
    </row>
    <row r="1856">
      <c r="O1856" s="23" t="n"/>
      <c r="R1856" s="24" t="n"/>
      <c r="S1856" s="24" t="n"/>
      <c r="Y1856" s="24" t="n"/>
    </row>
    <row r="1857">
      <c r="O1857" s="23" t="n"/>
      <c r="R1857" s="24" t="n"/>
      <c r="S1857" s="24" t="n"/>
      <c r="Y1857" s="24" t="n"/>
    </row>
    <row r="1858">
      <c r="O1858" s="23" t="n"/>
      <c r="R1858" s="24" t="n"/>
      <c r="S1858" s="24" t="n"/>
      <c r="Y1858" s="24" t="n"/>
    </row>
    <row r="1859">
      <c r="O1859" s="23" t="n"/>
      <c r="R1859" s="24" t="n"/>
      <c r="S1859" s="24" t="n"/>
      <c r="Y1859" s="24" t="n"/>
    </row>
    <row r="1860">
      <c r="O1860" s="23" t="n"/>
      <c r="R1860" s="24" t="n"/>
      <c r="S1860" s="24" t="n"/>
      <c r="Y1860" s="24" t="n"/>
    </row>
    <row r="1861">
      <c r="O1861" s="23" t="n"/>
      <c r="R1861" s="24" t="n"/>
      <c r="S1861" s="24" t="n"/>
      <c r="Y1861" s="24" t="n"/>
    </row>
    <row r="1862">
      <c r="O1862" s="23" t="n"/>
      <c r="R1862" s="24" t="n"/>
      <c r="S1862" s="24" t="n"/>
      <c r="Y1862" s="24" t="n"/>
    </row>
    <row r="1863">
      <c r="O1863" s="23" t="n"/>
      <c r="R1863" s="24" t="n"/>
      <c r="S1863" s="24" t="n"/>
      <c r="Y1863" s="24" t="n"/>
    </row>
    <row r="1864">
      <c r="O1864" s="23" t="n"/>
      <c r="R1864" s="24" t="n"/>
      <c r="S1864" s="24" t="n"/>
      <c r="Y1864" s="24" t="n"/>
    </row>
    <row r="1865">
      <c r="O1865" s="23" t="n"/>
      <c r="R1865" s="24" t="n"/>
      <c r="S1865" s="24" t="n"/>
      <c r="Y1865" s="24" t="n"/>
    </row>
    <row r="1866">
      <c r="O1866" s="23" t="n"/>
      <c r="R1866" s="24" t="n"/>
      <c r="S1866" s="24" t="n"/>
      <c r="Y1866" s="24" t="n"/>
    </row>
    <row r="1867">
      <c r="O1867" s="23" t="n"/>
      <c r="R1867" s="24" t="n"/>
      <c r="S1867" s="24" t="n"/>
      <c r="Y1867" s="24" t="n"/>
    </row>
    <row r="1868">
      <c r="O1868" s="23" t="n"/>
      <c r="R1868" s="24" t="n"/>
      <c r="S1868" s="24" t="n"/>
      <c r="Y1868" s="24" t="n"/>
    </row>
    <row r="1869">
      <c r="O1869" s="23" t="n"/>
      <c r="R1869" s="24" t="n"/>
      <c r="S1869" s="24" t="n"/>
      <c r="Y1869" s="24" t="n"/>
    </row>
    <row r="1870">
      <c r="O1870" s="23" t="n"/>
      <c r="R1870" s="24" t="n"/>
      <c r="S1870" s="24" t="n"/>
      <c r="Y1870" s="24" t="n"/>
    </row>
    <row r="1871">
      <c r="O1871" s="23" t="n"/>
      <c r="R1871" s="24" t="n"/>
      <c r="S1871" s="24" t="n"/>
      <c r="Y1871" s="24" t="n"/>
    </row>
    <row r="1872">
      <c r="O1872" s="23" t="n"/>
      <c r="R1872" s="24" t="n"/>
      <c r="S1872" s="24" t="n"/>
      <c r="Y1872" s="24" t="n"/>
    </row>
    <row r="1873">
      <c r="O1873" s="23" t="n"/>
      <c r="R1873" s="24" t="n"/>
      <c r="S1873" s="24" t="n"/>
      <c r="Y1873" s="24" t="n"/>
    </row>
    <row r="1874">
      <c r="O1874" s="23" t="n"/>
      <c r="R1874" s="24" t="n"/>
      <c r="S1874" s="24" t="n"/>
      <c r="Y1874" s="24" t="n"/>
    </row>
    <row r="1875">
      <c r="O1875" s="23" t="n"/>
      <c r="R1875" s="24" t="n"/>
      <c r="S1875" s="24" t="n"/>
      <c r="Y1875" s="24" t="n"/>
    </row>
    <row r="1876">
      <c r="O1876" s="23" t="n"/>
      <c r="R1876" s="24" t="n"/>
      <c r="S1876" s="24" t="n"/>
      <c r="Y1876" s="24" t="n"/>
    </row>
    <row r="1877">
      <c r="O1877" s="23" t="n"/>
      <c r="R1877" s="24" t="n"/>
      <c r="S1877" s="24" t="n"/>
      <c r="Y1877" s="24" t="n"/>
    </row>
    <row r="1878">
      <c r="O1878" s="23" t="n"/>
      <c r="R1878" s="24" t="n"/>
      <c r="S1878" s="24" t="n"/>
      <c r="Y1878" s="24" t="n"/>
    </row>
    <row r="1879">
      <c r="O1879" s="23" t="n"/>
      <c r="R1879" s="24" t="n"/>
      <c r="S1879" s="24" t="n"/>
      <c r="Y1879" s="24" t="n"/>
    </row>
    <row r="1880">
      <c r="O1880" s="23" t="n"/>
      <c r="R1880" s="24" t="n"/>
      <c r="S1880" s="24" t="n"/>
      <c r="Y1880" s="24" t="n"/>
    </row>
    <row r="1881">
      <c r="O1881" s="23" t="n"/>
      <c r="R1881" s="24" t="n"/>
      <c r="S1881" s="24" t="n"/>
      <c r="Y1881" s="24" t="n"/>
    </row>
    <row r="1882">
      <c r="O1882" s="23" t="n"/>
      <c r="R1882" s="24" t="n"/>
      <c r="S1882" s="24" t="n"/>
      <c r="Y1882" s="24" t="n"/>
    </row>
    <row r="1883">
      <c r="O1883" s="23" t="n"/>
      <c r="R1883" s="24" t="n"/>
      <c r="S1883" s="24" t="n"/>
      <c r="Y1883" s="24" t="n"/>
    </row>
    <row r="1884">
      <c r="O1884" s="23" t="n"/>
      <c r="R1884" s="24" t="n"/>
      <c r="S1884" s="24" t="n"/>
      <c r="Y1884" s="24" t="n"/>
    </row>
    <row r="1885">
      <c r="O1885" s="23" t="n"/>
      <c r="R1885" s="24" t="n"/>
      <c r="S1885" s="24" t="n"/>
      <c r="Y1885" s="24" t="n"/>
    </row>
    <row r="1886">
      <c r="O1886" s="23" t="n"/>
      <c r="R1886" s="24" t="n"/>
      <c r="S1886" s="24" t="n"/>
      <c r="Y1886" s="24" t="n"/>
    </row>
    <row r="1887">
      <c r="O1887" s="23" t="n"/>
      <c r="R1887" s="24" t="n"/>
      <c r="S1887" s="24" t="n"/>
      <c r="Y1887" s="24" t="n"/>
    </row>
    <row r="1888">
      <c r="O1888" s="23" t="n"/>
      <c r="R1888" s="24" t="n"/>
      <c r="S1888" s="24" t="n"/>
      <c r="Y1888" s="24" t="n"/>
    </row>
    <row r="1889">
      <c r="O1889" s="23" t="n"/>
      <c r="R1889" s="24" t="n"/>
      <c r="S1889" s="24" t="n"/>
      <c r="Y1889" s="24" t="n"/>
    </row>
    <row r="1890">
      <c r="O1890" s="23" t="n"/>
      <c r="R1890" s="24" t="n"/>
      <c r="S1890" s="24" t="n"/>
      <c r="Y1890" s="24" t="n"/>
    </row>
    <row r="1891">
      <c r="O1891" s="23" t="n"/>
      <c r="R1891" s="24" t="n"/>
      <c r="S1891" s="24" t="n"/>
      <c r="Y1891" s="24" t="n"/>
    </row>
    <row r="1892">
      <c r="O1892" s="23" t="n"/>
      <c r="R1892" s="24" t="n"/>
      <c r="S1892" s="24" t="n"/>
      <c r="Y1892" s="24" t="n"/>
    </row>
    <row r="1893">
      <c r="O1893" s="23" t="n"/>
      <c r="R1893" s="24" t="n"/>
      <c r="S1893" s="24" t="n"/>
      <c r="Y1893" s="24" t="n"/>
    </row>
    <row r="1894">
      <c r="O1894" s="23" t="n"/>
      <c r="R1894" s="24" t="n"/>
      <c r="S1894" s="24" t="n"/>
      <c r="Y1894" s="24" t="n"/>
    </row>
    <row r="1895">
      <c r="O1895" s="23" t="n"/>
      <c r="R1895" s="24" t="n"/>
      <c r="S1895" s="24" t="n"/>
      <c r="Y1895" s="24" t="n"/>
    </row>
    <row r="1896">
      <c r="O1896" s="23" t="n"/>
      <c r="R1896" s="24" t="n"/>
      <c r="S1896" s="24" t="n"/>
      <c r="Y1896" s="24" t="n"/>
    </row>
    <row r="1897">
      <c r="O1897" s="23" t="n"/>
      <c r="R1897" s="24" t="n"/>
      <c r="S1897" s="24" t="n"/>
      <c r="Y1897" s="24" t="n"/>
    </row>
    <row r="1898">
      <c r="O1898" s="23" t="n"/>
      <c r="R1898" s="24" t="n"/>
      <c r="S1898" s="24" t="n"/>
      <c r="Y1898" s="24" t="n"/>
    </row>
    <row r="1899">
      <c r="O1899" s="23" t="n"/>
      <c r="R1899" s="24" t="n"/>
      <c r="S1899" s="24" t="n"/>
      <c r="Y1899" s="24" t="n"/>
    </row>
    <row r="1900">
      <c r="O1900" s="23" t="n"/>
      <c r="R1900" s="24" t="n"/>
      <c r="S1900" s="24" t="n"/>
      <c r="Y1900" s="24" t="n"/>
    </row>
    <row r="1901">
      <c r="O1901" s="23" t="n"/>
      <c r="R1901" s="24" t="n"/>
      <c r="S1901" s="24" t="n"/>
      <c r="Y1901" s="24" t="n"/>
    </row>
    <row r="1902">
      <c r="O1902" s="23" t="n"/>
      <c r="R1902" s="24" t="n"/>
      <c r="S1902" s="24" t="n"/>
      <c r="Y1902" s="24" t="n"/>
    </row>
    <row r="1903">
      <c r="O1903" s="23" t="n"/>
      <c r="R1903" s="24" t="n"/>
      <c r="S1903" s="24" t="n"/>
      <c r="Y1903" s="24" t="n"/>
    </row>
    <row r="1904">
      <c r="O1904" s="23" t="n"/>
      <c r="R1904" s="24" t="n"/>
      <c r="S1904" s="24" t="n"/>
      <c r="Y1904" s="24" t="n"/>
    </row>
    <row r="1905">
      <c r="O1905" s="23" t="n"/>
      <c r="R1905" s="24" t="n"/>
      <c r="S1905" s="24" t="n"/>
      <c r="Y1905" s="24" t="n"/>
    </row>
    <row r="1906">
      <c r="O1906" s="23" t="n"/>
      <c r="R1906" s="24" t="n"/>
      <c r="S1906" s="24" t="n"/>
      <c r="Y1906" s="24" t="n"/>
    </row>
    <row r="1907">
      <c r="O1907" s="23" t="n"/>
      <c r="R1907" s="24" t="n"/>
      <c r="S1907" s="24" t="n"/>
      <c r="Y1907" s="24" t="n"/>
    </row>
    <row r="1908">
      <c r="O1908" s="23" t="n"/>
      <c r="R1908" s="24" t="n"/>
      <c r="S1908" s="24" t="n"/>
      <c r="Y1908" s="24" t="n"/>
    </row>
    <row r="1909">
      <c r="O1909" s="23" t="n"/>
      <c r="R1909" s="24" t="n"/>
      <c r="S1909" s="24" t="n"/>
      <c r="Y1909" s="24" t="n"/>
    </row>
    <row r="1910">
      <c r="O1910" s="23" t="n"/>
      <c r="R1910" s="24" t="n"/>
      <c r="S1910" s="24" t="n"/>
      <c r="Y1910" s="24" t="n"/>
    </row>
    <row r="1911">
      <c r="O1911" s="23" t="n"/>
      <c r="R1911" s="24" t="n"/>
      <c r="S1911" s="24" t="n"/>
      <c r="Y1911" s="24" t="n"/>
    </row>
    <row r="1912">
      <c r="O1912" s="23" t="n"/>
      <c r="R1912" s="24" t="n"/>
      <c r="S1912" s="24" t="n"/>
      <c r="Y1912" s="24" t="n"/>
    </row>
    <row r="1913">
      <c r="O1913" s="23" t="n"/>
      <c r="R1913" s="24" t="n"/>
      <c r="S1913" s="24" t="n"/>
      <c r="Y1913" s="24" t="n"/>
    </row>
    <row r="1914">
      <c r="O1914" s="23" t="n"/>
      <c r="R1914" s="24" t="n"/>
      <c r="S1914" s="24" t="n"/>
      <c r="Y1914" s="24" t="n"/>
    </row>
    <row r="1915">
      <c r="O1915" s="23" t="n"/>
      <c r="R1915" s="24" t="n"/>
      <c r="S1915" s="24" t="n"/>
      <c r="Y1915" s="24" t="n"/>
    </row>
    <row r="1916">
      <c r="O1916" s="23" t="n"/>
      <c r="R1916" s="24" t="n"/>
      <c r="S1916" s="24" t="n"/>
      <c r="Y1916" s="24" t="n"/>
    </row>
    <row r="1917">
      <c r="O1917" s="23" t="n"/>
      <c r="R1917" s="24" t="n"/>
      <c r="S1917" s="24" t="n"/>
      <c r="Y1917" s="24" t="n"/>
    </row>
    <row r="1918">
      <c r="O1918" s="23" t="n"/>
      <c r="R1918" s="24" t="n"/>
      <c r="S1918" s="24" t="n"/>
      <c r="Y1918" s="24" t="n"/>
    </row>
    <row r="1919">
      <c r="O1919" s="23" t="n"/>
      <c r="R1919" s="24" t="n"/>
      <c r="S1919" s="24" t="n"/>
      <c r="Y1919" s="24" t="n"/>
    </row>
    <row r="1920">
      <c r="O1920" s="23" t="n"/>
      <c r="R1920" s="24" t="n"/>
      <c r="S1920" s="24" t="n"/>
      <c r="Y1920" s="24" t="n"/>
    </row>
    <row r="1921">
      <c r="O1921" s="23" t="n"/>
      <c r="R1921" s="24" t="n"/>
      <c r="S1921" s="24" t="n"/>
      <c r="Y1921" s="24" t="n"/>
    </row>
    <row r="1922">
      <c r="O1922" s="23" t="n"/>
      <c r="R1922" s="24" t="n"/>
      <c r="S1922" s="24" t="n"/>
      <c r="Y1922" s="24" t="n"/>
    </row>
    <row r="1923">
      <c r="O1923" s="23" t="n"/>
      <c r="R1923" s="24" t="n"/>
      <c r="S1923" s="24" t="n"/>
      <c r="Y1923" s="24" t="n"/>
    </row>
    <row r="1924">
      <c r="O1924" s="23" t="n"/>
      <c r="R1924" s="24" t="n"/>
      <c r="S1924" s="24" t="n"/>
      <c r="Y1924" s="24" t="n"/>
    </row>
    <row r="1925">
      <c r="O1925" s="23" t="n"/>
      <c r="R1925" s="24" t="n"/>
      <c r="S1925" s="24" t="n"/>
      <c r="Y1925" s="24" t="n"/>
    </row>
    <row r="1926">
      <c r="O1926" s="23" t="n"/>
      <c r="R1926" s="24" t="n"/>
      <c r="S1926" s="24" t="n"/>
      <c r="Y1926" s="24" t="n"/>
    </row>
    <row r="1927">
      <c r="O1927" s="23" t="n"/>
      <c r="R1927" s="24" t="n"/>
      <c r="S1927" s="24" t="n"/>
      <c r="Y1927" s="24" t="n"/>
    </row>
    <row r="1928">
      <c r="O1928" s="23" t="n"/>
      <c r="R1928" s="24" t="n"/>
      <c r="S1928" s="24" t="n"/>
      <c r="Y1928" s="24" t="n"/>
    </row>
    <row r="1929">
      <c r="O1929" s="23" t="n"/>
      <c r="R1929" s="24" t="n"/>
      <c r="S1929" s="24" t="n"/>
      <c r="Y1929" s="24" t="n"/>
    </row>
    <row r="1930">
      <c r="O1930" s="23" t="n"/>
      <c r="R1930" s="24" t="n"/>
      <c r="S1930" s="24" t="n"/>
      <c r="Y1930" s="24" t="n"/>
    </row>
    <row r="1931">
      <c r="O1931" s="23" t="n"/>
      <c r="R1931" s="24" t="n"/>
      <c r="S1931" s="24" t="n"/>
      <c r="Y1931" s="24" t="n"/>
    </row>
    <row r="1932">
      <c r="O1932" s="23" t="n"/>
      <c r="R1932" s="24" t="n"/>
      <c r="S1932" s="24" t="n"/>
      <c r="Y1932" s="24" t="n"/>
    </row>
    <row r="1933">
      <c r="O1933" s="23" t="n"/>
      <c r="R1933" s="24" t="n"/>
      <c r="S1933" s="24" t="n"/>
      <c r="Y1933" s="24" t="n"/>
    </row>
    <row r="1934">
      <c r="O1934" s="23" t="n"/>
      <c r="R1934" s="24" t="n"/>
      <c r="S1934" s="24" t="n"/>
      <c r="Y1934" s="24" t="n"/>
    </row>
    <row r="1935">
      <c r="O1935" s="23" t="n"/>
      <c r="R1935" s="24" t="n"/>
      <c r="S1935" s="24" t="n"/>
      <c r="Y1935" s="24" t="n"/>
    </row>
    <row r="1936">
      <c r="O1936" s="23" t="n"/>
      <c r="R1936" s="24" t="n"/>
      <c r="S1936" s="24" t="n"/>
      <c r="Y1936" s="24" t="n"/>
    </row>
    <row r="1937">
      <c r="O1937" s="23" t="n"/>
      <c r="R1937" s="24" t="n"/>
      <c r="S1937" s="24" t="n"/>
      <c r="Y1937" s="24" t="n"/>
    </row>
    <row r="1938">
      <c r="O1938" s="23" t="n"/>
      <c r="R1938" s="24" t="n"/>
      <c r="S1938" s="24" t="n"/>
      <c r="Y1938" s="24" t="n"/>
    </row>
    <row r="1939">
      <c r="O1939" s="23" t="n"/>
      <c r="R1939" s="24" t="n"/>
      <c r="S1939" s="24" t="n"/>
      <c r="Y1939" s="24" t="n"/>
    </row>
    <row r="1940">
      <c r="O1940" s="23" t="n"/>
      <c r="R1940" s="24" t="n"/>
      <c r="S1940" s="24" t="n"/>
      <c r="Y1940" s="24" t="n"/>
    </row>
    <row r="1941">
      <c r="O1941" s="23" t="n"/>
      <c r="R1941" s="24" t="n"/>
      <c r="S1941" s="24" t="n"/>
      <c r="Y1941" s="24" t="n"/>
    </row>
    <row r="1942">
      <c r="O1942" s="23" t="n"/>
      <c r="R1942" s="24" t="n"/>
      <c r="S1942" s="24" t="n"/>
      <c r="Y1942" s="24" t="n"/>
    </row>
    <row r="1943">
      <c r="O1943" s="23" t="n"/>
      <c r="R1943" s="24" t="n"/>
      <c r="S1943" s="24" t="n"/>
      <c r="Y1943" s="24" t="n"/>
    </row>
    <row r="1944">
      <c r="O1944" s="23" t="n"/>
      <c r="R1944" s="24" t="n"/>
      <c r="S1944" s="24" t="n"/>
      <c r="Y1944" s="24" t="n"/>
    </row>
    <row r="1945">
      <c r="O1945" s="23" t="n"/>
      <c r="R1945" s="24" t="n"/>
      <c r="S1945" s="24" t="n"/>
      <c r="Y1945" s="24" t="n"/>
    </row>
    <row r="1946">
      <c r="O1946" s="23" t="n"/>
      <c r="R1946" s="24" t="n"/>
      <c r="S1946" s="24" t="n"/>
      <c r="Y1946" s="24" t="n"/>
    </row>
    <row r="1947">
      <c r="O1947" s="23" t="n"/>
      <c r="R1947" s="24" t="n"/>
      <c r="S1947" s="24" t="n"/>
      <c r="Y1947" s="24" t="n"/>
    </row>
    <row r="1948">
      <c r="O1948" s="23" t="n"/>
      <c r="R1948" s="24" t="n"/>
      <c r="S1948" s="24" t="n"/>
      <c r="Y1948" s="24" t="n"/>
    </row>
    <row r="1949">
      <c r="O1949" s="23" t="n"/>
      <c r="R1949" s="24" t="n"/>
      <c r="S1949" s="24" t="n"/>
      <c r="Y1949" s="24" t="n"/>
    </row>
    <row r="1950">
      <c r="O1950" s="23" t="n"/>
      <c r="R1950" s="24" t="n"/>
      <c r="S1950" s="24" t="n"/>
      <c r="Y1950" s="24" t="n"/>
    </row>
    <row r="1951">
      <c r="O1951" s="23" t="n"/>
      <c r="R1951" s="24" t="n"/>
      <c r="S1951" s="24" t="n"/>
      <c r="Y1951" s="24" t="n"/>
    </row>
    <row r="1952">
      <c r="O1952" s="23" t="n"/>
      <c r="R1952" s="24" t="n"/>
      <c r="S1952" s="24" t="n"/>
      <c r="Y1952" s="24" t="n"/>
    </row>
    <row r="1953">
      <c r="O1953" s="23" t="n"/>
      <c r="R1953" s="24" t="n"/>
      <c r="S1953" s="24" t="n"/>
      <c r="Y1953" s="24" t="n"/>
    </row>
    <row r="1954">
      <c r="O1954" s="23" t="n"/>
      <c r="R1954" s="24" t="n"/>
      <c r="S1954" s="24" t="n"/>
      <c r="Y1954" s="24" t="n"/>
    </row>
    <row r="1955">
      <c r="O1955" s="23" t="n"/>
      <c r="R1955" s="24" t="n"/>
      <c r="S1955" s="24" t="n"/>
      <c r="Y1955" s="24" t="n"/>
    </row>
    <row r="1956">
      <c r="O1956" s="23" t="n"/>
      <c r="R1956" s="24" t="n"/>
      <c r="S1956" s="24" t="n"/>
      <c r="Y1956" s="24" t="n"/>
    </row>
    <row r="1957">
      <c r="O1957" s="23" t="n"/>
      <c r="R1957" s="24" t="n"/>
      <c r="S1957" s="24" t="n"/>
      <c r="Y1957" s="24" t="n"/>
    </row>
    <row r="1958">
      <c r="O1958" s="23" t="n"/>
      <c r="R1958" s="24" t="n"/>
      <c r="S1958" s="24" t="n"/>
      <c r="Y1958" s="24" t="n"/>
    </row>
    <row r="1959">
      <c r="O1959" s="23" t="n"/>
      <c r="R1959" s="24" t="n"/>
      <c r="S1959" s="24" t="n"/>
      <c r="Y1959" s="24" t="n"/>
    </row>
    <row r="1960">
      <c r="O1960" s="23" t="n"/>
      <c r="R1960" s="24" t="n"/>
      <c r="S1960" s="24" t="n"/>
      <c r="Y1960" s="24" t="n"/>
    </row>
    <row r="1961">
      <c r="O1961" s="23" t="n"/>
      <c r="R1961" s="24" t="n"/>
      <c r="S1961" s="24" t="n"/>
      <c r="Y1961" s="24" t="n"/>
    </row>
    <row r="1962">
      <c r="O1962" s="23" t="n"/>
      <c r="R1962" s="24" t="n"/>
      <c r="S1962" s="24" t="n"/>
      <c r="Y1962" s="24" t="n"/>
    </row>
    <row r="1963">
      <c r="O1963" s="23" t="n"/>
      <c r="R1963" s="24" t="n"/>
      <c r="S1963" s="24" t="n"/>
      <c r="Y1963" s="24" t="n"/>
    </row>
    <row r="1964">
      <c r="O1964" s="23" t="n"/>
      <c r="R1964" s="24" t="n"/>
      <c r="S1964" s="24" t="n"/>
      <c r="Y1964" s="24" t="n"/>
    </row>
    <row r="1965">
      <c r="O1965" s="23" t="n"/>
      <c r="R1965" s="24" t="n"/>
      <c r="S1965" s="24" t="n"/>
      <c r="Y1965" s="24" t="n"/>
    </row>
    <row r="1966">
      <c r="O1966" s="23" t="n"/>
      <c r="R1966" s="24" t="n"/>
      <c r="S1966" s="24" t="n"/>
      <c r="Y1966" s="24" t="n"/>
    </row>
    <row r="1967">
      <c r="O1967" s="23" t="n"/>
      <c r="R1967" s="24" t="n"/>
      <c r="S1967" s="24" t="n"/>
      <c r="Y1967" s="24" t="n"/>
    </row>
    <row r="1968">
      <c r="O1968" s="23" t="n"/>
      <c r="R1968" s="24" t="n"/>
      <c r="S1968" s="24" t="n"/>
      <c r="Y1968" s="24" t="n"/>
    </row>
    <row r="1969">
      <c r="O1969" s="23" t="n"/>
      <c r="R1969" s="24" t="n"/>
      <c r="S1969" s="24" t="n"/>
      <c r="Y1969" s="24" t="n"/>
    </row>
    <row r="1970">
      <c r="O1970" s="23" t="n"/>
      <c r="R1970" s="24" t="n"/>
      <c r="S1970" s="24" t="n"/>
      <c r="Y1970" s="24" t="n"/>
    </row>
    <row r="1971">
      <c r="O1971" s="23" t="n"/>
      <c r="R1971" s="24" t="n"/>
      <c r="S1971" s="24" t="n"/>
      <c r="Y1971" s="24" t="n"/>
    </row>
    <row r="1972">
      <c r="O1972" s="23" t="n"/>
      <c r="R1972" s="24" t="n"/>
      <c r="S1972" s="24" t="n"/>
      <c r="Y1972" s="24" t="n"/>
    </row>
    <row r="1973">
      <c r="O1973" s="23" t="n"/>
      <c r="R1973" s="24" t="n"/>
      <c r="S1973" s="24" t="n"/>
      <c r="Y1973" s="24" t="n"/>
    </row>
    <row r="1974">
      <c r="O1974" s="23" t="n"/>
      <c r="R1974" s="24" t="n"/>
      <c r="S1974" s="24" t="n"/>
      <c r="Y1974" s="24" t="n"/>
    </row>
    <row r="1975">
      <c r="O1975" s="23" t="n"/>
      <c r="R1975" s="24" t="n"/>
      <c r="S1975" s="24" t="n"/>
      <c r="Y1975" s="24" t="n"/>
    </row>
    <row r="1976">
      <c r="O1976" s="23" t="n"/>
      <c r="R1976" s="24" t="n"/>
      <c r="S1976" s="24" t="n"/>
      <c r="Y1976" s="24" t="n"/>
    </row>
    <row r="1977">
      <c r="O1977" s="23" t="n"/>
      <c r="R1977" s="24" t="n"/>
      <c r="S1977" s="24" t="n"/>
      <c r="Y1977" s="24" t="n"/>
    </row>
    <row r="1978">
      <c r="O1978" s="23" t="n"/>
      <c r="R1978" s="24" t="n"/>
      <c r="S1978" s="24" t="n"/>
      <c r="Y1978" s="24" t="n"/>
    </row>
    <row r="1979">
      <c r="O1979" s="23" t="n"/>
      <c r="R1979" s="24" t="n"/>
      <c r="S1979" s="24" t="n"/>
      <c r="Y1979" s="24" t="n"/>
    </row>
    <row r="1980">
      <c r="O1980" s="23" t="n"/>
      <c r="R1980" s="24" t="n"/>
      <c r="S1980" s="24" t="n"/>
      <c r="Y1980" s="24" t="n"/>
    </row>
    <row r="1981">
      <c r="O1981" s="23" t="n"/>
      <c r="R1981" s="24" t="n"/>
      <c r="S1981" s="24" t="n"/>
      <c r="Y1981" s="24" t="n"/>
    </row>
    <row r="1982">
      <c r="O1982" s="23" t="n"/>
      <c r="R1982" s="24" t="n"/>
      <c r="S1982" s="24" t="n"/>
      <c r="Y1982" s="24" t="n"/>
    </row>
    <row r="1983">
      <c r="O1983" s="23" t="n"/>
      <c r="R1983" s="24" t="n"/>
      <c r="S1983" s="24" t="n"/>
      <c r="Y1983" s="24" t="n"/>
    </row>
    <row r="1984">
      <c r="O1984" s="23" t="n"/>
      <c r="R1984" s="24" t="n"/>
      <c r="S1984" s="24" t="n"/>
      <c r="Y1984" s="24" t="n"/>
    </row>
    <row r="1985">
      <c r="O1985" s="23" t="n"/>
      <c r="R1985" s="24" t="n"/>
      <c r="S1985" s="24" t="n"/>
      <c r="Y1985" s="24" t="n"/>
    </row>
    <row r="1986">
      <c r="O1986" s="23" t="n"/>
      <c r="R1986" s="24" t="n"/>
      <c r="S1986" s="24" t="n"/>
      <c r="Y1986" s="24" t="n"/>
    </row>
    <row r="1987">
      <c r="O1987" s="23" t="n"/>
      <c r="R1987" s="24" t="n"/>
      <c r="S1987" s="24" t="n"/>
      <c r="Y1987" s="24" t="n"/>
    </row>
    <row r="1988">
      <c r="O1988" s="23" t="n"/>
      <c r="R1988" s="24" t="n"/>
      <c r="S1988" s="24" t="n"/>
      <c r="Y1988" s="24" t="n"/>
    </row>
    <row r="1989">
      <c r="O1989" s="23" t="n"/>
      <c r="R1989" s="24" t="n"/>
      <c r="S1989" s="24" t="n"/>
      <c r="Y1989" s="24" t="n"/>
    </row>
    <row r="1990">
      <c r="O1990" s="23" t="n"/>
      <c r="R1990" s="24" t="n"/>
      <c r="S1990" s="24" t="n"/>
      <c r="Y1990" s="24" t="n"/>
    </row>
    <row r="1991">
      <c r="O1991" s="23" t="n"/>
      <c r="R1991" s="24" t="n"/>
      <c r="S1991" s="24" t="n"/>
      <c r="Y1991" s="24" t="n"/>
    </row>
    <row r="1992">
      <c r="O1992" s="23" t="n"/>
      <c r="R1992" s="24" t="n"/>
      <c r="S1992" s="24" t="n"/>
      <c r="Y1992" s="24" t="n"/>
    </row>
    <row r="1993">
      <c r="O1993" s="23" t="n"/>
      <c r="R1993" s="24" t="n"/>
      <c r="S1993" s="24" t="n"/>
      <c r="Y1993" s="24" t="n"/>
    </row>
    <row r="1994">
      <c r="O1994" s="23" t="n"/>
      <c r="R1994" s="24" t="n"/>
      <c r="S1994" s="24" t="n"/>
      <c r="Y1994" s="24" t="n"/>
    </row>
    <row r="1995">
      <c r="O1995" s="23" t="n"/>
      <c r="R1995" s="24" t="n"/>
      <c r="S1995" s="24" t="n"/>
      <c r="Y1995" s="24" t="n"/>
    </row>
    <row r="1996">
      <c r="O1996" s="23" t="n"/>
      <c r="R1996" s="24" t="n"/>
      <c r="S1996" s="24" t="n"/>
      <c r="Y1996" s="24" t="n"/>
    </row>
    <row r="1997">
      <c r="O1997" s="23" t="n"/>
      <c r="R1997" s="24" t="n"/>
      <c r="S1997" s="24" t="n"/>
      <c r="Y1997" s="24" t="n"/>
    </row>
    <row r="1998">
      <c r="O1998" s="23" t="n"/>
      <c r="R1998" s="24" t="n"/>
      <c r="S1998" s="24" t="n"/>
      <c r="Y1998" s="24" t="n"/>
    </row>
    <row r="1999">
      <c r="O1999" s="23" t="n"/>
      <c r="R1999" s="24" t="n"/>
      <c r="S1999" s="24" t="n"/>
      <c r="Y1999" s="24" t="n"/>
    </row>
    <row r="2000">
      <c r="O2000" s="23" t="n"/>
      <c r="R2000" s="24" t="n"/>
      <c r="S2000" s="24" t="n"/>
      <c r="Y2000" s="24" t="n"/>
    </row>
    <row r="2001">
      <c r="O2001" s="23" t="n"/>
      <c r="R2001" s="24" t="n"/>
      <c r="S2001" s="24" t="n"/>
      <c r="Y2001" s="24" t="n"/>
    </row>
    <row r="2002">
      <c r="O2002" s="23" t="n"/>
      <c r="R2002" s="24" t="n"/>
      <c r="S2002" s="24" t="n"/>
      <c r="Y2002" s="24" t="n"/>
    </row>
    <row r="2003">
      <c r="O2003" s="23" t="n"/>
      <c r="R2003" s="24" t="n"/>
      <c r="S2003" s="24" t="n"/>
      <c r="Y2003" s="24" t="n"/>
    </row>
    <row r="2004">
      <c r="O2004" s="23" t="n"/>
      <c r="R2004" s="24" t="n"/>
      <c r="S2004" s="24" t="n"/>
      <c r="Y2004" s="24" t="n"/>
    </row>
    <row r="2005">
      <c r="O2005" s="23" t="n"/>
      <c r="R2005" s="24" t="n"/>
      <c r="S2005" s="24" t="n"/>
      <c r="Y2005" s="24" t="n"/>
    </row>
    <row r="2006">
      <c r="O2006" s="23" t="n"/>
      <c r="R2006" s="24" t="n"/>
      <c r="S2006" s="24" t="n"/>
      <c r="Y2006" s="24" t="n"/>
    </row>
    <row r="2007">
      <c r="O2007" s="23" t="n"/>
      <c r="R2007" s="24" t="n"/>
      <c r="S2007" s="24" t="n"/>
      <c r="Y2007" s="24" t="n"/>
    </row>
    <row r="2008">
      <c r="O2008" s="23" t="n"/>
      <c r="R2008" s="24" t="n"/>
      <c r="S2008" s="24" t="n"/>
      <c r="Y2008" s="24" t="n"/>
    </row>
    <row r="2009">
      <c r="O2009" s="23" t="n"/>
      <c r="R2009" s="24" t="n"/>
      <c r="S2009" s="24" t="n"/>
      <c r="Y2009" s="24" t="n"/>
    </row>
    <row r="2010">
      <c r="O2010" s="23" t="n"/>
      <c r="R2010" s="24" t="n"/>
      <c r="S2010" s="24" t="n"/>
      <c r="Y2010" s="24" t="n"/>
    </row>
    <row r="2011">
      <c r="O2011" s="23" t="n"/>
      <c r="R2011" s="24" t="n"/>
      <c r="S2011" s="24" t="n"/>
      <c r="Y2011" s="24" t="n"/>
    </row>
    <row r="2012">
      <c r="O2012" s="23" t="n"/>
      <c r="R2012" s="24" t="n"/>
      <c r="S2012" s="24" t="n"/>
      <c r="Y2012" s="24" t="n"/>
    </row>
    <row r="2013">
      <c r="O2013" s="23" t="n"/>
      <c r="R2013" s="24" t="n"/>
      <c r="S2013" s="24" t="n"/>
      <c r="Y2013" s="24" t="n"/>
    </row>
    <row r="2014">
      <c r="O2014" s="23" t="n"/>
      <c r="R2014" s="24" t="n"/>
      <c r="S2014" s="24" t="n"/>
      <c r="Y2014" s="24" t="n"/>
    </row>
    <row r="2015">
      <c r="O2015" s="23" t="n"/>
      <c r="R2015" s="24" t="n"/>
      <c r="S2015" s="24" t="n"/>
      <c r="Y2015" s="24" t="n"/>
    </row>
    <row r="2016">
      <c r="O2016" s="23" t="n"/>
      <c r="R2016" s="24" t="n"/>
      <c r="S2016" s="24" t="n"/>
      <c r="Y2016" s="24" t="n"/>
    </row>
    <row r="2017">
      <c r="O2017" s="23" t="n"/>
      <c r="R2017" s="24" t="n"/>
      <c r="S2017" s="24" t="n"/>
      <c r="Y2017" s="24" t="n"/>
    </row>
    <row r="2018">
      <c r="O2018" s="23" t="n"/>
      <c r="R2018" s="24" t="n"/>
      <c r="S2018" s="24" t="n"/>
      <c r="Y2018" s="24" t="n"/>
    </row>
    <row r="2019">
      <c r="O2019" s="23" t="n"/>
      <c r="R2019" s="24" t="n"/>
      <c r="S2019" s="24" t="n"/>
      <c r="Y2019" s="24" t="n"/>
    </row>
    <row r="2020">
      <c r="O2020" s="23" t="n"/>
      <c r="R2020" s="24" t="n"/>
      <c r="S2020" s="24" t="n"/>
      <c r="Y2020" s="24" t="n"/>
    </row>
    <row r="2021">
      <c r="O2021" s="23" t="n"/>
      <c r="R2021" s="24" t="n"/>
      <c r="S2021" s="24" t="n"/>
      <c r="Y2021" s="24" t="n"/>
    </row>
    <row r="2022">
      <c r="O2022" s="23" t="n"/>
      <c r="R2022" s="24" t="n"/>
      <c r="S2022" s="24" t="n"/>
      <c r="Y2022" s="24" t="n"/>
    </row>
    <row r="2023">
      <c r="O2023" s="23" t="n"/>
      <c r="R2023" s="24" t="n"/>
      <c r="S2023" s="24" t="n"/>
      <c r="Y2023" s="24" t="n"/>
    </row>
    <row r="2024">
      <c r="O2024" s="23" t="n"/>
      <c r="R2024" s="24" t="n"/>
      <c r="S2024" s="24" t="n"/>
      <c r="Y2024" s="24" t="n"/>
    </row>
    <row r="2025">
      <c r="O2025" s="23" t="n"/>
      <c r="R2025" s="24" t="n"/>
      <c r="S2025" s="24" t="n"/>
      <c r="Y2025" s="24" t="n"/>
    </row>
    <row r="2026">
      <c r="O2026" s="23" t="n"/>
      <c r="R2026" s="24" t="n"/>
      <c r="S2026" s="24" t="n"/>
      <c r="Y2026" s="24" t="n"/>
    </row>
    <row r="2027">
      <c r="O2027" s="23" t="n"/>
      <c r="R2027" s="24" t="n"/>
      <c r="S2027" s="24" t="n"/>
      <c r="Y2027" s="24" t="n"/>
    </row>
    <row r="2028">
      <c r="O2028" s="23" t="n"/>
      <c r="R2028" s="24" t="n"/>
      <c r="S2028" s="24" t="n"/>
      <c r="Y2028" s="24" t="n"/>
    </row>
    <row r="2029">
      <c r="O2029" s="23" t="n"/>
      <c r="R2029" s="24" t="n"/>
      <c r="S2029" s="24" t="n"/>
      <c r="Y2029" s="24" t="n"/>
    </row>
    <row r="2030">
      <c r="O2030" s="23" t="n"/>
      <c r="R2030" s="24" t="n"/>
      <c r="S2030" s="24" t="n"/>
      <c r="Y2030" s="24" t="n"/>
    </row>
    <row r="2031">
      <c r="O2031" s="23" t="n"/>
      <c r="R2031" s="24" t="n"/>
      <c r="S2031" s="24" t="n"/>
      <c r="Y2031" s="24" t="n"/>
    </row>
    <row r="2032">
      <c r="O2032" s="23" t="n"/>
      <c r="R2032" s="24" t="n"/>
      <c r="S2032" s="24" t="n"/>
      <c r="Y2032" s="24" t="n"/>
    </row>
    <row r="2033">
      <c r="O2033" s="23" t="n"/>
      <c r="R2033" s="24" t="n"/>
      <c r="S2033" s="24" t="n"/>
      <c r="Y2033" s="24" t="n"/>
    </row>
    <row r="2034">
      <c r="O2034" s="23" t="n"/>
      <c r="R2034" s="24" t="n"/>
      <c r="S2034" s="24" t="n"/>
      <c r="Y2034" s="24" t="n"/>
    </row>
    <row r="2035">
      <c r="O2035" s="23" t="n"/>
      <c r="R2035" s="24" t="n"/>
      <c r="S2035" s="24" t="n"/>
      <c r="Y2035" s="24" t="n"/>
    </row>
    <row r="2036">
      <c r="O2036" s="23" t="n"/>
      <c r="R2036" s="24" t="n"/>
      <c r="S2036" s="24" t="n"/>
      <c r="Y2036" s="24" t="n"/>
    </row>
    <row r="2037">
      <c r="O2037" s="23" t="n"/>
      <c r="R2037" s="24" t="n"/>
      <c r="S2037" s="24" t="n"/>
      <c r="Y2037" s="24" t="n"/>
    </row>
    <row r="2038">
      <c r="O2038" s="23" t="n"/>
      <c r="R2038" s="24" t="n"/>
      <c r="S2038" s="24" t="n"/>
      <c r="Y2038" s="24" t="n"/>
    </row>
    <row r="2039">
      <c r="O2039" s="23" t="n"/>
      <c r="R2039" s="24" t="n"/>
      <c r="S2039" s="24" t="n"/>
      <c r="Y2039" s="24" t="n"/>
    </row>
    <row r="2040">
      <c r="O2040" s="23" t="n"/>
      <c r="R2040" s="24" t="n"/>
      <c r="S2040" s="24" t="n"/>
      <c r="Y2040" s="24" t="n"/>
    </row>
    <row r="2041">
      <c r="O2041" s="23" t="n"/>
      <c r="R2041" s="24" t="n"/>
      <c r="S2041" s="24" t="n"/>
      <c r="Y2041" s="24" t="n"/>
    </row>
    <row r="2042">
      <c r="O2042" s="23" t="n"/>
      <c r="R2042" s="24" t="n"/>
      <c r="S2042" s="24" t="n"/>
      <c r="Y2042" s="24" t="n"/>
    </row>
    <row r="2043">
      <c r="O2043" s="23" t="n"/>
      <c r="R2043" s="24" t="n"/>
      <c r="S2043" s="24" t="n"/>
      <c r="Y2043" s="24" t="n"/>
    </row>
    <row r="2044">
      <c r="O2044" s="23" t="n"/>
      <c r="R2044" s="24" t="n"/>
      <c r="S2044" s="24" t="n"/>
      <c r="Y2044" s="24" t="n"/>
    </row>
    <row r="2045">
      <c r="O2045" s="23" t="n"/>
      <c r="R2045" s="24" t="n"/>
      <c r="S2045" s="24" t="n"/>
      <c r="Y2045" s="24" t="n"/>
    </row>
    <row r="2046">
      <c r="O2046" s="23" t="n"/>
      <c r="R2046" s="24" t="n"/>
      <c r="S2046" s="24" t="n"/>
      <c r="Y2046" s="24" t="n"/>
    </row>
    <row r="2047">
      <c r="O2047" s="23" t="n"/>
      <c r="R2047" s="24" t="n"/>
      <c r="S2047" s="24" t="n"/>
      <c r="Y2047" s="24" t="n"/>
    </row>
    <row r="2048">
      <c r="O2048" s="23" t="n"/>
      <c r="R2048" s="24" t="n"/>
      <c r="S2048" s="24" t="n"/>
      <c r="Y2048" s="24" t="n"/>
    </row>
    <row r="2049">
      <c r="O2049" s="23" t="n"/>
      <c r="R2049" s="24" t="n"/>
      <c r="S2049" s="24" t="n"/>
      <c r="Y2049" s="24" t="n"/>
    </row>
    <row r="2050">
      <c r="O2050" s="23" t="n"/>
      <c r="R2050" s="24" t="n"/>
      <c r="S2050" s="24" t="n"/>
      <c r="Y2050" s="24" t="n"/>
    </row>
    <row r="2051">
      <c r="O2051" s="23" t="n"/>
      <c r="R2051" s="24" t="n"/>
      <c r="S2051" s="24" t="n"/>
      <c r="Y2051" s="24" t="n"/>
    </row>
    <row r="2052">
      <c r="O2052" s="23" t="n"/>
      <c r="R2052" s="24" t="n"/>
      <c r="S2052" s="24" t="n"/>
      <c r="Y2052" s="24" t="n"/>
    </row>
    <row r="2053">
      <c r="O2053" s="23" t="n"/>
      <c r="R2053" s="24" t="n"/>
      <c r="S2053" s="24" t="n"/>
      <c r="Y2053" s="24" t="n"/>
    </row>
    <row r="2054">
      <c r="O2054" s="23" t="n"/>
      <c r="R2054" s="24" t="n"/>
      <c r="S2054" s="24" t="n"/>
      <c r="Y2054" s="24" t="n"/>
    </row>
    <row r="2055">
      <c r="O2055" s="23" t="n"/>
      <c r="R2055" s="24" t="n"/>
      <c r="S2055" s="24" t="n"/>
      <c r="Y2055" s="24" t="n"/>
    </row>
    <row r="2056">
      <c r="O2056" s="23" t="n"/>
      <c r="R2056" s="24" t="n"/>
      <c r="S2056" s="24" t="n"/>
      <c r="Y2056" s="24" t="n"/>
    </row>
    <row r="2057">
      <c r="O2057" s="23" t="n"/>
      <c r="R2057" s="24" t="n"/>
      <c r="S2057" s="24" t="n"/>
      <c r="Y2057" s="24" t="n"/>
    </row>
    <row r="2058">
      <c r="O2058" s="23" t="n"/>
      <c r="R2058" s="24" t="n"/>
      <c r="S2058" s="24" t="n"/>
      <c r="Y2058" s="24" t="n"/>
    </row>
    <row r="2059">
      <c r="O2059" s="23" t="n"/>
      <c r="R2059" s="24" t="n"/>
      <c r="S2059" s="24" t="n"/>
      <c r="Y2059" s="24" t="n"/>
    </row>
    <row r="2060">
      <c r="O2060" s="23" t="n"/>
      <c r="R2060" s="24" t="n"/>
      <c r="S2060" s="24" t="n"/>
      <c r="Y2060" s="24" t="n"/>
    </row>
    <row r="2061">
      <c r="O2061" s="23" t="n"/>
      <c r="R2061" s="24" t="n"/>
      <c r="S2061" s="24" t="n"/>
      <c r="Y2061" s="24" t="n"/>
    </row>
    <row r="2062">
      <c r="O2062" s="23" t="n"/>
      <c r="R2062" s="24" t="n"/>
      <c r="S2062" s="24" t="n"/>
      <c r="Y2062" s="24" t="n"/>
    </row>
    <row r="2063">
      <c r="O2063" s="23" t="n"/>
      <c r="R2063" s="24" t="n"/>
      <c r="S2063" s="24" t="n"/>
      <c r="Y2063" s="24" t="n"/>
    </row>
    <row r="2064">
      <c r="O2064" s="23" t="n"/>
      <c r="R2064" s="24" t="n"/>
      <c r="S2064" s="24" t="n"/>
      <c r="Y2064" s="24" t="n"/>
    </row>
    <row r="2065">
      <c r="O2065" s="23" t="n"/>
      <c r="R2065" s="24" t="n"/>
      <c r="S2065" s="24" t="n"/>
      <c r="Y2065" s="24" t="n"/>
    </row>
    <row r="2066">
      <c r="O2066" s="23" t="n"/>
      <c r="R2066" s="24" t="n"/>
      <c r="S2066" s="24" t="n"/>
      <c r="Y2066" s="24" t="n"/>
    </row>
    <row r="2067">
      <c r="O2067" s="23" t="n"/>
      <c r="R2067" s="24" t="n"/>
      <c r="S2067" s="24" t="n"/>
      <c r="Y2067" s="24" t="n"/>
    </row>
    <row r="2068">
      <c r="O2068" s="23" t="n"/>
      <c r="R2068" s="24" t="n"/>
      <c r="S2068" s="24" t="n"/>
      <c r="Y2068" s="24" t="n"/>
    </row>
    <row r="2069">
      <c r="O2069" s="23" t="n"/>
      <c r="R2069" s="24" t="n"/>
      <c r="S2069" s="24" t="n"/>
      <c r="Y2069" s="24" t="n"/>
    </row>
    <row r="2070">
      <c r="O2070" s="23" t="n"/>
      <c r="R2070" s="24" t="n"/>
      <c r="S2070" s="24" t="n"/>
      <c r="Y2070" s="24" t="n"/>
    </row>
    <row r="2071">
      <c r="O2071" s="23" t="n"/>
      <c r="R2071" s="24" t="n"/>
      <c r="S2071" s="24" t="n"/>
      <c r="Y2071" s="24" t="n"/>
    </row>
    <row r="2072">
      <c r="O2072" s="23" t="n"/>
      <c r="R2072" s="24" t="n"/>
      <c r="S2072" s="24" t="n"/>
      <c r="Y2072" s="24" t="n"/>
    </row>
    <row r="2073">
      <c r="O2073" s="23" t="n"/>
      <c r="R2073" s="24" t="n"/>
      <c r="S2073" s="24" t="n"/>
      <c r="Y2073" s="24" t="n"/>
    </row>
    <row r="2074">
      <c r="O2074" s="23" t="n"/>
      <c r="R2074" s="24" t="n"/>
      <c r="S2074" s="24" t="n"/>
      <c r="Y2074" s="24" t="n"/>
    </row>
    <row r="2075">
      <c r="O2075" s="23" t="n"/>
      <c r="R2075" s="24" t="n"/>
      <c r="S2075" s="24" t="n"/>
      <c r="Y2075" s="24" t="n"/>
    </row>
    <row r="2076">
      <c r="O2076" s="23" t="n"/>
      <c r="R2076" s="24" t="n"/>
      <c r="S2076" s="24" t="n"/>
      <c r="Y2076" s="24" t="n"/>
    </row>
    <row r="2077">
      <c r="O2077" s="23" t="n"/>
      <c r="R2077" s="24" t="n"/>
      <c r="S2077" s="24" t="n"/>
      <c r="Y2077" s="24" t="n"/>
    </row>
    <row r="2078">
      <c r="O2078" s="23" t="n"/>
      <c r="R2078" s="24" t="n"/>
      <c r="S2078" s="24" t="n"/>
      <c r="Y2078" s="24" t="n"/>
    </row>
    <row r="2079">
      <c r="O2079" s="23" t="n"/>
      <c r="R2079" s="24" t="n"/>
      <c r="S2079" s="24" t="n"/>
      <c r="Y2079" s="24" t="n"/>
    </row>
    <row r="2080">
      <c r="O2080" s="23" t="n"/>
      <c r="R2080" s="24" t="n"/>
      <c r="S2080" s="24" t="n"/>
      <c r="Y2080" s="24" t="n"/>
    </row>
    <row r="2081">
      <c r="O2081" s="23" t="n"/>
      <c r="R2081" s="24" t="n"/>
      <c r="S2081" s="24" t="n"/>
      <c r="Y2081" s="24" t="n"/>
    </row>
    <row r="2082">
      <c r="O2082" s="23" t="n"/>
      <c r="R2082" s="24" t="n"/>
      <c r="S2082" s="24" t="n"/>
      <c r="Y2082" s="24" t="n"/>
    </row>
    <row r="2083">
      <c r="O2083" s="23" t="n"/>
      <c r="R2083" s="24" t="n"/>
      <c r="S2083" s="24" t="n"/>
      <c r="Y2083" s="24" t="n"/>
    </row>
    <row r="2084">
      <c r="O2084" s="23" t="n"/>
      <c r="R2084" s="24" t="n"/>
      <c r="S2084" s="24" t="n"/>
      <c r="Y2084" s="24" t="n"/>
    </row>
    <row r="2085">
      <c r="O2085" s="23" t="n"/>
      <c r="R2085" s="24" t="n"/>
      <c r="S2085" s="24" t="n"/>
      <c r="Y2085" s="24" t="n"/>
    </row>
    <row r="2086">
      <c r="O2086" s="23" t="n"/>
      <c r="R2086" s="24" t="n"/>
      <c r="S2086" s="24" t="n"/>
      <c r="Y2086" s="24" t="n"/>
    </row>
    <row r="2087">
      <c r="O2087" s="23" t="n"/>
      <c r="R2087" s="24" t="n"/>
      <c r="S2087" s="24" t="n"/>
      <c r="Y2087" s="24" t="n"/>
    </row>
    <row r="2088">
      <c r="O2088" s="23" t="n"/>
      <c r="R2088" s="24" t="n"/>
      <c r="S2088" s="24" t="n"/>
      <c r="Y2088" s="24" t="n"/>
    </row>
    <row r="2089">
      <c r="O2089" s="23" t="n"/>
      <c r="R2089" s="24" t="n"/>
      <c r="S2089" s="24" t="n"/>
      <c r="Y2089" s="24" t="n"/>
    </row>
    <row r="2090">
      <c r="O2090" s="23" t="n"/>
      <c r="R2090" s="24" t="n"/>
      <c r="S2090" s="24" t="n"/>
      <c r="Y2090" s="24" t="n"/>
    </row>
    <row r="2091">
      <c r="O2091" s="23" t="n"/>
      <c r="R2091" s="24" t="n"/>
      <c r="S2091" s="24" t="n"/>
      <c r="Y2091" s="24" t="n"/>
    </row>
    <row r="2092">
      <c r="O2092" s="23" t="n"/>
      <c r="R2092" s="24" t="n"/>
      <c r="S2092" s="24" t="n"/>
      <c r="Y2092" s="24" t="n"/>
    </row>
    <row r="2093">
      <c r="O2093" s="23" t="n"/>
      <c r="R2093" s="24" t="n"/>
      <c r="S2093" s="24" t="n"/>
      <c r="Y2093" s="24" t="n"/>
    </row>
    <row r="2094">
      <c r="O2094" s="23" t="n"/>
      <c r="R2094" s="24" t="n"/>
      <c r="S2094" s="24" t="n"/>
      <c r="Y2094" s="24" t="n"/>
    </row>
    <row r="2095">
      <c r="O2095" s="23" t="n"/>
      <c r="R2095" s="24" t="n"/>
      <c r="S2095" s="24" t="n"/>
      <c r="Y2095" s="24" t="n"/>
    </row>
    <row r="2096">
      <c r="O2096" s="23" t="n"/>
      <c r="R2096" s="24" t="n"/>
      <c r="S2096" s="24" t="n"/>
      <c r="Y2096" s="24" t="n"/>
    </row>
    <row r="2097">
      <c r="O2097" s="23" t="n"/>
      <c r="R2097" s="24" t="n"/>
      <c r="S2097" s="24" t="n"/>
      <c r="Y2097" s="24" t="n"/>
    </row>
    <row r="2098">
      <c r="O2098" s="23" t="n"/>
      <c r="R2098" s="24" t="n"/>
      <c r="S2098" s="24" t="n"/>
      <c r="Y2098" s="24" t="n"/>
    </row>
    <row r="2099">
      <c r="O2099" s="23" t="n"/>
      <c r="R2099" s="24" t="n"/>
      <c r="S2099" s="24" t="n"/>
      <c r="Y2099" s="24" t="n"/>
    </row>
    <row r="2100">
      <c r="O2100" s="23" t="n"/>
      <c r="R2100" s="24" t="n"/>
      <c r="S2100" s="24" t="n"/>
      <c r="Y2100" s="24" t="n"/>
    </row>
    <row r="2101">
      <c r="O2101" s="23" t="n"/>
      <c r="R2101" s="24" t="n"/>
      <c r="S2101" s="24" t="n"/>
      <c r="Y2101" s="24" t="n"/>
    </row>
    <row r="2102">
      <c r="O2102" s="23" t="n"/>
      <c r="R2102" s="24" t="n"/>
      <c r="S2102" s="24" t="n"/>
      <c r="Y2102" s="24" t="n"/>
    </row>
    <row r="2103">
      <c r="O2103" s="23" t="n"/>
      <c r="R2103" s="24" t="n"/>
      <c r="S2103" s="24" t="n"/>
      <c r="Y2103" s="24" t="n"/>
    </row>
    <row r="2104">
      <c r="O2104" s="23" t="n"/>
      <c r="R2104" s="24" t="n"/>
      <c r="S2104" s="24" t="n"/>
      <c r="Y2104" s="24" t="n"/>
    </row>
    <row r="2105">
      <c r="O2105" s="23" t="n"/>
      <c r="R2105" s="24" t="n"/>
      <c r="S2105" s="24" t="n"/>
      <c r="Y2105" s="24" t="n"/>
    </row>
    <row r="2106">
      <c r="O2106" s="23" t="n"/>
      <c r="R2106" s="24" t="n"/>
      <c r="S2106" s="24" t="n"/>
      <c r="Y2106" s="24" t="n"/>
    </row>
    <row r="2107">
      <c r="O2107" s="23" t="n"/>
      <c r="R2107" s="24" t="n"/>
      <c r="S2107" s="24" t="n"/>
      <c r="Y2107" s="24" t="n"/>
    </row>
    <row r="2108">
      <c r="O2108" s="23" t="n"/>
      <c r="R2108" s="24" t="n"/>
      <c r="S2108" s="24" t="n"/>
      <c r="Y2108" s="24" t="n"/>
    </row>
    <row r="2109">
      <c r="O2109" s="23" t="n"/>
      <c r="R2109" s="24" t="n"/>
      <c r="S2109" s="24" t="n"/>
      <c r="Y2109" s="24" t="n"/>
    </row>
    <row r="2110">
      <c r="O2110" s="23" t="n"/>
      <c r="R2110" s="24" t="n"/>
      <c r="S2110" s="24" t="n"/>
      <c r="Y2110" s="24" t="n"/>
    </row>
    <row r="2111">
      <c r="O2111" s="23" t="n"/>
      <c r="R2111" s="24" t="n"/>
      <c r="S2111" s="24" t="n"/>
      <c r="Y2111" s="24" t="n"/>
    </row>
    <row r="2112">
      <c r="O2112" s="23" t="n"/>
      <c r="R2112" s="24" t="n"/>
      <c r="S2112" s="24" t="n"/>
      <c r="Y2112" s="24" t="n"/>
    </row>
    <row r="2113">
      <c r="O2113" s="23" t="n"/>
      <c r="R2113" s="24" t="n"/>
      <c r="S2113" s="24" t="n"/>
      <c r="Y2113" s="24" t="n"/>
    </row>
    <row r="2114">
      <c r="O2114" s="23" t="n"/>
      <c r="R2114" s="24" t="n"/>
      <c r="S2114" s="24" t="n"/>
      <c r="Y2114" s="24" t="n"/>
    </row>
    <row r="2115">
      <c r="O2115" s="23" t="n"/>
      <c r="R2115" s="24" t="n"/>
      <c r="S2115" s="24" t="n"/>
      <c r="Y2115" s="24" t="n"/>
    </row>
    <row r="2116">
      <c r="O2116" s="23" t="n"/>
      <c r="R2116" s="24" t="n"/>
      <c r="S2116" s="24" t="n"/>
      <c r="Y2116" s="24" t="n"/>
    </row>
    <row r="2117">
      <c r="O2117" s="23" t="n"/>
      <c r="R2117" s="24" t="n"/>
      <c r="S2117" s="24" t="n"/>
      <c r="Y2117" s="24" t="n"/>
    </row>
    <row r="2118">
      <c r="O2118" s="23" t="n"/>
      <c r="R2118" s="24" t="n"/>
      <c r="S2118" s="24" t="n"/>
      <c r="Y2118" s="24" t="n"/>
    </row>
    <row r="2119">
      <c r="O2119" s="23" t="n"/>
      <c r="R2119" s="24" t="n"/>
      <c r="S2119" s="24" t="n"/>
      <c r="Y2119" s="24" t="n"/>
    </row>
    <row r="2120">
      <c r="O2120" s="23" t="n"/>
      <c r="R2120" s="24" t="n"/>
      <c r="S2120" s="24" t="n"/>
      <c r="Y2120" s="24" t="n"/>
    </row>
    <row r="2121">
      <c r="O2121" s="23" t="n"/>
      <c r="R2121" s="24" t="n"/>
      <c r="S2121" s="24" t="n"/>
      <c r="Y2121" s="24" t="n"/>
    </row>
    <row r="2122">
      <c r="O2122" s="23" t="n"/>
      <c r="R2122" s="24" t="n"/>
      <c r="S2122" s="24" t="n"/>
      <c r="Y2122" s="24" t="n"/>
    </row>
    <row r="2123">
      <c r="O2123" s="23" t="n"/>
      <c r="R2123" s="24" t="n"/>
      <c r="S2123" s="24" t="n"/>
      <c r="Y2123" s="24" t="n"/>
    </row>
    <row r="2124">
      <c r="O2124" s="23" t="n"/>
      <c r="R2124" s="24" t="n"/>
      <c r="S2124" s="24" t="n"/>
      <c r="Y2124" s="24" t="n"/>
    </row>
    <row r="2125">
      <c r="O2125" s="23" t="n"/>
      <c r="R2125" s="24" t="n"/>
      <c r="S2125" s="24" t="n"/>
      <c r="Y2125" s="24" t="n"/>
    </row>
    <row r="2126">
      <c r="O2126" s="23" t="n"/>
      <c r="R2126" s="24" t="n"/>
      <c r="S2126" s="24" t="n"/>
      <c r="Y2126" s="24" t="n"/>
    </row>
    <row r="2127">
      <c r="O2127" s="23" t="n"/>
      <c r="R2127" s="24" t="n"/>
      <c r="S2127" s="24" t="n"/>
      <c r="Y2127" s="24" t="n"/>
    </row>
    <row r="2128">
      <c r="O2128" s="23" t="n"/>
      <c r="R2128" s="24" t="n"/>
      <c r="S2128" s="24" t="n"/>
      <c r="Y2128" s="24" t="n"/>
    </row>
    <row r="2129">
      <c r="O2129" s="23" t="n"/>
      <c r="R2129" s="24" t="n"/>
      <c r="S2129" s="24" t="n"/>
      <c r="Y2129" s="24" t="n"/>
    </row>
    <row r="2130">
      <c r="O2130" s="23" t="n"/>
      <c r="R2130" s="24" t="n"/>
      <c r="S2130" s="24" t="n"/>
      <c r="Y2130" s="24" t="n"/>
    </row>
    <row r="2131">
      <c r="O2131" s="23" t="n"/>
      <c r="R2131" s="24" t="n"/>
      <c r="S2131" s="24" t="n"/>
      <c r="Y2131" s="24" t="n"/>
    </row>
    <row r="2132">
      <c r="O2132" s="23" t="n"/>
      <c r="R2132" s="24" t="n"/>
      <c r="S2132" s="24" t="n"/>
      <c r="Y2132" s="24" t="n"/>
    </row>
    <row r="2133">
      <c r="O2133" s="23" t="n"/>
      <c r="R2133" s="24" t="n"/>
      <c r="S2133" s="24" t="n"/>
      <c r="Y2133" s="24" t="n"/>
    </row>
    <row r="2134">
      <c r="O2134" s="23" t="n"/>
      <c r="R2134" s="24" t="n"/>
      <c r="S2134" s="24" t="n"/>
      <c r="Y2134" s="24" t="n"/>
    </row>
    <row r="2135">
      <c r="O2135" s="23" t="n"/>
      <c r="R2135" s="24" t="n"/>
      <c r="S2135" s="24" t="n"/>
      <c r="Y2135" s="24" t="n"/>
    </row>
    <row r="2136">
      <c r="O2136" s="23" t="n"/>
      <c r="R2136" s="24" t="n"/>
      <c r="S2136" s="24" t="n"/>
      <c r="Y2136" s="24" t="n"/>
    </row>
    <row r="2137">
      <c r="O2137" s="23" t="n"/>
      <c r="R2137" s="24" t="n"/>
      <c r="S2137" s="24" t="n"/>
      <c r="Y2137" s="24" t="n"/>
    </row>
    <row r="2138">
      <c r="O2138" s="23" t="n"/>
      <c r="R2138" s="24" t="n"/>
      <c r="S2138" s="24" t="n"/>
      <c r="Y2138" s="24" t="n"/>
    </row>
    <row r="2139">
      <c r="O2139" s="23" t="n"/>
      <c r="R2139" s="24" t="n"/>
      <c r="S2139" s="24" t="n"/>
      <c r="Y2139" s="24" t="n"/>
    </row>
    <row r="2140">
      <c r="O2140" s="23" t="n"/>
      <c r="R2140" s="24" t="n"/>
      <c r="S2140" s="24" t="n"/>
      <c r="Y2140" s="24" t="n"/>
    </row>
    <row r="2141">
      <c r="O2141" s="23" t="n"/>
      <c r="R2141" s="24" t="n"/>
      <c r="S2141" s="24" t="n"/>
      <c r="Y2141" s="24" t="n"/>
    </row>
    <row r="2142">
      <c r="O2142" s="23" t="n"/>
      <c r="R2142" s="24" t="n"/>
      <c r="S2142" s="24" t="n"/>
      <c r="Y2142" s="24" t="n"/>
    </row>
    <row r="2143">
      <c r="O2143" s="23" t="n"/>
      <c r="R2143" s="24" t="n"/>
      <c r="S2143" s="24" t="n"/>
      <c r="Y2143" s="24" t="n"/>
    </row>
    <row r="2144">
      <c r="O2144" s="23" t="n"/>
      <c r="R2144" s="24" t="n"/>
      <c r="S2144" s="24" t="n"/>
      <c r="Y2144" s="24" t="n"/>
    </row>
    <row r="2145">
      <c r="O2145" s="23" t="n"/>
      <c r="R2145" s="24" t="n"/>
      <c r="S2145" s="24" t="n"/>
      <c r="Y2145" s="24" t="n"/>
    </row>
    <row r="2146">
      <c r="O2146" s="23" t="n"/>
      <c r="R2146" s="24" t="n"/>
      <c r="S2146" s="24" t="n"/>
      <c r="Y2146" s="24" t="n"/>
    </row>
    <row r="2147">
      <c r="O2147" s="23" t="n"/>
      <c r="R2147" s="24" t="n"/>
      <c r="S2147" s="24" t="n"/>
      <c r="Y2147" s="24" t="n"/>
    </row>
    <row r="2148">
      <c r="O2148" s="23" t="n"/>
      <c r="R2148" s="24" t="n"/>
      <c r="S2148" s="24" t="n"/>
      <c r="Y2148" s="24" t="n"/>
    </row>
    <row r="2149">
      <c r="O2149" s="23" t="n"/>
      <c r="R2149" s="24" t="n"/>
      <c r="S2149" s="24" t="n"/>
      <c r="Y2149" s="24" t="n"/>
    </row>
    <row r="2150">
      <c r="O2150" s="23" t="n"/>
      <c r="R2150" s="24" t="n"/>
      <c r="S2150" s="24" t="n"/>
      <c r="Y2150" s="24" t="n"/>
    </row>
    <row r="2151">
      <c r="O2151" s="23" t="n"/>
      <c r="R2151" s="24" t="n"/>
      <c r="S2151" s="24" t="n"/>
      <c r="Y2151" s="24" t="n"/>
    </row>
    <row r="2152">
      <c r="O2152" s="23" t="n"/>
      <c r="R2152" s="24" t="n"/>
      <c r="S2152" s="24" t="n"/>
      <c r="Y2152" s="24" t="n"/>
    </row>
    <row r="2153">
      <c r="O2153" s="23" t="n"/>
      <c r="R2153" s="24" t="n"/>
      <c r="S2153" s="24" t="n"/>
      <c r="Y2153" s="24" t="n"/>
    </row>
    <row r="2154">
      <c r="O2154" s="23" t="n"/>
      <c r="R2154" s="24" t="n"/>
      <c r="S2154" s="24" t="n"/>
      <c r="Y2154" s="24" t="n"/>
    </row>
    <row r="2155">
      <c r="O2155" s="23" t="n"/>
      <c r="R2155" s="24" t="n"/>
      <c r="S2155" s="24" t="n"/>
      <c r="Y2155" s="24" t="n"/>
    </row>
    <row r="2156">
      <c r="O2156" s="23" t="n"/>
      <c r="R2156" s="24" t="n"/>
      <c r="S2156" s="24" t="n"/>
      <c r="Y2156" s="24" t="n"/>
    </row>
    <row r="2157">
      <c r="O2157" s="23" t="n"/>
      <c r="R2157" s="24" t="n"/>
      <c r="S2157" s="24" t="n"/>
      <c r="Y2157" s="24" t="n"/>
    </row>
    <row r="2158">
      <c r="O2158" s="23" t="n"/>
      <c r="R2158" s="24" t="n"/>
      <c r="S2158" s="24" t="n"/>
      <c r="Y2158" s="24" t="n"/>
    </row>
    <row r="2159">
      <c r="O2159" s="23" t="n"/>
      <c r="R2159" s="24" t="n"/>
      <c r="S2159" s="24" t="n"/>
      <c r="Y2159" s="24" t="n"/>
    </row>
    <row r="2160">
      <c r="O2160" s="23" t="n"/>
      <c r="R2160" s="24" t="n"/>
      <c r="S2160" s="24" t="n"/>
      <c r="Y2160" s="24" t="n"/>
    </row>
    <row r="2161">
      <c r="O2161" s="23" t="n"/>
      <c r="R2161" s="24" t="n"/>
      <c r="S2161" s="24" t="n"/>
      <c r="Y2161" s="24" t="n"/>
    </row>
    <row r="2162">
      <c r="O2162" s="23" t="n"/>
      <c r="R2162" s="24" t="n"/>
      <c r="S2162" s="24" t="n"/>
      <c r="Y2162" s="24" t="n"/>
    </row>
    <row r="2163">
      <c r="O2163" s="23" t="n"/>
      <c r="R2163" s="24" t="n"/>
      <c r="S2163" s="24" t="n"/>
      <c r="Y2163" s="24" t="n"/>
    </row>
    <row r="2164">
      <c r="O2164" s="23" t="n"/>
      <c r="R2164" s="24" t="n"/>
      <c r="S2164" s="24" t="n"/>
      <c r="Y2164" s="24" t="n"/>
    </row>
    <row r="2165">
      <c r="O2165" s="23" t="n"/>
      <c r="R2165" s="24" t="n"/>
      <c r="S2165" s="24" t="n"/>
      <c r="Y2165" s="24" t="n"/>
    </row>
    <row r="2166">
      <c r="O2166" s="23" t="n"/>
      <c r="R2166" s="24" t="n"/>
      <c r="S2166" s="24" t="n"/>
      <c r="Y2166" s="24" t="n"/>
    </row>
    <row r="2167">
      <c r="O2167" s="23" t="n"/>
      <c r="R2167" s="24" t="n"/>
      <c r="S2167" s="24" t="n"/>
      <c r="Y2167" s="24" t="n"/>
    </row>
    <row r="2168">
      <c r="O2168" s="23" t="n"/>
      <c r="R2168" s="24" t="n"/>
      <c r="S2168" s="24" t="n"/>
      <c r="Y2168" s="24" t="n"/>
    </row>
    <row r="2169">
      <c r="O2169" s="23" t="n"/>
      <c r="R2169" s="24" t="n"/>
      <c r="S2169" s="24" t="n"/>
      <c r="Y2169" s="24" t="n"/>
    </row>
    <row r="2170">
      <c r="O2170" s="23" t="n"/>
      <c r="R2170" s="24" t="n"/>
      <c r="S2170" s="24" t="n"/>
      <c r="Y2170" s="24" t="n"/>
    </row>
    <row r="2171">
      <c r="O2171" s="23" t="n"/>
      <c r="R2171" s="24" t="n"/>
      <c r="S2171" s="24" t="n"/>
      <c r="Y2171" s="24" t="n"/>
    </row>
    <row r="2172">
      <c r="O2172" s="23" t="n"/>
      <c r="R2172" s="24" t="n"/>
      <c r="S2172" s="24" t="n"/>
      <c r="Y2172" s="24" t="n"/>
    </row>
    <row r="2173">
      <c r="O2173" s="23" t="n"/>
      <c r="R2173" s="24" t="n"/>
      <c r="S2173" s="24" t="n"/>
      <c r="Y2173" s="24" t="n"/>
    </row>
    <row r="2174">
      <c r="O2174" s="23" t="n"/>
      <c r="R2174" s="24" t="n"/>
      <c r="S2174" s="24" t="n"/>
      <c r="Y2174" s="24" t="n"/>
    </row>
    <row r="2175">
      <c r="O2175" s="23" t="n"/>
      <c r="R2175" s="24" t="n"/>
      <c r="S2175" s="24" t="n"/>
      <c r="Y2175" s="24" t="n"/>
    </row>
    <row r="2176">
      <c r="O2176" s="23" t="n"/>
      <c r="R2176" s="24" t="n"/>
      <c r="S2176" s="24" t="n"/>
      <c r="Y2176" s="24" t="n"/>
    </row>
    <row r="2177">
      <c r="O2177" s="23" t="n"/>
      <c r="R2177" s="24" t="n"/>
      <c r="S2177" s="24" t="n"/>
      <c r="Y2177" s="24" t="n"/>
    </row>
    <row r="2178">
      <c r="O2178" s="23" t="n"/>
      <c r="R2178" s="24" t="n"/>
      <c r="S2178" s="24" t="n"/>
      <c r="Y2178" s="24" t="n"/>
    </row>
    <row r="2179">
      <c r="O2179" s="23" t="n"/>
      <c r="R2179" s="24" t="n"/>
      <c r="S2179" s="24" t="n"/>
      <c r="Y2179" s="24" t="n"/>
    </row>
    <row r="2180">
      <c r="O2180" s="23" t="n"/>
      <c r="R2180" s="24" t="n"/>
      <c r="S2180" s="24" t="n"/>
      <c r="Y2180" s="24" t="n"/>
    </row>
    <row r="2181">
      <c r="O2181" s="23" t="n"/>
      <c r="R2181" s="24" t="n"/>
      <c r="S2181" s="24" t="n"/>
      <c r="Y2181" s="24" t="n"/>
    </row>
    <row r="2182">
      <c r="O2182" s="23" t="n"/>
      <c r="R2182" s="24" t="n"/>
      <c r="S2182" s="24" t="n"/>
      <c r="Y2182" s="24" t="n"/>
    </row>
    <row r="2183">
      <c r="O2183" s="23" t="n"/>
      <c r="R2183" s="24" t="n"/>
      <c r="S2183" s="24" t="n"/>
      <c r="Y2183" s="24" t="n"/>
    </row>
    <row r="2184">
      <c r="O2184" s="23" t="n"/>
      <c r="R2184" s="24" t="n"/>
      <c r="S2184" s="24" t="n"/>
      <c r="Y2184" s="24" t="n"/>
    </row>
    <row r="2185">
      <c r="O2185" s="23" t="n"/>
      <c r="R2185" s="24" t="n"/>
      <c r="S2185" s="24" t="n"/>
      <c r="Y2185" s="24" t="n"/>
    </row>
    <row r="2186">
      <c r="O2186" s="23" t="n"/>
      <c r="R2186" s="24" t="n"/>
      <c r="S2186" s="24" t="n"/>
      <c r="Y2186" s="24" t="n"/>
    </row>
    <row r="2187">
      <c r="O2187" s="23" t="n"/>
      <c r="R2187" s="24" t="n"/>
      <c r="S2187" s="24" t="n"/>
      <c r="Y2187" s="24" t="n"/>
    </row>
    <row r="2188">
      <c r="O2188" s="23" t="n"/>
      <c r="R2188" s="24" t="n"/>
      <c r="S2188" s="24" t="n"/>
      <c r="Y2188" s="24" t="n"/>
    </row>
    <row r="2189">
      <c r="O2189" s="23" t="n"/>
      <c r="R2189" s="24" t="n"/>
      <c r="S2189" s="24" t="n"/>
      <c r="Y2189" s="24" t="n"/>
    </row>
    <row r="2190">
      <c r="O2190" s="23" t="n"/>
      <c r="R2190" s="24" t="n"/>
      <c r="S2190" s="24" t="n"/>
      <c r="Y2190" s="24" t="n"/>
    </row>
    <row r="2191">
      <c r="O2191" s="23" t="n"/>
      <c r="R2191" s="24" t="n"/>
      <c r="S2191" s="24" t="n"/>
      <c r="Y2191" s="24" t="n"/>
    </row>
    <row r="2192">
      <c r="O2192" s="23" t="n"/>
      <c r="R2192" s="24" t="n"/>
      <c r="S2192" s="24" t="n"/>
      <c r="Y2192" s="24" t="n"/>
    </row>
    <row r="2193">
      <c r="O2193" s="23" t="n"/>
      <c r="R2193" s="24" t="n"/>
      <c r="S2193" s="24" t="n"/>
      <c r="Y2193" s="24" t="n"/>
    </row>
    <row r="2194">
      <c r="O2194" s="23" t="n"/>
      <c r="R2194" s="24" t="n"/>
      <c r="S2194" s="24" t="n"/>
      <c r="Y2194" s="24" t="n"/>
    </row>
    <row r="2195">
      <c r="O2195" s="23" t="n"/>
      <c r="R2195" s="24" t="n"/>
      <c r="S2195" s="24" t="n"/>
      <c r="Y2195" s="24" t="n"/>
    </row>
    <row r="2196">
      <c r="O2196" s="23" t="n"/>
      <c r="R2196" s="24" t="n"/>
      <c r="S2196" s="24" t="n"/>
      <c r="Y2196" s="24" t="n"/>
    </row>
    <row r="2197">
      <c r="O2197" s="23" t="n"/>
      <c r="R2197" s="24" t="n"/>
      <c r="S2197" s="24" t="n"/>
      <c r="Y2197" s="24" t="n"/>
    </row>
    <row r="2198">
      <c r="O2198" s="23" t="n"/>
      <c r="R2198" s="24" t="n"/>
      <c r="S2198" s="24" t="n"/>
      <c r="Y2198" s="24" t="n"/>
    </row>
    <row r="2199">
      <c r="O2199" s="23" t="n"/>
      <c r="R2199" s="24" t="n"/>
      <c r="S2199" s="24" t="n"/>
      <c r="Y2199" s="24" t="n"/>
    </row>
    <row r="2200">
      <c r="O2200" s="23" t="n"/>
      <c r="R2200" s="24" t="n"/>
      <c r="S2200" s="24" t="n"/>
      <c r="Y2200" s="24" t="n"/>
    </row>
    <row r="2201">
      <c r="O2201" s="23" t="n"/>
      <c r="R2201" s="24" t="n"/>
      <c r="S2201" s="24" t="n"/>
      <c r="Y2201" s="24" t="n"/>
    </row>
    <row r="2202">
      <c r="O2202" s="23" t="n"/>
      <c r="R2202" s="24" t="n"/>
      <c r="S2202" s="24" t="n"/>
      <c r="Y2202" s="24" t="n"/>
    </row>
    <row r="2203">
      <c r="O2203" s="23" t="n"/>
      <c r="R2203" s="24" t="n"/>
      <c r="S2203" s="24" t="n"/>
      <c r="Y2203" s="24" t="n"/>
    </row>
    <row r="2204">
      <c r="O2204" s="23" t="n"/>
      <c r="R2204" s="24" t="n"/>
      <c r="S2204" s="24" t="n"/>
      <c r="Y2204" s="24" t="n"/>
    </row>
    <row r="2205">
      <c r="O2205" s="23" t="n"/>
      <c r="R2205" s="24" t="n"/>
      <c r="S2205" s="24" t="n"/>
      <c r="Y2205" s="24" t="n"/>
    </row>
    <row r="2206">
      <c r="O2206" s="23" t="n"/>
      <c r="R2206" s="24" t="n"/>
      <c r="S2206" s="24" t="n"/>
      <c r="Y2206" s="24" t="n"/>
    </row>
    <row r="2207">
      <c r="O2207" s="23" t="n"/>
      <c r="R2207" s="24" t="n"/>
      <c r="S2207" s="24" t="n"/>
      <c r="Y2207" s="24" t="n"/>
    </row>
    <row r="2208">
      <c r="O2208" s="23" t="n"/>
      <c r="R2208" s="24" t="n"/>
      <c r="S2208" s="24" t="n"/>
      <c r="Y2208" s="24" t="n"/>
    </row>
    <row r="2209">
      <c r="O2209" s="23" t="n"/>
      <c r="R2209" s="24" t="n"/>
      <c r="S2209" s="24" t="n"/>
      <c r="Y2209" s="24" t="n"/>
    </row>
    <row r="2210">
      <c r="O2210" s="23" t="n"/>
      <c r="R2210" s="24" t="n"/>
      <c r="S2210" s="24" t="n"/>
      <c r="Y2210" s="24" t="n"/>
    </row>
    <row r="2211">
      <c r="O2211" s="23" t="n"/>
      <c r="R2211" s="24" t="n"/>
      <c r="S2211" s="24" t="n"/>
      <c r="Y2211" s="24" t="n"/>
    </row>
    <row r="2212">
      <c r="O2212" s="23" t="n"/>
      <c r="R2212" s="24" t="n"/>
      <c r="S2212" s="24" t="n"/>
      <c r="Y2212" s="24" t="n"/>
    </row>
    <row r="2213">
      <c r="O2213" s="23" t="n"/>
      <c r="R2213" s="24" t="n"/>
      <c r="S2213" s="24" t="n"/>
      <c r="Y2213" s="24" t="n"/>
    </row>
    <row r="2214">
      <c r="O2214" s="23" t="n"/>
      <c r="R2214" s="24" t="n"/>
      <c r="S2214" s="24" t="n"/>
      <c r="Y2214" s="24" t="n"/>
    </row>
    <row r="2215">
      <c r="O2215" s="23" t="n"/>
      <c r="R2215" s="24" t="n"/>
      <c r="S2215" s="24" t="n"/>
      <c r="Y2215" s="24" t="n"/>
    </row>
    <row r="2216">
      <c r="O2216" s="23" t="n"/>
      <c r="R2216" s="24" t="n"/>
      <c r="S2216" s="24" t="n"/>
      <c r="Y2216" s="24" t="n"/>
    </row>
    <row r="2217">
      <c r="O2217" s="23" t="n"/>
      <c r="R2217" s="24" t="n"/>
      <c r="S2217" s="24" t="n"/>
      <c r="Y2217" s="24" t="n"/>
    </row>
    <row r="2218">
      <c r="O2218" s="23" t="n"/>
      <c r="R2218" s="24" t="n"/>
      <c r="S2218" s="24" t="n"/>
      <c r="Y2218" s="24" t="n"/>
    </row>
    <row r="2219">
      <c r="O2219" s="23" t="n"/>
      <c r="R2219" s="24" t="n"/>
      <c r="S2219" s="24" t="n"/>
      <c r="Y2219" s="24" t="n"/>
    </row>
    <row r="2220">
      <c r="O2220" s="23" t="n"/>
      <c r="R2220" s="24" t="n"/>
      <c r="S2220" s="24" t="n"/>
      <c r="Y2220" s="24" t="n"/>
    </row>
    <row r="2221">
      <c r="O2221" s="23" t="n"/>
      <c r="R2221" s="24" t="n"/>
      <c r="S2221" s="24" t="n"/>
      <c r="Y2221" s="24" t="n"/>
    </row>
    <row r="2222">
      <c r="O2222" s="23" t="n"/>
      <c r="R2222" s="24" t="n"/>
      <c r="S2222" s="24" t="n"/>
      <c r="Y2222" s="24" t="n"/>
    </row>
    <row r="2223">
      <c r="O2223" s="23" t="n"/>
      <c r="R2223" s="24" t="n"/>
      <c r="S2223" s="24" t="n"/>
      <c r="Y2223" s="24" t="n"/>
    </row>
    <row r="2224">
      <c r="O2224" s="23" t="n"/>
      <c r="R2224" s="24" t="n"/>
      <c r="S2224" s="24" t="n"/>
      <c r="Y2224" s="24" t="n"/>
    </row>
    <row r="2225">
      <c r="O2225" s="23" t="n"/>
      <c r="R2225" s="24" t="n"/>
      <c r="S2225" s="24" t="n"/>
      <c r="Y2225" s="24" t="n"/>
    </row>
    <row r="2226">
      <c r="O2226" s="23" t="n"/>
      <c r="R2226" s="24" t="n"/>
      <c r="S2226" s="24" t="n"/>
      <c r="Y2226" s="24" t="n"/>
    </row>
    <row r="2227">
      <c r="O2227" s="23" t="n"/>
      <c r="R2227" s="24" t="n"/>
      <c r="S2227" s="24" t="n"/>
      <c r="Y2227" s="24" t="n"/>
    </row>
    <row r="2228">
      <c r="O2228" s="23" t="n"/>
      <c r="R2228" s="24" t="n"/>
      <c r="S2228" s="24" t="n"/>
      <c r="Y2228" s="24" t="n"/>
    </row>
    <row r="2229">
      <c r="O2229" s="23" t="n"/>
      <c r="R2229" s="24" t="n"/>
      <c r="S2229" s="24" t="n"/>
      <c r="Y2229" s="24" t="n"/>
    </row>
    <row r="2230">
      <c r="O2230" s="23" t="n"/>
      <c r="R2230" s="24" t="n"/>
      <c r="S2230" s="24" t="n"/>
      <c r="Y2230" s="24" t="n"/>
    </row>
    <row r="2231">
      <c r="O2231" s="23" t="n"/>
      <c r="R2231" s="24" t="n"/>
      <c r="S2231" s="24" t="n"/>
      <c r="Y2231" s="24" t="n"/>
    </row>
    <row r="2232">
      <c r="O2232" s="23" t="n"/>
      <c r="R2232" s="24" t="n"/>
      <c r="S2232" s="24" t="n"/>
      <c r="Y2232" s="24" t="n"/>
    </row>
    <row r="2233">
      <c r="O2233" s="23" t="n"/>
      <c r="R2233" s="24" t="n"/>
      <c r="S2233" s="24" t="n"/>
      <c r="Y2233" s="24" t="n"/>
    </row>
    <row r="2234">
      <c r="O2234" s="23" t="n"/>
      <c r="R2234" s="24" t="n"/>
      <c r="S2234" s="24" t="n"/>
      <c r="Y2234" s="24" t="n"/>
    </row>
    <row r="2235">
      <c r="O2235" s="23" t="n"/>
      <c r="R2235" s="24" t="n"/>
      <c r="S2235" s="24" t="n"/>
      <c r="Y2235" s="24" t="n"/>
    </row>
    <row r="2236">
      <c r="O2236" s="23" t="n"/>
      <c r="R2236" s="24" t="n"/>
      <c r="S2236" s="24" t="n"/>
      <c r="Y2236" s="24" t="n"/>
    </row>
    <row r="2237">
      <c r="O2237" s="23" t="n"/>
      <c r="R2237" s="24" t="n"/>
      <c r="S2237" s="24" t="n"/>
      <c r="Y2237" s="24" t="n"/>
    </row>
    <row r="2238">
      <c r="O2238" s="23" t="n"/>
      <c r="R2238" s="24" t="n"/>
      <c r="S2238" s="24" t="n"/>
      <c r="Y2238" s="24" t="n"/>
    </row>
    <row r="2239">
      <c r="O2239" s="23" t="n"/>
      <c r="R2239" s="24" t="n"/>
      <c r="S2239" s="24" t="n"/>
      <c r="Y2239" s="24" t="n"/>
    </row>
    <row r="2240">
      <c r="O2240" s="23" t="n"/>
      <c r="R2240" s="24" t="n"/>
      <c r="S2240" s="24" t="n"/>
      <c r="Y2240" s="24" t="n"/>
    </row>
    <row r="2241">
      <c r="O2241" s="23" t="n"/>
      <c r="R2241" s="24" t="n"/>
      <c r="S2241" s="24" t="n"/>
      <c r="Y2241" s="24" t="n"/>
    </row>
    <row r="2242">
      <c r="O2242" s="23" t="n"/>
      <c r="R2242" s="24" t="n"/>
      <c r="S2242" s="24" t="n"/>
      <c r="Y2242" s="24" t="n"/>
    </row>
    <row r="2243">
      <c r="O2243" s="23" t="n"/>
      <c r="R2243" s="24" t="n"/>
      <c r="S2243" s="24" t="n"/>
      <c r="Y2243" s="24" t="n"/>
    </row>
    <row r="2244">
      <c r="O2244" s="23" t="n"/>
      <c r="R2244" s="24" t="n"/>
      <c r="S2244" s="24" t="n"/>
      <c r="Y2244" s="24" t="n"/>
    </row>
    <row r="2245">
      <c r="O2245" s="23" t="n"/>
      <c r="R2245" s="24" t="n"/>
      <c r="S2245" s="24" t="n"/>
      <c r="Y2245" s="24" t="n"/>
    </row>
    <row r="2246">
      <c r="O2246" s="23" t="n"/>
      <c r="R2246" s="24" t="n"/>
      <c r="S2246" s="24" t="n"/>
      <c r="Y2246" s="24" t="n"/>
    </row>
    <row r="2247">
      <c r="O2247" s="23" t="n"/>
      <c r="R2247" s="24" t="n"/>
      <c r="S2247" s="24" t="n"/>
      <c r="Y2247" s="24" t="n"/>
    </row>
    <row r="2248">
      <c r="O2248" s="23" t="n"/>
      <c r="R2248" s="24" t="n"/>
      <c r="S2248" s="24" t="n"/>
      <c r="Y2248" s="24" t="n"/>
    </row>
    <row r="2249">
      <c r="O2249" s="23" t="n"/>
      <c r="R2249" s="24" t="n"/>
      <c r="S2249" s="24" t="n"/>
      <c r="Y2249" s="24" t="n"/>
    </row>
    <row r="2250">
      <c r="O2250" s="23" t="n"/>
      <c r="R2250" s="24" t="n"/>
      <c r="S2250" s="24" t="n"/>
      <c r="Y2250" s="24" t="n"/>
    </row>
    <row r="2251">
      <c r="O2251" s="23" t="n"/>
      <c r="R2251" s="24" t="n"/>
      <c r="S2251" s="24" t="n"/>
      <c r="Y2251" s="24" t="n"/>
    </row>
    <row r="2252">
      <c r="O2252" s="23" t="n"/>
      <c r="R2252" s="24" t="n"/>
      <c r="S2252" s="24" t="n"/>
      <c r="Y2252" s="24" t="n"/>
    </row>
    <row r="2253">
      <c r="O2253" s="23" t="n"/>
      <c r="R2253" s="24" t="n"/>
      <c r="S2253" s="24" t="n"/>
      <c r="Y2253" s="24" t="n"/>
    </row>
    <row r="2254">
      <c r="O2254" s="23" t="n"/>
      <c r="R2254" s="24" t="n"/>
      <c r="S2254" s="24" t="n"/>
      <c r="Y2254" s="24" t="n"/>
    </row>
    <row r="2255">
      <c r="O2255" s="23" t="n"/>
      <c r="R2255" s="24" t="n"/>
      <c r="S2255" s="24" t="n"/>
      <c r="Y2255" s="24" t="n"/>
    </row>
    <row r="2256">
      <c r="O2256" s="23" t="n"/>
      <c r="R2256" s="24" t="n"/>
      <c r="S2256" s="24" t="n"/>
      <c r="Y2256" s="24" t="n"/>
    </row>
    <row r="2257">
      <c r="O2257" s="23" t="n"/>
      <c r="R2257" s="24" t="n"/>
      <c r="S2257" s="24" t="n"/>
      <c r="Y2257" s="24" t="n"/>
    </row>
    <row r="2258">
      <c r="O2258" s="23" t="n"/>
      <c r="R2258" s="24" t="n"/>
      <c r="S2258" s="24" t="n"/>
      <c r="Y2258" s="24" t="n"/>
    </row>
    <row r="2259">
      <c r="O2259" s="23" t="n"/>
      <c r="R2259" s="24" t="n"/>
      <c r="S2259" s="24" t="n"/>
      <c r="Y2259" s="24" t="n"/>
    </row>
    <row r="2260">
      <c r="O2260" s="23" t="n"/>
      <c r="R2260" s="24" t="n"/>
      <c r="S2260" s="24" t="n"/>
      <c r="Y2260" s="24" t="n"/>
    </row>
    <row r="2261">
      <c r="O2261" s="23" t="n"/>
      <c r="R2261" s="24" t="n"/>
      <c r="S2261" s="24" t="n"/>
      <c r="Y2261" s="24" t="n"/>
    </row>
    <row r="2262">
      <c r="O2262" s="23" t="n"/>
      <c r="R2262" s="24" t="n"/>
      <c r="S2262" s="24" t="n"/>
      <c r="Y2262" s="24" t="n"/>
    </row>
    <row r="2263">
      <c r="O2263" s="23" t="n"/>
      <c r="R2263" s="24" t="n"/>
      <c r="S2263" s="24" t="n"/>
      <c r="Y2263" s="24" t="n"/>
    </row>
    <row r="2264">
      <c r="O2264" s="23" t="n"/>
      <c r="R2264" s="24" t="n"/>
      <c r="S2264" s="24" t="n"/>
      <c r="Y2264" s="24" t="n"/>
    </row>
    <row r="2265">
      <c r="O2265" s="23" t="n"/>
      <c r="R2265" s="24" t="n"/>
      <c r="S2265" s="24" t="n"/>
      <c r="Y2265" s="24" t="n"/>
    </row>
    <row r="2266">
      <c r="O2266" s="23" t="n"/>
      <c r="R2266" s="24" t="n"/>
      <c r="S2266" s="24" t="n"/>
      <c r="Y2266" s="24" t="n"/>
    </row>
    <row r="2267">
      <c r="O2267" s="23" t="n"/>
      <c r="R2267" s="24" t="n"/>
      <c r="S2267" s="24" t="n"/>
      <c r="Y2267" s="24" t="n"/>
    </row>
    <row r="2268">
      <c r="O2268" s="23" t="n"/>
      <c r="R2268" s="24" t="n"/>
      <c r="S2268" s="24" t="n"/>
      <c r="Y2268" s="24" t="n"/>
    </row>
    <row r="2269">
      <c r="O2269" s="23" t="n"/>
      <c r="R2269" s="24" t="n"/>
      <c r="S2269" s="24" t="n"/>
      <c r="Y2269" s="24" t="n"/>
    </row>
    <row r="2270">
      <c r="O2270" s="23" t="n"/>
      <c r="R2270" s="24" t="n"/>
      <c r="S2270" s="24" t="n"/>
      <c r="Y2270" s="24" t="n"/>
    </row>
    <row r="2271">
      <c r="O2271" s="23" t="n"/>
      <c r="R2271" s="24" t="n"/>
      <c r="S2271" s="24" t="n"/>
      <c r="Y2271" s="24" t="n"/>
    </row>
    <row r="2272">
      <c r="O2272" s="23" t="n"/>
      <c r="R2272" s="24" t="n"/>
      <c r="S2272" s="24" t="n"/>
      <c r="Y2272" s="24" t="n"/>
    </row>
    <row r="2273">
      <c r="O2273" s="23" t="n"/>
      <c r="R2273" s="24" t="n"/>
      <c r="S2273" s="24" t="n"/>
      <c r="Y2273" s="24" t="n"/>
    </row>
    <row r="2274">
      <c r="O2274" s="23" t="n"/>
      <c r="R2274" s="24" t="n"/>
      <c r="S2274" s="24" t="n"/>
      <c r="Y2274" s="24" t="n"/>
    </row>
    <row r="2275">
      <c r="O2275" s="23" t="n"/>
      <c r="R2275" s="24" t="n"/>
      <c r="S2275" s="24" t="n"/>
      <c r="Y2275" s="24" t="n"/>
    </row>
    <row r="2276">
      <c r="O2276" s="23" t="n"/>
      <c r="R2276" s="24" t="n"/>
      <c r="S2276" s="24" t="n"/>
      <c r="Y2276" s="24" t="n"/>
    </row>
    <row r="2277">
      <c r="O2277" s="23" t="n"/>
      <c r="R2277" s="24" t="n"/>
      <c r="S2277" s="24" t="n"/>
      <c r="Y2277" s="24" t="n"/>
    </row>
    <row r="2278">
      <c r="O2278" s="23" t="n"/>
      <c r="R2278" s="24" t="n"/>
      <c r="S2278" s="24" t="n"/>
      <c r="Y2278" s="24" t="n"/>
    </row>
    <row r="2279">
      <c r="O2279" s="23" t="n"/>
      <c r="R2279" s="24" t="n"/>
      <c r="S2279" s="24" t="n"/>
      <c r="Y2279" s="24" t="n"/>
    </row>
    <row r="2280">
      <c r="O2280" s="23" t="n"/>
      <c r="R2280" s="24" t="n"/>
      <c r="S2280" s="24" t="n"/>
      <c r="Y2280" s="24" t="n"/>
    </row>
    <row r="2281">
      <c r="O2281" s="23" t="n"/>
      <c r="R2281" s="24" t="n"/>
      <c r="S2281" s="24" t="n"/>
      <c r="Y2281" s="24" t="n"/>
    </row>
    <row r="2282">
      <c r="O2282" s="23" t="n"/>
      <c r="R2282" s="24" t="n"/>
      <c r="S2282" s="24" t="n"/>
      <c r="Y2282" s="24" t="n"/>
    </row>
    <row r="2283">
      <c r="O2283" s="23" t="n"/>
      <c r="R2283" s="24" t="n"/>
      <c r="S2283" s="24" t="n"/>
      <c r="Y2283" s="24" t="n"/>
    </row>
    <row r="2284">
      <c r="O2284" s="23" t="n"/>
      <c r="R2284" s="24" t="n"/>
      <c r="S2284" s="24" t="n"/>
      <c r="Y2284" s="24" t="n"/>
    </row>
    <row r="2285">
      <c r="O2285" s="23" t="n"/>
      <c r="R2285" s="24" t="n"/>
      <c r="S2285" s="24" t="n"/>
      <c r="Y2285" s="24" t="n"/>
    </row>
    <row r="2286">
      <c r="O2286" s="23" t="n"/>
      <c r="R2286" s="24" t="n"/>
      <c r="S2286" s="24" t="n"/>
      <c r="Y2286" s="24" t="n"/>
    </row>
    <row r="2287">
      <c r="O2287" s="23" t="n"/>
      <c r="R2287" s="24" t="n"/>
      <c r="S2287" s="24" t="n"/>
      <c r="Y2287" s="24" t="n"/>
    </row>
    <row r="2288">
      <c r="O2288" s="23" t="n"/>
      <c r="R2288" s="24" t="n"/>
      <c r="S2288" s="24" t="n"/>
      <c r="Y2288" s="24" t="n"/>
    </row>
    <row r="2289">
      <c r="O2289" s="23" t="n"/>
      <c r="R2289" s="24" t="n"/>
      <c r="S2289" s="24" t="n"/>
      <c r="Y2289" s="24" t="n"/>
    </row>
    <row r="2290">
      <c r="O2290" s="23" t="n"/>
      <c r="R2290" s="24" t="n"/>
      <c r="S2290" s="24" t="n"/>
      <c r="Y2290" s="24" t="n"/>
    </row>
    <row r="2291">
      <c r="O2291" s="23" t="n"/>
      <c r="R2291" s="24" t="n"/>
      <c r="S2291" s="24" t="n"/>
      <c r="Y2291" s="24" t="n"/>
    </row>
    <row r="2292">
      <c r="O2292" s="23" t="n"/>
      <c r="R2292" s="24" t="n"/>
      <c r="S2292" s="24" t="n"/>
      <c r="Y2292" s="24" t="n"/>
    </row>
    <row r="2293">
      <c r="O2293" s="23" t="n"/>
      <c r="R2293" s="24" t="n"/>
      <c r="S2293" s="24" t="n"/>
      <c r="Y2293" s="24" t="n"/>
    </row>
    <row r="2294">
      <c r="O2294" s="23" t="n"/>
      <c r="R2294" s="24" t="n"/>
      <c r="S2294" s="24" t="n"/>
      <c r="Y2294" s="24" t="n"/>
    </row>
    <row r="2295">
      <c r="O2295" s="23" t="n"/>
      <c r="R2295" s="24" t="n"/>
      <c r="S2295" s="24" t="n"/>
      <c r="Y2295" s="24" t="n"/>
    </row>
    <row r="2296">
      <c r="O2296" s="23" t="n"/>
      <c r="R2296" s="24" t="n"/>
      <c r="S2296" s="24" t="n"/>
      <c r="Y2296" s="24" t="n"/>
    </row>
    <row r="2297">
      <c r="O2297" s="23" t="n"/>
      <c r="R2297" s="24" t="n"/>
      <c r="S2297" s="24" t="n"/>
      <c r="Y2297" s="24" t="n"/>
    </row>
    <row r="2298">
      <c r="O2298" s="23" t="n"/>
      <c r="R2298" s="24" t="n"/>
      <c r="S2298" s="24" t="n"/>
      <c r="Y2298" s="24" t="n"/>
    </row>
    <row r="2299">
      <c r="O2299" s="23" t="n"/>
      <c r="R2299" s="24" t="n"/>
      <c r="S2299" s="24" t="n"/>
      <c r="Y2299" s="24" t="n"/>
    </row>
    <row r="2300">
      <c r="O2300" s="23" t="n"/>
      <c r="R2300" s="24" t="n"/>
      <c r="S2300" s="24" t="n"/>
      <c r="Y2300" s="24" t="n"/>
    </row>
    <row r="2301">
      <c r="O2301" s="23" t="n"/>
      <c r="R2301" s="24" t="n"/>
      <c r="S2301" s="24" t="n"/>
      <c r="Y2301" s="24" t="n"/>
    </row>
    <row r="2302">
      <c r="O2302" s="23" t="n"/>
      <c r="R2302" s="24" t="n"/>
      <c r="S2302" s="24" t="n"/>
      <c r="Y2302" s="24" t="n"/>
    </row>
    <row r="2303">
      <c r="O2303" s="23" t="n"/>
      <c r="R2303" s="24" t="n"/>
      <c r="S2303" s="24" t="n"/>
      <c r="Y2303" s="24" t="n"/>
    </row>
    <row r="2304">
      <c r="O2304" s="23" t="n"/>
      <c r="R2304" s="24" t="n"/>
      <c r="S2304" s="24" t="n"/>
      <c r="Y2304" s="24" t="n"/>
    </row>
    <row r="2305">
      <c r="O2305" s="23" t="n"/>
      <c r="R2305" s="24" t="n"/>
      <c r="S2305" s="24" t="n"/>
      <c r="Y2305" s="24" t="n"/>
    </row>
    <row r="2306">
      <c r="O2306" s="23" t="n"/>
      <c r="R2306" s="24" t="n"/>
      <c r="S2306" s="24" t="n"/>
      <c r="Y2306" s="24" t="n"/>
    </row>
    <row r="2307">
      <c r="O2307" s="23" t="n"/>
      <c r="R2307" s="24" t="n"/>
      <c r="S2307" s="24" t="n"/>
      <c r="Y2307" s="24" t="n"/>
    </row>
    <row r="2308">
      <c r="O2308" s="23" t="n"/>
      <c r="R2308" s="24" t="n"/>
      <c r="S2308" s="24" t="n"/>
      <c r="Y2308" s="24" t="n"/>
    </row>
    <row r="2309">
      <c r="O2309" s="23" t="n"/>
      <c r="R2309" s="24" t="n"/>
      <c r="S2309" s="24" t="n"/>
      <c r="Y2309" s="24" t="n"/>
    </row>
    <row r="2310">
      <c r="O2310" s="23" t="n"/>
      <c r="R2310" s="24" t="n"/>
      <c r="S2310" s="24" t="n"/>
      <c r="Y2310" s="24" t="n"/>
    </row>
    <row r="2311">
      <c r="O2311" s="23" t="n"/>
      <c r="R2311" s="24" t="n"/>
      <c r="S2311" s="24" t="n"/>
      <c r="Y2311" s="24" t="n"/>
    </row>
    <row r="2312">
      <c r="O2312" s="23" t="n"/>
      <c r="R2312" s="24" t="n"/>
      <c r="S2312" s="24" t="n"/>
      <c r="Y2312" s="24" t="n"/>
    </row>
    <row r="2313">
      <c r="O2313" s="23" t="n"/>
      <c r="R2313" s="24" t="n"/>
      <c r="S2313" s="24" t="n"/>
      <c r="Y2313" s="24" t="n"/>
    </row>
    <row r="2314">
      <c r="O2314" s="23" t="n"/>
      <c r="R2314" s="24" t="n"/>
      <c r="S2314" s="24" t="n"/>
      <c r="Y2314" s="24" t="n"/>
    </row>
    <row r="2315">
      <c r="O2315" s="23" t="n"/>
      <c r="R2315" s="24" t="n"/>
      <c r="S2315" s="24" t="n"/>
      <c r="Y2315" s="24" t="n"/>
    </row>
    <row r="2316">
      <c r="O2316" s="23" t="n"/>
      <c r="R2316" s="24" t="n"/>
      <c r="S2316" s="24" t="n"/>
      <c r="Y2316" s="24" t="n"/>
    </row>
    <row r="2317">
      <c r="O2317" s="23" t="n"/>
      <c r="R2317" s="24" t="n"/>
      <c r="S2317" s="24" t="n"/>
      <c r="Y2317" s="24" t="n"/>
    </row>
    <row r="2318">
      <c r="O2318" s="23" t="n"/>
      <c r="R2318" s="24" t="n"/>
      <c r="S2318" s="24" t="n"/>
      <c r="Y2318" s="24" t="n"/>
    </row>
    <row r="2319">
      <c r="O2319" s="23" t="n"/>
      <c r="R2319" s="24" t="n"/>
      <c r="S2319" s="24" t="n"/>
      <c r="Y2319" s="24" t="n"/>
    </row>
    <row r="2320">
      <c r="O2320" s="23" t="n"/>
      <c r="R2320" s="24" t="n"/>
      <c r="S2320" s="24" t="n"/>
      <c r="Y2320" s="24" t="n"/>
    </row>
    <row r="2321">
      <c r="O2321" s="23" t="n"/>
      <c r="R2321" s="24" t="n"/>
      <c r="S2321" s="24" t="n"/>
      <c r="Y2321" s="24" t="n"/>
    </row>
    <row r="2322">
      <c r="O2322" s="23" t="n"/>
      <c r="R2322" s="24" t="n"/>
      <c r="S2322" s="24" t="n"/>
      <c r="Y2322" s="24" t="n"/>
    </row>
    <row r="2323">
      <c r="O2323" s="23" t="n"/>
      <c r="R2323" s="24" t="n"/>
      <c r="S2323" s="24" t="n"/>
      <c r="Y2323" s="24" t="n"/>
    </row>
    <row r="2324">
      <c r="O2324" s="23" t="n"/>
      <c r="R2324" s="24" t="n"/>
      <c r="S2324" s="24" t="n"/>
      <c r="Y2324" s="24" t="n"/>
    </row>
    <row r="2325">
      <c r="O2325" s="23" t="n"/>
      <c r="R2325" s="24" t="n"/>
      <c r="S2325" s="24" t="n"/>
      <c r="Y2325" s="24" t="n"/>
    </row>
    <row r="2326">
      <c r="O2326" s="23" t="n"/>
      <c r="R2326" s="24" t="n"/>
      <c r="S2326" s="24" t="n"/>
      <c r="Y2326" s="24" t="n"/>
    </row>
    <row r="2327">
      <c r="O2327" s="23" t="n"/>
      <c r="R2327" s="24" t="n"/>
      <c r="S2327" s="24" t="n"/>
      <c r="Y2327" s="24" t="n"/>
    </row>
    <row r="2328">
      <c r="O2328" s="23" t="n"/>
      <c r="R2328" s="24" t="n"/>
      <c r="S2328" s="24" t="n"/>
      <c r="Y2328" s="24" t="n"/>
    </row>
    <row r="2329">
      <c r="O2329" s="23" t="n"/>
      <c r="R2329" s="24" t="n"/>
      <c r="S2329" s="24" t="n"/>
      <c r="Y2329" s="24" t="n"/>
    </row>
    <row r="2330">
      <c r="O2330" s="23" t="n"/>
      <c r="R2330" s="24" t="n"/>
      <c r="S2330" s="24" t="n"/>
      <c r="Y2330" s="24" t="n"/>
    </row>
    <row r="2331">
      <c r="O2331" s="23" t="n"/>
      <c r="R2331" s="24" t="n"/>
      <c r="S2331" s="24" t="n"/>
      <c r="Y2331" s="24" t="n"/>
    </row>
    <row r="2332">
      <c r="O2332" s="23" t="n"/>
      <c r="R2332" s="24" t="n"/>
      <c r="S2332" s="24" t="n"/>
      <c r="Y2332" s="24" t="n"/>
    </row>
    <row r="2333">
      <c r="O2333" s="23" t="n"/>
      <c r="R2333" s="24" t="n"/>
      <c r="S2333" s="24" t="n"/>
      <c r="Y2333" s="24" t="n"/>
    </row>
    <row r="2334">
      <c r="O2334" s="23" t="n"/>
      <c r="R2334" s="24" t="n"/>
      <c r="S2334" s="24" t="n"/>
      <c r="Y2334" s="24" t="n"/>
    </row>
    <row r="2335">
      <c r="O2335" s="23" t="n"/>
      <c r="R2335" s="24" t="n"/>
      <c r="S2335" s="24" t="n"/>
      <c r="Y2335" s="24" t="n"/>
    </row>
    <row r="2336">
      <c r="O2336" s="23" t="n"/>
      <c r="R2336" s="24" t="n"/>
      <c r="S2336" s="24" t="n"/>
      <c r="Y2336" s="24" t="n"/>
    </row>
    <row r="2337">
      <c r="O2337" s="23" t="n"/>
      <c r="R2337" s="24" t="n"/>
      <c r="S2337" s="24" t="n"/>
      <c r="Y2337" s="24" t="n"/>
    </row>
    <row r="2338">
      <c r="O2338" s="23" t="n"/>
      <c r="R2338" s="24" t="n"/>
      <c r="S2338" s="24" t="n"/>
      <c r="Y2338" s="24" t="n"/>
    </row>
    <row r="2339">
      <c r="O2339" s="23" t="n"/>
      <c r="R2339" s="24" t="n"/>
      <c r="S2339" s="24" t="n"/>
      <c r="Y2339" s="24" t="n"/>
    </row>
    <row r="2340">
      <c r="O2340" s="23" t="n"/>
      <c r="R2340" s="24" t="n"/>
      <c r="S2340" s="24" t="n"/>
      <c r="Y2340" s="24" t="n"/>
    </row>
    <row r="2341">
      <c r="O2341" s="23" t="n"/>
      <c r="R2341" s="24" t="n"/>
      <c r="S2341" s="24" t="n"/>
      <c r="Y2341" s="24" t="n"/>
    </row>
    <row r="2342">
      <c r="O2342" s="23" t="n"/>
      <c r="R2342" s="24" t="n"/>
      <c r="S2342" s="24" t="n"/>
      <c r="Y2342" s="24" t="n"/>
    </row>
    <row r="2343">
      <c r="O2343" s="23" t="n"/>
      <c r="R2343" s="24" t="n"/>
      <c r="S2343" s="24" t="n"/>
      <c r="Y2343" s="24" t="n"/>
    </row>
    <row r="2344">
      <c r="O2344" s="23" t="n"/>
      <c r="R2344" s="24" t="n"/>
      <c r="S2344" s="24" t="n"/>
      <c r="Y2344" s="24" t="n"/>
    </row>
    <row r="2345">
      <c r="O2345" s="23" t="n"/>
      <c r="R2345" s="24" t="n"/>
      <c r="S2345" s="24" t="n"/>
      <c r="Y2345" s="24" t="n"/>
    </row>
    <row r="2346">
      <c r="O2346" s="23" t="n"/>
      <c r="R2346" s="24" t="n"/>
      <c r="S2346" s="24" t="n"/>
      <c r="Y2346" s="24" t="n"/>
    </row>
    <row r="2347">
      <c r="O2347" s="23" t="n"/>
      <c r="R2347" s="24" t="n"/>
      <c r="S2347" s="24" t="n"/>
      <c r="Y2347" s="24" t="n"/>
    </row>
    <row r="2348">
      <c r="O2348" s="23" t="n"/>
      <c r="R2348" s="24" t="n"/>
      <c r="S2348" s="24" t="n"/>
      <c r="Y2348" s="24" t="n"/>
    </row>
    <row r="2349">
      <c r="O2349" s="23" t="n"/>
      <c r="R2349" s="24" t="n"/>
      <c r="S2349" s="24" t="n"/>
      <c r="Y2349" s="24" t="n"/>
    </row>
    <row r="2350">
      <c r="O2350" s="23" t="n"/>
      <c r="R2350" s="24" t="n"/>
      <c r="S2350" s="24" t="n"/>
      <c r="Y2350" s="24" t="n"/>
    </row>
    <row r="2351">
      <c r="O2351" s="23" t="n"/>
      <c r="R2351" s="24" t="n"/>
      <c r="S2351" s="24" t="n"/>
      <c r="Y2351" s="24" t="n"/>
    </row>
    <row r="2352">
      <c r="O2352" s="23" t="n"/>
      <c r="R2352" s="24" t="n"/>
      <c r="S2352" s="24" t="n"/>
      <c r="Y2352" s="24" t="n"/>
    </row>
    <row r="2353">
      <c r="O2353" s="23" t="n"/>
      <c r="R2353" s="24" t="n"/>
      <c r="S2353" s="24" t="n"/>
      <c r="Y2353" s="24" t="n"/>
    </row>
    <row r="2354">
      <c r="O2354" s="23" t="n"/>
      <c r="R2354" s="24" t="n"/>
      <c r="S2354" s="24" t="n"/>
      <c r="Y2354" s="24" t="n"/>
    </row>
    <row r="2355">
      <c r="O2355" s="23" t="n"/>
      <c r="R2355" s="24" t="n"/>
      <c r="S2355" s="24" t="n"/>
      <c r="Y2355" s="24" t="n"/>
    </row>
    <row r="2356">
      <c r="O2356" s="23" t="n"/>
      <c r="R2356" s="24" t="n"/>
      <c r="S2356" s="24" t="n"/>
      <c r="Y2356" s="24" t="n"/>
    </row>
    <row r="2357">
      <c r="O2357" s="23" t="n"/>
      <c r="R2357" s="24" t="n"/>
      <c r="S2357" s="24" t="n"/>
      <c r="Y2357" s="24" t="n"/>
    </row>
    <row r="2358">
      <c r="O2358" s="23" t="n"/>
      <c r="R2358" s="24" t="n"/>
      <c r="S2358" s="24" t="n"/>
      <c r="Y2358" s="24" t="n"/>
    </row>
    <row r="2359">
      <c r="O2359" s="23" t="n"/>
      <c r="R2359" s="24" t="n"/>
      <c r="S2359" s="24" t="n"/>
      <c r="Y2359" s="24" t="n"/>
    </row>
    <row r="2360">
      <c r="O2360" s="23" t="n"/>
      <c r="R2360" s="24" t="n"/>
      <c r="S2360" s="24" t="n"/>
      <c r="Y2360" s="24" t="n"/>
    </row>
    <row r="2361">
      <c r="O2361" s="23" t="n"/>
      <c r="R2361" s="24" t="n"/>
      <c r="S2361" s="24" t="n"/>
      <c r="Y2361" s="24" t="n"/>
    </row>
    <row r="2362">
      <c r="O2362" s="23" t="n"/>
      <c r="R2362" s="24" t="n"/>
      <c r="S2362" s="24" t="n"/>
      <c r="Y2362" s="24" t="n"/>
    </row>
    <row r="2363">
      <c r="O2363" s="23" t="n"/>
      <c r="R2363" s="24" t="n"/>
      <c r="S2363" s="24" t="n"/>
      <c r="Y2363" s="24" t="n"/>
    </row>
    <row r="2364">
      <c r="O2364" s="23" t="n"/>
      <c r="R2364" s="24" t="n"/>
      <c r="S2364" s="24" t="n"/>
      <c r="Y2364" s="24" t="n"/>
    </row>
    <row r="2365">
      <c r="O2365" s="23" t="n"/>
      <c r="R2365" s="24" t="n"/>
      <c r="S2365" s="24" t="n"/>
      <c r="Y2365" s="24" t="n"/>
    </row>
    <row r="2366">
      <c r="O2366" s="23" t="n"/>
      <c r="R2366" s="24" t="n"/>
      <c r="S2366" s="24" t="n"/>
      <c r="Y2366" s="24" t="n"/>
    </row>
    <row r="2367">
      <c r="O2367" s="23" t="n"/>
      <c r="R2367" s="24" t="n"/>
      <c r="S2367" s="24" t="n"/>
      <c r="Y2367" s="24" t="n"/>
    </row>
    <row r="2368">
      <c r="O2368" s="23" t="n"/>
      <c r="R2368" s="24" t="n"/>
      <c r="S2368" s="24" t="n"/>
      <c r="Y2368" s="24" t="n"/>
    </row>
    <row r="2369">
      <c r="O2369" s="23" t="n"/>
      <c r="R2369" s="24" t="n"/>
      <c r="S2369" s="24" t="n"/>
      <c r="Y2369" s="24" t="n"/>
    </row>
    <row r="2370">
      <c r="O2370" s="23" t="n"/>
      <c r="R2370" s="24" t="n"/>
      <c r="S2370" s="24" t="n"/>
      <c r="Y2370" s="24" t="n"/>
    </row>
    <row r="2371">
      <c r="O2371" s="23" t="n"/>
      <c r="R2371" s="24" t="n"/>
      <c r="S2371" s="24" t="n"/>
      <c r="Y2371" s="24" t="n"/>
    </row>
    <row r="2372">
      <c r="O2372" s="23" t="n"/>
      <c r="R2372" s="24" t="n"/>
      <c r="S2372" s="24" t="n"/>
      <c r="Y2372" s="24" t="n"/>
    </row>
    <row r="2373">
      <c r="O2373" s="23" t="n"/>
      <c r="R2373" s="24" t="n"/>
      <c r="S2373" s="24" t="n"/>
      <c r="Y2373" s="24" t="n"/>
    </row>
    <row r="2374">
      <c r="O2374" s="23" t="n"/>
      <c r="R2374" s="24" t="n"/>
      <c r="S2374" s="24" t="n"/>
      <c r="Y2374" s="24" t="n"/>
    </row>
    <row r="2375">
      <c r="O2375" s="23" t="n"/>
      <c r="R2375" s="24" t="n"/>
      <c r="S2375" s="24" t="n"/>
      <c r="Y2375" s="24" t="n"/>
    </row>
    <row r="2376">
      <c r="O2376" s="23" t="n"/>
      <c r="R2376" s="24" t="n"/>
      <c r="S2376" s="24" t="n"/>
      <c r="Y2376" s="24" t="n"/>
    </row>
    <row r="2377">
      <c r="O2377" s="23" t="n"/>
      <c r="R2377" s="24" t="n"/>
      <c r="S2377" s="24" t="n"/>
      <c r="Y2377" s="24" t="n"/>
    </row>
    <row r="2378">
      <c r="O2378" s="23" t="n"/>
      <c r="R2378" s="24" t="n"/>
      <c r="S2378" s="24" t="n"/>
      <c r="Y2378" s="24" t="n"/>
    </row>
    <row r="2379">
      <c r="O2379" s="23" t="n"/>
      <c r="R2379" s="24" t="n"/>
      <c r="S2379" s="24" t="n"/>
      <c r="Y2379" s="24" t="n"/>
    </row>
    <row r="2380">
      <c r="O2380" s="23" t="n"/>
      <c r="R2380" s="24" t="n"/>
      <c r="S2380" s="24" t="n"/>
      <c r="Y2380" s="24" t="n"/>
    </row>
    <row r="2381">
      <c r="O2381" s="23" t="n"/>
      <c r="R2381" s="24" t="n"/>
      <c r="S2381" s="24" t="n"/>
      <c r="Y2381" s="24" t="n"/>
    </row>
    <row r="2382">
      <c r="O2382" s="23" t="n"/>
      <c r="R2382" s="24" t="n"/>
      <c r="S2382" s="24" t="n"/>
      <c r="Y2382" s="24" t="n"/>
    </row>
    <row r="2383">
      <c r="O2383" s="23" t="n"/>
      <c r="R2383" s="24" t="n"/>
      <c r="S2383" s="24" t="n"/>
      <c r="Y2383" s="24" t="n"/>
    </row>
    <row r="2384">
      <c r="O2384" s="23" t="n"/>
      <c r="R2384" s="24" t="n"/>
      <c r="S2384" s="24" t="n"/>
      <c r="Y2384" s="24" t="n"/>
    </row>
    <row r="2385">
      <c r="O2385" s="23" t="n"/>
      <c r="R2385" s="24" t="n"/>
      <c r="S2385" s="24" t="n"/>
      <c r="Y2385" s="24" t="n"/>
    </row>
    <row r="2386">
      <c r="O2386" s="23" t="n"/>
      <c r="R2386" s="24" t="n"/>
      <c r="S2386" s="24" t="n"/>
      <c r="Y2386" s="24" t="n"/>
    </row>
    <row r="2387">
      <c r="O2387" s="23" t="n"/>
      <c r="R2387" s="24" t="n"/>
      <c r="S2387" s="24" t="n"/>
      <c r="Y2387" s="24" t="n"/>
    </row>
    <row r="2388">
      <c r="O2388" s="23" t="n"/>
      <c r="R2388" s="24" t="n"/>
      <c r="S2388" s="24" t="n"/>
      <c r="Y2388" s="24" t="n"/>
    </row>
    <row r="2389">
      <c r="O2389" s="23" t="n"/>
      <c r="R2389" s="24" t="n"/>
      <c r="S2389" s="24" t="n"/>
      <c r="Y2389" s="24" t="n"/>
    </row>
    <row r="2390">
      <c r="O2390" s="23" t="n"/>
      <c r="R2390" s="24" t="n"/>
      <c r="S2390" s="24" t="n"/>
      <c r="Y2390" s="24" t="n"/>
    </row>
    <row r="2391">
      <c r="O2391" s="23" t="n"/>
      <c r="R2391" s="24" t="n"/>
      <c r="S2391" s="24" t="n"/>
      <c r="Y2391" s="24" t="n"/>
    </row>
    <row r="2392">
      <c r="O2392" s="23" t="n"/>
      <c r="R2392" s="24" t="n"/>
      <c r="S2392" s="24" t="n"/>
      <c r="Y2392" s="24" t="n"/>
    </row>
    <row r="2393">
      <c r="O2393" s="23" t="n"/>
      <c r="R2393" s="24" t="n"/>
      <c r="S2393" s="24" t="n"/>
      <c r="Y2393" s="24" t="n"/>
    </row>
    <row r="2394">
      <c r="O2394" s="23" t="n"/>
      <c r="R2394" s="24" t="n"/>
      <c r="S2394" s="24" t="n"/>
      <c r="Y2394" s="24" t="n"/>
    </row>
    <row r="2395">
      <c r="O2395" s="23" t="n"/>
      <c r="R2395" s="24" t="n"/>
      <c r="S2395" s="24" t="n"/>
      <c r="Y2395" s="24" t="n"/>
    </row>
    <row r="2396">
      <c r="O2396" s="23" t="n"/>
      <c r="R2396" s="24" t="n"/>
      <c r="S2396" s="24" t="n"/>
      <c r="Y2396" s="24" t="n"/>
    </row>
    <row r="2397">
      <c r="O2397" s="23" t="n"/>
      <c r="R2397" s="24" t="n"/>
      <c r="S2397" s="24" t="n"/>
      <c r="Y2397" s="24" t="n"/>
    </row>
    <row r="2398">
      <c r="O2398" s="23" t="n"/>
      <c r="R2398" s="24" t="n"/>
      <c r="S2398" s="24" t="n"/>
      <c r="Y2398" s="24" t="n"/>
    </row>
    <row r="2399">
      <c r="O2399" s="23" t="n"/>
      <c r="R2399" s="24" t="n"/>
      <c r="S2399" s="24" t="n"/>
      <c r="Y2399" s="24" t="n"/>
    </row>
    <row r="2400">
      <c r="O2400" s="23" t="n"/>
      <c r="R2400" s="24" t="n"/>
      <c r="S2400" s="24" t="n"/>
      <c r="Y2400" s="24" t="n"/>
    </row>
    <row r="2401">
      <c r="O2401" s="23" t="n"/>
      <c r="R2401" s="24" t="n"/>
      <c r="S2401" s="24" t="n"/>
      <c r="Y2401" s="24" t="n"/>
    </row>
    <row r="2402">
      <c r="O2402" s="23" t="n"/>
      <c r="R2402" s="24" t="n"/>
      <c r="S2402" s="24" t="n"/>
      <c r="Y2402" s="24" t="n"/>
    </row>
    <row r="2403">
      <c r="O2403" s="23" t="n"/>
      <c r="R2403" s="24" t="n"/>
      <c r="S2403" s="24" t="n"/>
      <c r="Y2403" s="24" t="n"/>
    </row>
    <row r="2404">
      <c r="O2404" s="23" t="n"/>
      <c r="R2404" s="24" t="n"/>
      <c r="S2404" s="24" t="n"/>
      <c r="Y2404" s="24" t="n"/>
    </row>
    <row r="2405">
      <c r="O2405" s="23" t="n"/>
      <c r="R2405" s="24" t="n"/>
      <c r="S2405" s="24" t="n"/>
      <c r="Y2405" s="24" t="n"/>
    </row>
    <row r="2406">
      <c r="O2406" s="23" t="n"/>
      <c r="R2406" s="24" t="n"/>
      <c r="S2406" s="24" t="n"/>
      <c r="Y2406" s="24" t="n"/>
    </row>
    <row r="2407">
      <c r="O2407" s="23" t="n"/>
      <c r="R2407" s="24" t="n"/>
      <c r="S2407" s="24" t="n"/>
      <c r="Y2407" s="24" t="n"/>
    </row>
    <row r="2408">
      <c r="O2408" s="23" t="n"/>
      <c r="R2408" s="24" t="n"/>
      <c r="S2408" s="24" t="n"/>
      <c r="Y2408" s="24" t="n"/>
    </row>
    <row r="2409">
      <c r="O2409" s="23" t="n"/>
      <c r="R2409" s="24" t="n"/>
      <c r="S2409" s="24" t="n"/>
      <c r="Y2409" s="24" t="n"/>
    </row>
    <row r="2410">
      <c r="O2410" s="23" t="n"/>
      <c r="R2410" s="24" t="n"/>
      <c r="S2410" s="24" t="n"/>
      <c r="Y2410" s="24" t="n"/>
    </row>
    <row r="2411">
      <c r="O2411" s="23" t="n"/>
      <c r="R2411" s="24" t="n"/>
      <c r="S2411" s="24" t="n"/>
      <c r="Y2411" s="24" t="n"/>
    </row>
    <row r="2412">
      <c r="O2412" s="23" t="n"/>
      <c r="R2412" s="24" t="n"/>
      <c r="S2412" s="24" t="n"/>
      <c r="Y2412" s="24" t="n"/>
    </row>
    <row r="2413">
      <c r="O2413" s="23" t="n"/>
      <c r="R2413" s="24" t="n"/>
      <c r="S2413" s="24" t="n"/>
      <c r="Y2413" s="24" t="n"/>
    </row>
    <row r="2414">
      <c r="O2414" s="23" t="n"/>
      <c r="R2414" s="24" t="n"/>
      <c r="S2414" s="24" t="n"/>
      <c r="Y2414" s="24" t="n"/>
    </row>
    <row r="2415">
      <c r="O2415" s="23" t="n"/>
      <c r="R2415" s="24" t="n"/>
      <c r="S2415" s="24" t="n"/>
      <c r="Y2415" s="24" t="n"/>
    </row>
    <row r="2416">
      <c r="O2416" s="23" t="n"/>
      <c r="R2416" s="24" t="n"/>
      <c r="S2416" s="24" t="n"/>
      <c r="Y2416" s="24" t="n"/>
    </row>
    <row r="2417">
      <c r="O2417" s="23" t="n"/>
      <c r="R2417" s="24" t="n"/>
      <c r="S2417" s="24" t="n"/>
      <c r="Y2417" s="24" t="n"/>
    </row>
    <row r="2418">
      <c r="O2418" s="23" t="n"/>
      <c r="R2418" s="24" t="n"/>
      <c r="S2418" s="24" t="n"/>
      <c r="Y2418" s="24" t="n"/>
    </row>
    <row r="2419">
      <c r="O2419" s="23" t="n"/>
      <c r="R2419" s="24" t="n"/>
      <c r="S2419" s="24" t="n"/>
      <c r="Y2419" s="24" t="n"/>
    </row>
    <row r="2420">
      <c r="O2420" s="23" t="n"/>
      <c r="R2420" s="24" t="n"/>
      <c r="S2420" s="24" t="n"/>
      <c r="Y2420" s="24" t="n"/>
    </row>
    <row r="2421">
      <c r="O2421" s="23" t="n"/>
      <c r="R2421" s="24" t="n"/>
      <c r="S2421" s="24" t="n"/>
      <c r="Y2421" s="24" t="n"/>
    </row>
    <row r="2422">
      <c r="O2422" s="23" t="n"/>
      <c r="R2422" s="24" t="n"/>
      <c r="S2422" s="24" t="n"/>
      <c r="Y2422" s="24" t="n"/>
    </row>
    <row r="2423">
      <c r="O2423" s="23" t="n"/>
      <c r="R2423" s="24" t="n"/>
      <c r="S2423" s="24" t="n"/>
      <c r="Y2423" s="24" t="n"/>
    </row>
    <row r="2424">
      <c r="O2424" s="23" t="n"/>
      <c r="R2424" s="24" t="n"/>
      <c r="S2424" s="24" t="n"/>
      <c r="Y2424" s="24" t="n"/>
    </row>
    <row r="2425">
      <c r="O2425" s="23" t="n"/>
      <c r="R2425" s="24" t="n"/>
      <c r="S2425" s="24" t="n"/>
      <c r="Y2425" s="24" t="n"/>
    </row>
    <row r="2426">
      <c r="O2426" s="23" t="n"/>
      <c r="R2426" s="24" t="n"/>
      <c r="S2426" s="24" t="n"/>
      <c r="Y2426" s="24" t="n"/>
    </row>
    <row r="2427">
      <c r="O2427" s="23" t="n"/>
      <c r="R2427" s="24" t="n"/>
      <c r="S2427" s="24" t="n"/>
      <c r="Y2427" s="24" t="n"/>
    </row>
    <row r="2428">
      <c r="O2428" s="23" t="n"/>
      <c r="R2428" s="24" t="n"/>
      <c r="S2428" s="24" t="n"/>
      <c r="Y2428" s="24" t="n"/>
    </row>
    <row r="2429">
      <c r="O2429" s="23" t="n"/>
      <c r="R2429" s="24" t="n"/>
      <c r="S2429" s="24" t="n"/>
      <c r="Y2429" s="24" t="n"/>
    </row>
    <row r="2430">
      <c r="O2430" s="23" t="n"/>
      <c r="R2430" s="24" t="n"/>
      <c r="S2430" s="24" t="n"/>
      <c r="Y2430" s="24" t="n"/>
    </row>
    <row r="2431">
      <c r="O2431" s="23" t="n"/>
      <c r="R2431" s="24" t="n"/>
      <c r="S2431" s="24" t="n"/>
      <c r="Y2431" s="24" t="n"/>
    </row>
    <row r="2432">
      <c r="O2432" s="23" t="n"/>
      <c r="R2432" s="24" t="n"/>
      <c r="S2432" s="24" t="n"/>
      <c r="Y2432" s="24" t="n"/>
    </row>
    <row r="2433">
      <c r="O2433" s="23" t="n"/>
      <c r="R2433" s="24" t="n"/>
      <c r="S2433" s="24" t="n"/>
      <c r="Y2433" s="24" t="n"/>
    </row>
    <row r="2434">
      <c r="O2434" s="23" t="n"/>
      <c r="R2434" s="24" t="n"/>
      <c r="S2434" s="24" t="n"/>
      <c r="Y2434" s="24" t="n"/>
    </row>
    <row r="2435">
      <c r="O2435" s="23" t="n"/>
      <c r="R2435" s="24" t="n"/>
      <c r="S2435" s="24" t="n"/>
      <c r="Y2435" s="24" t="n"/>
    </row>
    <row r="2436">
      <c r="O2436" s="23" t="n"/>
      <c r="R2436" s="24" t="n"/>
      <c r="S2436" s="24" t="n"/>
      <c r="Y2436" s="24" t="n"/>
    </row>
    <row r="2437">
      <c r="O2437" s="23" t="n"/>
      <c r="R2437" s="24" t="n"/>
      <c r="S2437" s="24" t="n"/>
      <c r="Y2437" s="24" t="n"/>
    </row>
    <row r="2438">
      <c r="O2438" s="23" t="n"/>
      <c r="R2438" s="24" t="n"/>
      <c r="S2438" s="24" t="n"/>
      <c r="Y2438" s="24" t="n"/>
    </row>
    <row r="2439">
      <c r="O2439" s="23" t="n"/>
      <c r="R2439" s="24" t="n"/>
      <c r="S2439" s="24" t="n"/>
      <c r="Y2439" s="24" t="n"/>
    </row>
    <row r="2440">
      <c r="O2440" s="23" t="n"/>
      <c r="R2440" s="24" t="n"/>
      <c r="S2440" s="24" t="n"/>
      <c r="Y2440" s="24" t="n"/>
    </row>
    <row r="2441">
      <c r="O2441" s="23" t="n"/>
      <c r="R2441" s="24" t="n"/>
      <c r="S2441" s="24" t="n"/>
      <c r="Y2441" s="24" t="n"/>
    </row>
    <row r="2442">
      <c r="O2442" s="23" t="n"/>
      <c r="R2442" s="24" t="n"/>
      <c r="S2442" s="24" t="n"/>
      <c r="Y2442" s="24" t="n"/>
    </row>
    <row r="2443">
      <c r="O2443" s="23" t="n"/>
      <c r="R2443" s="24" t="n"/>
      <c r="S2443" s="24" t="n"/>
      <c r="Y2443" s="24" t="n"/>
    </row>
    <row r="2444">
      <c r="O2444" s="23" t="n"/>
      <c r="R2444" s="24" t="n"/>
      <c r="S2444" s="24" t="n"/>
      <c r="Y2444" s="24" t="n"/>
    </row>
    <row r="2445">
      <c r="O2445" s="23" t="n"/>
      <c r="R2445" s="24" t="n"/>
      <c r="S2445" s="24" t="n"/>
      <c r="Y2445" s="24" t="n"/>
    </row>
    <row r="2446">
      <c r="O2446" s="23" t="n"/>
      <c r="R2446" s="24" t="n"/>
      <c r="S2446" s="24" t="n"/>
      <c r="Y2446" s="24" t="n"/>
    </row>
    <row r="2447">
      <c r="O2447" s="23" t="n"/>
      <c r="R2447" s="24" t="n"/>
      <c r="S2447" s="24" t="n"/>
      <c r="Y2447" s="24" t="n"/>
    </row>
    <row r="2448">
      <c r="O2448" s="23" t="n"/>
      <c r="R2448" s="24" t="n"/>
      <c r="S2448" s="24" t="n"/>
      <c r="Y2448" s="24" t="n"/>
    </row>
    <row r="2449">
      <c r="O2449" s="23" t="n"/>
      <c r="R2449" s="24" t="n"/>
      <c r="S2449" s="24" t="n"/>
      <c r="Y2449" s="24" t="n"/>
    </row>
    <row r="2450">
      <c r="O2450" s="23" t="n"/>
      <c r="R2450" s="24" t="n"/>
      <c r="S2450" s="24" t="n"/>
      <c r="Y2450" s="24" t="n"/>
    </row>
    <row r="2451">
      <c r="O2451" s="23" t="n"/>
      <c r="R2451" s="24" t="n"/>
      <c r="S2451" s="24" t="n"/>
      <c r="Y2451" s="24" t="n"/>
    </row>
    <row r="2452">
      <c r="O2452" s="23" t="n"/>
      <c r="R2452" s="24" t="n"/>
      <c r="S2452" s="24" t="n"/>
      <c r="Y2452" s="24" t="n"/>
    </row>
    <row r="2453">
      <c r="O2453" s="23" t="n"/>
      <c r="R2453" s="24" t="n"/>
      <c r="S2453" s="24" t="n"/>
      <c r="Y2453" s="24" t="n"/>
    </row>
    <row r="2454">
      <c r="O2454" s="23" t="n"/>
      <c r="R2454" s="24" t="n"/>
      <c r="S2454" s="24" t="n"/>
      <c r="Y2454" s="24" t="n"/>
    </row>
    <row r="2455">
      <c r="O2455" s="23" t="n"/>
      <c r="R2455" s="24" t="n"/>
      <c r="S2455" s="24" t="n"/>
      <c r="Y2455" s="24" t="n"/>
    </row>
    <row r="2456">
      <c r="O2456" s="23" t="n"/>
      <c r="R2456" s="24" t="n"/>
      <c r="S2456" s="24" t="n"/>
      <c r="Y2456" s="24" t="n"/>
    </row>
    <row r="2457">
      <c r="O2457" s="23" t="n"/>
      <c r="R2457" s="24" t="n"/>
      <c r="S2457" s="24" t="n"/>
      <c r="Y2457" s="24" t="n"/>
    </row>
    <row r="2458">
      <c r="O2458" s="23" t="n"/>
      <c r="R2458" s="24" t="n"/>
      <c r="S2458" s="24" t="n"/>
      <c r="Y2458" s="24" t="n"/>
    </row>
    <row r="2459">
      <c r="O2459" s="23" t="n"/>
      <c r="R2459" s="24" t="n"/>
      <c r="S2459" s="24" t="n"/>
      <c r="Y2459" s="24" t="n"/>
    </row>
    <row r="2460">
      <c r="O2460" s="23" t="n"/>
      <c r="R2460" s="24" t="n"/>
      <c r="S2460" s="24" t="n"/>
      <c r="Y2460" s="24" t="n"/>
    </row>
    <row r="2461">
      <c r="O2461" s="23" t="n"/>
      <c r="R2461" s="24" t="n"/>
      <c r="S2461" s="24" t="n"/>
      <c r="Y2461" s="24" t="n"/>
    </row>
    <row r="2462">
      <c r="O2462" s="23" t="n"/>
      <c r="R2462" s="24" t="n"/>
      <c r="S2462" s="24" t="n"/>
      <c r="Y2462" s="24" t="n"/>
    </row>
    <row r="2463">
      <c r="O2463" s="23" t="n"/>
      <c r="R2463" s="24" t="n"/>
      <c r="S2463" s="24" t="n"/>
      <c r="Y2463" s="24" t="n"/>
    </row>
    <row r="2464">
      <c r="O2464" s="23" t="n"/>
      <c r="R2464" s="24" t="n"/>
      <c r="S2464" s="24" t="n"/>
      <c r="Y2464" s="24" t="n"/>
    </row>
    <row r="2465">
      <c r="O2465" s="23" t="n"/>
      <c r="R2465" s="24" t="n"/>
      <c r="S2465" s="24" t="n"/>
      <c r="Y2465" s="24" t="n"/>
    </row>
    <row r="2466">
      <c r="O2466" s="23" t="n"/>
      <c r="R2466" s="24" t="n"/>
      <c r="S2466" s="24" t="n"/>
      <c r="Y2466" s="24" t="n"/>
    </row>
    <row r="2467">
      <c r="O2467" s="23" t="n"/>
      <c r="R2467" s="24" t="n"/>
      <c r="S2467" s="24" t="n"/>
      <c r="Y2467" s="24" t="n"/>
    </row>
    <row r="2468">
      <c r="O2468" s="23" t="n"/>
      <c r="R2468" s="24" t="n"/>
      <c r="S2468" s="24" t="n"/>
      <c r="Y2468" s="24" t="n"/>
    </row>
    <row r="2469">
      <c r="O2469" s="23" t="n"/>
      <c r="R2469" s="24" t="n"/>
      <c r="S2469" s="24" t="n"/>
      <c r="Y2469" s="24" t="n"/>
    </row>
    <row r="2470">
      <c r="O2470" s="23" t="n"/>
      <c r="R2470" s="24" t="n"/>
      <c r="S2470" s="24" t="n"/>
      <c r="Y2470" s="24" t="n"/>
    </row>
    <row r="2471">
      <c r="O2471" s="23" t="n"/>
      <c r="R2471" s="24" t="n"/>
      <c r="S2471" s="24" t="n"/>
      <c r="Y2471" s="24" t="n"/>
    </row>
    <row r="2472">
      <c r="O2472" s="23" t="n"/>
      <c r="R2472" s="24" t="n"/>
      <c r="S2472" s="24" t="n"/>
      <c r="Y2472" s="24" t="n"/>
    </row>
    <row r="2473">
      <c r="O2473" s="23" t="n"/>
      <c r="R2473" s="24" t="n"/>
      <c r="S2473" s="24" t="n"/>
      <c r="Y2473" s="24" t="n"/>
    </row>
    <row r="2474">
      <c r="O2474" s="23" t="n"/>
      <c r="R2474" s="24" t="n"/>
      <c r="S2474" s="24" t="n"/>
      <c r="Y2474" s="24" t="n"/>
    </row>
    <row r="2475">
      <c r="O2475" s="23" t="n"/>
      <c r="R2475" s="24" t="n"/>
      <c r="S2475" s="24" t="n"/>
      <c r="Y2475" s="24" t="n"/>
    </row>
    <row r="2476">
      <c r="O2476" s="23" t="n"/>
      <c r="R2476" s="24" t="n"/>
      <c r="S2476" s="24" t="n"/>
      <c r="Y2476" s="24" t="n"/>
    </row>
    <row r="2477">
      <c r="O2477" s="23" t="n"/>
      <c r="R2477" s="24" t="n"/>
      <c r="S2477" s="24" t="n"/>
      <c r="Y2477" s="24" t="n"/>
    </row>
    <row r="2478">
      <c r="O2478" s="23" t="n"/>
      <c r="R2478" s="24" t="n"/>
      <c r="S2478" s="24" t="n"/>
      <c r="Y2478" s="24" t="n"/>
    </row>
    <row r="2479">
      <c r="O2479" s="23" t="n"/>
      <c r="R2479" s="24" t="n"/>
      <c r="S2479" s="24" t="n"/>
      <c r="Y2479" s="24" t="n"/>
    </row>
    <row r="2480">
      <c r="O2480" s="23" t="n"/>
      <c r="R2480" s="24" t="n"/>
      <c r="S2480" s="24" t="n"/>
      <c r="Y2480" s="24" t="n"/>
    </row>
    <row r="2481">
      <c r="O2481" s="23" t="n"/>
      <c r="R2481" s="24" t="n"/>
      <c r="S2481" s="24" t="n"/>
      <c r="Y2481" s="24" t="n"/>
    </row>
    <row r="2482">
      <c r="O2482" s="23" t="n"/>
      <c r="R2482" s="24" t="n"/>
      <c r="S2482" s="24" t="n"/>
      <c r="Y2482" s="24" t="n"/>
    </row>
    <row r="2483">
      <c r="O2483" s="23" t="n"/>
      <c r="R2483" s="24" t="n"/>
      <c r="S2483" s="24" t="n"/>
      <c r="Y2483" s="24" t="n"/>
    </row>
    <row r="2484">
      <c r="O2484" s="23" t="n"/>
      <c r="R2484" s="24" t="n"/>
      <c r="S2484" s="24" t="n"/>
      <c r="Y2484" s="24" t="n"/>
    </row>
    <row r="2485">
      <c r="O2485" s="23" t="n"/>
      <c r="R2485" s="24" t="n"/>
      <c r="S2485" s="24" t="n"/>
      <c r="Y2485" s="24" t="n"/>
    </row>
    <row r="2486">
      <c r="O2486" s="23" t="n"/>
      <c r="R2486" s="24" t="n"/>
      <c r="S2486" s="24" t="n"/>
      <c r="Y2486" s="24" t="n"/>
    </row>
    <row r="2487">
      <c r="O2487" s="23" t="n"/>
      <c r="R2487" s="24" t="n"/>
      <c r="S2487" s="24" t="n"/>
      <c r="Y2487" s="24" t="n"/>
    </row>
    <row r="2488">
      <c r="O2488" s="23" t="n"/>
      <c r="R2488" s="24" t="n"/>
      <c r="S2488" s="24" t="n"/>
      <c r="Y2488" s="24" t="n"/>
    </row>
    <row r="2489">
      <c r="O2489" s="23" t="n"/>
      <c r="R2489" s="24" t="n"/>
      <c r="S2489" s="24" t="n"/>
      <c r="Y2489" s="24" t="n"/>
    </row>
    <row r="2490">
      <c r="O2490" s="23" t="n"/>
      <c r="R2490" s="24" t="n"/>
      <c r="S2490" s="24" t="n"/>
      <c r="Y2490" s="24" t="n"/>
    </row>
    <row r="2491">
      <c r="O2491" s="23" t="n"/>
      <c r="R2491" s="24" t="n"/>
      <c r="S2491" s="24" t="n"/>
      <c r="Y2491" s="24" t="n"/>
    </row>
    <row r="2492">
      <c r="O2492" s="23" t="n"/>
      <c r="R2492" s="24" t="n"/>
      <c r="S2492" s="24" t="n"/>
      <c r="Y2492" s="24" t="n"/>
    </row>
    <row r="2493">
      <c r="O2493" s="23" t="n"/>
      <c r="R2493" s="24" t="n"/>
      <c r="S2493" s="24" t="n"/>
      <c r="Y2493" s="24" t="n"/>
    </row>
    <row r="2494">
      <c r="O2494" s="23" t="n"/>
      <c r="R2494" s="24" t="n"/>
      <c r="S2494" s="24" t="n"/>
      <c r="Y2494" s="24" t="n"/>
    </row>
    <row r="2495">
      <c r="O2495" s="23" t="n"/>
      <c r="R2495" s="24" t="n"/>
      <c r="S2495" s="24" t="n"/>
      <c r="Y2495" s="24" t="n"/>
    </row>
    <row r="2496">
      <c r="O2496" s="23" t="n"/>
      <c r="R2496" s="24" t="n"/>
      <c r="S2496" s="24" t="n"/>
      <c r="Y2496" s="24" t="n"/>
    </row>
    <row r="2497">
      <c r="O2497" s="23" t="n"/>
      <c r="R2497" s="24" t="n"/>
      <c r="S2497" s="24" t="n"/>
      <c r="Y2497" s="24" t="n"/>
    </row>
    <row r="2498">
      <c r="O2498" s="23" t="n"/>
      <c r="R2498" s="24" t="n"/>
      <c r="S2498" s="24" t="n"/>
      <c r="Y2498" s="24" t="n"/>
    </row>
    <row r="2499">
      <c r="O2499" s="23" t="n"/>
      <c r="R2499" s="24" t="n"/>
      <c r="S2499" s="24" t="n"/>
      <c r="Y2499" s="24" t="n"/>
    </row>
    <row r="2500">
      <c r="O2500" s="23" t="n"/>
      <c r="R2500" s="24" t="n"/>
      <c r="S2500" s="24" t="n"/>
      <c r="Y2500" s="24" t="n"/>
    </row>
    <row r="2501">
      <c r="O2501" s="23" t="n"/>
      <c r="R2501" s="24" t="n"/>
      <c r="S2501" s="24" t="n"/>
      <c r="Y2501" s="24" t="n"/>
    </row>
    <row r="2502">
      <c r="O2502" s="23" t="n"/>
      <c r="R2502" s="24" t="n"/>
      <c r="S2502" s="24" t="n"/>
      <c r="Y2502" s="24" t="n"/>
    </row>
    <row r="2503">
      <c r="O2503" s="23" t="n"/>
      <c r="R2503" s="24" t="n"/>
      <c r="S2503" s="24" t="n"/>
      <c r="Y2503" s="24" t="n"/>
    </row>
    <row r="2504">
      <c r="O2504" s="23" t="n"/>
      <c r="R2504" s="24" t="n"/>
      <c r="S2504" s="24" t="n"/>
      <c r="Y2504" s="24" t="n"/>
    </row>
    <row r="2505">
      <c r="O2505" s="23" t="n"/>
      <c r="R2505" s="24" t="n"/>
      <c r="S2505" s="24" t="n"/>
      <c r="Y2505" s="24" t="n"/>
    </row>
    <row r="2506">
      <c r="O2506" s="23" t="n"/>
      <c r="R2506" s="24" t="n"/>
      <c r="S2506" s="24" t="n"/>
      <c r="Y2506" s="24" t="n"/>
    </row>
    <row r="2507">
      <c r="O2507" s="23" t="n"/>
      <c r="R2507" s="24" t="n"/>
      <c r="S2507" s="24" t="n"/>
      <c r="Y2507" s="24" t="n"/>
    </row>
    <row r="2508">
      <c r="O2508" s="23" t="n"/>
      <c r="R2508" s="24" t="n"/>
      <c r="S2508" s="24" t="n"/>
      <c r="Y2508" s="24" t="n"/>
    </row>
    <row r="2509">
      <c r="O2509" s="23" t="n"/>
      <c r="R2509" s="24" t="n"/>
      <c r="S2509" s="24" t="n"/>
      <c r="Y2509" s="24" t="n"/>
    </row>
    <row r="2510">
      <c r="O2510" s="23" t="n"/>
      <c r="R2510" s="24" t="n"/>
      <c r="S2510" s="24" t="n"/>
      <c r="Y2510" s="24" t="n"/>
    </row>
    <row r="2511">
      <c r="O2511" s="23" t="n"/>
      <c r="R2511" s="24" t="n"/>
      <c r="S2511" s="24" t="n"/>
      <c r="Y2511" s="24" t="n"/>
    </row>
    <row r="2512">
      <c r="O2512" s="23" t="n"/>
      <c r="R2512" s="24" t="n"/>
      <c r="S2512" s="24" t="n"/>
      <c r="Y2512" s="24" t="n"/>
    </row>
    <row r="2513">
      <c r="O2513" s="23" t="n"/>
      <c r="R2513" s="24" t="n"/>
      <c r="S2513" s="24" t="n"/>
      <c r="Y2513" s="24" t="n"/>
    </row>
    <row r="2514">
      <c r="O2514" s="23" t="n"/>
      <c r="R2514" s="24" t="n"/>
      <c r="S2514" s="24" t="n"/>
      <c r="Y2514" s="24" t="n"/>
    </row>
    <row r="2515">
      <c r="O2515" s="23" t="n"/>
      <c r="R2515" s="24" t="n"/>
      <c r="S2515" s="24" t="n"/>
      <c r="Y2515" s="24" t="n"/>
    </row>
    <row r="2516">
      <c r="O2516" s="23" t="n"/>
      <c r="R2516" s="24" t="n"/>
      <c r="S2516" s="24" t="n"/>
      <c r="Y2516" s="24" t="n"/>
    </row>
    <row r="2517">
      <c r="O2517" s="23" t="n"/>
      <c r="R2517" s="24" t="n"/>
      <c r="S2517" s="24" t="n"/>
      <c r="Y2517" s="24" t="n"/>
    </row>
    <row r="2518">
      <c r="O2518" s="23" t="n"/>
      <c r="R2518" s="24" t="n"/>
      <c r="S2518" s="24" t="n"/>
      <c r="Y2518" s="24" t="n"/>
    </row>
    <row r="2519">
      <c r="O2519" s="23" t="n"/>
      <c r="R2519" s="24" t="n"/>
      <c r="S2519" s="24" t="n"/>
      <c r="Y2519" s="24" t="n"/>
    </row>
    <row r="2520">
      <c r="O2520" s="23" t="n"/>
      <c r="R2520" s="24" t="n"/>
      <c r="S2520" s="24" t="n"/>
      <c r="Y2520" s="24" t="n"/>
    </row>
    <row r="2521">
      <c r="O2521" s="23" t="n"/>
      <c r="R2521" s="24" t="n"/>
      <c r="S2521" s="24" t="n"/>
      <c r="Y2521" s="24" t="n"/>
    </row>
    <row r="2522">
      <c r="O2522" s="23" t="n"/>
      <c r="R2522" s="24" t="n"/>
      <c r="S2522" s="24" t="n"/>
      <c r="Y2522" s="24" t="n"/>
    </row>
    <row r="2523">
      <c r="O2523" s="23" t="n"/>
      <c r="R2523" s="24" t="n"/>
      <c r="S2523" s="24" t="n"/>
      <c r="Y2523" s="24" t="n"/>
    </row>
    <row r="2524">
      <c r="O2524" s="23" t="n"/>
      <c r="R2524" s="24" t="n"/>
      <c r="S2524" s="24" t="n"/>
      <c r="Y2524" s="24" t="n"/>
    </row>
    <row r="2525">
      <c r="O2525" s="23" t="n"/>
      <c r="R2525" s="24" t="n"/>
      <c r="S2525" s="24" t="n"/>
      <c r="Y2525" s="24" t="n"/>
    </row>
    <row r="2526">
      <c r="O2526" s="23" t="n"/>
      <c r="R2526" s="24" t="n"/>
      <c r="S2526" s="24" t="n"/>
      <c r="Y2526" s="24" t="n"/>
    </row>
    <row r="2527">
      <c r="O2527" s="23" t="n"/>
      <c r="R2527" s="24" t="n"/>
      <c r="S2527" s="24" t="n"/>
      <c r="Y2527" s="24" t="n"/>
    </row>
    <row r="2528">
      <c r="O2528" s="23" t="n"/>
      <c r="R2528" s="24" t="n"/>
      <c r="S2528" s="24" t="n"/>
      <c r="Y2528" s="24" t="n"/>
    </row>
    <row r="2529">
      <c r="O2529" s="23" t="n"/>
      <c r="R2529" s="24" t="n"/>
      <c r="S2529" s="24" t="n"/>
      <c r="Y2529" s="24" t="n"/>
    </row>
    <row r="2530">
      <c r="O2530" s="23" t="n"/>
      <c r="R2530" s="24" t="n"/>
      <c r="S2530" s="24" t="n"/>
      <c r="Y2530" s="24" t="n"/>
    </row>
    <row r="2531">
      <c r="O2531" s="23" t="n"/>
      <c r="R2531" s="24" t="n"/>
      <c r="S2531" s="24" t="n"/>
      <c r="Y2531" s="24" t="n"/>
    </row>
    <row r="2532">
      <c r="O2532" s="23" t="n"/>
      <c r="R2532" s="24" t="n"/>
      <c r="S2532" s="24" t="n"/>
      <c r="Y2532" s="24" t="n"/>
    </row>
    <row r="2533">
      <c r="O2533" s="23" t="n"/>
      <c r="R2533" s="24" t="n"/>
      <c r="S2533" s="24" t="n"/>
      <c r="Y2533" s="24" t="n"/>
    </row>
    <row r="2534">
      <c r="O2534" s="23" t="n"/>
      <c r="R2534" s="24" t="n"/>
      <c r="S2534" s="24" t="n"/>
      <c r="Y2534" s="24" t="n"/>
    </row>
    <row r="2535">
      <c r="O2535" s="23" t="n"/>
      <c r="R2535" s="24" t="n"/>
      <c r="S2535" s="24" t="n"/>
      <c r="Y2535" s="24" t="n"/>
    </row>
    <row r="2536">
      <c r="O2536" s="23" t="n"/>
      <c r="R2536" s="24" t="n"/>
      <c r="S2536" s="24" t="n"/>
      <c r="Y2536" s="24" t="n"/>
    </row>
    <row r="2537">
      <c r="O2537" s="23" t="n"/>
      <c r="R2537" s="24" t="n"/>
      <c r="S2537" s="24" t="n"/>
      <c r="Y2537" s="24" t="n"/>
    </row>
    <row r="2538">
      <c r="O2538" s="23" t="n"/>
      <c r="R2538" s="24" t="n"/>
      <c r="S2538" s="24" t="n"/>
      <c r="Y2538" s="24" t="n"/>
    </row>
    <row r="2539">
      <c r="O2539" s="23" t="n"/>
      <c r="R2539" s="24" t="n"/>
      <c r="S2539" s="24" t="n"/>
      <c r="Y2539" s="24" t="n"/>
    </row>
    <row r="2540">
      <c r="O2540" s="23" t="n"/>
      <c r="R2540" s="24" t="n"/>
      <c r="S2540" s="24" t="n"/>
      <c r="Y2540" s="24" t="n"/>
    </row>
    <row r="2541">
      <c r="O2541" s="23" t="n"/>
      <c r="R2541" s="24" t="n"/>
      <c r="S2541" s="24" t="n"/>
      <c r="Y2541" s="24" t="n"/>
    </row>
    <row r="2542">
      <c r="O2542" s="23" t="n"/>
      <c r="R2542" s="24" t="n"/>
      <c r="S2542" s="24" t="n"/>
      <c r="Y2542" s="24" t="n"/>
    </row>
    <row r="2543">
      <c r="O2543" s="23" t="n"/>
      <c r="R2543" s="24" t="n"/>
      <c r="S2543" s="24" t="n"/>
      <c r="Y2543" s="24" t="n"/>
    </row>
    <row r="2544">
      <c r="O2544" s="23" t="n"/>
      <c r="R2544" s="24" t="n"/>
      <c r="S2544" s="24" t="n"/>
      <c r="Y2544" s="24" t="n"/>
    </row>
    <row r="2545">
      <c r="O2545" s="23" t="n"/>
      <c r="R2545" s="24" t="n"/>
      <c r="S2545" s="24" t="n"/>
      <c r="Y2545" s="24" t="n"/>
    </row>
    <row r="2546">
      <c r="O2546" s="23" t="n"/>
      <c r="R2546" s="24" t="n"/>
      <c r="S2546" s="24" t="n"/>
      <c r="Y2546" s="24" t="n"/>
    </row>
    <row r="2547">
      <c r="O2547" s="23" t="n"/>
      <c r="R2547" s="24" t="n"/>
      <c r="S2547" s="24" t="n"/>
      <c r="Y2547" s="24" t="n"/>
    </row>
    <row r="2548">
      <c r="O2548" s="23" t="n"/>
      <c r="R2548" s="24" t="n"/>
      <c r="S2548" s="24" t="n"/>
      <c r="Y2548" s="24" t="n"/>
    </row>
    <row r="2549">
      <c r="O2549" s="23" t="n"/>
      <c r="R2549" s="24" t="n"/>
      <c r="S2549" s="24" t="n"/>
      <c r="Y2549" s="24" t="n"/>
    </row>
    <row r="2550">
      <c r="O2550" s="23" t="n"/>
      <c r="R2550" s="24" t="n"/>
      <c r="S2550" s="24" t="n"/>
      <c r="Y2550" s="24" t="n"/>
    </row>
    <row r="2551">
      <c r="O2551" s="23" t="n"/>
      <c r="R2551" s="24" t="n"/>
      <c r="S2551" s="24" t="n"/>
      <c r="Y2551" s="24" t="n"/>
    </row>
    <row r="2552">
      <c r="O2552" s="23" t="n"/>
      <c r="R2552" s="24" t="n"/>
      <c r="S2552" s="24" t="n"/>
      <c r="Y2552" s="24" t="n"/>
    </row>
    <row r="2553">
      <c r="O2553" s="23" t="n"/>
      <c r="R2553" s="24" t="n"/>
      <c r="S2553" s="24" t="n"/>
      <c r="Y2553" s="24" t="n"/>
    </row>
    <row r="2554">
      <c r="O2554" s="23" t="n"/>
      <c r="R2554" s="24" t="n"/>
      <c r="S2554" s="24" t="n"/>
      <c r="Y2554" s="24" t="n"/>
    </row>
    <row r="2555">
      <c r="O2555" s="23" t="n"/>
      <c r="R2555" s="24" t="n"/>
      <c r="S2555" s="24" t="n"/>
      <c r="Y2555" s="24" t="n"/>
    </row>
    <row r="2556">
      <c r="O2556" s="23" t="n"/>
      <c r="R2556" s="24" t="n"/>
      <c r="S2556" s="24" t="n"/>
      <c r="Y2556" s="24" t="n"/>
    </row>
    <row r="2557">
      <c r="O2557" s="23" t="n"/>
      <c r="R2557" s="24" t="n"/>
      <c r="S2557" s="24" t="n"/>
      <c r="Y2557" s="24" t="n"/>
    </row>
    <row r="2558">
      <c r="O2558" s="23" t="n"/>
      <c r="R2558" s="24" t="n"/>
      <c r="S2558" s="24" t="n"/>
      <c r="Y2558" s="24" t="n"/>
    </row>
    <row r="2559">
      <c r="O2559" s="23" t="n"/>
      <c r="R2559" s="24" t="n"/>
      <c r="S2559" s="24" t="n"/>
      <c r="Y2559" s="24" t="n"/>
    </row>
    <row r="2560">
      <c r="O2560" s="23" t="n"/>
      <c r="R2560" s="24" t="n"/>
      <c r="S2560" s="24" t="n"/>
      <c r="Y2560" s="24" t="n"/>
    </row>
    <row r="2561">
      <c r="O2561" s="23" t="n"/>
      <c r="R2561" s="24" t="n"/>
      <c r="S2561" s="24" t="n"/>
      <c r="Y2561" s="24" t="n"/>
    </row>
    <row r="2562">
      <c r="O2562" s="23" t="n"/>
      <c r="R2562" s="24" t="n"/>
      <c r="S2562" s="24" t="n"/>
      <c r="Y2562" s="24" t="n"/>
    </row>
    <row r="2563">
      <c r="O2563" s="23" t="n"/>
      <c r="R2563" s="24" t="n"/>
      <c r="S2563" s="24" t="n"/>
      <c r="Y2563" s="24" t="n"/>
    </row>
    <row r="2564">
      <c r="O2564" s="23" t="n"/>
      <c r="R2564" s="24" t="n"/>
      <c r="S2564" s="24" t="n"/>
      <c r="Y2564" s="24" t="n"/>
    </row>
    <row r="2565">
      <c r="O2565" s="23" t="n"/>
      <c r="R2565" s="24" t="n"/>
      <c r="S2565" s="24" t="n"/>
      <c r="Y2565" s="24" t="n"/>
    </row>
    <row r="2566">
      <c r="O2566" s="23" t="n"/>
      <c r="R2566" s="24" t="n"/>
      <c r="S2566" s="24" t="n"/>
      <c r="Y2566" s="24" t="n"/>
    </row>
    <row r="2567">
      <c r="O2567" s="23" t="n"/>
      <c r="R2567" s="24" t="n"/>
      <c r="S2567" s="24" t="n"/>
      <c r="Y2567" s="24" t="n"/>
    </row>
    <row r="2568">
      <c r="O2568" s="23" t="n"/>
      <c r="R2568" s="24" t="n"/>
      <c r="S2568" s="24" t="n"/>
      <c r="Y2568" s="24" t="n"/>
    </row>
    <row r="2569">
      <c r="O2569" s="23" t="n"/>
      <c r="R2569" s="24" t="n"/>
      <c r="S2569" s="24" t="n"/>
      <c r="Y2569" s="24" t="n"/>
    </row>
    <row r="2570">
      <c r="O2570" s="23" t="n"/>
      <c r="R2570" s="24" t="n"/>
      <c r="S2570" s="24" t="n"/>
      <c r="Y2570" s="24" t="n"/>
    </row>
    <row r="2571">
      <c r="O2571" s="23" t="n"/>
      <c r="R2571" s="24" t="n"/>
      <c r="S2571" s="24" t="n"/>
      <c r="Y2571" s="24" t="n"/>
    </row>
    <row r="2572">
      <c r="O2572" s="23" t="n"/>
      <c r="R2572" s="24" t="n"/>
      <c r="S2572" s="24" t="n"/>
      <c r="Y2572" s="24" t="n"/>
    </row>
    <row r="2573">
      <c r="O2573" s="23" t="n"/>
      <c r="R2573" s="24" t="n"/>
      <c r="S2573" s="24" t="n"/>
      <c r="Y2573" s="24" t="n"/>
    </row>
    <row r="2574">
      <c r="O2574" s="23" t="n"/>
      <c r="R2574" s="24" t="n"/>
      <c r="S2574" s="24" t="n"/>
      <c r="Y2574" s="24" t="n"/>
    </row>
    <row r="2575">
      <c r="O2575" s="23" t="n"/>
      <c r="R2575" s="24" t="n"/>
      <c r="S2575" s="24" t="n"/>
      <c r="Y2575" s="24" t="n"/>
    </row>
    <row r="2576">
      <c r="O2576" s="23" t="n"/>
      <c r="R2576" s="24" t="n"/>
      <c r="S2576" s="24" t="n"/>
      <c r="Y2576" s="24" t="n"/>
    </row>
    <row r="2577">
      <c r="O2577" s="23" t="n"/>
      <c r="R2577" s="24" t="n"/>
      <c r="S2577" s="24" t="n"/>
      <c r="Y2577" s="24" t="n"/>
    </row>
    <row r="2578">
      <c r="O2578" s="23" t="n"/>
      <c r="R2578" s="24" t="n"/>
      <c r="S2578" s="24" t="n"/>
      <c r="Y2578" s="24" t="n"/>
    </row>
    <row r="2579">
      <c r="O2579" s="23" t="n"/>
      <c r="R2579" s="24" t="n"/>
      <c r="S2579" s="24" t="n"/>
      <c r="Y2579" s="24" t="n"/>
    </row>
    <row r="2580">
      <c r="O2580" s="23" t="n"/>
      <c r="R2580" s="24" t="n"/>
      <c r="S2580" s="24" t="n"/>
      <c r="Y2580" s="24" t="n"/>
    </row>
    <row r="2581">
      <c r="O2581" s="23" t="n"/>
      <c r="R2581" s="24" t="n"/>
      <c r="S2581" s="24" t="n"/>
      <c r="Y2581" s="24" t="n"/>
    </row>
    <row r="2582">
      <c r="O2582" s="23" t="n"/>
      <c r="R2582" s="24" t="n"/>
      <c r="S2582" s="24" t="n"/>
      <c r="Y2582" s="24" t="n"/>
    </row>
    <row r="2583">
      <c r="O2583" s="23" t="n"/>
      <c r="R2583" s="24" t="n"/>
      <c r="S2583" s="24" t="n"/>
      <c r="Y2583" s="24" t="n"/>
    </row>
    <row r="2584">
      <c r="O2584" s="23" t="n"/>
      <c r="R2584" s="24" t="n"/>
      <c r="S2584" s="24" t="n"/>
      <c r="Y2584" s="24" t="n"/>
    </row>
    <row r="2585">
      <c r="O2585" s="23" t="n"/>
      <c r="R2585" s="24" t="n"/>
      <c r="S2585" s="24" t="n"/>
      <c r="Y2585" s="24" t="n"/>
    </row>
    <row r="2586">
      <c r="O2586" s="23" t="n"/>
      <c r="R2586" s="24" t="n"/>
      <c r="S2586" s="24" t="n"/>
      <c r="Y2586" s="24" t="n"/>
    </row>
    <row r="2587">
      <c r="O2587" s="23" t="n"/>
      <c r="R2587" s="24" t="n"/>
      <c r="S2587" s="24" t="n"/>
      <c r="Y2587" s="24" t="n"/>
    </row>
    <row r="2588">
      <c r="O2588" s="23" t="n"/>
      <c r="R2588" s="24" t="n"/>
      <c r="S2588" s="24" t="n"/>
      <c r="Y2588" s="24" t="n"/>
    </row>
    <row r="2589">
      <c r="O2589" s="23" t="n"/>
      <c r="R2589" s="24" t="n"/>
      <c r="S2589" s="24" t="n"/>
      <c r="Y2589" s="24" t="n"/>
    </row>
    <row r="2590">
      <c r="O2590" s="23" t="n"/>
      <c r="R2590" s="24" t="n"/>
      <c r="S2590" s="24" t="n"/>
      <c r="Y2590" s="24" t="n"/>
    </row>
    <row r="2591">
      <c r="O2591" s="23" t="n"/>
      <c r="R2591" s="24" t="n"/>
      <c r="S2591" s="24" t="n"/>
      <c r="Y2591" s="24" t="n"/>
    </row>
    <row r="2592">
      <c r="O2592" s="23" t="n"/>
      <c r="R2592" s="24" t="n"/>
      <c r="S2592" s="24" t="n"/>
      <c r="Y2592" s="24" t="n"/>
    </row>
    <row r="2593">
      <c r="O2593" s="23" t="n"/>
      <c r="R2593" s="24" t="n"/>
      <c r="S2593" s="24" t="n"/>
      <c r="Y2593" s="24" t="n"/>
    </row>
    <row r="2594">
      <c r="O2594" s="23" t="n"/>
      <c r="R2594" s="24" t="n"/>
      <c r="S2594" s="24" t="n"/>
      <c r="Y2594" s="24" t="n"/>
    </row>
    <row r="2595">
      <c r="O2595" s="23" t="n"/>
      <c r="R2595" s="24" t="n"/>
      <c r="S2595" s="24" t="n"/>
      <c r="Y2595" s="24" t="n"/>
    </row>
    <row r="2596">
      <c r="O2596" s="23" t="n"/>
      <c r="R2596" s="24" t="n"/>
      <c r="S2596" s="24" t="n"/>
      <c r="Y2596" s="24" t="n"/>
    </row>
    <row r="2597">
      <c r="O2597" s="23" t="n"/>
      <c r="R2597" s="24" t="n"/>
      <c r="S2597" s="24" t="n"/>
      <c r="Y2597" s="24" t="n"/>
    </row>
    <row r="2598">
      <c r="O2598" s="23" t="n"/>
      <c r="R2598" s="24" t="n"/>
      <c r="S2598" s="24" t="n"/>
      <c r="Y2598" s="24" t="n"/>
    </row>
    <row r="2599">
      <c r="O2599" s="23" t="n"/>
      <c r="R2599" s="24" t="n"/>
      <c r="S2599" s="24" t="n"/>
      <c r="Y2599" s="24" t="n"/>
    </row>
    <row r="2600">
      <c r="O2600" s="23" t="n"/>
      <c r="R2600" s="24" t="n"/>
      <c r="S2600" s="24" t="n"/>
      <c r="Y2600" s="24" t="n"/>
    </row>
    <row r="2601">
      <c r="O2601" s="23" t="n"/>
      <c r="R2601" s="24" t="n"/>
      <c r="S2601" s="24" t="n"/>
      <c r="Y2601" s="24" t="n"/>
    </row>
    <row r="2602">
      <c r="O2602" s="23" t="n"/>
      <c r="R2602" s="24" t="n"/>
      <c r="S2602" s="24" t="n"/>
      <c r="Y2602" s="24" t="n"/>
    </row>
    <row r="2603">
      <c r="O2603" s="23" t="n"/>
      <c r="R2603" s="24" t="n"/>
      <c r="S2603" s="24" t="n"/>
      <c r="Y2603" s="24" t="n"/>
    </row>
    <row r="2604">
      <c r="O2604" s="23" t="n"/>
      <c r="R2604" s="24" t="n"/>
      <c r="S2604" s="24" t="n"/>
      <c r="Y2604" s="24" t="n"/>
    </row>
    <row r="2605">
      <c r="O2605" s="23" t="n"/>
      <c r="R2605" s="24" t="n"/>
      <c r="S2605" s="24" t="n"/>
      <c r="Y2605" s="24" t="n"/>
    </row>
    <row r="2606">
      <c r="O2606" s="23" t="n"/>
      <c r="R2606" s="24" t="n"/>
      <c r="S2606" s="24" t="n"/>
      <c r="Y2606" s="24" t="n"/>
    </row>
    <row r="2607">
      <c r="O2607" s="23" t="n"/>
      <c r="R2607" s="24" t="n"/>
      <c r="S2607" s="24" t="n"/>
      <c r="Y2607" s="24" t="n"/>
    </row>
    <row r="2608">
      <c r="O2608" s="23" t="n"/>
      <c r="R2608" s="24" t="n"/>
      <c r="S2608" s="24" t="n"/>
      <c r="Y2608" s="24" t="n"/>
    </row>
    <row r="2609">
      <c r="O2609" s="23" t="n"/>
      <c r="R2609" s="24" t="n"/>
      <c r="S2609" s="24" t="n"/>
      <c r="Y2609" s="24" t="n"/>
    </row>
    <row r="2610">
      <c r="O2610" s="23" t="n"/>
      <c r="R2610" s="24" t="n"/>
      <c r="S2610" s="24" t="n"/>
      <c r="Y2610" s="24" t="n"/>
    </row>
    <row r="2611">
      <c r="O2611" s="23" t="n"/>
      <c r="R2611" s="24" t="n"/>
      <c r="S2611" s="24" t="n"/>
      <c r="Y2611" s="24" t="n"/>
    </row>
    <row r="2612">
      <c r="O2612" s="23" t="n"/>
      <c r="R2612" s="24" t="n"/>
      <c r="S2612" s="24" t="n"/>
      <c r="Y2612" s="24" t="n"/>
    </row>
    <row r="2613">
      <c r="O2613" s="23" t="n"/>
      <c r="R2613" s="24" t="n"/>
      <c r="S2613" s="24" t="n"/>
      <c r="Y2613" s="24" t="n"/>
    </row>
    <row r="2614">
      <c r="O2614" s="23" t="n"/>
      <c r="R2614" s="24" t="n"/>
      <c r="S2614" s="24" t="n"/>
      <c r="Y2614" s="24" t="n"/>
    </row>
    <row r="2615">
      <c r="O2615" s="23" t="n"/>
      <c r="R2615" s="24" t="n"/>
      <c r="S2615" s="24" t="n"/>
      <c r="Y2615" s="24" t="n"/>
    </row>
    <row r="2616">
      <c r="O2616" s="23" t="n"/>
      <c r="R2616" s="24" t="n"/>
      <c r="S2616" s="24" t="n"/>
      <c r="Y2616" s="24" t="n"/>
    </row>
    <row r="2617">
      <c r="O2617" s="23" t="n"/>
      <c r="R2617" s="24" t="n"/>
      <c r="S2617" s="24" t="n"/>
      <c r="Y2617" s="24" t="n"/>
    </row>
    <row r="2618">
      <c r="O2618" s="23" t="n"/>
      <c r="R2618" s="24" t="n"/>
      <c r="S2618" s="24" t="n"/>
      <c r="Y2618" s="24" t="n"/>
    </row>
    <row r="2619">
      <c r="O2619" s="23" t="n"/>
      <c r="R2619" s="24" t="n"/>
      <c r="S2619" s="24" t="n"/>
      <c r="Y2619" s="24" t="n"/>
    </row>
    <row r="2620">
      <c r="O2620" s="23" t="n"/>
      <c r="R2620" s="24" t="n"/>
      <c r="S2620" s="24" t="n"/>
      <c r="Y2620" s="24" t="n"/>
    </row>
    <row r="2621">
      <c r="O2621" s="23" t="n"/>
      <c r="R2621" s="24" t="n"/>
      <c r="S2621" s="24" t="n"/>
      <c r="Y2621" s="24" t="n"/>
    </row>
    <row r="2622">
      <c r="O2622" s="23" t="n"/>
      <c r="R2622" s="24" t="n"/>
      <c r="S2622" s="24" t="n"/>
      <c r="Y2622" s="24" t="n"/>
    </row>
    <row r="2623">
      <c r="O2623" s="23" t="n"/>
      <c r="R2623" s="24" t="n"/>
      <c r="S2623" s="24" t="n"/>
      <c r="Y2623" s="24" t="n"/>
    </row>
    <row r="2624">
      <c r="O2624" s="23" t="n"/>
      <c r="R2624" s="24" t="n"/>
      <c r="S2624" s="24" t="n"/>
      <c r="Y2624" s="24" t="n"/>
    </row>
    <row r="2625">
      <c r="O2625" s="23" t="n"/>
      <c r="R2625" s="24" t="n"/>
      <c r="S2625" s="24" t="n"/>
      <c r="Y2625" s="24" t="n"/>
    </row>
    <row r="2626">
      <c r="O2626" s="23" t="n"/>
      <c r="R2626" s="24" t="n"/>
      <c r="S2626" s="24" t="n"/>
      <c r="Y2626" s="24" t="n"/>
    </row>
    <row r="2627">
      <c r="O2627" s="23" t="n"/>
      <c r="R2627" s="24" t="n"/>
      <c r="S2627" s="24" t="n"/>
      <c r="Y2627" s="24" t="n"/>
    </row>
    <row r="2628">
      <c r="O2628" s="23" t="n"/>
      <c r="R2628" s="24" t="n"/>
      <c r="S2628" s="24" t="n"/>
      <c r="Y2628" s="24" t="n"/>
    </row>
    <row r="2629">
      <c r="O2629" s="23" t="n"/>
      <c r="R2629" s="24" t="n"/>
      <c r="S2629" s="24" t="n"/>
      <c r="Y2629" s="24" t="n"/>
    </row>
    <row r="2630">
      <c r="O2630" s="23" t="n"/>
      <c r="R2630" s="24" t="n"/>
      <c r="S2630" s="24" t="n"/>
      <c r="Y2630" s="24" t="n"/>
    </row>
    <row r="2631">
      <c r="O2631" s="23" t="n"/>
      <c r="R2631" s="24" t="n"/>
      <c r="S2631" s="24" t="n"/>
      <c r="Y2631" s="24" t="n"/>
    </row>
    <row r="2632">
      <c r="O2632" s="23" t="n"/>
      <c r="R2632" s="24" t="n"/>
      <c r="S2632" s="24" t="n"/>
      <c r="Y2632" s="24" t="n"/>
    </row>
    <row r="2633">
      <c r="O2633" s="23" t="n"/>
      <c r="R2633" s="24" t="n"/>
      <c r="S2633" s="24" t="n"/>
      <c r="Y2633" s="24" t="n"/>
    </row>
    <row r="2634">
      <c r="O2634" s="23" t="n"/>
      <c r="R2634" s="24" t="n"/>
      <c r="S2634" s="24" t="n"/>
      <c r="Y2634" s="24" t="n"/>
    </row>
    <row r="2635">
      <c r="O2635" s="23" t="n"/>
      <c r="R2635" s="24" t="n"/>
      <c r="S2635" s="24" t="n"/>
      <c r="Y2635" s="24" t="n"/>
    </row>
    <row r="2636">
      <c r="O2636" s="23" t="n"/>
      <c r="R2636" s="24" t="n"/>
      <c r="S2636" s="24" t="n"/>
      <c r="Y2636" s="24" t="n"/>
    </row>
    <row r="2637">
      <c r="O2637" s="23" t="n"/>
      <c r="R2637" s="24" t="n"/>
      <c r="S2637" s="24" t="n"/>
      <c r="Y2637" s="24" t="n"/>
    </row>
    <row r="2638">
      <c r="O2638" s="23" t="n"/>
      <c r="R2638" s="24" t="n"/>
      <c r="S2638" s="24" t="n"/>
      <c r="Y2638" s="24" t="n"/>
    </row>
    <row r="2639">
      <c r="O2639" s="23" t="n"/>
      <c r="R2639" s="24" t="n"/>
      <c r="S2639" s="24" t="n"/>
      <c r="Y2639" s="24" t="n"/>
    </row>
    <row r="2640">
      <c r="O2640" s="23" t="n"/>
      <c r="R2640" s="24" t="n"/>
      <c r="S2640" s="24" t="n"/>
      <c r="Y2640" s="24" t="n"/>
    </row>
    <row r="2641">
      <c r="O2641" s="23" t="n"/>
      <c r="R2641" s="24" t="n"/>
      <c r="S2641" s="24" t="n"/>
      <c r="Y2641" s="24" t="n"/>
    </row>
    <row r="2642">
      <c r="O2642" s="23" t="n"/>
      <c r="R2642" s="24" t="n"/>
      <c r="S2642" s="24" t="n"/>
      <c r="Y2642" s="24" t="n"/>
    </row>
    <row r="2643">
      <c r="O2643" s="23" t="n"/>
      <c r="R2643" s="24" t="n"/>
      <c r="S2643" s="24" t="n"/>
      <c r="Y2643" s="24" t="n"/>
    </row>
    <row r="2644">
      <c r="O2644" s="23" t="n"/>
      <c r="R2644" s="24" t="n"/>
      <c r="S2644" s="24" t="n"/>
      <c r="Y2644" s="24" t="n"/>
    </row>
    <row r="2645">
      <c r="O2645" s="23" t="n"/>
      <c r="R2645" s="24" t="n"/>
      <c r="S2645" s="24" t="n"/>
      <c r="Y2645" s="24" t="n"/>
    </row>
    <row r="2646">
      <c r="O2646" s="23" t="n"/>
      <c r="R2646" s="24" t="n"/>
      <c r="S2646" s="24" t="n"/>
      <c r="Y2646" s="24" t="n"/>
    </row>
    <row r="2647">
      <c r="O2647" s="23" t="n"/>
      <c r="R2647" s="24" t="n"/>
      <c r="S2647" s="24" t="n"/>
      <c r="Y2647" s="24" t="n"/>
    </row>
    <row r="2648">
      <c r="O2648" s="23" t="n"/>
      <c r="R2648" s="24" t="n"/>
      <c r="S2648" s="24" t="n"/>
      <c r="Y2648" s="24" t="n"/>
    </row>
    <row r="2649">
      <c r="O2649" s="23" t="n"/>
      <c r="R2649" s="24" t="n"/>
      <c r="S2649" s="24" t="n"/>
      <c r="Y2649" s="24" t="n"/>
    </row>
    <row r="2650">
      <c r="O2650" s="23" t="n"/>
      <c r="R2650" s="24" t="n"/>
      <c r="S2650" s="24" t="n"/>
      <c r="Y2650" s="24" t="n"/>
    </row>
    <row r="2651">
      <c r="O2651" s="23" t="n"/>
      <c r="R2651" s="24" t="n"/>
      <c r="S2651" s="24" t="n"/>
      <c r="Y2651" s="24" t="n"/>
    </row>
    <row r="2652">
      <c r="O2652" s="23" t="n"/>
      <c r="R2652" s="24" t="n"/>
      <c r="S2652" s="24" t="n"/>
      <c r="Y2652" s="24" t="n"/>
    </row>
    <row r="2653">
      <c r="O2653" s="23" t="n"/>
      <c r="R2653" s="24" t="n"/>
      <c r="S2653" s="24" t="n"/>
      <c r="Y2653" s="24" t="n"/>
    </row>
    <row r="2654">
      <c r="O2654" s="23" t="n"/>
      <c r="R2654" s="24" t="n"/>
      <c r="S2654" s="24" t="n"/>
      <c r="Y2654" s="24" t="n"/>
    </row>
    <row r="2655">
      <c r="O2655" s="23" t="n"/>
      <c r="R2655" s="24" t="n"/>
      <c r="S2655" s="24" t="n"/>
      <c r="Y2655" s="24" t="n"/>
    </row>
    <row r="2656">
      <c r="O2656" s="23" t="n"/>
      <c r="R2656" s="24" t="n"/>
      <c r="S2656" s="24" t="n"/>
      <c r="Y2656" s="24" t="n"/>
    </row>
    <row r="2657">
      <c r="O2657" s="23" t="n"/>
      <c r="R2657" s="24" t="n"/>
      <c r="S2657" s="24" t="n"/>
      <c r="Y2657" s="24" t="n"/>
    </row>
    <row r="2658">
      <c r="O2658" s="23" t="n"/>
      <c r="R2658" s="24" t="n"/>
      <c r="S2658" s="24" t="n"/>
      <c r="Y2658" s="24" t="n"/>
    </row>
    <row r="2659">
      <c r="O2659" s="23" t="n"/>
      <c r="R2659" s="24" t="n"/>
      <c r="S2659" s="24" t="n"/>
      <c r="Y2659" s="24" t="n"/>
    </row>
    <row r="2660">
      <c r="O2660" s="23" t="n"/>
      <c r="R2660" s="24" t="n"/>
      <c r="S2660" s="24" t="n"/>
      <c r="Y2660" s="24" t="n"/>
    </row>
    <row r="2661">
      <c r="O2661" s="23" t="n"/>
      <c r="R2661" s="24" t="n"/>
      <c r="S2661" s="24" t="n"/>
      <c r="Y2661" s="24" t="n"/>
    </row>
    <row r="2662">
      <c r="O2662" s="23" t="n"/>
      <c r="R2662" s="24" t="n"/>
      <c r="S2662" s="24" t="n"/>
      <c r="Y2662" s="24" t="n"/>
    </row>
    <row r="2663">
      <c r="O2663" s="23" t="n"/>
      <c r="R2663" s="24" t="n"/>
      <c r="S2663" s="24" t="n"/>
      <c r="Y2663" s="24" t="n"/>
    </row>
    <row r="2664">
      <c r="O2664" s="23" t="n"/>
      <c r="R2664" s="24" t="n"/>
      <c r="S2664" s="24" t="n"/>
      <c r="Y2664" s="24" t="n"/>
    </row>
    <row r="2665">
      <c r="O2665" s="23" t="n"/>
      <c r="R2665" s="24" t="n"/>
      <c r="S2665" s="24" t="n"/>
      <c r="Y2665" s="24" t="n"/>
    </row>
    <row r="2666">
      <c r="O2666" s="23" t="n"/>
      <c r="R2666" s="24" t="n"/>
      <c r="S2666" s="24" t="n"/>
      <c r="Y2666" s="24" t="n"/>
    </row>
    <row r="2667">
      <c r="O2667" s="23" t="n"/>
      <c r="R2667" s="24" t="n"/>
      <c r="S2667" s="24" t="n"/>
      <c r="Y2667" s="24" t="n"/>
    </row>
    <row r="2668">
      <c r="O2668" s="23" t="n"/>
      <c r="R2668" s="24" t="n"/>
      <c r="S2668" s="24" t="n"/>
      <c r="Y2668" s="24" t="n"/>
    </row>
    <row r="2669">
      <c r="O2669" s="23" t="n"/>
      <c r="R2669" s="24" t="n"/>
      <c r="S2669" s="24" t="n"/>
      <c r="Y2669" s="24" t="n"/>
    </row>
    <row r="2670">
      <c r="O2670" s="23" t="n"/>
      <c r="R2670" s="24" t="n"/>
      <c r="S2670" s="24" t="n"/>
      <c r="Y2670" s="24" t="n"/>
    </row>
    <row r="2671">
      <c r="O2671" s="23" t="n"/>
      <c r="R2671" s="24" t="n"/>
      <c r="S2671" s="24" t="n"/>
      <c r="Y2671" s="24" t="n"/>
    </row>
    <row r="2672">
      <c r="O2672" s="23" t="n"/>
      <c r="R2672" s="24" t="n"/>
      <c r="S2672" s="24" t="n"/>
      <c r="Y2672" s="24" t="n"/>
    </row>
    <row r="2673">
      <c r="O2673" s="23" t="n"/>
      <c r="R2673" s="24" t="n"/>
      <c r="S2673" s="24" t="n"/>
      <c r="Y2673" s="24" t="n"/>
    </row>
    <row r="2674">
      <c r="O2674" s="23" t="n"/>
      <c r="R2674" s="24" t="n"/>
      <c r="S2674" s="24" t="n"/>
      <c r="Y2674" s="24" t="n"/>
    </row>
    <row r="2675">
      <c r="O2675" s="23" t="n"/>
      <c r="R2675" s="24" t="n"/>
      <c r="S2675" s="24" t="n"/>
      <c r="Y2675" s="24" t="n"/>
    </row>
    <row r="2676">
      <c r="O2676" s="23" t="n"/>
      <c r="R2676" s="24" t="n"/>
      <c r="S2676" s="24" t="n"/>
      <c r="Y2676" s="24" t="n"/>
    </row>
    <row r="2677">
      <c r="O2677" s="23" t="n"/>
      <c r="R2677" s="24" t="n"/>
      <c r="S2677" s="24" t="n"/>
      <c r="Y2677" s="24" t="n"/>
    </row>
    <row r="2678">
      <c r="O2678" s="23" t="n"/>
      <c r="R2678" s="24" t="n"/>
      <c r="S2678" s="24" t="n"/>
      <c r="Y2678" s="24" t="n"/>
    </row>
    <row r="2679">
      <c r="O2679" s="23" t="n"/>
      <c r="R2679" s="24" t="n"/>
      <c r="S2679" s="24" t="n"/>
      <c r="Y2679" s="24" t="n"/>
    </row>
    <row r="2680">
      <c r="O2680" s="23" t="n"/>
      <c r="R2680" s="24" t="n"/>
      <c r="S2680" s="24" t="n"/>
      <c r="Y2680" s="24" t="n"/>
    </row>
    <row r="2681">
      <c r="O2681" s="23" t="n"/>
      <c r="R2681" s="24" t="n"/>
      <c r="S2681" s="24" t="n"/>
      <c r="Y2681" s="24" t="n"/>
    </row>
    <row r="2682">
      <c r="O2682" s="23" t="n"/>
      <c r="R2682" s="24" t="n"/>
      <c r="S2682" s="24" t="n"/>
      <c r="Y2682" s="24" t="n"/>
    </row>
    <row r="2683">
      <c r="O2683" s="23" t="n"/>
      <c r="R2683" s="24" t="n"/>
      <c r="S2683" s="24" t="n"/>
      <c r="Y2683" s="24" t="n"/>
    </row>
    <row r="2684">
      <c r="O2684" s="23" t="n"/>
      <c r="R2684" s="24" t="n"/>
      <c r="S2684" s="24" t="n"/>
      <c r="Y2684" s="24" t="n"/>
    </row>
    <row r="2685">
      <c r="O2685" s="23" t="n"/>
      <c r="R2685" s="24" t="n"/>
      <c r="S2685" s="24" t="n"/>
      <c r="Y2685" s="24" t="n"/>
    </row>
    <row r="2686">
      <c r="O2686" s="23" t="n"/>
      <c r="R2686" s="24" t="n"/>
      <c r="S2686" s="24" t="n"/>
      <c r="Y2686" s="24" t="n"/>
    </row>
    <row r="2687">
      <c r="O2687" s="23" t="n"/>
      <c r="R2687" s="24" t="n"/>
      <c r="S2687" s="24" t="n"/>
      <c r="Y2687" s="24" t="n"/>
    </row>
    <row r="2688">
      <c r="O2688" s="23" t="n"/>
      <c r="R2688" s="24" t="n"/>
      <c r="S2688" s="24" t="n"/>
      <c r="Y2688" s="24" t="n"/>
    </row>
    <row r="2689">
      <c r="O2689" s="23" t="n"/>
      <c r="R2689" s="24" t="n"/>
      <c r="S2689" s="24" t="n"/>
      <c r="Y2689" s="24" t="n"/>
    </row>
    <row r="2690">
      <c r="O2690" s="23" t="n"/>
      <c r="R2690" s="24" t="n"/>
      <c r="S2690" s="24" t="n"/>
      <c r="Y2690" s="24" t="n"/>
    </row>
    <row r="2691">
      <c r="O2691" s="23" t="n"/>
      <c r="R2691" s="24" t="n"/>
      <c r="S2691" s="24" t="n"/>
      <c r="Y2691" s="24" t="n"/>
    </row>
    <row r="2692">
      <c r="O2692" s="23" t="n"/>
      <c r="R2692" s="24" t="n"/>
      <c r="S2692" s="24" t="n"/>
      <c r="Y2692" s="24" t="n"/>
    </row>
    <row r="2693">
      <c r="O2693" s="23" t="n"/>
      <c r="R2693" s="24" t="n"/>
      <c r="S2693" s="24" t="n"/>
      <c r="Y2693" s="24" t="n"/>
    </row>
    <row r="2694">
      <c r="O2694" s="23" t="n"/>
      <c r="R2694" s="24" t="n"/>
      <c r="S2694" s="24" t="n"/>
      <c r="Y2694" s="24" t="n"/>
    </row>
    <row r="2695">
      <c r="O2695" s="23" t="n"/>
      <c r="R2695" s="24" t="n"/>
      <c r="S2695" s="24" t="n"/>
      <c r="Y2695" s="24" t="n"/>
    </row>
    <row r="2696">
      <c r="O2696" s="23" t="n"/>
      <c r="R2696" s="24" t="n"/>
      <c r="S2696" s="24" t="n"/>
      <c r="Y2696" s="24" t="n"/>
    </row>
    <row r="2697">
      <c r="O2697" s="23" t="n"/>
      <c r="R2697" s="24" t="n"/>
      <c r="S2697" s="24" t="n"/>
      <c r="Y2697" s="24" t="n"/>
    </row>
    <row r="2698">
      <c r="O2698" s="23" t="n"/>
      <c r="R2698" s="24" t="n"/>
      <c r="S2698" s="24" t="n"/>
      <c r="Y2698" s="24" t="n"/>
    </row>
    <row r="2699">
      <c r="O2699" s="23" t="n"/>
      <c r="R2699" s="24" t="n"/>
      <c r="S2699" s="24" t="n"/>
      <c r="Y2699" s="24" t="n"/>
    </row>
    <row r="2700">
      <c r="O2700" s="23" t="n"/>
      <c r="R2700" s="24" t="n"/>
      <c r="S2700" s="24" t="n"/>
      <c r="Y2700" s="24" t="n"/>
    </row>
    <row r="2701">
      <c r="O2701" s="23" t="n"/>
      <c r="R2701" s="24" t="n"/>
      <c r="S2701" s="24" t="n"/>
      <c r="Y2701" s="24" t="n"/>
    </row>
    <row r="2702">
      <c r="O2702" s="23" t="n"/>
      <c r="R2702" s="24" t="n"/>
      <c r="S2702" s="24" t="n"/>
      <c r="Y2702" s="24" t="n"/>
    </row>
    <row r="2703">
      <c r="O2703" s="23" t="n"/>
      <c r="R2703" s="24" t="n"/>
      <c r="S2703" s="24" t="n"/>
      <c r="Y2703" s="24" t="n"/>
    </row>
    <row r="2704">
      <c r="O2704" s="23" t="n"/>
      <c r="R2704" s="24" t="n"/>
      <c r="S2704" s="24" t="n"/>
      <c r="Y2704" s="24" t="n"/>
    </row>
    <row r="2705">
      <c r="O2705" s="23" t="n"/>
      <c r="R2705" s="24" t="n"/>
      <c r="S2705" s="24" t="n"/>
      <c r="Y2705" s="24" t="n"/>
    </row>
    <row r="2706">
      <c r="O2706" s="23" t="n"/>
      <c r="R2706" s="24" t="n"/>
      <c r="S2706" s="24" t="n"/>
      <c r="Y2706" s="24" t="n"/>
    </row>
    <row r="2707">
      <c r="O2707" s="23" t="n"/>
      <c r="R2707" s="24" t="n"/>
      <c r="S2707" s="24" t="n"/>
      <c r="Y2707" s="24" t="n"/>
    </row>
    <row r="2708">
      <c r="O2708" s="23" t="n"/>
      <c r="R2708" s="24" t="n"/>
      <c r="S2708" s="24" t="n"/>
      <c r="Y2708" s="24" t="n"/>
    </row>
    <row r="2709">
      <c r="O2709" s="23" t="n"/>
      <c r="R2709" s="24" t="n"/>
      <c r="S2709" s="24" t="n"/>
      <c r="Y2709" s="24" t="n"/>
    </row>
    <row r="2710">
      <c r="O2710" s="23" t="n"/>
      <c r="R2710" s="24" t="n"/>
      <c r="S2710" s="24" t="n"/>
      <c r="Y2710" s="24" t="n"/>
    </row>
    <row r="2711">
      <c r="O2711" s="23" t="n"/>
      <c r="R2711" s="24" t="n"/>
      <c r="S2711" s="24" t="n"/>
      <c r="Y2711" s="24" t="n"/>
    </row>
    <row r="2712">
      <c r="O2712" s="23" t="n"/>
      <c r="R2712" s="24" t="n"/>
      <c r="S2712" s="24" t="n"/>
      <c r="Y2712" s="24" t="n"/>
    </row>
    <row r="2713">
      <c r="O2713" s="23" t="n"/>
      <c r="R2713" s="24" t="n"/>
      <c r="S2713" s="24" t="n"/>
      <c r="Y2713" s="24" t="n"/>
    </row>
    <row r="2714">
      <c r="O2714" s="23" t="n"/>
      <c r="R2714" s="24" t="n"/>
      <c r="S2714" s="24" t="n"/>
      <c r="Y2714" s="24" t="n"/>
    </row>
    <row r="2715">
      <c r="O2715" s="23" t="n"/>
      <c r="R2715" s="24" t="n"/>
      <c r="S2715" s="24" t="n"/>
      <c r="Y2715" s="24" t="n"/>
    </row>
    <row r="2716">
      <c r="O2716" s="23" t="n"/>
      <c r="R2716" s="24" t="n"/>
      <c r="S2716" s="24" t="n"/>
      <c r="Y2716" s="24" t="n"/>
    </row>
    <row r="2717">
      <c r="O2717" s="23" t="n"/>
      <c r="R2717" s="24" t="n"/>
      <c r="S2717" s="24" t="n"/>
      <c r="Y2717" s="24" t="n"/>
    </row>
    <row r="2718">
      <c r="O2718" s="23" t="n"/>
      <c r="R2718" s="24" t="n"/>
      <c r="S2718" s="24" t="n"/>
      <c r="Y2718" s="24" t="n"/>
    </row>
    <row r="2719">
      <c r="O2719" s="23" t="n"/>
      <c r="R2719" s="24" t="n"/>
      <c r="S2719" s="24" t="n"/>
      <c r="Y2719" s="24" t="n"/>
    </row>
    <row r="2720">
      <c r="O2720" s="23" t="n"/>
      <c r="R2720" s="24" t="n"/>
      <c r="S2720" s="24" t="n"/>
      <c r="Y2720" s="24" t="n"/>
    </row>
    <row r="2721">
      <c r="O2721" s="23" t="n"/>
      <c r="R2721" s="24" t="n"/>
      <c r="S2721" s="24" t="n"/>
      <c r="Y2721" s="24" t="n"/>
    </row>
    <row r="2722">
      <c r="O2722" s="23" t="n"/>
      <c r="R2722" s="24" t="n"/>
      <c r="S2722" s="24" t="n"/>
      <c r="Y2722" s="24" t="n"/>
    </row>
    <row r="2723">
      <c r="O2723" s="23" t="n"/>
      <c r="R2723" s="24" t="n"/>
      <c r="S2723" s="24" t="n"/>
      <c r="Y2723" s="24" t="n"/>
    </row>
    <row r="2724">
      <c r="O2724" s="23" t="n"/>
      <c r="R2724" s="24" t="n"/>
      <c r="S2724" s="24" t="n"/>
      <c r="Y2724" s="24" t="n"/>
    </row>
    <row r="2725">
      <c r="O2725" s="23" t="n"/>
      <c r="R2725" s="24" t="n"/>
      <c r="S2725" s="24" t="n"/>
      <c r="Y2725" s="24" t="n"/>
    </row>
    <row r="2726">
      <c r="O2726" s="23" t="n"/>
      <c r="R2726" s="24" t="n"/>
      <c r="S2726" s="24" t="n"/>
      <c r="Y2726" s="24" t="n"/>
    </row>
    <row r="2727">
      <c r="O2727" s="23" t="n"/>
      <c r="R2727" s="24" t="n"/>
      <c r="S2727" s="24" t="n"/>
      <c r="Y2727" s="24" t="n"/>
    </row>
    <row r="2728">
      <c r="O2728" s="23" t="n"/>
      <c r="R2728" s="24" t="n"/>
      <c r="S2728" s="24" t="n"/>
      <c r="Y2728" s="24" t="n"/>
    </row>
    <row r="2729">
      <c r="O2729" s="23" t="n"/>
      <c r="R2729" s="24" t="n"/>
      <c r="S2729" s="24" t="n"/>
      <c r="Y2729" s="24" t="n"/>
    </row>
    <row r="2730">
      <c r="O2730" s="23" t="n"/>
      <c r="R2730" s="24" t="n"/>
      <c r="S2730" s="24" t="n"/>
      <c r="Y2730" s="24" t="n"/>
    </row>
    <row r="2731">
      <c r="O2731" s="23" t="n"/>
      <c r="R2731" s="24" t="n"/>
      <c r="S2731" s="24" t="n"/>
      <c r="Y2731" s="24" t="n"/>
    </row>
    <row r="2732">
      <c r="O2732" s="23" t="n"/>
      <c r="R2732" s="24" t="n"/>
      <c r="S2732" s="24" t="n"/>
      <c r="Y2732" s="24" t="n"/>
    </row>
    <row r="2733">
      <c r="O2733" s="23" t="n"/>
      <c r="R2733" s="24" t="n"/>
      <c r="S2733" s="24" t="n"/>
      <c r="Y2733" s="24" t="n"/>
    </row>
    <row r="2734">
      <c r="O2734" s="23" t="n"/>
      <c r="R2734" s="24" t="n"/>
      <c r="S2734" s="24" t="n"/>
      <c r="Y2734" s="24" t="n"/>
    </row>
    <row r="2735">
      <c r="O2735" s="23" t="n"/>
      <c r="R2735" s="24" t="n"/>
      <c r="S2735" s="24" t="n"/>
      <c r="Y2735" s="24" t="n"/>
    </row>
    <row r="2736">
      <c r="O2736" s="23" t="n"/>
      <c r="R2736" s="24" t="n"/>
      <c r="S2736" s="24" t="n"/>
      <c r="Y2736" s="24" t="n"/>
    </row>
    <row r="2737">
      <c r="O2737" s="23" t="n"/>
      <c r="R2737" s="24" t="n"/>
      <c r="S2737" s="24" t="n"/>
      <c r="Y2737" s="24" t="n"/>
    </row>
    <row r="2738">
      <c r="O2738" s="23" t="n"/>
      <c r="R2738" s="24" t="n"/>
      <c r="S2738" s="24" t="n"/>
      <c r="Y2738" s="24" t="n"/>
    </row>
    <row r="2739">
      <c r="O2739" s="23" t="n"/>
      <c r="R2739" s="24" t="n"/>
      <c r="S2739" s="24" t="n"/>
      <c r="Y2739" s="24" t="n"/>
    </row>
    <row r="2740">
      <c r="O2740" s="23" t="n"/>
      <c r="R2740" s="24" t="n"/>
      <c r="S2740" s="24" t="n"/>
      <c r="Y2740" s="24" t="n"/>
    </row>
    <row r="2741">
      <c r="O2741" s="23" t="n"/>
      <c r="R2741" s="24" t="n"/>
      <c r="S2741" s="24" t="n"/>
      <c r="Y2741" s="24" t="n"/>
    </row>
    <row r="2742">
      <c r="O2742" s="23" t="n"/>
      <c r="R2742" s="24" t="n"/>
      <c r="S2742" s="24" t="n"/>
      <c r="Y2742" s="24" t="n"/>
    </row>
    <row r="2743">
      <c r="O2743" s="23" t="n"/>
      <c r="R2743" s="24" t="n"/>
      <c r="S2743" s="24" t="n"/>
      <c r="Y2743" s="24" t="n"/>
    </row>
    <row r="2744">
      <c r="O2744" s="23" t="n"/>
      <c r="R2744" s="24" t="n"/>
      <c r="S2744" s="24" t="n"/>
      <c r="Y2744" s="24" t="n"/>
    </row>
    <row r="2745">
      <c r="O2745" s="23" t="n"/>
      <c r="R2745" s="24" t="n"/>
      <c r="S2745" s="24" t="n"/>
      <c r="Y2745" s="24" t="n"/>
    </row>
    <row r="2746">
      <c r="O2746" s="23" t="n"/>
      <c r="R2746" s="24" t="n"/>
      <c r="S2746" s="24" t="n"/>
      <c r="Y2746" s="24" t="n"/>
    </row>
    <row r="2747">
      <c r="O2747" s="23" t="n"/>
      <c r="R2747" s="24" t="n"/>
      <c r="S2747" s="24" t="n"/>
      <c r="Y2747" s="24" t="n"/>
    </row>
    <row r="2748">
      <c r="O2748" s="23" t="n"/>
      <c r="R2748" s="24" t="n"/>
      <c r="S2748" s="24" t="n"/>
      <c r="Y2748" s="24" t="n"/>
    </row>
    <row r="2749">
      <c r="O2749" s="23" t="n"/>
      <c r="R2749" s="24" t="n"/>
      <c r="S2749" s="24" t="n"/>
      <c r="Y2749" s="24" t="n"/>
    </row>
    <row r="2750">
      <c r="O2750" s="23" t="n"/>
      <c r="R2750" s="24" t="n"/>
      <c r="S2750" s="24" t="n"/>
      <c r="Y2750" s="24" t="n"/>
    </row>
    <row r="2751">
      <c r="O2751" s="23" t="n"/>
      <c r="R2751" s="24" t="n"/>
      <c r="S2751" s="24" t="n"/>
      <c r="Y2751" s="24" t="n"/>
    </row>
    <row r="2752">
      <c r="O2752" s="23" t="n"/>
      <c r="R2752" s="24" t="n"/>
      <c r="S2752" s="24" t="n"/>
      <c r="Y2752" s="24" t="n"/>
    </row>
    <row r="2753">
      <c r="O2753" s="23" t="n"/>
      <c r="R2753" s="24" t="n"/>
      <c r="S2753" s="24" t="n"/>
      <c r="Y2753" s="24" t="n"/>
    </row>
    <row r="2754">
      <c r="O2754" s="23" t="n"/>
      <c r="R2754" s="24" t="n"/>
      <c r="S2754" s="24" t="n"/>
      <c r="Y2754" s="24" t="n"/>
    </row>
    <row r="2755">
      <c r="O2755" s="23" t="n"/>
      <c r="R2755" s="24" t="n"/>
      <c r="S2755" s="24" t="n"/>
      <c r="Y2755" s="24" t="n"/>
    </row>
    <row r="2756">
      <c r="O2756" s="23" t="n"/>
      <c r="R2756" s="24" t="n"/>
      <c r="S2756" s="24" t="n"/>
      <c r="Y2756" s="24" t="n"/>
    </row>
    <row r="2757">
      <c r="O2757" s="23" t="n"/>
      <c r="R2757" s="24" t="n"/>
      <c r="S2757" s="24" t="n"/>
      <c r="Y2757" s="24" t="n"/>
    </row>
    <row r="2758">
      <c r="O2758" s="23" t="n"/>
      <c r="R2758" s="24" t="n"/>
      <c r="S2758" s="24" t="n"/>
      <c r="Y2758" s="24" t="n"/>
    </row>
    <row r="2759">
      <c r="O2759" s="23" t="n"/>
      <c r="R2759" s="24" t="n"/>
      <c r="S2759" s="24" t="n"/>
      <c r="Y2759" s="24" t="n"/>
    </row>
    <row r="2760">
      <c r="O2760" s="23" t="n"/>
      <c r="R2760" s="24" t="n"/>
      <c r="S2760" s="24" t="n"/>
      <c r="Y2760" s="24" t="n"/>
    </row>
    <row r="2761">
      <c r="O2761" s="23" t="n"/>
      <c r="R2761" s="24" t="n"/>
      <c r="S2761" s="24" t="n"/>
      <c r="Y2761" s="24" t="n"/>
    </row>
    <row r="2762">
      <c r="O2762" s="23" t="n"/>
      <c r="R2762" s="24" t="n"/>
      <c r="S2762" s="24" t="n"/>
      <c r="Y2762" s="24" t="n"/>
    </row>
    <row r="2763">
      <c r="O2763" s="23" t="n"/>
      <c r="R2763" s="24" t="n"/>
      <c r="S2763" s="24" t="n"/>
      <c r="Y2763" s="24" t="n"/>
    </row>
    <row r="2764">
      <c r="O2764" s="23" t="n"/>
      <c r="R2764" s="24" t="n"/>
      <c r="S2764" s="24" t="n"/>
      <c r="Y2764" s="24" t="n"/>
    </row>
    <row r="2765">
      <c r="O2765" s="23" t="n"/>
      <c r="R2765" s="24" t="n"/>
      <c r="S2765" s="24" t="n"/>
      <c r="Y2765" s="24" t="n"/>
    </row>
    <row r="2766">
      <c r="O2766" s="23" t="n"/>
      <c r="R2766" s="24" t="n"/>
      <c r="S2766" s="24" t="n"/>
      <c r="Y2766" s="24" t="n"/>
    </row>
    <row r="2767">
      <c r="O2767" s="23" t="n"/>
      <c r="R2767" s="24" t="n"/>
      <c r="S2767" s="24" t="n"/>
      <c r="Y2767" s="24" t="n"/>
    </row>
    <row r="2768">
      <c r="O2768" s="23" t="n"/>
      <c r="R2768" s="24" t="n"/>
      <c r="S2768" s="24" t="n"/>
      <c r="Y2768" s="24" t="n"/>
    </row>
    <row r="2769">
      <c r="O2769" s="23" t="n"/>
      <c r="R2769" s="24" t="n"/>
      <c r="S2769" s="24" t="n"/>
      <c r="Y2769" s="24" t="n"/>
    </row>
    <row r="2770">
      <c r="O2770" s="23" t="n"/>
      <c r="R2770" s="24" t="n"/>
      <c r="S2770" s="24" t="n"/>
      <c r="Y2770" s="24" t="n"/>
    </row>
    <row r="2771">
      <c r="O2771" s="23" t="n"/>
      <c r="R2771" s="24" t="n"/>
      <c r="S2771" s="24" t="n"/>
      <c r="Y2771" s="24" t="n"/>
    </row>
    <row r="2772">
      <c r="O2772" s="23" t="n"/>
      <c r="R2772" s="24" t="n"/>
      <c r="S2772" s="24" t="n"/>
      <c r="Y2772" s="24" t="n"/>
    </row>
    <row r="2773">
      <c r="O2773" s="23" t="n"/>
      <c r="R2773" s="24" t="n"/>
      <c r="S2773" s="24" t="n"/>
      <c r="Y2773" s="24" t="n"/>
    </row>
    <row r="2774">
      <c r="O2774" s="23" t="n"/>
      <c r="R2774" s="24" t="n"/>
      <c r="S2774" s="24" t="n"/>
      <c r="Y2774" s="24" t="n"/>
    </row>
    <row r="2775">
      <c r="O2775" s="23" t="n"/>
      <c r="R2775" s="24" t="n"/>
      <c r="S2775" s="24" t="n"/>
      <c r="Y2775" s="24" t="n"/>
    </row>
    <row r="2776">
      <c r="O2776" s="23" t="n"/>
      <c r="R2776" s="24" t="n"/>
      <c r="S2776" s="24" t="n"/>
      <c r="Y2776" s="24" t="n"/>
    </row>
    <row r="2777">
      <c r="O2777" s="23" t="n"/>
      <c r="R2777" s="24" t="n"/>
      <c r="S2777" s="24" t="n"/>
      <c r="Y2777" s="24" t="n"/>
    </row>
    <row r="2778">
      <c r="O2778" s="23" t="n"/>
      <c r="R2778" s="24" t="n"/>
      <c r="S2778" s="24" t="n"/>
      <c r="Y2778" s="24" t="n"/>
    </row>
    <row r="2779">
      <c r="O2779" s="23" t="n"/>
      <c r="R2779" s="24" t="n"/>
      <c r="S2779" s="24" t="n"/>
      <c r="Y2779" s="24" t="n"/>
    </row>
    <row r="2780">
      <c r="O2780" s="23" t="n"/>
      <c r="R2780" s="24" t="n"/>
      <c r="S2780" s="24" t="n"/>
      <c r="Y2780" s="24" t="n"/>
    </row>
    <row r="2781">
      <c r="O2781" s="23" t="n"/>
      <c r="R2781" s="24" t="n"/>
      <c r="S2781" s="24" t="n"/>
      <c r="Y2781" s="24" t="n"/>
    </row>
    <row r="2782">
      <c r="O2782" s="23" t="n"/>
      <c r="R2782" s="24" t="n"/>
      <c r="S2782" s="24" t="n"/>
      <c r="Y2782" s="24" t="n"/>
    </row>
    <row r="2783">
      <c r="O2783" s="23" t="n"/>
      <c r="R2783" s="24" t="n"/>
      <c r="S2783" s="24" t="n"/>
      <c r="Y2783" s="24" t="n"/>
    </row>
    <row r="2784">
      <c r="O2784" s="23" t="n"/>
      <c r="R2784" s="24" t="n"/>
      <c r="S2784" s="24" t="n"/>
      <c r="Y2784" s="24" t="n"/>
    </row>
    <row r="2785">
      <c r="O2785" s="23" t="n"/>
      <c r="R2785" s="24" t="n"/>
      <c r="S2785" s="24" t="n"/>
      <c r="Y2785" s="24" t="n"/>
    </row>
    <row r="2786">
      <c r="O2786" s="23" t="n"/>
      <c r="R2786" s="24" t="n"/>
      <c r="S2786" s="24" t="n"/>
      <c r="Y2786" s="24" t="n"/>
    </row>
    <row r="2787">
      <c r="O2787" s="23" t="n"/>
      <c r="R2787" s="24" t="n"/>
      <c r="S2787" s="24" t="n"/>
      <c r="Y2787" s="24" t="n"/>
    </row>
    <row r="2788">
      <c r="O2788" s="23" t="n"/>
      <c r="R2788" s="24" t="n"/>
      <c r="S2788" s="24" t="n"/>
      <c r="Y2788" s="24" t="n"/>
    </row>
    <row r="2789">
      <c r="O2789" s="23" t="n"/>
      <c r="R2789" s="24" t="n"/>
      <c r="S2789" s="24" t="n"/>
      <c r="Y2789" s="24" t="n"/>
    </row>
    <row r="2790">
      <c r="O2790" s="23" t="n"/>
      <c r="R2790" s="24" t="n"/>
      <c r="S2790" s="24" t="n"/>
      <c r="Y2790" s="24" t="n"/>
    </row>
    <row r="2791">
      <c r="O2791" s="23" t="n"/>
      <c r="R2791" s="24" t="n"/>
      <c r="S2791" s="24" t="n"/>
      <c r="Y2791" s="24" t="n"/>
    </row>
    <row r="2792">
      <c r="O2792" s="23" t="n"/>
      <c r="R2792" s="24" t="n"/>
      <c r="S2792" s="24" t="n"/>
      <c r="Y2792" s="24" t="n"/>
    </row>
    <row r="2793">
      <c r="O2793" s="23" t="n"/>
      <c r="R2793" s="24" t="n"/>
      <c r="S2793" s="24" t="n"/>
      <c r="Y2793" s="24" t="n"/>
    </row>
    <row r="2794">
      <c r="O2794" s="23" t="n"/>
      <c r="R2794" s="24" t="n"/>
      <c r="S2794" s="24" t="n"/>
      <c r="Y2794" s="24" t="n"/>
    </row>
    <row r="2795">
      <c r="O2795" s="23" t="n"/>
      <c r="R2795" s="24" t="n"/>
      <c r="S2795" s="24" t="n"/>
      <c r="Y2795" s="24" t="n"/>
    </row>
    <row r="2796">
      <c r="O2796" s="23" t="n"/>
      <c r="R2796" s="24" t="n"/>
      <c r="S2796" s="24" t="n"/>
      <c r="Y2796" s="24" t="n"/>
    </row>
    <row r="2797">
      <c r="O2797" s="23" t="n"/>
      <c r="R2797" s="24" t="n"/>
      <c r="S2797" s="24" t="n"/>
      <c r="Y2797" s="24" t="n"/>
    </row>
    <row r="2798">
      <c r="O2798" s="23" t="n"/>
      <c r="R2798" s="24" t="n"/>
      <c r="S2798" s="24" t="n"/>
      <c r="Y2798" s="24" t="n"/>
    </row>
    <row r="2799">
      <c r="O2799" s="23" t="n"/>
      <c r="R2799" s="24" t="n"/>
      <c r="S2799" s="24" t="n"/>
      <c r="Y2799" s="24" t="n"/>
    </row>
    <row r="2800">
      <c r="O2800" s="23" t="n"/>
      <c r="R2800" s="24" t="n"/>
      <c r="S2800" s="24" t="n"/>
      <c r="Y2800" s="24" t="n"/>
    </row>
    <row r="2801">
      <c r="O2801" s="23" t="n"/>
      <c r="R2801" s="24" t="n"/>
      <c r="S2801" s="24" t="n"/>
      <c r="Y2801" s="24" t="n"/>
    </row>
    <row r="2802">
      <c r="O2802" s="23" t="n"/>
      <c r="R2802" s="24" t="n"/>
      <c r="S2802" s="24" t="n"/>
      <c r="Y2802" s="24" t="n"/>
    </row>
    <row r="2803">
      <c r="O2803" s="23" t="n"/>
      <c r="R2803" s="24" t="n"/>
      <c r="S2803" s="24" t="n"/>
      <c r="Y2803" s="24" t="n"/>
    </row>
    <row r="2804">
      <c r="O2804" s="23" t="n"/>
      <c r="R2804" s="24" t="n"/>
      <c r="S2804" s="24" t="n"/>
      <c r="Y2804" s="24" t="n"/>
    </row>
    <row r="2805">
      <c r="O2805" s="23" t="n"/>
      <c r="R2805" s="24" t="n"/>
      <c r="S2805" s="24" t="n"/>
      <c r="Y2805" s="24" t="n"/>
    </row>
    <row r="2806">
      <c r="O2806" s="23" t="n"/>
      <c r="R2806" s="24" t="n"/>
      <c r="S2806" s="24" t="n"/>
      <c r="Y2806" s="24" t="n"/>
    </row>
    <row r="2807">
      <c r="O2807" s="23" t="n"/>
      <c r="R2807" s="24" t="n"/>
      <c r="S2807" s="24" t="n"/>
      <c r="Y2807" s="24" t="n"/>
    </row>
    <row r="2808">
      <c r="O2808" s="23" t="n"/>
      <c r="R2808" s="24" t="n"/>
      <c r="S2808" s="24" t="n"/>
      <c r="Y2808" s="24" t="n"/>
    </row>
    <row r="2809">
      <c r="O2809" s="23" t="n"/>
      <c r="R2809" s="24" t="n"/>
      <c r="S2809" s="24" t="n"/>
      <c r="Y2809" s="24" t="n"/>
    </row>
    <row r="2810">
      <c r="O2810" s="23" t="n"/>
      <c r="R2810" s="24" t="n"/>
      <c r="S2810" s="24" t="n"/>
      <c r="Y2810" s="24" t="n"/>
    </row>
    <row r="2811">
      <c r="O2811" s="23" t="n"/>
      <c r="R2811" s="24" t="n"/>
      <c r="S2811" s="24" t="n"/>
      <c r="Y2811" s="24" t="n"/>
    </row>
    <row r="2812">
      <c r="O2812" s="23" t="n"/>
      <c r="R2812" s="24" t="n"/>
      <c r="S2812" s="24" t="n"/>
      <c r="Y2812" s="24" t="n"/>
    </row>
    <row r="2813">
      <c r="O2813" s="23" t="n"/>
      <c r="R2813" s="24" t="n"/>
      <c r="S2813" s="24" t="n"/>
      <c r="Y2813" s="24" t="n"/>
    </row>
    <row r="2814">
      <c r="O2814" s="23" t="n"/>
      <c r="R2814" s="24" t="n"/>
      <c r="S2814" s="24" t="n"/>
      <c r="Y2814" s="24" t="n"/>
    </row>
    <row r="2815">
      <c r="O2815" s="23" t="n"/>
      <c r="R2815" s="24" t="n"/>
      <c r="S2815" s="24" t="n"/>
      <c r="Y2815" s="24" t="n"/>
    </row>
    <row r="2816">
      <c r="O2816" s="23" t="n"/>
      <c r="R2816" s="24" t="n"/>
      <c r="S2816" s="24" t="n"/>
      <c r="Y2816" s="24" t="n"/>
    </row>
    <row r="2817">
      <c r="O2817" s="23" t="n"/>
      <c r="R2817" s="24" t="n"/>
      <c r="S2817" s="24" t="n"/>
      <c r="Y2817" s="24" t="n"/>
    </row>
    <row r="2818">
      <c r="O2818" s="23" t="n"/>
      <c r="R2818" s="24" t="n"/>
      <c r="S2818" s="24" t="n"/>
      <c r="Y2818" s="24" t="n"/>
    </row>
    <row r="2819">
      <c r="O2819" s="23" t="n"/>
      <c r="R2819" s="24" t="n"/>
      <c r="S2819" s="24" t="n"/>
      <c r="Y2819" s="24" t="n"/>
    </row>
    <row r="2820">
      <c r="O2820" s="23" t="n"/>
      <c r="R2820" s="24" t="n"/>
      <c r="S2820" s="24" t="n"/>
      <c r="Y2820" s="24" t="n"/>
    </row>
    <row r="2821">
      <c r="O2821" s="23" t="n"/>
      <c r="R2821" s="24" t="n"/>
      <c r="S2821" s="24" t="n"/>
      <c r="Y2821" s="24" t="n"/>
    </row>
    <row r="2822">
      <c r="O2822" s="23" t="n"/>
      <c r="R2822" s="24" t="n"/>
      <c r="S2822" s="24" t="n"/>
      <c r="Y2822" s="24" t="n"/>
    </row>
    <row r="2823">
      <c r="O2823" s="23" t="n"/>
      <c r="R2823" s="24" t="n"/>
      <c r="S2823" s="24" t="n"/>
      <c r="Y2823" s="24" t="n"/>
    </row>
    <row r="2824">
      <c r="O2824" s="23" t="n"/>
      <c r="R2824" s="24" t="n"/>
      <c r="S2824" s="24" t="n"/>
      <c r="Y2824" s="24" t="n"/>
    </row>
    <row r="2825">
      <c r="O2825" s="23" t="n"/>
      <c r="R2825" s="24" t="n"/>
      <c r="S2825" s="24" t="n"/>
      <c r="Y2825" s="24" t="n"/>
    </row>
    <row r="2826">
      <c r="O2826" s="23" t="n"/>
      <c r="R2826" s="24" t="n"/>
      <c r="S2826" s="24" t="n"/>
      <c r="Y2826" s="24" t="n"/>
    </row>
    <row r="2827">
      <c r="O2827" s="23" t="n"/>
      <c r="R2827" s="24" t="n"/>
      <c r="S2827" s="24" t="n"/>
      <c r="Y2827" s="24" t="n"/>
    </row>
    <row r="2828">
      <c r="O2828" s="23" t="n"/>
      <c r="R2828" s="24" t="n"/>
      <c r="S2828" s="24" t="n"/>
      <c r="Y2828" s="24" t="n"/>
    </row>
    <row r="2829">
      <c r="O2829" s="23" t="n"/>
      <c r="R2829" s="24" t="n"/>
      <c r="S2829" s="24" t="n"/>
      <c r="Y2829" s="24" t="n"/>
    </row>
    <row r="2830">
      <c r="O2830" s="23" t="n"/>
      <c r="R2830" s="24" t="n"/>
      <c r="S2830" s="24" t="n"/>
      <c r="Y2830" s="24" t="n"/>
    </row>
    <row r="2831">
      <c r="O2831" s="23" t="n"/>
      <c r="R2831" s="24" t="n"/>
      <c r="S2831" s="24" t="n"/>
      <c r="Y2831" s="24" t="n"/>
    </row>
    <row r="2832">
      <c r="O2832" s="23" t="n"/>
      <c r="R2832" s="24" t="n"/>
      <c r="S2832" s="24" t="n"/>
      <c r="Y2832" s="24" t="n"/>
    </row>
    <row r="2833">
      <c r="O2833" s="23" t="n"/>
      <c r="R2833" s="24" t="n"/>
      <c r="S2833" s="24" t="n"/>
      <c r="Y2833" s="24" t="n"/>
    </row>
    <row r="2834">
      <c r="O2834" s="23" t="n"/>
      <c r="R2834" s="24" t="n"/>
      <c r="S2834" s="24" t="n"/>
      <c r="Y2834" s="24" t="n"/>
    </row>
    <row r="2835">
      <c r="O2835" s="23" t="n"/>
      <c r="R2835" s="24" t="n"/>
      <c r="S2835" s="24" t="n"/>
      <c r="Y2835" s="24" t="n"/>
    </row>
    <row r="2836">
      <c r="O2836" s="23" t="n"/>
      <c r="R2836" s="24" t="n"/>
      <c r="S2836" s="24" t="n"/>
      <c r="Y2836" s="24" t="n"/>
    </row>
    <row r="2837">
      <c r="O2837" s="23" t="n"/>
      <c r="R2837" s="24" t="n"/>
      <c r="S2837" s="24" t="n"/>
      <c r="Y2837" s="24" t="n"/>
    </row>
    <row r="2838">
      <c r="O2838" s="23" t="n"/>
      <c r="R2838" s="24" t="n"/>
      <c r="S2838" s="24" t="n"/>
      <c r="Y2838" s="24" t="n"/>
    </row>
    <row r="2839">
      <c r="O2839" s="23" t="n"/>
      <c r="R2839" s="24" t="n"/>
      <c r="S2839" s="24" t="n"/>
      <c r="Y2839" s="24" t="n"/>
    </row>
    <row r="2840">
      <c r="O2840" s="23" t="n"/>
      <c r="R2840" s="24" t="n"/>
      <c r="S2840" s="24" t="n"/>
      <c r="Y2840" s="24" t="n"/>
    </row>
    <row r="2841">
      <c r="O2841" s="23" t="n"/>
      <c r="R2841" s="24" t="n"/>
      <c r="S2841" s="24" t="n"/>
      <c r="Y2841" s="24" t="n"/>
    </row>
    <row r="2842">
      <c r="O2842" s="23" t="n"/>
      <c r="R2842" s="24" t="n"/>
      <c r="S2842" s="24" t="n"/>
      <c r="Y2842" s="24" t="n"/>
    </row>
    <row r="2843">
      <c r="O2843" s="23" t="n"/>
      <c r="R2843" s="24" t="n"/>
      <c r="S2843" s="24" t="n"/>
      <c r="Y2843" s="24" t="n"/>
    </row>
    <row r="2844">
      <c r="O2844" s="23" t="n"/>
      <c r="R2844" s="24" t="n"/>
      <c r="S2844" s="24" t="n"/>
      <c r="Y2844" s="24" t="n"/>
    </row>
    <row r="2845">
      <c r="O2845" s="23" t="n"/>
      <c r="R2845" s="24" t="n"/>
      <c r="S2845" s="24" t="n"/>
      <c r="Y2845" s="24" t="n"/>
    </row>
    <row r="2846">
      <c r="O2846" s="23" t="n"/>
      <c r="R2846" s="24" t="n"/>
      <c r="S2846" s="24" t="n"/>
      <c r="Y2846" s="24" t="n"/>
    </row>
    <row r="2847">
      <c r="O2847" s="23" t="n"/>
      <c r="R2847" s="24" t="n"/>
      <c r="S2847" s="24" t="n"/>
      <c r="Y2847" s="24" t="n"/>
    </row>
    <row r="2848">
      <c r="O2848" s="23" t="n"/>
      <c r="R2848" s="24" t="n"/>
      <c r="S2848" s="24" t="n"/>
      <c r="Y2848" s="24" t="n"/>
    </row>
    <row r="2849">
      <c r="O2849" s="23" t="n"/>
      <c r="R2849" s="24" t="n"/>
      <c r="S2849" s="24" t="n"/>
      <c r="Y2849" s="24" t="n"/>
    </row>
    <row r="2850">
      <c r="O2850" s="23" t="n"/>
      <c r="R2850" s="24" t="n"/>
      <c r="S2850" s="24" t="n"/>
      <c r="Y2850" s="24" t="n"/>
    </row>
    <row r="2851">
      <c r="O2851" s="23" t="n"/>
      <c r="R2851" s="24" t="n"/>
      <c r="S2851" s="24" t="n"/>
      <c r="Y2851" s="24" t="n"/>
    </row>
    <row r="2852">
      <c r="O2852" s="23" t="n"/>
      <c r="R2852" s="24" t="n"/>
      <c r="S2852" s="24" t="n"/>
      <c r="Y2852" s="24" t="n"/>
    </row>
    <row r="2853">
      <c r="O2853" s="23" t="n"/>
      <c r="R2853" s="24" t="n"/>
      <c r="S2853" s="24" t="n"/>
      <c r="Y2853" s="24" t="n"/>
    </row>
    <row r="2854">
      <c r="O2854" s="23" t="n"/>
      <c r="R2854" s="24" t="n"/>
      <c r="S2854" s="24" t="n"/>
      <c r="Y2854" s="24" t="n"/>
    </row>
    <row r="2855">
      <c r="O2855" s="23" t="n"/>
      <c r="R2855" s="24" t="n"/>
      <c r="S2855" s="24" t="n"/>
      <c r="Y2855" s="24" t="n"/>
    </row>
    <row r="2856">
      <c r="O2856" s="23" t="n"/>
      <c r="R2856" s="24" t="n"/>
      <c r="S2856" s="24" t="n"/>
      <c r="Y2856" s="24" t="n"/>
    </row>
    <row r="2857">
      <c r="O2857" s="23" t="n"/>
      <c r="R2857" s="24" t="n"/>
      <c r="S2857" s="24" t="n"/>
      <c r="Y2857" s="24" t="n"/>
    </row>
    <row r="2858">
      <c r="O2858" s="23" t="n"/>
      <c r="R2858" s="24" t="n"/>
      <c r="S2858" s="24" t="n"/>
      <c r="Y2858" s="24" t="n"/>
    </row>
    <row r="2859">
      <c r="O2859" s="23" t="n"/>
      <c r="R2859" s="24" t="n"/>
      <c r="S2859" s="24" t="n"/>
      <c r="Y2859" s="24" t="n"/>
    </row>
    <row r="2860">
      <c r="O2860" s="23" t="n"/>
      <c r="R2860" s="24" t="n"/>
      <c r="S2860" s="24" t="n"/>
      <c r="Y2860" s="24" t="n"/>
    </row>
    <row r="2861">
      <c r="O2861" s="23" t="n"/>
      <c r="R2861" s="24" t="n"/>
      <c r="S2861" s="24" t="n"/>
      <c r="Y2861" s="24" t="n"/>
    </row>
    <row r="2862">
      <c r="O2862" s="23" t="n"/>
      <c r="R2862" s="24" t="n"/>
      <c r="S2862" s="24" t="n"/>
      <c r="Y2862" s="24" t="n"/>
    </row>
    <row r="2863">
      <c r="O2863" s="23" t="n"/>
      <c r="R2863" s="24" t="n"/>
      <c r="S2863" s="24" t="n"/>
      <c r="Y2863" s="24" t="n"/>
    </row>
    <row r="2864">
      <c r="O2864" s="23" t="n"/>
      <c r="R2864" s="24" t="n"/>
      <c r="S2864" s="24" t="n"/>
      <c r="Y2864" s="24" t="n"/>
    </row>
    <row r="2865">
      <c r="O2865" s="23" t="n"/>
      <c r="R2865" s="24" t="n"/>
      <c r="S2865" s="24" t="n"/>
      <c r="Y2865" s="24" t="n"/>
    </row>
    <row r="2866">
      <c r="O2866" s="23" t="n"/>
      <c r="R2866" s="24" t="n"/>
      <c r="S2866" s="24" t="n"/>
      <c r="Y2866" s="24" t="n"/>
    </row>
    <row r="2867">
      <c r="O2867" s="23" t="n"/>
      <c r="R2867" s="24" t="n"/>
      <c r="S2867" s="24" t="n"/>
      <c r="Y2867" s="24" t="n"/>
    </row>
    <row r="2868">
      <c r="O2868" s="23" t="n"/>
      <c r="R2868" s="24" t="n"/>
      <c r="S2868" s="24" t="n"/>
      <c r="Y2868" s="24" t="n"/>
    </row>
    <row r="2869">
      <c r="O2869" s="23" t="n"/>
      <c r="R2869" s="24" t="n"/>
      <c r="S2869" s="24" t="n"/>
      <c r="Y2869" s="24" t="n"/>
    </row>
    <row r="2870">
      <c r="O2870" s="23" t="n"/>
      <c r="R2870" s="24" t="n"/>
      <c r="S2870" s="24" t="n"/>
      <c r="Y2870" s="24" t="n"/>
    </row>
    <row r="2871">
      <c r="O2871" s="23" t="n"/>
      <c r="R2871" s="24" t="n"/>
      <c r="S2871" s="24" t="n"/>
      <c r="Y2871" s="24" t="n"/>
    </row>
    <row r="2872">
      <c r="O2872" s="23" t="n"/>
      <c r="R2872" s="24" t="n"/>
      <c r="S2872" s="24" t="n"/>
      <c r="Y2872" s="24" t="n"/>
    </row>
    <row r="2873">
      <c r="O2873" s="23" t="n"/>
      <c r="R2873" s="24" t="n"/>
      <c r="S2873" s="24" t="n"/>
      <c r="Y2873" s="24" t="n"/>
    </row>
    <row r="2874">
      <c r="O2874" s="23" t="n"/>
      <c r="R2874" s="24" t="n"/>
      <c r="S2874" s="24" t="n"/>
      <c r="Y2874" s="24" t="n"/>
    </row>
    <row r="2875">
      <c r="O2875" s="23" t="n"/>
      <c r="R2875" s="24" t="n"/>
      <c r="S2875" s="24" t="n"/>
      <c r="Y2875" s="24" t="n"/>
    </row>
    <row r="2876">
      <c r="O2876" s="23" t="n"/>
      <c r="R2876" s="24" t="n"/>
      <c r="S2876" s="24" t="n"/>
      <c r="Y2876" s="24" t="n"/>
    </row>
    <row r="2877">
      <c r="O2877" s="23" t="n"/>
      <c r="R2877" s="24" t="n"/>
      <c r="S2877" s="24" t="n"/>
      <c r="Y2877" s="24" t="n"/>
    </row>
    <row r="2878">
      <c r="O2878" s="23" t="n"/>
      <c r="R2878" s="24" t="n"/>
      <c r="S2878" s="24" t="n"/>
      <c r="Y2878" s="24" t="n"/>
    </row>
    <row r="2879">
      <c r="O2879" s="23" t="n"/>
      <c r="R2879" s="24" t="n"/>
      <c r="S2879" s="24" t="n"/>
      <c r="Y2879" s="24" t="n"/>
    </row>
    <row r="2880">
      <c r="O2880" s="23" t="n"/>
      <c r="R2880" s="24" t="n"/>
      <c r="S2880" s="24" t="n"/>
      <c r="Y2880" s="24" t="n"/>
    </row>
    <row r="2881">
      <c r="O2881" s="23" t="n"/>
      <c r="R2881" s="24" t="n"/>
      <c r="S2881" s="24" t="n"/>
      <c r="Y2881" s="24" t="n"/>
    </row>
    <row r="2882">
      <c r="O2882" s="23" t="n"/>
      <c r="R2882" s="24" t="n"/>
      <c r="S2882" s="24" t="n"/>
      <c r="Y2882" s="24" t="n"/>
    </row>
    <row r="2883">
      <c r="O2883" s="23" t="n"/>
      <c r="R2883" s="24" t="n"/>
      <c r="S2883" s="24" t="n"/>
      <c r="Y2883" s="24" t="n"/>
    </row>
    <row r="2884">
      <c r="O2884" s="23" t="n"/>
      <c r="R2884" s="24" t="n"/>
      <c r="S2884" s="24" t="n"/>
      <c r="Y2884" s="24" t="n"/>
    </row>
    <row r="2885">
      <c r="O2885" s="23" t="n"/>
      <c r="R2885" s="24" t="n"/>
      <c r="S2885" s="24" t="n"/>
      <c r="Y2885" s="24" t="n"/>
    </row>
    <row r="2886">
      <c r="O2886" s="23" t="n"/>
      <c r="R2886" s="24" t="n"/>
      <c r="S2886" s="24" t="n"/>
      <c r="Y2886" s="24" t="n"/>
    </row>
    <row r="2887">
      <c r="O2887" s="23" t="n"/>
      <c r="R2887" s="24" t="n"/>
      <c r="S2887" s="24" t="n"/>
      <c r="Y2887" s="24" t="n"/>
    </row>
    <row r="2888">
      <c r="O2888" s="23" t="n"/>
      <c r="R2888" s="24" t="n"/>
      <c r="S2888" s="24" t="n"/>
      <c r="Y2888" s="24" t="n"/>
    </row>
    <row r="2889">
      <c r="O2889" s="23" t="n"/>
      <c r="R2889" s="24" t="n"/>
      <c r="S2889" s="24" t="n"/>
      <c r="Y2889" s="24" t="n"/>
    </row>
    <row r="2890">
      <c r="O2890" s="23" t="n"/>
      <c r="R2890" s="24" t="n"/>
      <c r="S2890" s="24" t="n"/>
      <c r="Y2890" s="24" t="n"/>
    </row>
    <row r="2891">
      <c r="O2891" s="23" t="n"/>
      <c r="R2891" s="24" t="n"/>
      <c r="S2891" s="24" t="n"/>
      <c r="Y2891" s="24" t="n"/>
    </row>
    <row r="2892">
      <c r="O2892" s="23" t="n"/>
      <c r="R2892" s="24" t="n"/>
      <c r="S2892" s="24" t="n"/>
      <c r="Y2892" s="24" t="n"/>
    </row>
    <row r="2893">
      <c r="O2893" s="23" t="n"/>
      <c r="R2893" s="24" t="n"/>
      <c r="S2893" s="24" t="n"/>
      <c r="Y2893" s="24" t="n"/>
    </row>
    <row r="2894">
      <c r="O2894" s="23" t="n"/>
      <c r="R2894" s="24" t="n"/>
      <c r="S2894" s="24" t="n"/>
      <c r="Y2894" s="24" t="n"/>
    </row>
    <row r="2895">
      <c r="O2895" s="23" t="n"/>
      <c r="R2895" s="24" t="n"/>
      <c r="S2895" s="24" t="n"/>
      <c r="Y2895" s="24" t="n"/>
    </row>
    <row r="2896">
      <c r="O2896" s="23" t="n"/>
      <c r="R2896" s="24" t="n"/>
      <c r="S2896" s="24" t="n"/>
      <c r="Y2896" s="24" t="n"/>
    </row>
    <row r="2897">
      <c r="O2897" s="23" t="n"/>
      <c r="R2897" s="24" t="n"/>
      <c r="S2897" s="24" t="n"/>
      <c r="Y2897" s="24" t="n"/>
    </row>
    <row r="2898">
      <c r="O2898" s="23" t="n"/>
      <c r="R2898" s="24" t="n"/>
      <c r="S2898" s="24" t="n"/>
      <c r="Y2898" s="24" t="n"/>
    </row>
    <row r="2899">
      <c r="O2899" s="23" t="n"/>
      <c r="R2899" s="24" t="n"/>
      <c r="S2899" s="24" t="n"/>
      <c r="Y2899" s="24" t="n"/>
    </row>
    <row r="2900">
      <c r="O2900" s="23" t="n"/>
      <c r="R2900" s="24" t="n"/>
      <c r="S2900" s="24" t="n"/>
      <c r="Y2900" s="24" t="n"/>
    </row>
    <row r="2901">
      <c r="O2901" s="23" t="n"/>
      <c r="R2901" s="24" t="n"/>
      <c r="S2901" s="24" t="n"/>
      <c r="Y2901" s="24" t="n"/>
    </row>
    <row r="2902">
      <c r="O2902" s="23" t="n"/>
      <c r="R2902" s="24" t="n"/>
      <c r="S2902" s="24" t="n"/>
      <c r="Y2902" s="24" t="n"/>
    </row>
    <row r="2903">
      <c r="O2903" s="23" t="n"/>
      <c r="R2903" s="24" t="n"/>
      <c r="S2903" s="24" t="n"/>
      <c r="Y2903" s="24" t="n"/>
    </row>
    <row r="2904">
      <c r="O2904" s="23" t="n"/>
      <c r="R2904" s="24" t="n"/>
      <c r="S2904" s="24" t="n"/>
      <c r="Y2904" s="24" t="n"/>
    </row>
    <row r="2905">
      <c r="O2905" s="23" t="n"/>
      <c r="R2905" s="24" t="n"/>
      <c r="S2905" s="24" t="n"/>
      <c r="Y2905" s="24" t="n"/>
    </row>
    <row r="2906">
      <c r="O2906" s="23" t="n"/>
      <c r="R2906" s="24" t="n"/>
      <c r="S2906" s="24" t="n"/>
      <c r="Y2906" s="24" t="n"/>
    </row>
    <row r="2907">
      <c r="O2907" s="23" t="n"/>
      <c r="R2907" s="24" t="n"/>
      <c r="S2907" s="24" t="n"/>
      <c r="Y2907" s="24" t="n"/>
    </row>
    <row r="2908">
      <c r="O2908" s="23" t="n"/>
      <c r="R2908" s="24" t="n"/>
      <c r="S2908" s="24" t="n"/>
      <c r="Y2908" s="24" t="n"/>
    </row>
    <row r="2909">
      <c r="O2909" s="23" t="n"/>
      <c r="R2909" s="24" t="n"/>
      <c r="S2909" s="24" t="n"/>
      <c r="Y2909" s="24" t="n"/>
    </row>
    <row r="2910">
      <c r="O2910" s="23" t="n"/>
      <c r="R2910" s="24" t="n"/>
      <c r="S2910" s="24" t="n"/>
      <c r="Y2910" s="24" t="n"/>
    </row>
    <row r="2911">
      <c r="O2911" s="23" t="n"/>
      <c r="R2911" s="24" t="n"/>
      <c r="S2911" s="24" t="n"/>
      <c r="Y2911" s="24" t="n"/>
    </row>
    <row r="2912">
      <c r="O2912" s="23" t="n"/>
      <c r="R2912" s="24" t="n"/>
      <c r="S2912" s="24" t="n"/>
      <c r="Y2912" s="24" t="n"/>
    </row>
    <row r="2913">
      <c r="O2913" s="23" t="n"/>
      <c r="R2913" s="24" t="n"/>
      <c r="S2913" s="24" t="n"/>
      <c r="Y2913" s="24" t="n"/>
    </row>
    <row r="2914">
      <c r="O2914" s="23" t="n"/>
      <c r="R2914" s="24" t="n"/>
      <c r="S2914" s="24" t="n"/>
      <c r="Y2914" s="24" t="n"/>
    </row>
    <row r="2915">
      <c r="O2915" s="23" t="n"/>
      <c r="R2915" s="24" t="n"/>
      <c r="S2915" s="24" t="n"/>
      <c r="Y2915" s="24" t="n"/>
    </row>
    <row r="2916">
      <c r="O2916" s="23" t="n"/>
      <c r="R2916" s="24" t="n"/>
      <c r="S2916" s="24" t="n"/>
      <c r="Y2916" s="24" t="n"/>
    </row>
    <row r="2917">
      <c r="O2917" s="23" t="n"/>
      <c r="R2917" s="24" t="n"/>
      <c r="S2917" s="24" t="n"/>
      <c r="Y2917" s="24" t="n"/>
    </row>
    <row r="2918">
      <c r="O2918" s="23" t="n"/>
      <c r="R2918" s="24" t="n"/>
      <c r="S2918" s="24" t="n"/>
      <c r="Y2918" s="24" t="n"/>
    </row>
    <row r="2919">
      <c r="O2919" s="23" t="n"/>
      <c r="R2919" s="24" t="n"/>
      <c r="S2919" s="24" t="n"/>
      <c r="Y2919" s="24" t="n"/>
    </row>
    <row r="2920">
      <c r="O2920" s="23" t="n"/>
      <c r="R2920" s="24" t="n"/>
      <c r="S2920" s="24" t="n"/>
      <c r="Y2920" s="24" t="n"/>
    </row>
    <row r="2921">
      <c r="O2921" s="23" t="n"/>
      <c r="R2921" s="24" t="n"/>
      <c r="S2921" s="24" t="n"/>
      <c r="Y2921" s="24" t="n"/>
    </row>
    <row r="2922">
      <c r="O2922" s="23" t="n"/>
      <c r="R2922" s="24" t="n"/>
      <c r="S2922" s="24" t="n"/>
      <c r="Y2922" s="24" t="n"/>
    </row>
    <row r="2923">
      <c r="O2923" s="23" t="n"/>
      <c r="R2923" s="24" t="n"/>
      <c r="S2923" s="24" t="n"/>
      <c r="Y2923" s="24" t="n"/>
    </row>
    <row r="2924">
      <c r="O2924" s="23" t="n"/>
      <c r="R2924" s="24" t="n"/>
      <c r="S2924" s="24" t="n"/>
      <c r="Y2924" s="24" t="n"/>
    </row>
    <row r="2925">
      <c r="O2925" s="23" t="n"/>
      <c r="R2925" s="24" t="n"/>
      <c r="S2925" s="24" t="n"/>
      <c r="Y2925" s="24" t="n"/>
    </row>
    <row r="2926">
      <c r="O2926" s="23" t="n"/>
      <c r="R2926" s="24" t="n"/>
      <c r="S2926" s="24" t="n"/>
      <c r="Y2926" s="24" t="n"/>
    </row>
    <row r="2927">
      <c r="O2927" s="23" t="n"/>
      <c r="R2927" s="24" t="n"/>
      <c r="S2927" s="24" t="n"/>
      <c r="Y2927" s="24" t="n"/>
    </row>
    <row r="2928">
      <c r="O2928" s="23" t="n"/>
      <c r="R2928" s="24" t="n"/>
      <c r="S2928" s="24" t="n"/>
      <c r="Y2928" s="24" t="n"/>
    </row>
    <row r="2929">
      <c r="O2929" s="23" t="n"/>
      <c r="R2929" s="24" t="n"/>
      <c r="S2929" s="24" t="n"/>
      <c r="Y2929" s="24" t="n"/>
    </row>
    <row r="2930">
      <c r="O2930" s="23" t="n"/>
      <c r="R2930" s="24" t="n"/>
      <c r="S2930" s="24" t="n"/>
      <c r="Y2930" s="24" t="n"/>
    </row>
    <row r="2931">
      <c r="O2931" s="23" t="n"/>
      <c r="R2931" s="24" t="n"/>
      <c r="S2931" s="24" t="n"/>
      <c r="Y2931" s="24" t="n"/>
    </row>
    <row r="2932">
      <c r="O2932" s="23" t="n"/>
      <c r="R2932" s="24" t="n"/>
      <c r="S2932" s="24" t="n"/>
      <c r="Y2932" s="24" t="n"/>
    </row>
    <row r="2933">
      <c r="O2933" s="23" t="n"/>
      <c r="R2933" s="24" t="n"/>
      <c r="S2933" s="24" t="n"/>
      <c r="Y2933" s="24" t="n"/>
    </row>
    <row r="2934">
      <c r="O2934" s="23" t="n"/>
      <c r="R2934" s="24" t="n"/>
      <c r="S2934" s="24" t="n"/>
      <c r="Y2934" s="24" t="n"/>
    </row>
    <row r="2935">
      <c r="O2935" s="23" t="n"/>
      <c r="R2935" s="24" t="n"/>
      <c r="S2935" s="24" t="n"/>
      <c r="Y2935" s="24" t="n"/>
    </row>
    <row r="2936">
      <c r="O2936" s="23" t="n"/>
      <c r="R2936" s="24" t="n"/>
      <c r="S2936" s="24" t="n"/>
      <c r="Y2936" s="24" t="n"/>
    </row>
    <row r="2937">
      <c r="O2937" s="23" t="n"/>
      <c r="R2937" s="24" t="n"/>
      <c r="S2937" s="24" t="n"/>
      <c r="Y2937" s="24" t="n"/>
    </row>
    <row r="2938">
      <c r="O2938" s="23" t="n"/>
      <c r="R2938" s="24" t="n"/>
      <c r="S2938" s="24" t="n"/>
      <c r="Y2938" s="24" t="n"/>
    </row>
    <row r="2939">
      <c r="O2939" s="23" t="n"/>
      <c r="R2939" s="24" t="n"/>
      <c r="S2939" s="24" t="n"/>
      <c r="Y2939" s="24" t="n"/>
    </row>
    <row r="2940">
      <c r="O2940" s="23" t="n"/>
      <c r="R2940" s="24" t="n"/>
      <c r="S2940" s="24" t="n"/>
      <c r="Y2940" s="24" t="n"/>
    </row>
    <row r="2941">
      <c r="O2941" s="23" t="n"/>
      <c r="R2941" s="24" t="n"/>
      <c r="S2941" s="24" t="n"/>
      <c r="Y2941" s="24" t="n"/>
    </row>
    <row r="2942">
      <c r="O2942" s="23" t="n"/>
      <c r="R2942" s="24" t="n"/>
      <c r="S2942" s="24" t="n"/>
      <c r="Y2942" s="24" t="n"/>
    </row>
    <row r="2943">
      <c r="O2943" s="23" t="n"/>
      <c r="R2943" s="24" t="n"/>
      <c r="S2943" s="24" t="n"/>
      <c r="Y2943" s="24" t="n"/>
    </row>
    <row r="2944">
      <c r="O2944" s="23" t="n"/>
      <c r="R2944" s="24" t="n"/>
      <c r="S2944" s="24" t="n"/>
      <c r="Y2944" s="24" t="n"/>
    </row>
    <row r="2945">
      <c r="O2945" s="23" t="n"/>
      <c r="R2945" s="24" t="n"/>
      <c r="S2945" s="24" t="n"/>
      <c r="Y2945" s="24" t="n"/>
    </row>
    <row r="2946">
      <c r="O2946" s="23" t="n"/>
      <c r="R2946" s="24" t="n"/>
      <c r="S2946" s="24" t="n"/>
      <c r="Y2946" s="24" t="n"/>
    </row>
    <row r="2947">
      <c r="O2947" s="23" t="n"/>
      <c r="R2947" s="24" t="n"/>
      <c r="S2947" s="24" t="n"/>
      <c r="Y2947" s="24" t="n"/>
    </row>
    <row r="2948">
      <c r="O2948" s="23" t="n"/>
      <c r="R2948" s="24" t="n"/>
      <c r="S2948" s="24" t="n"/>
      <c r="Y2948" s="24" t="n"/>
    </row>
    <row r="2949">
      <c r="O2949" s="23" t="n"/>
      <c r="R2949" s="24" t="n"/>
      <c r="S2949" s="24" t="n"/>
      <c r="Y2949" s="24" t="n"/>
    </row>
    <row r="2950">
      <c r="O2950" s="23" t="n"/>
      <c r="R2950" s="24" t="n"/>
      <c r="S2950" s="24" t="n"/>
      <c r="Y2950" s="24" t="n"/>
    </row>
    <row r="2951">
      <c r="O2951" s="23" t="n"/>
      <c r="R2951" s="24" t="n"/>
      <c r="S2951" s="24" t="n"/>
      <c r="Y2951" s="24" t="n"/>
    </row>
    <row r="2952">
      <c r="O2952" s="23" t="n"/>
      <c r="R2952" s="24" t="n"/>
      <c r="S2952" s="24" t="n"/>
      <c r="Y2952" s="24" t="n"/>
    </row>
    <row r="2953">
      <c r="O2953" s="23" t="n"/>
      <c r="R2953" s="24" t="n"/>
      <c r="S2953" s="24" t="n"/>
      <c r="Y2953" s="24" t="n"/>
    </row>
    <row r="2954">
      <c r="O2954" s="23" t="n"/>
      <c r="R2954" s="24" t="n"/>
      <c r="S2954" s="24" t="n"/>
      <c r="Y2954" s="24" t="n"/>
    </row>
    <row r="2955">
      <c r="O2955" s="23" t="n"/>
      <c r="R2955" s="24" t="n"/>
      <c r="S2955" s="24" t="n"/>
      <c r="Y2955" s="24" t="n"/>
    </row>
    <row r="2956">
      <c r="O2956" s="23" t="n"/>
      <c r="R2956" s="24" t="n"/>
      <c r="S2956" s="24" t="n"/>
      <c r="Y2956" s="24" t="n"/>
    </row>
    <row r="2957">
      <c r="O2957" s="23" t="n"/>
      <c r="R2957" s="24" t="n"/>
      <c r="S2957" s="24" t="n"/>
      <c r="Y2957" s="24" t="n"/>
    </row>
    <row r="2958">
      <c r="O2958" s="23" t="n"/>
      <c r="R2958" s="24" t="n"/>
      <c r="S2958" s="24" t="n"/>
      <c r="Y2958" s="24" t="n"/>
    </row>
    <row r="2959">
      <c r="O2959" s="23" t="n"/>
      <c r="R2959" s="24" t="n"/>
      <c r="S2959" s="24" t="n"/>
      <c r="Y2959" s="24" t="n"/>
    </row>
    <row r="2960">
      <c r="O2960" s="23" t="n"/>
      <c r="R2960" s="24" t="n"/>
      <c r="S2960" s="24" t="n"/>
      <c r="Y2960" s="24" t="n"/>
    </row>
    <row r="2961">
      <c r="O2961" s="23" t="n"/>
      <c r="R2961" s="24" t="n"/>
      <c r="S2961" s="24" t="n"/>
      <c r="Y2961" s="24" t="n"/>
    </row>
    <row r="2962">
      <c r="O2962" s="23" t="n"/>
      <c r="R2962" s="24" t="n"/>
      <c r="S2962" s="24" t="n"/>
      <c r="Y2962" s="24" t="n"/>
    </row>
    <row r="2963">
      <c r="O2963" s="23" t="n"/>
      <c r="R2963" s="24" t="n"/>
      <c r="S2963" s="24" t="n"/>
      <c r="Y2963" s="24" t="n"/>
    </row>
    <row r="2964">
      <c r="O2964" s="23" t="n"/>
      <c r="R2964" s="24" t="n"/>
      <c r="S2964" s="24" t="n"/>
      <c r="Y2964" s="24" t="n"/>
    </row>
    <row r="2965">
      <c r="O2965" s="23" t="n"/>
      <c r="R2965" s="24" t="n"/>
      <c r="S2965" s="24" t="n"/>
      <c r="Y2965" s="24" t="n"/>
    </row>
    <row r="2966">
      <c r="O2966" s="23" t="n"/>
      <c r="R2966" s="24" t="n"/>
      <c r="S2966" s="24" t="n"/>
      <c r="Y2966" s="24" t="n"/>
    </row>
    <row r="2967">
      <c r="O2967" s="23" t="n"/>
      <c r="R2967" s="24" t="n"/>
      <c r="S2967" s="24" t="n"/>
      <c r="Y2967" s="24" t="n"/>
    </row>
    <row r="2968">
      <c r="O2968" s="23" t="n"/>
      <c r="R2968" s="24" t="n"/>
      <c r="S2968" s="24" t="n"/>
      <c r="Y2968" s="24" t="n"/>
    </row>
    <row r="2969">
      <c r="O2969" s="23" t="n"/>
      <c r="R2969" s="24" t="n"/>
      <c r="S2969" s="24" t="n"/>
      <c r="Y2969" s="24" t="n"/>
    </row>
    <row r="2970">
      <c r="O2970" s="23" t="n"/>
      <c r="R2970" s="24" t="n"/>
      <c r="S2970" s="24" t="n"/>
      <c r="Y2970" s="24" t="n"/>
    </row>
    <row r="2971">
      <c r="O2971" s="23" t="n"/>
      <c r="R2971" s="24" t="n"/>
      <c r="S2971" s="24" t="n"/>
      <c r="Y2971" s="24" t="n"/>
    </row>
    <row r="2972">
      <c r="O2972" s="23" t="n"/>
      <c r="R2972" s="24" t="n"/>
      <c r="S2972" s="24" t="n"/>
      <c r="Y2972" s="24" t="n"/>
    </row>
    <row r="2973">
      <c r="O2973" s="23" t="n"/>
      <c r="R2973" s="24" t="n"/>
      <c r="S2973" s="24" t="n"/>
      <c r="Y2973" s="24" t="n"/>
    </row>
    <row r="2974">
      <c r="O2974" s="23" t="n"/>
      <c r="R2974" s="24" t="n"/>
      <c r="S2974" s="24" t="n"/>
      <c r="Y2974" s="24" t="n"/>
    </row>
    <row r="2975">
      <c r="O2975" s="23" t="n"/>
      <c r="R2975" s="24" t="n"/>
      <c r="S2975" s="24" t="n"/>
      <c r="Y2975" s="24" t="n"/>
    </row>
    <row r="2976">
      <c r="O2976" s="23" t="n"/>
      <c r="R2976" s="24" t="n"/>
      <c r="S2976" s="24" t="n"/>
      <c r="Y2976" s="24" t="n"/>
    </row>
    <row r="2977">
      <c r="O2977" s="23" t="n"/>
      <c r="R2977" s="24" t="n"/>
      <c r="S2977" s="24" t="n"/>
      <c r="Y2977" s="24" t="n"/>
    </row>
    <row r="2978">
      <c r="O2978" s="23" t="n"/>
      <c r="R2978" s="24" t="n"/>
      <c r="S2978" s="24" t="n"/>
      <c r="Y2978" s="24" t="n"/>
    </row>
    <row r="2979">
      <c r="O2979" s="23" t="n"/>
      <c r="R2979" s="24" t="n"/>
      <c r="S2979" s="24" t="n"/>
      <c r="Y2979" s="24" t="n"/>
    </row>
    <row r="2980">
      <c r="O2980" s="23" t="n"/>
      <c r="R2980" s="24" t="n"/>
      <c r="S2980" s="24" t="n"/>
      <c r="Y2980" s="24" t="n"/>
    </row>
    <row r="2981">
      <c r="O2981" s="23" t="n"/>
      <c r="R2981" s="24" t="n"/>
      <c r="S2981" s="24" t="n"/>
      <c r="Y2981" s="24" t="n"/>
    </row>
    <row r="2982">
      <c r="O2982" s="23" t="n"/>
      <c r="R2982" s="24" t="n"/>
      <c r="S2982" s="24" t="n"/>
      <c r="Y2982" s="24" t="n"/>
    </row>
    <row r="2983">
      <c r="O2983" s="23" t="n"/>
      <c r="R2983" s="24" t="n"/>
      <c r="S2983" s="24" t="n"/>
      <c r="Y2983" s="24" t="n"/>
    </row>
    <row r="2984">
      <c r="O2984" s="23" t="n"/>
      <c r="R2984" s="24" t="n"/>
      <c r="S2984" s="24" t="n"/>
      <c r="Y2984" s="24" t="n"/>
    </row>
    <row r="2985">
      <c r="O2985" s="23" t="n"/>
      <c r="R2985" s="24" t="n"/>
      <c r="S2985" s="24" t="n"/>
      <c r="Y2985" s="24" t="n"/>
    </row>
    <row r="2986">
      <c r="O2986" s="23" t="n"/>
      <c r="R2986" s="24" t="n"/>
      <c r="S2986" s="24" t="n"/>
      <c r="Y2986" s="24" t="n"/>
    </row>
    <row r="2987">
      <c r="O2987" s="23" t="n"/>
      <c r="R2987" s="24" t="n"/>
      <c r="S2987" s="24" t="n"/>
      <c r="Y2987" s="24" t="n"/>
    </row>
    <row r="2988">
      <c r="O2988" s="23" t="n"/>
      <c r="R2988" s="24" t="n"/>
      <c r="S2988" s="24" t="n"/>
      <c r="Y2988" s="24" t="n"/>
    </row>
    <row r="2989">
      <c r="O2989" s="23" t="n"/>
      <c r="R2989" s="24" t="n"/>
      <c r="S2989" s="24" t="n"/>
      <c r="Y2989" s="24" t="n"/>
    </row>
    <row r="2990">
      <c r="O2990" s="23" t="n"/>
      <c r="R2990" s="24" t="n"/>
      <c r="S2990" s="24" t="n"/>
      <c r="Y2990" s="24" t="n"/>
    </row>
    <row r="2991">
      <c r="O2991" s="23" t="n"/>
      <c r="R2991" s="24" t="n"/>
      <c r="S2991" s="24" t="n"/>
      <c r="Y2991" s="24" t="n"/>
    </row>
    <row r="2992">
      <c r="O2992" s="23" t="n"/>
      <c r="R2992" s="24" t="n"/>
      <c r="S2992" s="24" t="n"/>
      <c r="Y2992" s="24" t="n"/>
    </row>
    <row r="2993">
      <c r="O2993" s="23" t="n"/>
      <c r="R2993" s="24" t="n"/>
      <c r="S2993" s="24" t="n"/>
      <c r="Y2993" s="24" t="n"/>
    </row>
    <row r="2994">
      <c r="O2994" s="23" t="n"/>
      <c r="R2994" s="24" t="n"/>
      <c r="S2994" s="24" t="n"/>
      <c r="Y2994" s="24" t="n"/>
    </row>
    <row r="2995">
      <c r="O2995" s="23" t="n"/>
      <c r="R2995" s="24" t="n"/>
      <c r="S2995" s="24" t="n"/>
      <c r="Y2995" s="24" t="n"/>
    </row>
    <row r="2996">
      <c r="O2996" s="23" t="n"/>
      <c r="R2996" s="24" t="n"/>
      <c r="S2996" s="24" t="n"/>
      <c r="Y2996" s="24" t="n"/>
    </row>
    <row r="2997">
      <c r="O2997" s="23" t="n"/>
      <c r="R2997" s="24" t="n"/>
      <c r="S2997" s="24" t="n"/>
      <c r="Y2997" s="24" t="n"/>
    </row>
    <row r="2998">
      <c r="O2998" s="23" t="n"/>
      <c r="R2998" s="24" t="n"/>
      <c r="S2998" s="24" t="n"/>
      <c r="Y2998" s="24" t="n"/>
    </row>
    <row r="2999">
      <c r="O2999" s="23" t="n"/>
      <c r="R2999" s="24" t="n"/>
      <c r="S2999" s="24" t="n"/>
      <c r="Y2999" s="24" t="n"/>
    </row>
    <row r="3000">
      <c r="O3000" s="23" t="n"/>
      <c r="R3000" s="24" t="n"/>
      <c r="S3000" s="24" t="n"/>
      <c r="Y3000" s="24" t="n"/>
    </row>
    <row r="3001">
      <c r="O3001" s="23" t="n"/>
      <c r="R3001" s="24" t="n"/>
      <c r="S3001" s="24" t="n"/>
      <c r="Y3001" s="24" t="n"/>
    </row>
    <row r="3002">
      <c r="O3002" s="23" t="n"/>
      <c r="R3002" s="24" t="n"/>
      <c r="S3002" s="24" t="n"/>
      <c r="Y3002" s="24" t="n"/>
    </row>
    <row r="3003">
      <c r="O3003" s="23" t="n"/>
      <c r="R3003" s="24" t="n"/>
      <c r="S3003" s="24" t="n"/>
      <c r="Y3003" s="24" t="n"/>
    </row>
    <row r="3004">
      <c r="O3004" s="23" t="n"/>
      <c r="R3004" s="24" t="n"/>
      <c r="S3004" s="24" t="n"/>
      <c r="Y3004" s="24" t="n"/>
    </row>
    <row r="3005">
      <c r="O3005" s="23" t="n"/>
      <c r="R3005" s="24" t="n"/>
      <c r="S3005" s="24" t="n"/>
      <c r="Y3005" s="24" t="n"/>
    </row>
    <row r="3006">
      <c r="O3006" s="23" t="n"/>
      <c r="R3006" s="24" t="n"/>
      <c r="S3006" s="24" t="n"/>
      <c r="Y3006" s="24" t="n"/>
    </row>
    <row r="3007">
      <c r="O3007" s="23" t="n"/>
      <c r="R3007" s="24" t="n"/>
      <c r="S3007" s="24" t="n"/>
      <c r="Y3007" s="24" t="n"/>
    </row>
    <row r="3008">
      <c r="O3008" s="23" t="n"/>
      <c r="R3008" s="24" t="n"/>
      <c r="S3008" s="24" t="n"/>
      <c r="Y3008" s="24" t="n"/>
    </row>
    <row r="3009">
      <c r="O3009" s="23" t="n"/>
      <c r="R3009" s="24" t="n"/>
      <c r="S3009" s="24" t="n"/>
      <c r="Y3009" s="24" t="n"/>
    </row>
    <row r="3010">
      <c r="O3010" s="23" t="n"/>
      <c r="R3010" s="24" t="n"/>
      <c r="S3010" s="24" t="n"/>
      <c r="Y3010" s="24" t="n"/>
    </row>
    <row r="3011">
      <c r="O3011" s="23" t="n"/>
      <c r="R3011" s="24" t="n"/>
      <c r="S3011" s="24" t="n"/>
      <c r="Y3011" s="24" t="n"/>
    </row>
    <row r="3012">
      <c r="O3012" s="23" t="n"/>
      <c r="R3012" s="24" t="n"/>
      <c r="S3012" s="24" t="n"/>
      <c r="Y3012" s="24" t="n"/>
    </row>
    <row r="3013">
      <c r="O3013" s="23" t="n"/>
      <c r="R3013" s="24" t="n"/>
      <c r="S3013" s="24" t="n"/>
      <c r="Y3013" s="24" t="n"/>
    </row>
    <row r="3014">
      <c r="O3014" s="23" t="n"/>
      <c r="R3014" s="24" t="n"/>
      <c r="S3014" s="24" t="n"/>
      <c r="Y3014" s="24" t="n"/>
    </row>
    <row r="3015">
      <c r="O3015" s="23" t="n"/>
      <c r="R3015" s="24" t="n"/>
      <c r="S3015" s="24" t="n"/>
      <c r="Y3015" s="24" t="n"/>
    </row>
    <row r="3016">
      <c r="O3016" s="23" t="n"/>
      <c r="R3016" s="24" t="n"/>
      <c r="S3016" s="24" t="n"/>
      <c r="Y3016" s="24" t="n"/>
    </row>
    <row r="3017">
      <c r="O3017" s="23" t="n"/>
      <c r="R3017" s="24" t="n"/>
      <c r="S3017" s="24" t="n"/>
      <c r="Y3017" s="24" t="n"/>
    </row>
    <row r="3018">
      <c r="O3018" s="23" t="n"/>
      <c r="R3018" s="24" t="n"/>
      <c r="S3018" s="24" t="n"/>
      <c r="Y3018" s="24" t="n"/>
    </row>
    <row r="3019">
      <c r="O3019" s="23" t="n"/>
      <c r="R3019" s="24" t="n"/>
      <c r="S3019" s="24" t="n"/>
      <c r="Y3019" s="24" t="n"/>
    </row>
    <row r="3020">
      <c r="O3020" s="23" t="n"/>
      <c r="R3020" s="24" t="n"/>
      <c r="S3020" s="24" t="n"/>
      <c r="Y3020" s="24" t="n"/>
    </row>
    <row r="3021">
      <c r="O3021" s="23" t="n"/>
      <c r="R3021" s="24" t="n"/>
      <c r="S3021" s="24" t="n"/>
      <c r="Y3021" s="24" t="n"/>
    </row>
    <row r="3022">
      <c r="O3022" s="23" t="n"/>
      <c r="R3022" s="24" t="n"/>
      <c r="S3022" s="24" t="n"/>
      <c r="Y3022" s="24" t="n"/>
    </row>
    <row r="3023">
      <c r="O3023" s="23" t="n"/>
      <c r="R3023" s="24" t="n"/>
      <c r="S3023" s="24" t="n"/>
      <c r="Y3023" s="24" t="n"/>
    </row>
    <row r="3024">
      <c r="O3024" s="23" t="n"/>
      <c r="R3024" s="24" t="n"/>
      <c r="S3024" s="24" t="n"/>
      <c r="Y3024" s="24" t="n"/>
    </row>
    <row r="3025">
      <c r="O3025" s="23" t="n"/>
      <c r="R3025" s="24" t="n"/>
      <c r="S3025" s="24" t="n"/>
      <c r="Y3025" s="24" t="n"/>
    </row>
    <row r="3026">
      <c r="O3026" s="23" t="n"/>
      <c r="R3026" s="24" t="n"/>
      <c r="S3026" s="24" t="n"/>
      <c r="Y3026" s="24" t="n"/>
    </row>
    <row r="3027">
      <c r="O3027" s="23" t="n"/>
      <c r="R3027" s="24" t="n"/>
      <c r="S3027" s="24" t="n"/>
      <c r="Y3027" s="24" t="n"/>
    </row>
    <row r="3028">
      <c r="O3028" s="23" t="n"/>
      <c r="R3028" s="24" t="n"/>
      <c r="S3028" s="24" t="n"/>
      <c r="Y3028" s="24" t="n"/>
    </row>
    <row r="3029">
      <c r="O3029" s="23" t="n"/>
      <c r="R3029" s="24" t="n"/>
      <c r="S3029" s="24" t="n"/>
      <c r="Y3029" s="24" t="n"/>
    </row>
    <row r="3030">
      <c r="O3030" s="23" t="n"/>
      <c r="R3030" s="24" t="n"/>
      <c r="S3030" s="24" t="n"/>
      <c r="Y3030" s="24" t="n"/>
    </row>
    <row r="3031">
      <c r="O3031" s="23" t="n"/>
      <c r="R3031" s="24" t="n"/>
      <c r="S3031" s="24" t="n"/>
      <c r="Y3031" s="24" t="n"/>
    </row>
    <row r="3032">
      <c r="O3032" s="23" t="n"/>
      <c r="R3032" s="24" t="n"/>
      <c r="S3032" s="24" t="n"/>
      <c r="Y3032" s="24" t="n"/>
    </row>
    <row r="3033">
      <c r="O3033" s="23" t="n"/>
      <c r="R3033" s="24" t="n"/>
      <c r="S3033" s="24" t="n"/>
      <c r="Y3033" s="24" t="n"/>
    </row>
    <row r="3034">
      <c r="O3034" s="23" t="n"/>
      <c r="R3034" s="24" t="n"/>
      <c r="S3034" s="24" t="n"/>
      <c r="Y3034" s="24" t="n"/>
    </row>
    <row r="3035">
      <c r="O3035" s="23" t="n"/>
      <c r="R3035" s="24" t="n"/>
      <c r="S3035" s="24" t="n"/>
      <c r="Y3035" s="24" t="n"/>
    </row>
    <row r="3036">
      <c r="O3036" s="23" t="n"/>
      <c r="R3036" s="24" t="n"/>
      <c r="S3036" s="24" t="n"/>
      <c r="Y3036" s="24" t="n"/>
    </row>
    <row r="3037">
      <c r="O3037" s="23" t="n"/>
      <c r="R3037" s="24" t="n"/>
      <c r="S3037" s="24" t="n"/>
      <c r="Y3037" s="24" t="n"/>
    </row>
    <row r="3038">
      <c r="O3038" s="23" t="n"/>
      <c r="R3038" s="24" t="n"/>
      <c r="S3038" s="24" t="n"/>
      <c r="Y3038" s="24" t="n"/>
    </row>
    <row r="3039">
      <c r="O3039" s="23" t="n"/>
      <c r="R3039" s="24" t="n"/>
      <c r="S3039" s="24" t="n"/>
      <c r="Y3039" s="24" t="n"/>
    </row>
    <row r="3040">
      <c r="O3040" s="23" t="n"/>
      <c r="R3040" s="24" t="n"/>
      <c r="S3040" s="24" t="n"/>
      <c r="Y3040" s="24" t="n"/>
    </row>
    <row r="3041">
      <c r="O3041" s="23" t="n"/>
      <c r="R3041" s="24" t="n"/>
      <c r="S3041" s="24" t="n"/>
      <c r="Y3041" s="24" t="n"/>
    </row>
    <row r="3042">
      <c r="O3042" s="23" t="n"/>
      <c r="R3042" s="24" t="n"/>
      <c r="S3042" s="24" t="n"/>
      <c r="Y3042" s="24" t="n"/>
    </row>
    <row r="3043">
      <c r="O3043" s="23" t="n"/>
      <c r="R3043" s="24" t="n"/>
      <c r="S3043" s="24" t="n"/>
      <c r="Y3043" s="24" t="n"/>
    </row>
    <row r="3044">
      <c r="O3044" s="23" t="n"/>
      <c r="R3044" s="24" t="n"/>
      <c r="S3044" s="24" t="n"/>
      <c r="Y3044" s="24" t="n"/>
    </row>
    <row r="3045">
      <c r="O3045" s="23" t="n"/>
      <c r="R3045" s="24" t="n"/>
      <c r="S3045" s="24" t="n"/>
      <c r="Y3045" s="24" t="n"/>
    </row>
    <row r="3046">
      <c r="O3046" s="23" t="n"/>
      <c r="R3046" s="24" t="n"/>
      <c r="S3046" s="24" t="n"/>
      <c r="Y3046" s="24" t="n"/>
    </row>
    <row r="3047">
      <c r="O3047" s="23" t="n"/>
      <c r="R3047" s="24" t="n"/>
      <c r="S3047" s="24" t="n"/>
      <c r="Y3047" s="24" t="n"/>
    </row>
    <row r="3048">
      <c r="O3048" s="23" t="n"/>
      <c r="R3048" s="24" t="n"/>
      <c r="S3048" s="24" t="n"/>
      <c r="Y3048" s="24" t="n"/>
    </row>
    <row r="3049">
      <c r="O3049" s="23" t="n"/>
      <c r="R3049" s="24" t="n"/>
      <c r="S3049" s="24" t="n"/>
      <c r="Y3049" s="24" t="n"/>
    </row>
    <row r="3050">
      <c r="O3050" s="23" t="n"/>
      <c r="R3050" s="24" t="n"/>
      <c r="S3050" s="24" t="n"/>
      <c r="Y3050" s="24" t="n"/>
    </row>
    <row r="3051">
      <c r="O3051" s="23" t="n"/>
      <c r="R3051" s="24" t="n"/>
      <c r="S3051" s="24" t="n"/>
      <c r="Y3051" s="24" t="n"/>
    </row>
    <row r="3052">
      <c r="O3052" s="23" t="n"/>
      <c r="R3052" s="24" t="n"/>
      <c r="S3052" s="24" t="n"/>
      <c r="Y3052" s="24" t="n"/>
    </row>
    <row r="3053">
      <c r="O3053" s="23" t="n"/>
      <c r="R3053" s="24" t="n"/>
      <c r="S3053" s="24" t="n"/>
      <c r="Y3053" s="24" t="n"/>
    </row>
    <row r="3054">
      <c r="O3054" s="23" t="n"/>
      <c r="R3054" s="24" t="n"/>
      <c r="S3054" s="24" t="n"/>
      <c r="Y3054" s="24" t="n"/>
    </row>
    <row r="3055">
      <c r="O3055" s="23" t="n"/>
      <c r="R3055" s="24" t="n"/>
      <c r="S3055" s="24" t="n"/>
      <c r="Y3055" s="24" t="n"/>
    </row>
    <row r="3056">
      <c r="O3056" s="23" t="n"/>
      <c r="R3056" s="24" t="n"/>
      <c r="S3056" s="24" t="n"/>
      <c r="Y3056" s="24" t="n"/>
    </row>
    <row r="3057">
      <c r="O3057" s="23" t="n"/>
      <c r="R3057" s="24" t="n"/>
      <c r="S3057" s="24" t="n"/>
      <c r="Y3057" s="24" t="n"/>
    </row>
    <row r="3058">
      <c r="O3058" s="23" t="n"/>
      <c r="R3058" s="24" t="n"/>
      <c r="S3058" s="24" t="n"/>
      <c r="Y3058" s="24" t="n"/>
    </row>
    <row r="3059">
      <c r="O3059" s="23" t="n"/>
      <c r="R3059" s="24" t="n"/>
      <c r="S3059" s="24" t="n"/>
      <c r="Y3059" s="24" t="n"/>
    </row>
    <row r="3060">
      <c r="O3060" s="23" t="n"/>
      <c r="R3060" s="24" t="n"/>
      <c r="S3060" s="24" t="n"/>
      <c r="Y3060" s="24" t="n"/>
    </row>
    <row r="3061">
      <c r="O3061" s="23" t="n"/>
      <c r="R3061" s="24" t="n"/>
      <c r="S3061" s="24" t="n"/>
      <c r="Y3061" s="24" t="n"/>
    </row>
    <row r="3062">
      <c r="O3062" s="23" t="n"/>
      <c r="R3062" s="24" t="n"/>
      <c r="S3062" s="24" t="n"/>
      <c r="Y3062" s="24" t="n"/>
    </row>
    <row r="3063">
      <c r="O3063" s="23" t="n"/>
      <c r="R3063" s="24" t="n"/>
      <c r="S3063" s="24" t="n"/>
      <c r="Y3063" s="24" t="n"/>
    </row>
    <row r="3064">
      <c r="O3064" s="23" t="n"/>
      <c r="R3064" s="24" t="n"/>
      <c r="S3064" s="24" t="n"/>
      <c r="Y3064" s="24" t="n"/>
    </row>
    <row r="3065">
      <c r="O3065" s="23" t="n"/>
      <c r="R3065" s="24" t="n"/>
      <c r="S3065" s="24" t="n"/>
      <c r="Y3065" s="24" t="n"/>
    </row>
    <row r="3066">
      <c r="O3066" s="23" t="n"/>
      <c r="R3066" s="24" t="n"/>
      <c r="S3066" s="24" t="n"/>
      <c r="Y3066" s="24" t="n"/>
    </row>
    <row r="3067">
      <c r="O3067" s="23" t="n"/>
      <c r="R3067" s="24" t="n"/>
      <c r="S3067" s="24" t="n"/>
      <c r="Y3067" s="24" t="n"/>
    </row>
    <row r="3068">
      <c r="O3068" s="23" t="n"/>
      <c r="R3068" s="24" t="n"/>
      <c r="S3068" s="24" t="n"/>
      <c r="Y3068" s="24" t="n"/>
    </row>
    <row r="3069">
      <c r="O3069" s="23" t="n"/>
      <c r="R3069" s="24" t="n"/>
      <c r="S3069" s="24" t="n"/>
      <c r="Y3069" s="24" t="n"/>
    </row>
    <row r="3070">
      <c r="O3070" s="23" t="n"/>
      <c r="R3070" s="24" t="n"/>
      <c r="S3070" s="24" t="n"/>
      <c r="Y3070" s="24" t="n"/>
    </row>
    <row r="3071">
      <c r="O3071" s="23" t="n"/>
      <c r="R3071" s="24" t="n"/>
      <c r="S3071" s="24" t="n"/>
      <c r="Y3071" s="24" t="n"/>
    </row>
    <row r="3072">
      <c r="O3072" s="23" t="n"/>
      <c r="R3072" s="24" t="n"/>
      <c r="S3072" s="24" t="n"/>
      <c r="Y3072" s="24" t="n"/>
    </row>
    <row r="3073">
      <c r="O3073" s="23" t="n"/>
      <c r="R3073" s="24" t="n"/>
      <c r="S3073" s="24" t="n"/>
      <c r="Y3073" s="24" t="n"/>
    </row>
    <row r="3074">
      <c r="O3074" s="23" t="n"/>
      <c r="R3074" s="24" t="n"/>
      <c r="S3074" s="24" t="n"/>
      <c r="Y3074" s="24" t="n"/>
    </row>
    <row r="3075">
      <c r="O3075" s="23" t="n"/>
      <c r="R3075" s="24" t="n"/>
      <c r="S3075" s="24" t="n"/>
      <c r="Y3075" s="24" t="n"/>
    </row>
    <row r="3076">
      <c r="O3076" s="23" t="n"/>
      <c r="R3076" s="24" t="n"/>
      <c r="S3076" s="24" t="n"/>
      <c r="Y3076" s="24" t="n"/>
    </row>
    <row r="3077">
      <c r="O3077" s="23" t="n"/>
      <c r="R3077" s="24" t="n"/>
      <c r="S3077" s="24" t="n"/>
      <c r="Y3077" s="24" t="n"/>
    </row>
    <row r="3078">
      <c r="O3078" s="23" t="n"/>
      <c r="R3078" s="24" t="n"/>
      <c r="S3078" s="24" t="n"/>
      <c r="Y3078" s="24" t="n"/>
    </row>
    <row r="3079">
      <c r="O3079" s="23" t="n"/>
      <c r="R3079" s="24" t="n"/>
      <c r="S3079" s="24" t="n"/>
      <c r="Y3079" s="24" t="n"/>
    </row>
    <row r="3080">
      <c r="O3080" s="23" t="n"/>
      <c r="R3080" s="24" t="n"/>
      <c r="S3080" s="24" t="n"/>
      <c r="Y3080" s="24" t="n"/>
    </row>
    <row r="3081">
      <c r="O3081" s="23" t="n"/>
      <c r="R3081" s="24" t="n"/>
      <c r="S3081" s="24" t="n"/>
      <c r="Y3081" s="24" t="n"/>
    </row>
    <row r="3082">
      <c r="O3082" s="23" t="n"/>
      <c r="R3082" s="24" t="n"/>
      <c r="S3082" s="24" t="n"/>
      <c r="Y3082" s="24" t="n"/>
    </row>
    <row r="3083">
      <c r="O3083" s="23" t="n"/>
      <c r="R3083" s="24" t="n"/>
      <c r="S3083" s="24" t="n"/>
      <c r="Y3083" s="24" t="n"/>
    </row>
    <row r="3084">
      <c r="O3084" s="23" t="n"/>
      <c r="R3084" s="24" t="n"/>
      <c r="S3084" s="24" t="n"/>
      <c r="Y3084" s="24" t="n"/>
    </row>
    <row r="3085">
      <c r="O3085" s="23" t="n"/>
      <c r="R3085" s="24" t="n"/>
      <c r="S3085" s="24" t="n"/>
      <c r="Y3085" s="24" t="n"/>
    </row>
    <row r="3086">
      <c r="O3086" s="23" t="n"/>
      <c r="R3086" s="24" t="n"/>
      <c r="S3086" s="24" t="n"/>
      <c r="Y3086" s="24" t="n"/>
    </row>
    <row r="3087">
      <c r="O3087" s="23" t="n"/>
      <c r="R3087" s="24" t="n"/>
      <c r="S3087" s="24" t="n"/>
      <c r="Y3087" s="24" t="n"/>
    </row>
    <row r="3088">
      <c r="O3088" s="23" t="n"/>
      <c r="R3088" s="24" t="n"/>
      <c r="S3088" s="24" t="n"/>
      <c r="Y3088" s="24" t="n"/>
    </row>
    <row r="3089">
      <c r="O3089" s="23" t="n"/>
      <c r="R3089" s="24" t="n"/>
      <c r="S3089" s="24" t="n"/>
      <c r="Y3089" s="24" t="n"/>
    </row>
    <row r="3090">
      <c r="O3090" s="23" t="n"/>
      <c r="R3090" s="24" t="n"/>
      <c r="S3090" s="24" t="n"/>
      <c r="Y3090" s="24" t="n"/>
    </row>
    <row r="3091">
      <c r="O3091" s="23" t="n"/>
      <c r="R3091" s="24" t="n"/>
      <c r="S3091" s="24" t="n"/>
      <c r="Y3091" s="24" t="n"/>
    </row>
    <row r="3092">
      <c r="O3092" s="23" t="n"/>
      <c r="R3092" s="24" t="n"/>
      <c r="S3092" s="24" t="n"/>
      <c r="Y3092" s="24" t="n"/>
    </row>
    <row r="3093">
      <c r="O3093" s="23" t="n"/>
      <c r="R3093" s="24" t="n"/>
      <c r="S3093" s="24" t="n"/>
      <c r="Y3093" s="24" t="n"/>
    </row>
    <row r="3094">
      <c r="O3094" s="23" t="n"/>
      <c r="R3094" s="24" t="n"/>
      <c r="S3094" s="24" t="n"/>
      <c r="Y3094" s="24" t="n"/>
    </row>
    <row r="3095">
      <c r="O3095" s="23" t="n"/>
      <c r="R3095" s="24" t="n"/>
      <c r="S3095" s="24" t="n"/>
      <c r="Y3095" s="24" t="n"/>
    </row>
    <row r="3096">
      <c r="O3096" s="23" t="n"/>
      <c r="R3096" s="24" t="n"/>
      <c r="S3096" s="24" t="n"/>
      <c r="Y3096" s="24" t="n"/>
    </row>
    <row r="3097">
      <c r="O3097" s="23" t="n"/>
      <c r="R3097" s="24" t="n"/>
      <c r="S3097" s="24" t="n"/>
      <c r="Y3097" s="24" t="n"/>
    </row>
    <row r="3098">
      <c r="O3098" s="23" t="n"/>
      <c r="R3098" s="24" t="n"/>
      <c r="S3098" s="24" t="n"/>
      <c r="Y3098" s="24" t="n"/>
    </row>
    <row r="3099">
      <c r="O3099" s="23" t="n"/>
      <c r="R3099" s="24" t="n"/>
      <c r="S3099" s="24" t="n"/>
      <c r="Y3099" s="24" t="n"/>
    </row>
    <row r="3100">
      <c r="O3100" s="23" t="n"/>
      <c r="R3100" s="24" t="n"/>
      <c r="S3100" s="24" t="n"/>
      <c r="Y3100" s="24" t="n"/>
    </row>
    <row r="3101">
      <c r="O3101" s="23" t="n"/>
      <c r="R3101" s="24" t="n"/>
      <c r="S3101" s="24" t="n"/>
      <c r="Y3101" s="24" t="n"/>
    </row>
    <row r="3102">
      <c r="O3102" s="23" t="n"/>
      <c r="R3102" s="24" t="n"/>
      <c r="S3102" s="24" t="n"/>
      <c r="Y3102" s="24" t="n"/>
    </row>
    <row r="3103">
      <c r="O3103" s="23" t="n"/>
      <c r="R3103" s="24" t="n"/>
      <c r="S3103" s="24" t="n"/>
      <c r="Y3103" s="24" t="n"/>
    </row>
    <row r="3104">
      <c r="O3104" s="23" t="n"/>
      <c r="R3104" s="24" t="n"/>
      <c r="S3104" s="24" t="n"/>
      <c r="Y3104" s="24" t="n"/>
    </row>
    <row r="3105">
      <c r="O3105" s="23" t="n"/>
      <c r="R3105" s="24" t="n"/>
      <c r="S3105" s="24" t="n"/>
      <c r="Y3105" s="24" t="n"/>
    </row>
    <row r="3106">
      <c r="O3106" s="23" t="n"/>
      <c r="R3106" s="24" t="n"/>
      <c r="S3106" s="24" t="n"/>
      <c r="Y3106" s="24" t="n"/>
    </row>
    <row r="3107">
      <c r="O3107" s="23" t="n"/>
      <c r="R3107" s="24" t="n"/>
      <c r="S3107" s="24" t="n"/>
      <c r="Y3107" s="24" t="n"/>
    </row>
    <row r="3108">
      <c r="O3108" s="23" t="n"/>
      <c r="R3108" s="24" t="n"/>
      <c r="S3108" s="24" t="n"/>
      <c r="Y3108" s="24" t="n"/>
    </row>
    <row r="3109">
      <c r="O3109" s="23" t="n"/>
      <c r="R3109" s="24" t="n"/>
      <c r="S3109" s="24" t="n"/>
      <c r="Y3109" s="24" t="n"/>
    </row>
    <row r="3110">
      <c r="O3110" s="23" t="n"/>
      <c r="R3110" s="24" t="n"/>
      <c r="S3110" s="24" t="n"/>
      <c r="Y3110" s="24" t="n"/>
    </row>
    <row r="3111">
      <c r="O3111" s="23" t="n"/>
      <c r="R3111" s="24" t="n"/>
      <c r="S3111" s="24" t="n"/>
      <c r="Y3111" s="24" t="n"/>
    </row>
    <row r="3112">
      <c r="O3112" s="23" t="n"/>
      <c r="R3112" s="24" t="n"/>
      <c r="S3112" s="24" t="n"/>
      <c r="Y3112" s="24" t="n"/>
    </row>
    <row r="3113">
      <c r="O3113" s="23" t="n"/>
      <c r="R3113" s="24" t="n"/>
      <c r="S3113" s="24" t="n"/>
      <c r="Y3113" s="24" t="n"/>
    </row>
    <row r="3114">
      <c r="O3114" s="23" t="n"/>
      <c r="R3114" s="24" t="n"/>
      <c r="S3114" s="24" t="n"/>
      <c r="Y3114" s="24" t="n"/>
    </row>
    <row r="3115">
      <c r="O3115" s="23" t="n"/>
      <c r="R3115" s="24" t="n"/>
      <c r="S3115" s="24" t="n"/>
      <c r="Y3115" s="24" t="n"/>
    </row>
    <row r="3116">
      <c r="O3116" s="23" t="n"/>
      <c r="R3116" s="24" t="n"/>
      <c r="S3116" s="24" t="n"/>
      <c r="Y3116" s="24" t="n"/>
    </row>
    <row r="3117">
      <c r="O3117" s="23" t="n"/>
      <c r="R3117" s="24" t="n"/>
      <c r="S3117" s="24" t="n"/>
      <c r="Y3117" s="24" t="n"/>
    </row>
    <row r="3118">
      <c r="O3118" s="23" t="n"/>
      <c r="R3118" s="24" t="n"/>
      <c r="S3118" s="24" t="n"/>
      <c r="Y3118" s="24" t="n"/>
    </row>
    <row r="3119">
      <c r="O3119" s="23" t="n"/>
      <c r="R3119" s="24" t="n"/>
      <c r="S3119" s="24" t="n"/>
      <c r="Y3119" s="24" t="n"/>
    </row>
    <row r="3120">
      <c r="O3120" s="23" t="n"/>
      <c r="R3120" s="24" t="n"/>
      <c r="S3120" s="24" t="n"/>
      <c r="Y3120" s="24" t="n"/>
    </row>
    <row r="3121">
      <c r="O3121" s="23" t="n"/>
      <c r="R3121" s="24" t="n"/>
      <c r="S3121" s="24" t="n"/>
      <c r="Y3121" s="24" t="n"/>
    </row>
    <row r="3122">
      <c r="O3122" s="23" t="n"/>
      <c r="R3122" s="24" t="n"/>
      <c r="S3122" s="24" t="n"/>
      <c r="Y3122" s="24" t="n"/>
    </row>
    <row r="3123">
      <c r="O3123" s="23" t="n"/>
      <c r="R3123" s="24" t="n"/>
      <c r="S3123" s="24" t="n"/>
      <c r="Y3123" s="24" t="n"/>
    </row>
    <row r="3124">
      <c r="O3124" s="23" t="n"/>
      <c r="R3124" s="24" t="n"/>
      <c r="S3124" s="24" t="n"/>
      <c r="Y3124" s="24" t="n"/>
    </row>
    <row r="3125">
      <c r="O3125" s="23" t="n"/>
      <c r="R3125" s="24" t="n"/>
      <c r="S3125" s="24" t="n"/>
      <c r="Y3125" s="24" t="n"/>
    </row>
    <row r="3126">
      <c r="O3126" s="23" t="n"/>
      <c r="R3126" s="24" t="n"/>
      <c r="S3126" s="24" t="n"/>
      <c r="Y3126" s="24" t="n"/>
    </row>
    <row r="3127">
      <c r="O3127" s="23" t="n"/>
      <c r="R3127" s="24" t="n"/>
      <c r="S3127" s="24" t="n"/>
      <c r="Y3127" s="24" t="n"/>
    </row>
    <row r="3128">
      <c r="O3128" s="23" t="n"/>
      <c r="R3128" s="24" t="n"/>
      <c r="S3128" s="24" t="n"/>
      <c r="Y3128" s="24" t="n"/>
    </row>
    <row r="3129">
      <c r="O3129" s="23" t="n"/>
      <c r="R3129" s="24" t="n"/>
      <c r="S3129" s="24" t="n"/>
      <c r="Y3129" s="24" t="n"/>
    </row>
    <row r="3130">
      <c r="O3130" s="23" t="n"/>
      <c r="R3130" s="24" t="n"/>
      <c r="S3130" s="24" t="n"/>
      <c r="Y3130" s="24" t="n"/>
    </row>
    <row r="3131">
      <c r="O3131" s="23" t="n"/>
      <c r="R3131" s="24" t="n"/>
      <c r="S3131" s="24" t="n"/>
      <c r="Y3131" s="24" t="n"/>
    </row>
    <row r="3132">
      <c r="O3132" s="23" t="n"/>
      <c r="R3132" s="24" t="n"/>
      <c r="S3132" s="24" t="n"/>
      <c r="Y3132" s="24" t="n"/>
    </row>
    <row r="3133">
      <c r="O3133" s="23" t="n"/>
      <c r="R3133" s="24" t="n"/>
      <c r="S3133" s="24" t="n"/>
      <c r="Y3133" s="24" t="n"/>
    </row>
    <row r="3134">
      <c r="O3134" s="23" t="n"/>
      <c r="R3134" s="24" t="n"/>
      <c r="S3134" s="24" t="n"/>
      <c r="Y3134" s="24" t="n"/>
    </row>
    <row r="3135">
      <c r="O3135" s="23" t="n"/>
      <c r="R3135" s="24" t="n"/>
      <c r="S3135" s="24" t="n"/>
      <c r="Y3135" s="24" t="n"/>
    </row>
    <row r="3136">
      <c r="O3136" s="23" t="n"/>
      <c r="R3136" s="24" t="n"/>
      <c r="S3136" s="24" t="n"/>
      <c r="Y3136" s="24" t="n"/>
    </row>
    <row r="3137">
      <c r="O3137" s="23" t="n"/>
      <c r="R3137" s="24" t="n"/>
      <c r="S3137" s="24" t="n"/>
      <c r="Y3137" s="24" t="n"/>
    </row>
    <row r="3138">
      <c r="O3138" s="23" t="n"/>
      <c r="R3138" s="24" t="n"/>
      <c r="S3138" s="24" t="n"/>
      <c r="Y3138" s="24" t="n"/>
    </row>
    <row r="3139">
      <c r="O3139" s="23" t="n"/>
      <c r="R3139" s="24" t="n"/>
      <c r="S3139" s="24" t="n"/>
      <c r="Y3139" s="24" t="n"/>
    </row>
    <row r="3140">
      <c r="O3140" s="23" t="n"/>
      <c r="R3140" s="24" t="n"/>
      <c r="S3140" s="24" t="n"/>
      <c r="Y3140" s="24" t="n"/>
    </row>
    <row r="3141">
      <c r="O3141" s="23" t="n"/>
      <c r="R3141" s="24" t="n"/>
      <c r="S3141" s="24" t="n"/>
      <c r="Y3141" s="24" t="n"/>
    </row>
    <row r="3142">
      <c r="O3142" s="23" t="n"/>
      <c r="R3142" s="24" t="n"/>
      <c r="S3142" s="24" t="n"/>
      <c r="Y3142" s="24" t="n"/>
    </row>
    <row r="3143">
      <c r="O3143" s="23" t="n"/>
      <c r="R3143" s="24" t="n"/>
      <c r="S3143" s="24" t="n"/>
      <c r="Y3143" s="24" t="n"/>
    </row>
    <row r="3144">
      <c r="O3144" s="23" t="n"/>
      <c r="R3144" s="24" t="n"/>
      <c r="S3144" s="24" t="n"/>
      <c r="Y3144" s="24" t="n"/>
    </row>
    <row r="3145">
      <c r="O3145" s="23" t="n"/>
      <c r="R3145" s="24" t="n"/>
      <c r="S3145" s="24" t="n"/>
      <c r="Y3145" s="24" t="n"/>
    </row>
    <row r="3146">
      <c r="O3146" s="23" t="n"/>
      <c r="R3146" s="24" t="n"/>
      <c r="S3146" s="24" t="n"/>
      <c r="Y3146" s="24" t="n"/>
    </row>
    <row r="3147">
      <c r="O3147" s="23" t="n"/>
      <c r="R3147" s="24" t="n"/>
      <c r="S3147" s="24" t="n"/>
      <c r="Y3147" s="24" t="n"/>
    </row>
    <row r="3148">
      <c r="O3148" s="23" t="n"/>
      <c r="R3148" s="24" t="n"/>
      <c r="S3148" s="24" t="n"/>
      <c r="Y3148" s="24" t="n"/>
    </row>
    <row r="3149">
      <c r="O3149" s="23" t="n"/>
      <c r="R3149" s="24" t="n"/>
      <c r="S3149" s="24" t="n"/>
      <c r="Y3149" s="24" t="n"/>
    </row>
    <row r="3150">
      <c r="O3150" s="23" t="n"/>
      <c r="R3150" s="24" t="n"/>
      <c r="S3150" s="24" t="n"/>
      <c r="Y3150" s="24" t="n"/>
    </row>
    <row r="3151">
      <c r="O3151" s="23" t="n"/>
      <c r="R3151" s="24" t="n"/>
      <c r="S3151" s="24" t="n"/>
      <c r="Y3151" s="24" t="n"/>
    </row>
    <row r="3152">
      <c r="O3152" s="23" t="n"/>
      <c r="R3152" s="24" t="n"/>
      <c r="S3152" s="24" t="n"/>
      <c r="Y3152" s="24" t="n"/>
    </row>
    <row r="3153">
      <c r="O3153" s="23" t="n"/>
      <c r="R3153" s="24" t="n"/>
      <c r="S3153" s="24" t="n"/>
      <c r="Y3153" s="24" t="n"/>
    </row>
    <row r="3154">
      <c r="O3154" s="23" t="n"/>
      <c r="R3154" s="24" t="n"/>
      <c r="S3154" s="24" t="n"/>
      <c r="Y3154" s="24" t="n"/>
    </row>
    <row r="3155">
      <c r="O3155" s="23" t="n"/>
      <c r="R3155" s="24" t="n"/>
      <c r="S3155" s="24" t="n"/>
      <c r="Y3155" s="24" t="n"/>
    </row>
    <row r="3156">
      <c r="O3156" s="23" t="n"/>
      <c r="R3156" s="24" t="n"/>
      <c r="S3156" s="24" t="n"/>
      <c r="Y3156" s="24" t="n"/>
    </row>
    <row r="3157">
      <c r="O3157" s="23" t="n"/>
      <c r="R3157" s="24" t="n"/>
      <c r="S3157" s="24" t="n"/>
      <c r="Y3157" s="24" t="n"/>
    </row>
    <row r="3158">
      <c r="O3158" s="23" t="n"/>
      <c r="R3158" s="24" t="n"/>
      <c r="S3158" s="24" t="n"/>
      <c r="Y3158" s="24" t="n"/>
    </row>
    <row r="3159">
      <c r="O3159" s="23" t="n"/>
      <c r="R3159" s="24" t="n"/>
      <c r="S3159" s="24" t="n"/>
      <c r="Y3159" s="24" t="n"/>
    </row>
    <row r="3160">
      <c r="O3160" s="23" t="n"/>
      <c r="R3160" s="24" t="n"/>
      <c r="S3160" s="24" t="n"/>
      <c r="Y3160" s="24" t="n"/>
    </row>
    <row r="3161">
      <c r="O3161" s="23" t="n"/>
      <c r="R3161" s="24" t="n"/>
      <c r="S3161" s="24" t="n"/>
      <c r="Y3161" s="24" t="n"/>
    </row>
    <row r="3162">
      <c r="O3162" s="23" t="n"/>
      <c r="R3162" s="24" t="n"/>
      <c r="S3162" s="24" t="n"/>
      <c r="Y3162" s="24" t="n"/>
    </row>
    <row r="3163">
      <c r="O3163" s="23" t="n"/>
      <c r="R3163" s="24" t="n"/>
      <c r="S3163" s="24" t="n"/>
      <c r="Y3163" s="24" t="n"/>
    </row>
    <row r="3164">
      <c r="O3164" s="23" t="n"/>
      <c r="R3164" s="24" t="n"/>
      <c r="S3164" s="24" t="n"/>
      <c r="Y3164" s="24" t="n"/>
    </row>
    <row r="3165">
      <c r="O3165" s="23" t="n"/>
      <c r="R3165" s="24" t="n"/>
      <c r="S3165" s="24" t="n"/>
      <c r="Y3165" s="24" t="n"/>
    </row>
    <row r="3166">
      <c r="O3166" s="23" t="n"/>
      <c r="R3166" s="24" t="n"/>
      <c r="S3166" s="24" t="n"/>
      <c r="Y3166" s="24" t="n"/>
    </row>
    <row r="3167">
      <c r="O3167" s="23" t="n"/>
      <c r="R3167" s="24" t="n"/>
      <c r="S3167" s="24" t="n"/>
      <c r="Y3167" s="24" t="n"/>
    </row>
    <row r="3168">
      <c r="O3168" s="23" t="n"/>
      <c r="R3168" s="24" t="n"/>
      <c r="S3168" s="24" t="n"/>
      <c r="Y3168" s="24" t="n"/>
    </row>
    <row r="3169">
      <c r="O3169" s="23" t="n"/>
      <c r="R3169" s="24" t="n"/>
      <c r="S3169" s="24" t="n"/>
      <c r="Y3169" s="24" t="n"/>
    </row>
    <row r="3170">
      <c r="O3170" s="23" t="n"/>
      <c r="R3170" s="24" t="n"/>
      <c r="S3170" s="24" t="n"/>
      <c r="Y3170" s="24" t="n"/>
    </row>
    <row r="3171">
      <c r="O3171" s="23" t="n"/>
      <c r="R3171" s="24" t="n"/>
      <c r="S3171" s="24" t="n"/>
      <c r="Y3171" s="24" t="n"/>
    </row>
    <row r="3172">
      <c r="O3172" s="23" t="n"/>
      <c r="R3172" s="24" t="n"/>
      <c r="S3172" s="24" t="n"/>
      <c r="Y3172" s="24" t="n"/>
    </row>
    <row r="3173">
      <c r="O3173" s="23" t="n"/>
      <c r="R3173" s="24" t="n"/>
      <c r="S3173" s="24" t="n"/>
      <c r="Y3173" s="24" t="n"/>
    </row>
    <row r="3174">
      <c r="O3174" s="23" t="n"/>
      <c r="R3174" s="24" t="n"/>
      <c r="S3174" s="24" t="n"/>
      <c r="Y3174" s="24" t="n"/>
    </row>
    <row r="3175">
      <c r="O3175" s="23" t="n"/>
      <c r="R3175" s="24" t="n"/>
      <c r="S3175" s="24" t="n"/>
      <c r="Y3175" s="24" t="n"/>
    </row>
    <row r="3176">
      <c r="O3176" s="23" t="n"/>
      <c r="R3176" s="24" t="n"/>
      <c r="S3176" s="24" t="n"/>
      <c r="Y3176" s="24" t="n"/>
    </row>
    <row r="3177">
      <c r="O3177" s="23" t="n"/>
      <c r="R3177" s="24" t="n"/>
      <c r="S3177" s="24" t="n"/>
      <c r="Y3177" s="24" t="n"/>
    </row>
    <row r="3178">
      <c r="O3178" s="23" t="n"/>
      <c r="R3178" s="24" t="n"/>
      <c r="S3178" s="24" t="n"/>
      <c r="Y3178" s="24" t="n"/>
    </row>
    <row r="3179">
      <c r="O3179" s="23" t="n"/>
      <c r="R3179" s="24" t="n"/>
      <c r="S3179" s="24" t="n"/>
      <c r="Y3179" s="24" t="n"/>
    </row>
    <row r="3180">
      <c r="O3180" s="23" t="n"/>
      <c r="R3180" s="24" t="n"/>
      <c r="S3180" s="24" t="n"/>
      <c r="Y3180" s="24" t="n"/>
    </row>
    <row r="3181">
      <c r="O3181" s="23" t="n"/>
      <c r="R3181" s="24" t="n"/>
      <c r="S3181" s="24" t="n"/>
      <c r="Y3181" s="24" t="n"/>
    </row>
    <row r="3182">
      <c r="O3182" s="23" t="n"/>
      <c r="R3182" s="24" t="n"/>
      <c r="S3182" s="24" t="n"/>
      <c r="Y3182" s="24" t="n"/>
    </row>
    <row r="3183">
      <c r="O3183" s="23" t="n"/>
      <c r="R3183" s="24" t="n"/>
      <c r="S3183" s="24" t="n"/>
      <c r="Y3183" s="24" t="n"/>
    </row>
    <row r="3184">
      <c r="O3184" s="23" t="n"/>
      <c r="R3184" s="24" t="n"/>
      <c r="S3184" s="24" t="n"/>
      <c r="Y3184" s="24" t="n"/>
    </row>
    <row r="3185">
      <c r="O3185" s="23" t="n"/>
      <c r="R3185" s="24" t="n"/>
      <c r="S3185" s="24" t="n"/>
      <c r="Y3185" s="24" t="n"/>
    </row>
    <row r="3186">
      <c r="O3186" s="23" t="n"/>
      <c r="R3186" s="24" t="n"/>
      <c r="S3186" s="24" t="n"/>
      <c r="Y3186" s="24" t="n"/>
    </row>
    <row r="3187">
      <c r="O3187" s="23" t="n"/>
      <c r="R3187" s="24" t="n"/>
      <c r="S3187" s="24" t="n"/>
      <c r="Y3187" s="24" t="n"/>
    </row>
    <row r="3188">
      <c r="O3188" s="23" t="n"/>
      <c r="R3188" s="24" t="n"/>
      <c r="S3188" s="24" t="n"/>
      <c r="Y3188" s="24" t="n"/>
    </row>
    <row r="3189">
      <c r="O3189" s="23" t="n"/>
      <c r="R3189" s="24" t="n"/>
      <c r="S3189" s="24" t="n"/>
      <c r="Y3189" s="24" t="n"/>
    </row>
    <row r="3190">
      <c r="O3190" s="23" t="n"/>
      <c r="R3190" s="24" t="n"/>
      <c r="S3190" s="24" t="n"/>
      <c r="Y3190" s="24" t="n"/>
    </row>
    <row r="3191">
      <c r="O3191" s="23" t="n"/>
      <c r="R3191" s="24" t="n"/>
      <c r="S3191" s="24" t="n"/>
      <c r="Y3191" s="24" t="n"/>
    </row>
    <row r="3192">
      <c r="O3192" s="23" t="n"/>
      <c r="R3192" s="24" t="n"/>
      <c r="S3192" s="24" t="n"/>
      <c r="Y3192" s="24" t="n"/>
    </row>
    <row r="3193">
      <c r="O3193" s="23" t="n"/>
      <c r="R3193" s="24" t="n"/>
      <c r="S3193" s="24" t="n"/>
      <c r="Y3193" s="24" t="n"/>
    </row>
    <row r="3194">
      <c r="O3194" s="23" t="n"/>
      <c r="R3194" s="24" t="n"/>
      <c r="S3194" s="24" t="n"/>
      <c r="Y3194" s="24" t="n"/>
    </row>
    <row r="3195">
      <c r="O3195" s="23" t="n"/>
      <c r="R3195" s="24" t="n"/>
      <c r="S3195" s="24" t="n"/>
      <c r="Y3195" s="24" t="n"/>
    </row>
    <row r="3196">
      <c r="O3196" s="23" t="n"/>
      <c r="R3196" s="24" t="n"/>
      <c r="S3196" s="24" t="n"/>
      <c r="Y3196" s="24" t="n"/>
    </row>
    <row r="3197">
      <c r="O3197" s="23" t="n"/>
      <c r="R3197" s="24" t="n"/>
      <c r="S3197" s="24" t="n"/>
      <c r="Y3197" s="24" t="n"/>
    </row>
    <row r="3198">
      <c r="O3198" s="23" t="n"/>
      <c r="R3198" s="24" t="n"/>
      <c r="S3198" s="24" t="n"/>
      <c r="Y3198" s="24" t="n"/>
    </row>
    <row r="3199">
      <c r="O3199" s="23" t="n"/>
      <c r="R3199" s="24" t="n"/>
      <c r="S3199" s="24" t="n"/>
      <c r="Y3199" s="24" t="n"/>
    </row>
    <row r="3200">
      <c r="O3200" s="23" t="n"/>
      <c r="R3200" s="24" t="n"/>
      <c r="S3200" s="24" t="n"/>
      <c r="Y3200" s="24" t="n"/>
    </row>
    <row r="3201">
      <c r="O3201" s="23" t="n"/>
      <c r="R3201" s="24" t="n"/>
      <c r="S3201" s="24" t="n"/>
      <c r="Y3201" s="24" t="n"/>
    </row>
    <row r="3202">
      <c r="O3202" s="23" t="n"/>
      <c r="R3202" s="24" t="n"/>
      <c r="S3202" s="24" t="n"/>
      <c r="Y3202" s="24" t="n"/>
    </row>
    <row r="3203">
      <c r="O3203" s="23" t="n"/>
      <c r="R3203" s="24" t="n"/>
      <c r="S3203" s="24" t="n"/>
      <c r="Y3203" s="24" t="n"/>
    </row>
    <row r="3204">
      <c r="O3204" s="23" t="n"/>
      <c r="R3204" s="24" t="n"/>
      <c r="S3204" s="24" t="n"/>
      <c r="Y3204" s="24" t="n"/>
    </row>
    <row r="3205">
      <c r="O3205" s="23" t="n"/>
      <c r="R3205" s="24" t="n"/>
      <c r="S3205" s="24" t="n"/>
      <c r="Y3205" s="24" t="n"/>
    </row>
    <row r="3206">
      <c r="O3206" s="23" t="n"/>
      <c r="R3206" s="24" t="n"/>
      <c r="S3206" s="24" t="n"/>
      <c r="Y3206" s="24" t="n"/>
    </row>
    <row r="3207">
      <c r="O3207" s="23" t="n"/>
      <c r="R3207" s="24" t="n"/>
      <c r="S3207" s="24" t="n"/>
      <c r="Y3207" s="24" t="n"/>
    </row>
    <row r="3208">
      <c r="O3208" s="23" t="n"/>
      <c r="R3208" s="24" t="n"/>
      <c r="S3208" s="24" t="n"/>
      <c r="Y3208" s="24" t="n"/>
    </row>
    <row r="3209">
      <c r="O3209" s="23" t="n"/>
      <c r="R3209" s="24" t="n"/>
      <c r="S3209" s="24" t="n"/>
      <c r="Y3209" s="24" t="n"/>
    </row>
    <row r="3210">
      <c r="O3210" s="23" t="n"/>
      <c r="R3210" s="24" t="n"/>
      <c r="S3210" s="24" t="n"/>
      <c r="Y3210" s="24" t="n"/>
    </row>
    <row r="3211">
      <c r="O3211" s="23" t="n"/>
      <c r="R3211" s="24" t="n"/>
      <c r="S3211" s="24" t="n"/>
      <c r="Y3211" s="24" t="n"/>
    </row>
    <row r="3212">
      <c r="O3212" s="23" t="n"/>
      <c r="R3212" s="24" t="n"/>
      <c r="S3212" s="24" t="n"/>
      <c r="Y3212" s="24" t="n"/>
    </row>
    <row r="3213">
      <c r="O3213" s="23" t="n"/>
      <c r="R3213" s="24" t="n"/>
      <c r="S3213" s="24" t="n"/>
      <c r="Y3213" s="24" t="n"/>
    </row>
    <row r="3214">
      <c r="O3214" s="23" t="n"/>
      <c r="R3214" s="24" t="n"/>
      <c r="S3214" s="24" t="n"/>
      <c r="Y3214" s="24" t="n"/>
    </row>
    <row r="3215">
      <c r="O3215" s="23" t="n"/>
      <c r="R3215" s="24" t="n"/>
      <c r="S3215" s="24" t="n"/>
      <c r="Y3215" s="24" t="n"/>
    </row>
    <row r="3216">
      <c r="O3216" s="23" t="n"/>
      <c r="R3216" s="24" t="n"/>
      <c r="S3216" s="24" t="n"/>
      <c r="Y3216" s="24" t="n"/>
    </row>
    <row r="3217">
      <c r="O3217" s="23" t="n"/>
      <c r="R3217" s="24" t="n"/>
      <c r="S3217" s="24" t="n"/>
      <c r="Y3217" s="24" t="n"/>
    </row>
    <row r="3218">
      <c r="O3218" s="23" t="n"/>
      <c r="R3218" s="24" t="n"/>
      <c r="S3218" s="24" t="n"/>
      <c r="Y3218" s="24" t="n"/>
    </row>
    <row r="3219">
      <c r="O3219" s="23" t="n"/>
      <c r="R3219" s="24" t="n"/>
      <c r="S3219" s="24" t="n"/>
      <c r="Y3219" s="24" t="n"/>
    </row>
    <row r="3220">
      <c r="O3220" s="23" t="n"/>
      <c r="R3220" s="24" t="n"/>
      <c r="S3220" s="24" t="n"/>
      <c r="Y3220" s="24" t="n"/>
    </row>
    <row r="3221">
      <c r="O3221" s="23" t="n"/>
      <c r="R3221" s="24" t="n"/>
      <c r="S3221" s="24" t="n"/>
      <c r="Y3221" s="24" t="n"/>
    </row>
    <row r="3222">
      <c r="O3222" s="23" t="n"/>
      <c r="R3222" s="24" t="n"/>
      <c r="S3222" s="24" t="n"/>
      <c r="Y3222" s="24" t="n"/>
    </row>
    <row r="3223">
      <c r="O3223" s="23" t="n"/>
      <c r="R3223" s="24" t="n"/>
      <c r="S3223" s="24" t="n"/>
      <c r="Y3223" s="24" t="n"/>
    </row>
    <row r="3224">
      <c r="O3224" s="23" t="n"/>
      <c r="R3224" s="24" t="n"/>
      <c r="S3224" s="24" t="n"/>
      <c r="Y3224" s="24" t="n"/>
    </row>
    <row r="3225">
      <c r="O3225" s="23" t="n"/>
      <c r="R3225" s="24" t="n"/>
      <c r="S3225" s="24" t="n"/>
      <c r="Y3225" s="24" t="n"/>
    </row>
    <row r="3226">
      <c r="O3226" s="23" t="n"/>
      <c r="R3226" s="24" t="n"/>
      <c r="S3226" s="24" t="n"/>
      <c r="Y3226" s="24" t="n"/>
    </row>
    <row r="3227">
      <c r="O3227" s="23" t="n"/>
      <c r="R3227" s="24" t="n"/>
      <c r="S3227" s="24" t="n"/>
      <c r="Y3227" s="24" t="n"/>
    </row>
    <row r="3228">
      <c r="O3228" s="23" t="n"/>
      <c r="R3228" s="24" t="n"/>
      <c r="S3228" s="24" t="n"/>
      <c r="Y3228" s="24" t="n"/>
    </row>
    <row r="3229">
      <c r="O3229" s="23" t="n"/>
      <c r="R3229" s="24" t="n"/>
      <c r="S3229" s="24" t="n"/>
      <c r="Y3229" s="24" t="n"/>
    </row>
    <row r="3230">
      <c r="O3230" s="23" t="n"/>
      <c r="R3230" s="24" t="n"/>
      <c r="S3230" s="24" t="n"/>
      <c r="Y3230" s="24" t="n"/>
    </row>
    <row r="3231">
      <c r="O3231" s="23" t="n"/>
      <c r="R3231" s="24" t="n"/>
      <c r="S3231" s="24" t="n"/>
      <c r="Y3231" s="24" t="n"/>
    </row>
    <row r="3232">
      <c r="O3232" s="23" t="n"/>
      <c r="R3232" s="24" t="n"/>
      <c r="S3232" s="24" t="n"/>
      <c r="Y3232" s="24" t="n"/>
    </row>
    <row r="3233">
      <c r="O3233" s="23" t="n"/>
      <c r="R3233" s="24" t="n"/>
      <c r="S3233" s="24" t="n"/>
      <c r="Y3233" s="24" t="n"/>
    </row>
    <row r="3234">
      <c r="O3234" s="23" t="n"/>
      <c r="R3234" s="24" t="n"/>
      <c r="S3234" s="24" t="n"/>
      <c r="Y3234" s="24" t="n"/>
    </row>
    <row r="3235">
      <c r="O3235" s="23" t="n"/>
      <c r="R3235" s="24" t="n"/>
      <c r="S3235" s="24" t="n"/>
      <c r="Y3235" s="24" t="n"/>
    </row>
    <row r="3236">
      <c r="O3236" s="23" t="n"/>
      <c r="R3236" s="24" t="n"/>
      <c r="S3236" s="24" t="n"/>
      <c r="Y3236" s="24" t="n"/>
    </row>
    <row r="3237">
      <c r="O3237" s="23" t="n"/>
      <c r="R3237" s="24" t="n"/>
      <c r="S3237" s="24" t="n"/>
      <c r="Y3237" s="24" t="n"/>
    </row>
    <row r="3238">
      <c r="O3238" s="23" t="n"/>
      <c r="R3238" s="24" t="n"/>
      <c r="S3238" s="24" t="n"/>
      <c r="Y3238" s="24" t="n"/>
    </row>
    <row r="3239">
      <c r="O3239" s="23" t="n"/>
      <c r="R3239" s="24" t="n"/>
      <c r="S3239" s="24" t="n"/>
      <c r="Y3239" s="24" t="n"/>
    </row>
    <row r="3240">
      <c r="O3240" s="23" t="n"/>
      <c r="R3240" s="24" t="n"/>
      <c r="S3240" s="24" t="n"/>
      <c r="Y3240" s="24" t="n"/>
    </row>
    <row r="3241">
      <c r="O3241" s="23" t="n"/>
      <c r="R3241" s="24" t="n"/>
      <c r="S3241" s="24" t="n"/>
      <c r="Y3241" s="24" t="n"/>
    </row>
    <row r="3242">
      <c r="O3242" s="23" t="n"/>
      <c r="R3242" s="24" t="n"/>
      <c r="S3242" s="24" t="n"/>
      <c r="Y3242" s="24" t="n"/>
    </row>
    <row r="3243">
      <c r="O3243" s="23" t="n"/>
      <c r="R3243" s="24" t="n"/>
      <c r="S3243" s="24" t="n"/>
      <c r="Y3243" s="24" t="n"/>
    </row>
    <row r="3244">
      <c r="O3244" s="23" t="n"/>
      <c r="R3244" s="24" t="n"/>
      <c r="S3244" s="24" t="n"/>
      <c r="Y3244" s="24" t="n"/>
    </row>
    <row r="3245">
      <c r="O3245" s="23" t="n"/>
      <c r="R3245" s="24" t="n"/>
      <c r="S3245" s="24" t="n"/>
      <c r="Y3245" s="24" t="n"/>
    </row>
    <row r="3246">
      <c r="O3246" s="23" t="n"/>
      <c r="R3246" s="24" t="n"/>
      <c r="S3246" s="24" t="n"/>
      <c r="Y3246" s="24" t="n"/>
    </row>
    <row r="3247">
      <c r="O3247" s="23" t="n"/>
      <c r="R3247" s="24" t="n"/>
      <c r="S3247" s="24" t="n"/>
      <c r="Y3247" s="24" t="n"/>
    </row>
    <row r="3248">
      <c r="O3248" s="23" t="n"/>
      <c r="R3248" s="24" t="n"/>
      <c r="S3248" s="24" t="n"/>
      <c r="Y3248" s="24" t="n"/>
    </row>
    <row r="3249">
      <c r="O3249" s="23" t="n"/>
      <c r="R3249" s="24" t="n"/>
      <c r="S3249" s="24" t="n"/>
      <c r="Y3249" s="24" t="n"/>
    </row>
    <row r="3250">
      <c r="O3250" s="23" t="n"/>
      <c r="R3250" s="24" t="n"/>
      <c r="S3250" s="24" t="n"/>
      <c r="Y3250" s="24" t="n"/>
    </row>
    <row r="3251">
      <c r="O3251" s="23" t="n"/>
      <c r="R3251" s="24" t="n"/>
      <c r="S3251" s="24" t="n"/>
      <c r="Y3251" s="24" t="n"/>
    </row>
    <row r="3252">
      <c r="O3252" s="23" t="n"/>
      <c r="R3252" s="24" t="n"/>
      <c r="S3252" s="24" t="n"/>
      <c r="Y3252" s="24" t="n"/>
    </row>
    <row r="3253">
      <c r="O3253" s="23" t="n"/>
      <c r="R3253" s="24" t="n"/>
      <c r="S3253" s="24" t="n"/>
      <c r="Y3253" s="24" t="n"/>
    </row>
    <row r="3254">
      <c r="O3254" s="23" t="n"/>
      <c r="R3254" s="24" t="n"/>
      <c r="S3254" s="24" t="n"/>
      <c r="Y3254" s="24" t="n"/>
    </row>
    <row r="3255">
      <c r="O3255" s="23" t="n"/>
      <c r="R3255" s="24" t="n"/>
      <c r="S3255" s="24" t="n"/>
      <c r="Y3255" s="24" t="n"/>
    </row>
    <row r="3256">
      <c r="O3256" s="23" t="n"/>
      <c r="R3256" s="24" t="n"/>
      <c r="S3256" s="24" t="n"/>
      <c r="Y3256" s="24" t="n"/>
    </row>
    <row r="3257">
      <c r="O3257" s="23" t="n"/>
      <c r="R3257" s="24" t="n"/>
      <c r="S3257" s="24" t="n"/>
      <c r="Y3257" s="24" t="n"/>
    </row>
    <row r="3258">
      <c r="O3258" s="23" t="n"/>
      <c r="R3258" s="24" t="n"/>
      <c r="S3258" s="24" t="n"/>
      <c r="Y3258" s="24" t="n"/>
    </row>
    <row r="3259">
      <c r="O3259" s="23" t="n"/>
      <c r="R3259" s="24" t="n"/>
      <c r="S3259" s="24" t="n"/>
      <c r="Y3259" s="24" t="n"/>
    </row>
    <row r="3260">
      <c r="O3260" s="23" t="n"/>
      <c r="R3260" s="24" t="n"/>
      <c r="S3260" s="24" t="n"/>
      <c r="Y3260" s="24" t="n"/>
    </row>
    <row r="3261">
      <c r="O3261" s="23" t="n"/>
      <c r="R3261" s="24" t="n"/>
      <c r="S3261" s="24" t="n"/>
      <c r="Y3261" s="24" t="n"/>
    </row>
    <row r="3262">
      <c r="O3262" s="23" t="n"/>
      <c r="R3262" s="24" t="n"/>
      <c r="S3262" s="24" t="n"/>
      <c r="Y3262" s="24" t="n"/>
    </row>
    <row r="3263">
      <c r="O3263" s="23" t="n"/>
      <c r="R3263" s="24" t="n"/>
      <c r="S3263" s="24" t="n"/>
      <c r="Y3263" s="24" t="n"/>
    </row>
    <row r="3264">
      <c r="O3264" s="23" t="n"/>
      <c r="R3264" s="24" t="n"/>
      <c r="S3264" s="24" t="n"/>
      <c r="Y3264" s="24" t="n"/>
    </row>
    <row r="3265">
      <c r="O3265" s="23" t="n"/>
      <c r="R3265" s="24" t="n"/>
      <c r="S3265" s="24" t="n"/>
      <c r="Y3265" s="24" t="n"/>
    </row>
    <row r="3266">
      <c r="O3266" s="23" t="n"/>
      <c r="R3266" s="24" t="n"/>
      <c r="S3266" s="24" t="n"/>
      <c r="Y3266" s="24" t="n"/>
    </row>
    <row r="3267">
      <c r="O3267" s="23" t="n"/>
      <c r="R3267" s="24" t="n"/>
      <c r="S3267" s="24" t="n"/>
      <c r="Y3267" s="24" t="n"/>
    </row>
    <row r="3268">
      <c r="O3268" s="23" t="n"/>
      <c r="R3268" s="24" t="n"/>
      <c r="S3268" s="24" t="n"/>
      <c r="Y3268" s="24" t="n"/>
    </row>
    <row r="3269">
      <c r="O3269" s="23" t="n"/>
      <c r="R3269" s="24" t="n"/>
      <c r="S3269" s="24" t="n"/>
      <c r="Y3269" s="24" t="n"/>
    </row>
    <row r="3270">
      <c r="O3270" s="23" t="n"/>
      <c r="R3270" s="24" t="n"/>
      <c r="S3270" s="24" t="n"/>
      <c r="Y3270" s="24" t="n"/>
    </row>
    <row r="3271">
      <c r="O3271" s="23" t="n"/>
      <c r="R3271" s="24" t="n"/>
      <c r="S3271" s="24" t="n"/>
      <c r="Y3271" s="24" t="n"/>
    </row>
    <row r="3272">
      <c r="O3272" s="23" t="n"/>
      <c r="R3272" s="24" t="n"/>
      <c r="S3272" s="24" t="n"/>
      <c r="Y3272" s="24" t="n"/>
    </row>
    <row r="3273">
      <c r="O3273" s="23" t="n"/>
      <c r="R3273" s="24" t="n"/>
      <c r="S3273" s="24" t="n"/>
      <c r="Y3273" s="24" t="n"/>
    </row>
    <row r="3274">
      <c r="O3274" s="23" t="n"/>
      <c r="R3274" s="24" t="n"/>
      <c r="S3274" s="24" t="n"/>
      <c r="Y3274" s="24" t="n"/>
    </row>
    <row r="3275">
      <c r="O3275" s="23" t="n"/>
      <c r="R3275" s="24" t="n"/>
      <c r="S3275" s="24" t="n"/>
      <c r="Y3275" s="24" t="n"/>
    </row>
    <row r="3276">
      <c r="O3276" s="23" t="n"/>
      <c r="R3276" s="24" t="n"/>
      <c r="S3276" s="24" t="n"/>
      <c r="Y3276" s="24" t="n"/>
    </row>
    <row r="3277">
      <c r="O3277" s="23" t="n"/>
      <c r="R3277" s="24" t="n"/>
      <c r="S3277" s="24" t="n"/>
      <c r="Y3277" s="24" t="n"/>
    </row>
    <row r="3278">
      <c r="O3278" s="23" t="n"/>
      <c r="R3278" s="24" t="n"/>
      <c r="S3278" s="24" t="n"/>
      <c r="Y3278" s="24" t="n"/>
    </row>
    <row r="3279">
      <c r="O3279" s="23" t="n"/>
      <c r="R3279" s="24" t="n"/>
      <c r="S3279" s="24" t="n"/>
      <c r="Y3279" s="24" t="n"/>
    </row>
    <row r="3280">
      <c r="O3280" s="23" t="n"/>
      <c r="R3280" s="24" t="n"/>
      <c r="S3280" s="24" t="n"/>
      <c r="Y3280" s="24" t="n"/>
    </row>
    <row r="3281">
      <c r="O3281" s="23" t="n"/>
      <c r="R3281" s="24" t="n"/>
      <c r="S3281" s="24" t="n"/>
      <c r="Y3281" s="24" t="n"/>
    </row>
    <row r="3282">
      <c r="O3282" s="23" t="n"/>
      <c r="R3282" s="24" t="n"/>
      <c r="S3282" s="24" t="n"/>
      <c r="Y3282" s="24" t="n"/>
    </row>
    <row r="3283">
      <c r="O3283" s="23" t="n"/>
      <c r="R3283" s="24" t="n"/>
      <c r="S3283" s="24" t="n"/>
      <c r="Y3283" s="24" t="n"/>
    </row>
    <row r="3284">
      <c r="O3284" s="23" t="n"/>
      <c r="R3284" s="24" t="n"/>
      <c r="S3284" s="24" t="n"/>
      <c r="Y3284" s="24" t="n"/>
    </row>
    <row r="3285">
      <c r="O3285" s="23" t="n"/>
      <c r="R3285" s="24" t="n"/>
      <c r="S3285" s="24" t="n"/>
      <c r="Y3285" s="24" t="n"/>
    </row>
    <row r="3286">
      <c r="O3286" s="23" t="n"/>
      <c r="R3286" s="24" t="n"/>
      <c r="S3286" s="24" t="n"/>
      <c r="Y3286" s="24" t="n"/>
    </row>
    <row r="3287">
      <c r="O3287" s="23" t="n"/>
      <c r="R3287" s="24" t="n"/>
      <c r="S3287" s="24" t="n"/>
      <c r="Y3287" s="24" t="n"/>
    </row>
    <row r="3288">
      <c r="O3288" s="23" t="n"/>
      <c r="R3288" s="24" t="n"/>
      <c r="S3288" s="24" t="n"/>
      <c r="Y3288" s="24" t="n"/>
    </row>
    <row r="3289">
      <c r="O3289" s="23" t="n"/>
      <c r="R3289" s="24" t="n"/>
      <c r="S3289" s="24" t="n"/>
      <c r="Y3289" s="24" t="n"/>
    </row>
    <row r="3290">
      <c r="O3290" s="23" t="n"/>
      <c r="R3290" s="24" t="n"/>
      <c r="S3290" s="24" t="n"/>
      <c r="Y3290" s="24" t="n"/>
    </row>
    <row r="3291">
      <c r="O3291" s="23" t="n"/>
      <c r="R3291" s="24" t="n"/>
      <c r="S3291" s="24" t="n"/>
      <c r="Y3291" s="24" t="n"/>
    </row>
    <row r="3292">
      <c r="O3292" s="23" t="n"/>
      <c r="R3292" s="24" t="n"/>
      <c r="S3292" s="24" t="n"/>
      <c r="Y3292" s="24" t="n"/>
    </row>
    <row r="3293">
      <c r="O3293" s="23" t="n"/>
      <c r="R3293" s="24" t="n"/>
      <c r="S3293" s="24" t="n"/>
      <c r="Y3293" s="24" t="n"/>
    </row>
    <row r="3294">
      <c r="O3294" s="23" t="n"/>
      <c r="R3294" s="24" t="n"/>
      <c r="S3294" s="24" t="n"/>
      <c r="Y3294" s="24" t="n"/>
    </row>
    <row r="3295">
      <c r="O3295" s="23" t="n"/>
      <c r="R3295" s="24" t="n"/>
      <c r="S3295" s="24" t="n"/>
      <c r="Y3295" s="24" t="n"/>
    </row>
    <row r="3296">
      <c r="O3296" s="23" t="n"/>
      <c r="R3296" s="24" t="n"/>
      <c r="S3296" s="24" t="n"/>
      <c r="Y3296" s="24" t="n"/>
    </row>
    <row r="3297">
      <c r="O3297" s="23" t="n"/>
      <c r="R3297" s="24" t="n"/>
      <c r="S3297" s="24" t="n"/>
      <c r="Y3297" s="24" t="n"/>
    </row>
    <row r="3298">
      <c r="O3298" s="23" t="n"/>
      <c r="R3298" s="24" t="n"/>
      <c r="S3298" s="24" t="n"/>
      <c r="Y3298" s="24" t="n"/>
    </row>
    <row r="3299">
      <c r="O3299" s="23" t="n"/>
      <c r="R3299" s="24" t="n"/>
      <c r="S3299" s="24" t="n"/>
      <c r="Y3299" s="24" t="n"/>
    </row>
    <row r="3300">
      <c r="O3300" s="23" t="n"/>
      <c r="R3300" s="24" t="n"/>
      <c r="S3300" s="24" t="n"/>
      <c r="Y3300" s="24" t="n"/>
    </row>
    <row r="3301">
      <c r="O3301" s="23" t="n"/>
      <c r="R3301" s="24" t="n"/>
      <c r="S3301" s="24" t="n"/>
      <c r="Y3301" s="24" t="n"/>
    </row>
    <row r="3302">
      <c r="O3302" s="23" t="n"/>
      <c r="R3302" s="24" t="n"/>
      <c r="S3302" s="24" t="n"/>
      <c r="Y3302" s="24" t="n"/>
    </row>
    <row r="3303">
      <c r="O3303" s="23" t="n"/>
      <c r="R3303" s="24" t="n"/>
      <c r="S3303" s="24" t="n"/>
      <c r="Y3303" s="24" t="n"/>
    </row>
    <row r="3304">
      <c r="O3304" s="23" t="n"/>
      <c r="R3304" s="24" t="n"/>
      <c r="S3304" s="24" t="n"/>
      <c r="Y3304" s="24" t="n"/>
    </row>
    <row r="3305">
      <c r="O3305" s="23" t="n"/>
      <c r="R3305" s="24" t="n"/>
      <c r="S3305" s="24" t="n"/>
      <c r="Y3305" s="24" t="n"/>
    </row>
    <row r="3306">
      <c r="O3306" s="23" t="n"/>
      <c r="R3306" s="24" t="n"/>
      <c r="S3306" s="24" t="n"/>
      <c r="Y3306" s="24" t="n"/>
    </row>
    <row r="3307">
      <c r="O3307" s="23" t="n"/>
      <c r="R3307" s="24" t="n"/>
      <c r="S3307" s="24" t="n"/>
      <c r="Y3307" s="24" t="n"/>
    </row>
    <row r="3308">
      <c r="O3308" s="23" t="n"/>
      <c r="R3308" s="24" t="n"/>
      <c r="S3308" s="24" t="n"/>
      <c r="Y3308" s="24" t="n"/>
    </row>
    <row r="3309">
      <c r="O3309" s="23" t="n"/>
      <c r="R3309" s="24" t="n"/>
      <c r="S3309" s="24" t="n"/>
      <c r="Y3309" s="24" t="n"/>
    </row>
    <row r="3310">
      <c r="O3310" s="23" t="n"/>
      <c r="R3310" s="24" t="n"/>
      <c r="S3310" s="24" t="n"/>
      <c r="Y3310" s="24" t="n"/>
    </row>
    <row r="3311">
      <c r="O3311" s="23" t="n"/>
      <c r="R3311" s="24" t="n"/>
      <c r="S3311" s="24" t="n"/>
      <c r="Y3311" s="24" t="n"/>
    </row>
    <row r="3312">
      <c r="O3312" s="23" t="n"/>
      <c r="R3312" s="24" t="n"/>
      <c r="S3312" s="24" t="n"/>
      <c r="Y3312" s="24" t="n"/>
    </row>
    <row r="3313">
      <c r="O3313" s="23" t="n"/>
      <c r="R3313" s="24" t="n"/>
      <c r="S3313" s="24" t="n"/>
      <c r="Y3313" s="24" t="n"/>
    </row>
    <row r="3314">
      <c r="O3314" s="23" t="n"/>
      <c r="R3314" s="24" t="n"/>
      <c r="S3314" s="24" t="n"/>
      <c r="Y3314" s="24" t="n"/>
    </row>
    <row r="3315">
      <c r="O3315" s="23" t="n"/>
      <c r="R3315" s="24" t="n"/>
      <c r="S3315" s="24" t="n"/>
      <c r="Y3315" s="24" t="n"/>
    </row>
    <row r="3316">
      <c r="O3316" s="23" t="n"/>
      <c r="R3316" s="24" t="n"/>
      <c r="S3316" s="24" t="n"/>
      <c r="Y3316" s="24" t="n"/>
    </row>
    <row r="3317">
      <c r="O3317" s="23" t="n"/>
      <c r="R3317" s="24" t="n"/>
      <c r="S3317" s="24" t="n"/>
      <c r="Y3317" s="24" t="n"/>
    </row>
    <row r="3318">
      <c r="O3318" s="23" t="n"/>
      <c r="R3318" s="24" t="n"/>
      <c r="S3318" s="24" t="n"/>
      <c r="Y3318" s="24" t="n"/>
    </row>
    <row r="3319">
      <c r="O3319" s="23" t="n"/>
      <c r="R3319" s="24" t="n"/>
      <c r="S3319" s="24" t="n"/>
      <c r="Y3319" s="24" t="n"/>
    </row>
    <row r="3320">
      <c r="O3320" s="23" t="n"/>
      <c r="R3320" s="24" t="n"/>
      <c r="S3320" s="24" t="n"/>
      <c r="Y3320" s="24" t="n"/>
    </row>
    <row r="3321">
      <c r="O3321" s="23" t="n"/>
      <c r="R3321" s="24" t="n"/>
      <c r="S3321" s="24" t="n"/>
      <c r="Y3321" s="24" t="n"/>
    </row>
    <row r="3322">
      <c r="O3322" s="23" t="n"/>
      <c r="R3322" s="24" t="n"/>
      <c r="S3322" s="24" t="n"/>
      <c r="Y3322" s="24" t="n"/>
    </row>
    <row r="3323">
      <c r="O3323" s="23" t="n"/>
      <c r="R3323" s="24" t="n"/>
      <c r="S3323" s="24" t="n"/>
      <c r="Y3323" s="24" t="n"/>
    </row>
    <row r="3324">
      <c r="O3324" s="23" t="n"/>
      <c r="R3324" s="24" t="n"/>
      <c r="S3324" s="24" t="n"/>
      <c r="Y3324" s="24" t="n"/>
    </row>
    <row r="3325">
      <c r="O3325" s="23" t="n"/>
      <c r="R3325" s="24" t="n"/>
      <c r="S3325" s="24" t="n"/>
      <c r="Y3325" s="24" t="n"/>
    </row>
    <row r="3326">
      <c r="O3326" s="23" t="n"/>
      <c r="R3326" s="24" t="n"/>
      <c r="S3326" s="24" t="n"/>
      <c r="Y3326" s="24" t="n"/>
    </row>
    <row r="3327">
      <c r="O3327" s="23" t="n"/>
      <c r="R3327" s="24" t="n"/>
      <c r="S3327" s="24" t="n"/>
      <c r="Y3327" s="24" t="n"/>
    </row>
    <row r="3328">
      <c r="O3328" s="23" t="n"/>
      <c r="R3328" s="24" t="n"/>
      <c r="S3328" s="24" t="n"/>
      <c r="Y3328" s="24" t="n"/>
    </row>
    <row r="3329">
      <c r="O3329" s="23" t="n"/>
      <c r="R3329" s="24" t="n"/>
      <c r="S3329" s="24" t="n"/>
      <c r="Y3329" s="24" t="n"/>
    </row>
    <row r="3330">
      <c r="O3330" s="23" t="n"/>
      <c r="R3330" s="24" t="n"/>
      <c r="S3330" s="24" t="n"/>
      <c r="Y3330" s="24" t="n"/>
    </row>
    <row r="3331">
      <c r="O3331" s="23" t="n"/>
      <c r="R3331" s="24" t="n"/>
      <c r="S3331" s="24" t="n"/>
      <c r="Y3331" s="24" t="n"/>
    </row>
    <row r="3332">
      <c r="O3332" s="23" t="n"/>
      <c r="R3332" s="24" t="n"/>
      <c r="S3332" s="24" t="n"/>
      <c r="Y3332" s="24" t="n"/>
    </row>
    <row r="3333">
      <c r="O3333" s="23" t="n"/>
      <c r="R3333" s="24" t="n"/>
      <c r="S3333" s="24" t="n"/>
      <c r="Y3333" s="24" t="n"/>
    </row>
    <row r="3334">
      <c r="O3334" s="23" t="n"/>
      <c r="R3334" s="24" t="n"/>
      <c r="S3334" s="24" t="n"/>
      <c r="Y3334" s="24" t="n"/>
    </row>
    <row r="3335">
      <c r="O3335" s="23" t="n"/>
      <c r="R3335" s="24" t="n"/>
      <c r="S3335" s="24" t="n"/>
      <c r="Y3335" s="24" t="n"/>
    </row>
    <row r="3336">
      <c r="O3336" s="23" t="n"/>
      <c r="R3336" s="24" t="n"/>
      <c r="S3336" s="24" t="n"/>
      <c r="Y3336" s="24" t="n"/>
    </row>
    <row r="3337">
      <c r="O3337" s="23" t="n"/>
      <c r="R3337" s="24" t="n"/>
      <c r="S3337" s="24" t="n"/>
      <c r="Y3337" s="24" t="n"/>
    </row>
    <row r="3338">
      <c r="O3338" s="23" t="n"/>
      <c r="R3338" s="24" t="n"/>
      <c r="S3338" s="24" t="n"/>
      <c r="Y3338" s="24" t="n"/>
    </row>
    <row r="3339">
      <c r="O3339" s="23" t="n"/>
      <c r="R3339" s="24" t="n"/>
      <c r="S3339" s="24" t="n"/>
      <c r="Y3339" s="24" t="n"/>
    </row>
    <row r="3340">
      <c r="O3340" s="23" t="n"/>
      <c r="R3340" s="24" t="n"/>
      <c r="S3340" s="24" t="n"/>
      <c r="Y3340" s="24" t="n"/>
    </row>
    <row r="3341">
      <c r="O3341" s="23" t="n"/>
      <c r="R3341" s="24" t="n"/>
      <c r="S3341" s="24" t="n"/>
      <c r="Y3341" s="24" t="n"/>
    </row>
    <row r="3342">
      <c r="O3342" s="23" t="n"/>
      <c r="R3342" s="24" t="n"/>
      <c r="S3342" s="24" t="n"/>
      <c r="Y3342" s="24" t="n"/>
    </row>
    <row r="3343">
      <c r="O3343" s="23" t="n"/>
      <c r="R3343" s="24" t="n"/>
      <c r="S3343" s="24" t="n"/>
      <c r="Y3343" s="24" t="n"/>
    </row>
    <row r="3344">
      <c r="O3344" s="23" t="n"/>
      <c r="R3344" s="24" t="n"/>
      <c r="S3344" s="24" t="n"/>
      <c r="Y3344" s="24" t="n"/>
    </row>
    <row r="3345">
      <c r="O3345" s="23" t="n"/>
      <c r="R3345" s="24" t="n"/>
      <c r="S3345" s="24" t="n"/>
      <c r="Y3345" s="24" t="n"/>
    </row>
    <row r="3346">
      <c r="O3346" s="23" t="n"/>
      <c r="R3346" s="24" t="n"/>
      <c r="S3346" s="24" t="n"/>
      <c r="Y3346" s="24" t="n"/>
    </row>
    <row r="3347">
      <c r="O3347" s="23" t="n"/>
      <c r="R3347" s="24" t="n"/>
      <c r="S3347" s="24" t="n"/>
      <c r="Y3347" s="24" t="n"/>
    </row>
    <row r="3348">
      <c r="O3348" s="23" t="n"/>
      <c r="R3348" s="24" t="n"/>
      <c r="S3348" s="24" t="n"/>
      <c r="Y3348" s="24" t="n"/>
    </row>
    <row r="3349">
      <c r="O3349" s="23" t="n"/>
      <c r="R3349" s="24" t="n"/>
      <c r="S3349" s="24" t="n"/>
      <c r="Y3349" s="24" t="n"/>
    </row>
    <row r="3350">
      <c r="O3350" s="23" t="n"/>
      <c r="R3350" s="24" t="n"/>
      <c r="S3350" s="24" t="n"/>
      <c r="Y3350" s="24" t="n"/>
    </row>
    <row r="3351">
      <c r="O3351" s="23" t="n"/>
      <c r="R3351" s="24" t="n"/>
      <c r="S3351" s="24" t="n"/>
      <c r="Y3351" s="24" t="n"/>
    </row>
    <row r="3352">
      <c r="O3352" s="23" t="n"/>
      <c r="R3352" s="24" t="n"/>
      <c r="S3352" s="24" t="n"/>
      <c r="Y3352" s="24" t="n"/>
    </row>
    <row r="3353">
      <c r="O3353" s="23" t="n"/>
      <c r="R3353" s="24" t="n"/>
      <c r="S3353" s="24" t="n"/>
      <c r="Y3353" s="24" t="n"/>
    </row>
    <row r="3354">
      <c r="O3354" s="23" t="n"/>
      <c r="R3354" s="24" t="n"/>
      <c r="S3354" s="24" t="n"/>
      <c r="Y3354" s="24" t="n"/>
    </row>
    <row r="3355">
      <c r="O3355" s="23" t="n"/>
      <c r="R3355" s="24" t="n"/>
      <c r="S3355" s="24" t="n"/>
      <c r="Y3355" s="24" t="n"/>
    </row>
    <row r="3356">
      <c r="O3356" s="23" t="n"/>
      <c r="R3356" s="24" t="n"/>
      <c r="S3356" s="24" t="n"/>
      <c r="Y3356" s="24" t="n"/>
    </row>
    <row r="3357">
      <c r="O3357" s="23" t="n"/>
      <c r="R3357" s="24" t="n"/>
      <c r="S3357" s="24" t="n"/>
      <c r="Y3357" s="24" t="n"/>
    </row>
    <row r="3358">
      <c r="O3358" s="23" t="n"/>
      <c r="R3358" s="24" t="n"/>
      <c r="S3358" s="24" t="n"/>
      <c r="Y3358" s="24" t="n"/>
    </row>
    <row r="3359">
      <c r="O3359" s="23" t="n"/>
      <c r="R3359" s="24" t="n"/>
      <c r="S3359" s="24" t="n"/>
      <c r="Y3359" s="24" t="n"/>
    </row>
    <row r="3360">
      <c r="O3360" s="23" t="n"/>
      <c r="R3360" s="24" t="n"/>
      <c r="S3360" s="24" t="n"/>
      <c r="Y3360" s="24" t="n"/>
    </row>
    <row r="3361">
      <c r="O3361" s="23" t="n"/>
      <c r="R3361" s="24" t="n"/>
      <c r="S3361" s="24" t="n"/>
      <c r="Y3361" s="24" t="n"/>
    </row>
    <row r="3362">
      <c r="O3362" s="23" t="n"/>
      <c r="R3362" s="24" t="n"/>
      <c r="S3362" s="24" t="n"/>
      <c r="Y3362" s="24" t="n"/>
    </row>
    <row r="3363">
      <c r="O3363" s="23" t="n"/>
      <c r="R3363" s="24" t="n"/>
      <c r="S3363" s="24" t="n"/>
      <c r="Y3363" s="24" t="n"/>
    </row>
    <row r="3364">
      <c r="O3364" s="23" t="n"/>
      <c r="R3364" s="24" t="n"/>
      <c r="S3364" s="24" t="n"/>
      <c r="Y3364" s="24" t="n"/>
    </row>
    <row r="3365">
      <c r="O3365" s="23" t="n"/>
      <c r="R3365" s="24" t="n"/>
      <c r="S3365" s="24" t="n"/>
      <c r="Y3365" s="24" t="n"/>
    </row>
    <row r="3366">
      <c r="O3366" s="23" t="n"/>
      <c r="R3366" s="24" t="n"/>
      <c r="S3366" s="24" t="n"/>
      <c r="Y3366" s="24" t="n"/>
    </row>
    <row r="3367">
      <c r="O3367" s="23" t="n"/>
      <c r="R3367" s="24" t="n"/>
      <c r="S3367" s="24" t="n"/>
      <c r="Y3367" s="24" t="n"/>
    </row>
    <row r="3368">
      <c r="O3368" s="23" t="n"/>
      <c r="R3368" s="24" t="n"/>
      <c r="S3368" s="24" t="n"/>
      <c r="Y3368" s="24" t="n"/>
    </row>
    <row r="3369">
      <c r="O3369" s="23" t="n"/>
      <c r="R3369" s="24" t="n"/>
      <c r="S3369" s="24" t="n"/>
      <c r="Y3369" s="24" t="n"/>
    </row>
    <row r="3370">
      <c r="O3370" s="23" t="n"/>
      <c r="R3370" s="24" t="n"/>
      <c r="S3370" s="24" t="n"/>
      <c r="Y3370" s="24" t="n"/>
    </row>
    <row r="3371">
      <c r="O3371" s="23" t="n"/>
      <c r="R3371" s="24" t="n"/>
      <c r="S3371" s="24" t="n"/>
      <c r="Y3371" s="24" t="n"/>
    </row>
    <row r="3372">
      <c r="O3372" s="23" t="n"/>
      <c r="R3372" s="24" t="n"/>
      <c r="S3372" s="24" t="n"/>
      <c r="Y3372" s="24" t="n"/>
    </row>
    <row r="3373">
      <c r="O3373" s="23" t="n"/>
      <c r="R3373" s="24" t="n"/>
      <c r="S3373" s="24" t="n"/>
      <c r="Y3373" s="24" t="n"/>
    </row>
    <row r="3374">
      <c r="O3374" s="23" t="n"/>
      <c r="R3374" s="24" t="n"/>
      <c r="S3374" s="24" t="n"/>
      <c r="Y3374" s="24" t="n"/>
    </row>
    <row r="3375">
      <c r="O3375" s="23" t="n"/>
      <c r="R3375" s="24" t="n"/>
      <c r="S3375" s="24" t="n"/>
      <c r="Y3375" s="24" t="n"/>
    </row>
    <row r="3376">
      <c r="O3376" s="23" t="n"/>
      <c r="R3376" s="24" t="n"/>
      <c r="S3376" s="24" t="n"/>
      <c r="Y3376" s="24" t="n"/>
    </row>
    <row r="3377">
      <c r="O3377" s="23" t="n"/>
      <c r="R3377" s="24" t="n"/>
      <c r="S3377" s="24" t="n"/>
      <c r="Y3377" s="24" t="n"/>
    </row>
    <row r="3378">
      <c r="O3378" s="23" t="n"/>
      <c r="R3378" s="24" t="n"/>
      <c r="S3378" s="24" t="n"/>
      <c r="Y3378" s="24" t="n"/>
    </row>
    <row r="3379">
      <c r="O3379" s="23" t="n"/>
      <c r="R3379" s="24" t="n"/>
      <c r="S3379" s="24" t="n"/>
      <c r="Y3379" s="24" t="n"/>
    </row>
    <row r="3380">
      <c r="O3380" s="23" t="n"/>
      <c r="R3380" s="24" t="n"/>
      <c r="S3380" s="24" t="n"/>
      <c r="Y3380" s="24" t="n"/>
    </row>
    <row r="3381">
      <c r="O3381" s="23" t="n"/>
      <c r="R3381" s="24" t="n"/>
      <c r="S3381" s="24" t="n"/>
      <c r="Y3381" s="24" t="n"/>
    </row>
    <row r="3382">
      <c r="O3382" s="23" t="n"/>
      <c r="R3382" s="24" t="n"/>
      <c r="S3382" s="24" t="n"/>
      <c r="Y3382" s="24" t="n"/>
    </row>
    <row r="3383">
      <c r="O3383" s="23" t="n"/>
      <c r="R3383" s="24" t="n"/>
      <c r="S3383" s="24" t="n"/>
      <c r="Y3383" s="24" t="n"/>
    </row>
    <row r="3384">
      <c r="O3384" s="23" t="n"/>
      <c r="R3384" s="24" t="n"/>
      <c r="S3384" s="24" t="n"/>
      <c r="Y3384" s="24" t="n"/>
    </row>
    <row r="3385">
      <c r="O3385" s="23" t="n"/>
      <c r="R3385" s="24" t="n"/>
      <c r="S3385" s="24" t="n"/>
      <c r="Y3385" s="24" t="n"/>
    </row>
    <row r="3386">
      <c r="O3386" s="23" t="n"/>
      <c r="R3386" s="24" t="n"/>
      <c r="S3386" s="24" t="n"/>
      <c r="Y3386" s="24" t="n"/>
    </row>
    <row r="3387">
      <c r="O3387" s="23" t="n"/>
      <c r="R3387" s="24" t="n"/>
      <c r="S3387" s="24" t="n"/>
      <c r="Y3387" s="24" t="n"/>
    </row>
    <row r="3388">
      <c r="O3388" s="23" t="n"/>
      <c r="R3388" s="24" t="n"/>
      <c r="S3388" s="24" t="n"/>
      <c r="Y3388" s="24" t="n"/>
    </row>
    <row r="3389">
      <c r="O3389" s="23" t="n"/>
      <c r="R3389" s="24" t="n"/>
      <c r="S3389" s="24" t="n"/>
      <c r="Y3389" s="24" t="n"/>
    </row>
    <row r="3390">
      <c r="O3390" s="23" t="n"/>
      <c r="R3390" s="24" t="n"/>
      <c r="S3390" s="24" t="n"/>
      <c r="Y3390" s="24" t="n"/>
    </row>
    <row r="3391">
      <c r="O3391" s="23" t="n"/>
      <c r="R3391" s="24" t="n"/>
      <c r="S3391" s="24" t="n"/>
      <c r="Y3391" s="24" t="n"/>
    </row>
    <row r="3392">
      <c r="O3392" s="23" t="n"/>
      <c r="R3392" s="24" t="n"/>
      <c r="S3392" s="24" t="n"/>
      <c r="Y3392" s="24" t="n"/>
    </row>
    <row r="3393">
      <c r="O3393" s="23" t="n"/>
      <c r="R3393" s="24" t="n"/>
      <c r="S3393" s="24" t="n"/>
      <c r="Y3393" s="24" t="n"/>
    </row>
    <row r="3394">
      <c r="O3394" s="23" t="n"/>
      <c r="R3394" s="24" t="n"/>
      <c r="S3394" s="24" t="n"/>
      <c r="Y3394" s="24" t="n"/>
    </row>
    <row r="3395">
      <c r="O3395" s="23" t="n"/>
      <c r="R3395" s="24" t="n"/>
      <c r="S3395" s="24" t="n"/>
      <c r="Y3395" s="24" t="n"/>
    </row>
    <row r="3396">
      <c r="O3396" s="23" t="n"/>
      <c r="R3396" s="24" t="n"/>
      <c r="S3396" s="24" t="n"/>
      <c r="Y3396" s="24" t="n"/>
    </row>
    <row r="3397">
      <c r="O3397" s="23" t="n"/>
      <c r="R3397" s="24" t="n"/>
      <c r="S3397" s="24" t="n"/>
      <c r="Y3397" s="24" t="n"/>
    </row>
    <row r="3398">
      <c r="O3398" s="23" t="n"/>
      <c r="R3398" s="24" t="n"/>
      <c r="S3398" s="24" t="n"/>
      <c r="Y3398" s="24" t="n"/>
    </row>
    <row r="3399">
      <c r="O3399" s="23" t="n"/>
      <c r="R3399" s="24" t="n"/>
      <c r="S3399" s="24" t="n"/>
      <c r="Y3399" s="24" t="n"/>
    </row>
    <row r="3400">
      <c r="O3400" s="23" t="n"/>
      <c r="R3400" s="24" t="n"/>
      <c r="S3400" s="24" t="n"/>
      <c r="Y3400" s="24" t="n"/>
    </row>
    <row r="3401">
      <c r="O3401" s="23" t="n"/>
      <c r="R3401" s="24" t="n"/>
      <c r="S3401" s="24" t="n"/>
      <c r="Y3401" s="24" t="n"/>
    </row>
    <row r="3402">
      <c r="O3402" s="23" t="n"/>
      <c r="R3402" s="24" t="n"/>
      <c r="S3402" s="24" t="n"/>
      <c r="Y3402" s="24" t="n"/>
    </row>
    <row r="3403">
      <c r="O3403" s="23" t="n"/>
      <c r="R3403" s="24" t="n"/>
      <c r="S3403" s="24" t="n"/>
      <c r="Y3403" s="24" t="n"/>
    </row>
    <row r="3404">
      <c r="O3404" s="23" t="n"/>
      <c r="R3404" s="24" t="n"/>
      <c r="S3404" s="24" t="n"/>
      <c r="Y3404" s="24" t="n"/>
    </row>
    <row r="3405">
      <c r="O3405" s="23" t="n"/>
      <c r="R3405" s="24" t="n"/>
      <c r="S3405" s="24" t="n"/>
      <c r="Y3405" s="24" t="n"/>
    </row>
    <row r="3406">
      <c r="O3406" s="23" t="n"/>
      <c r="R3406" s="24" t="n"/>
      <c r="S3406" s="24" t="n"/>
      <c r="Y3406" s="24" t="n"/>
    </row>
    <row r="3407">
      <c r="O3407" s="23" t="n"/>
      <c r="R3407" s="24" t="n"/>
      <c r="S3407" s="24" t="n"/>
      <c r="Y3407" s="24" t="n"/>
    </row>
    <row r="3408">
      <c r="O3408" s="23" t="n"/>
      <c r="R3408" s="24" t="n"/>
      <c r="S3408" s="24" t="n"/>
      <c r="Y3408" s="24" t="n"/>
    </row>
    <row r="3409">
      <c r="O3409" s="23" t="n"/>
      <c r="R3409" s="24" t="n"/>
      <c r="S3409" s="24" t="n"/>
      <c r="Y3409" s="24" t="n"/>
    </row>
    <row r="3410">
      <c r="O3410" s="23" t="n"/>
      <c r="R3410" s="24" t="n"/>
      <c r="S3410" s="24" t="n"/>
      <c r="Y3410" s="24" t="n"/>
    </row>
    <row r="3411">
      <c r="O3411" s="23" t="n"/>
      <c r="R3411" s="24" t="n"/>
      <c r="S3411" s="24" t="n"/>
      <c r="Y3411" s="24" t="n"/>
    </row>
    <row r="3412">
      <c r="O3412" s="23" t="n"/>
      <c r="R3412" s="24" t="n"/>
      <c r="S3412" s="24" t="n"/>
      <c r="Y3412" s="24" t="n"/>
    </row>
    <row r="3413">
      <c r="O3413" s="23" t="n"/>
      <c r="R3413" s="24" t="n"/>
      <c r="S3413" s="24" t="n"/>
      <c r="Y3413" s="24" t="n"/>
    </row>
    <row r="3414">
      <c r="O3414" s="23" t="n"/>
      <c r="R3414" s="24" t="n"/>
      <c r="S3414" s="24" t="n"/>
      <c r="Y3414" s="24" t="n"/>
    </row>
    <row r="3415">
      <c r="O3415" s="23" t="n"/>
      <c r="R3415" s="24" t="n"/>
      <c r="S3415" s="24" t="n"/>
      <c r="Y3415" s="24" t="n"/>
    </row>
    <row r="3416">
      <c r="O3416" s="23" t="n"/>
      <c r="R3416" s="24" t="n"/>
      <c r="S3416" s="24" t="n"/>
      <c r="Y3416" s="24" t="n"/>
    </row>
    <row r="3417">
      <c r="O3417" s="23" t="n"/>
      <c r="R3417" s="24" t="n"/>
      <c r="S3417" s="24" t="n"/>
      <c r="Y3417" s="24" t="n"/>
    </row>
    <row r="3418">
      <c r="O3418" s="23" t="n"/>
      <c r="R3418" s="24" t="n"/>
      <c r="S3418" s="24" t="n"/>
      <c r="Y3418" s="24" t="n"/>
    </row>
    <row r="3419">
      <c r="O3419" s="23" t="n"/>
      <c r="R3419" s="24" t="n"/>
      <c r="S3419" s="24" t="n"/>
      <c r="Y3419" s="24" t="n"/>
    </row>
    <row r="3420">
      <c r="O3420" s="23" t="n"/>
      <c r="R3420" s="24" t="n"/>
      <c r="S3420" s="24" t="n"/>
      <c r="Y3420" s="24" t="n"/>
    </row>
    <row r="3421">
      <c r="O3421" s="23" t="n"/>
      <c r="R3421" s="24" t="n"/>
      <c r="S3421" s="24" t="n"/>
      <c r="Y3421" s="24" t="n"/>
    </row>
    <row r="3422">
      <c r="O3422" s="23" t="n"/>
      <c r="R3422" s="24" t="n"/>
      <c r="S3422" s="24" t="n"/>
      <c r="Y3422" s="24" t="n"/>
    </row>
    <row r="3423">
      <c r="O3423" s="23" t="n"/>
      <c r="R3423" s="24" t="n"/>
      <c r="S3423" s="24" t="n"/>
      <c r="Y3423" s="24" t="n"/>
    </row>
    <row r="3424">
      <c r="O3424" s="23" t="n"/>
      <c r="R3424" s="24" t="n"/>
      <c r="S3424" s="24" t="n"/>
      <c r="Y3424" s="24" t="n"/>
    </row>
    <row r="3425">
      <c r="O3425" s="23" t="n"/>
      <c r="R3425" s="24" t="n"/>
      <c r="S3425" s="24" t="n"/>
      <c r="Y3425" s="24" t="n"/>
    </row>
    <row r="3426">
      <c r="O3426" s="23" t="n"/>
      <c r="R3426" s="24" t="n"/>
      <c r="S3426" s="24" t="n"/>
      <c r="Y3426" s="24" t="n"/>
    </row>
    <row r="3427">
      <c r="O3427" s="23" t="n"/>
      <c r="R3427" s="24" t="n"/>
      <c r="S3427" s="24" t="n"/>
      <c r="Y3427" s="24" t="n"/>
    </row>
    <row r="3428">
      <c r="O3428" s="23" t="n"/>
      <c r="R3428" s="24" t="n"/>
      <c r="S3428" s="24" t="n"/>
      <c r="Y3428" s="24" t="n"/>
    </row>
    <row r="3429">
      <c r="O3429" s="23" t="n"/>
      <c r="R3429" s="24" t="n"/>
      <c r="S3429" s="24" t="n"/>
      <c r="Y3429" s="24" t="n"/>
    </row>
    <row r="3430">
      <c r="O3430" s="23" t="n"/>
      <c r="R3430" s="24" t="n"/>
      <c r="S3430" s="24" t="n"/>
      <c r="Y3430" s="24" t="n"/>
    </row>
    <row r="3431">
      <c r="O3431" s="23" t="n"/>
      <c r="R3431" s="24" t="n"/>
      <c r="S3431" s="24" t="n"/>
      <c r="Y3431" s="24" t="n"/>
    </row>
    <row r="3432">
      <c r="O3432" s="23" t="n"/>
      <c r="R3432" s="24" t="n"/>
      <c r="S3432" s="24" t="n"/>
      <c r="Y3432" s="24" t="n"/>
    </row>
    <row r="3433">
      <c r="O3433" s="23" t="n"/>
      <c r="R3433" s="24" t="n"/>
      <c r="S3433" s="24" t="n"/>
      <c r="Y3433" s="24" t="n"/>
    </row>
    <row r="3434">
      <c r="O3434" s="23" t="n"/>
      <c r="R3434" s="24" t="n"/>
      <c r="S3434" s="24" t="n"/>
      <c r="Y3434" s="24" t="n"/>
    </row>
    <row r="3435">
      <c r="O3435" s="23" t="n"/>
      <c r="R3435" s="24" t="n"/>
      <c r="S3435" s="24" t="n"/>
      <c r="Y3435" s="24" t="n"/>
    </row>
    <row r="3436">
      <c r="O3436" s="23" t="n"/>
      <c r="R3436" s="24" t="n"/>
      <c r="S3436" s="24" t="n"/>
      <c r="Y3436" s="24" t="n"/>
    </row>
    <row r="3437">
      <c r="O3437" s="23" t="n"/>
      <c r="R3437" s="24" t="n"/>
      <c r="S3437" s="24" t="n"/>
      <c r="Y3437" s="24" t="n"/>
    </row>
    <row r="3438">
      <c r="O3438" s="23" t="n"/>
      <c r="R3438" s="24" t="n"/>
      <c r="S3438" s="24" t="n"/>
      <c r="Y3438" s="24" t="n"/>
    </row>
    <row r="3439">
      <c r="O3439" s="23" t="n"/>
      <c r="R3439" s="24" t="n"/>
      <c r="S3439" s="24" t="n"/>
      <c r="Y3439" s="24" t="n"/>
    </row>
    <row r="3440">
      <c r="O3440" s="23" t="n"/>
      <c r="R3440" s="24" t="n"/>
      <c r="S3440" s="24" t="n"/>
      <c r="Y3440" s="24" t="n"/>
    </row>
    <row r="3441">
      <c r="O3441" s="23" t="n"/>
      <c r="R3441" s="24" t="n"/>
      <c r="S3441" s="24" t="n"/>
      <c r="Y3441" s="24" t="n"/>
    </row>
    <row r="3442">
      <c r="O3442" s="23" t="n"/>
      <c r="R3442" s="24" t="n"/>
      <c r="S3442" s="24" t="n"/>
      <c r="Y3442" s="24" t="n"/>
    </row>
    <row r="3443">
      <c r="O3443" s="23" t="n"/>
      <c r="R3443" s="24" t="n"/>
      <c r="S3443" s="24" t="n"/>
      <c r="Y3443" s="24" t="n"/>
    </row>
    <row r="3444">
      <c r="O3444" s="23" t="n"/>
      <c r="R3444" s="24" t="n"/>
      <c r="S3444" s="24" t="n"/>
      <c r="Y3444" s="24" t="n"/>
    </row>
    <row r="3445">
      <c r="O3445" s="23" t="n"/>
      <c r="R3445" s="24" t="n"/>
      <c r="S3445" s="24" t="n"/>
      <c r="Y3445" s="24" t="n"/>
    </row>
    <row r="3446">
      <c r="O3446" s="23" t="n"/>
      <c r="R3446" s="24" t="n"/>
      <c r="S3446" s="24" t="n"/>
      <c r="Y3446" s="24" t="n"/>
    </row>
    <row r="3447">
      <c r="O3447" s="23" t="n"/>
      <c r="R3447" s="24" t="n"/>
      <c r="S3447" s="24" t="n"/>
      <c r="Y3447" s="24" t="n"/>
    </row>
    <row r="3448">
      <c r="O3448" s="23" t="n"/>
      <c r="R3448" s="24" t="n"/>
      <c r="S3448" s="24" t="n"/>
      <c r="Y3448" s="24" t="n"/>
    </row>
    <row r="3449">
      <c r="O3449" s="23" t="n"/>
      <c r="R3449" s="24" t="n"/>
      <c r="S3449" s="24" t="n"/>
      <c r="Y3449" s="24" t="n"/>
    </row>
    <row r="3450">
      <c r="O3450" s="23" t="n"/>
      <c r="R3450" s="24" t="n"/>
      <c r="S3450" s="24" t="n"/>
      <c r="Y3450" s="24" t="n"/>
    </row>
    <row r="3451">
      <c r="O3451" s="23" t="n"/>
      <c r="R3451" s="24" t="n"/>
      <c r="S3451" s="24" t="n"/>
      <c r="Y3451" s="24" t="n"/>
    </row>
    <row r="3452">
      <c r="O3452" s="23" t="n"/>
      <c r="R3452" s="24" t="n"/>
      <c r="S3452" s="24" t="n"/>
      <c r="Y3452" s="24" t="n"/>
    </row>
    <row r="3453">
      <c r="O3453" s="23" t="n"/>
      <c r="R3453" s="24" t="n"/>
      <c r="S3453" s="24" t="n"/>
      <c r="Y3453" s="24" t="n"/>
    </row>
    <row r="3454">
      <c r="O3454" s="23" t="n"/>
      <c r="R3454" s="24" t="n"/>
      <c r="S3454" s="24" t="n"/>
      <c r="Y3454" s="24" t="n"/>
    </row>
    <row r="3455">
      <c r="O3455" s="23" t="n"/>
      <c r="R3455" s="24" t="n"/>
      <c r="S3455" s="24" t="n"/>
      <c r="Y3455" s="24" t="n"/>
    </row>
    <row r="3456">
      <c r="O3456" s="23" t="n"/>
      <c r="R3456" s="24" t="n"/>
      <c r="S3456" s="24" t="n"/>
      <c r="Y3456" s="24" t="n"/>
    </row>
    <row r="3457">
      <c r="O3457" s="23" t="n"/>
      <c r="R3457" s="24" t="n"/>
      <c r="S3457" s="24" t="n"/>
      <c r="Y3457" s="24" t="n"/>
    </row>
    <row r="3458">
      <c r="O3458" s="23" t="n"/>
      <c r="R3458" s="24" t="n"/>
      <c r="S3458" s="24" t="n"/>
      <c r="Y3458" s="24" t="n"/>
    </row>
    <row r="3459">
      <c r="O3459" s="23" t="n"/>
      <c r="R3459" s="24" t="n"/>
      <c r="S3459" s="24" t="n"/>
      <c r="Y3459" s="24" t="n"/>
    </row>
    <row r="3460">
      <c r="O3460" s="23" t="n"/>
      <c r="R3460" s="24" t="n"/>
      <c r="S3460" s="24" t="n"/>
      <c r="Y3460" s="24" t="n"/>
    </row>
    <row r="3461">
      <c r="O3461" s="23" t="n"/>
      <c r="R3461" s="24" t="n"/>
      <c r="S3461" s="24" t="n"/>
      <c r="Y3461" s="24" t="n"/>
    </row>
    <row r="3462">
      <c r="O3462" s="23" t="n"/>
      <c r="R3462" s="24" t="n"/>
      <c r="S3462" s="24" t="n"/>
      <c r="Y3462" s="24" t="n"/>
    </row>
    <row r="3463">
      <c r="O3463" s="23" t="n"/>
      <c r="R3463" s="24" t="n"/>
      <c r="S3463" s="24" t="n"/>
      <c r="Y3463" s="24" t="n"/>
    </row>
    <row r="3464">
      <c r="O3464" s="23" t="n"/>
      <c r="R3464" s="24" t="n"/>
      <c r="S3464" s="24" t="n"/>
      <c r="Y3464" s="24" t="n"/>
    </row>
    <row r="3465">
      <c r="O3465" s="23" t="n"/>
      <c r="R3465" s="24" t="n"/>
      <c r="S3465" s="24" t="n"/>
      <c r="Y3465" s="24" t="n"/>
    </row>
    <row r="3466">
      <c r="O3466" s="23" t="n"/>
      <c r="R3466" s="24" t="n"/>
      <c r="S3466" s="24" t="n"/>
      <c r="Y3466" s="24" t="n"/>
    </row>
    <row r="3467">
      <c r="O3467" s="23" t="n"/>
      <c r="R3467" s="24" t="n"/>
      <c r="S3467" s="24" t="n"/>
      <c r="Y3467" s="24" t="n"/>
    </row>
    <row r="3468">
      <c r="O3468" s="23" t="n"/>
      <c r="R3468" s="24" t="n"/>
      <c r="S3468" s="24" t="n"/>
      <c r="Y3468" s="24" t="n"/>
    </row>
    <row r="3469">
      <c r="O3469" s="23" t="n"/>
      <c r="R3469" s="24" t="n"/>
      <c r="S3469" s="24" t="n"/>
      <c r="Y3469" s="24" t="n"/>
    </row>
    <row r="3470">
      <c r="O3470" s="23" t="n"/>
      <c r="R3470" s="24" t="n"/>
      <c r="S3470" s="24" t="n"/>
      <c r="Y3470" s="24" t="n"/>
    </row>
    <row r="3471">
      <c r="O3471" s="23" t="n"/>
      <c r="R3471" s="24" t="n"/>
      <c r="S3471" s="24" t="n"/>
      <c r="Y3471" s="24" t="n"/>
    </row>
    <row r="3472">
      <c r="O3472" s="23" t="n"/>
      <c r="R3472" s="24" t="n"/>
      <c r="S3472" s="24" t="n"/>
      <c r="Y3472" s="24" t="n"/>
    </row>
    <row r="3473">
      <c r="O3473" s="23" t="n"/>
      <c r="R3473" s="24" t="n"/>
      <c r="S3473" s="24" t="n"/>
      <c r="Y3473" s="24" t="n"/>
    </row>
    <row r="3474">
      <c r="O3474" s="23" t="n"/>
      <c r="R3474" s="24" t="n"/>
      <c r="S3474" s="24" t="n"/>
      <c r="Y3474" s="24" t="n"/>
    </row>
    <row r="3475">
      <c r="O3475" s="23" t="n"/>
      <c r="R3475" s="24" t="n"/>
      <c r="S3475" s="24" t="n"/>
      <c r="Y3475" s="24" t="n"/>
    </row>
    <row r="3476">
      <c r="O3476" s="23" t="n"/>
      <c r="R3476" s="24" t="n"/>
      <c r="S3476" s="24" t="n"/>
      <c r="Y3476" s="24" t="n"/>
    </row>
    <row r="3477">
      <c r="O3477" s="23" t="n"/>
      <c r="R3477" s="24" t="n"/>
      <c r="S3477" s="24" t="n"/>
      <c r="Y3477" s="24" t="n"/>
    </row>
    <row r="3478">
      <c r="O3478" s="23" t="n"/>
      <c r="R3478" s="24" t="n"/>
      <c r="S3478" s="24" t="n"/>
      <c r="Y3478" s="24" t="n"/>
    </row>
    <row r="3479">
      <c r="O3479" s="23" t="n"/>
      <c r="R3479" s="24" t="n"/>
      <c r="S3479" s="24" t="n"/>
      <c r="Y3479" s="24" t="n"/>
    </row>
    <row r="3480">
      <c r="O3480" s="23" t="n"/>
      <c r="R3480" s="24" t="n"/>
      <c r="S3480" s="24" t="n"/>
      <c r="Y3480" s="24" t="n"/>
    </row>
    <row r="3481">
      <c r="O3481" s="23" t="n"/>
      <c r="R3481" s="24" t="n"/>
      <c r="S3481" s="24" t="n"/>
      <c r="Y3481" s="24" t="n"/>
    </row>
    <row r="3482">
      <c r="O3482" s="23" t="n"/>
      <c r="R3482" s="24" t="n"/>
      <c r="S3482" s="24" t="n"/>
      <c r="Y3482" s="24" t="n"/>
    </row>
    <row r="3483">
      <c r="O3483" s="23" t="n"/>
      <c r="R3483" s="24" t="n"/>
      <c r="S3483" s="24" t="n"/>
      <c r="Y3483" s="24" t="n"/>
    </row>
    <row r="3484">
      <c r="O3484" s="23" t="n"/>
      <c r="R3484" s="24" t="n"/>
      <c r="S3484" s="24" t="n"/>
      <c r="Y3484" s="24" t="n"/>
    </row>
    <row r="3485">
      <c r="O3485" s="23" t="n"/>
      <c r="R3485" s="24" t="n"/>
      <c r="S3485" s="24" t="n"/>
      <c r="Y3485" s="24" t="n"/>
    </row>
    <row r="3486">
      <c r="O3486" s="23" t="n"/>
      <c r="R3486" s="24" t="n"/>
      <c r="S3486" s="24" t="n"/>
      <c r="Y3486" s="24" t="n"/>
    </row>
    <row r="3487">
      <c r="O3487" s="23" t="n"/>
      <c r="R3487" s="24" t="n"/>
      <c r="S3487" s="24" t="n"/>
      <c r="Y3487" s="24" t="n"/>
    </row>
    <row r="3488">
      <c r="O3488" s="23" t="n"/>
      <c r="R3488" s="24" t="n"/>
      <c r="S3488" s="24" t="n"/>
      <c r="Y3488" s="24" t="n"/>
    </row>
    <row r="3489">
      <c r="O3489" s="23" t="n"/>
      <c r="R3489" s="24" t="n"/>
      <c r="S3489" s="24" t="n"/>
      <c r="Y3489" s="24" t="n"/>
    </row>
    <row r="3490">
      <c r="O3490" s="23" t="n"/>
      <c r="R3490" s="24" t="n"/>
      <c r="S3490" s="24" t="n"/>
      <c r="Y3490" s="24" t="n"/>
    </row>
    <row r="3491">
      <c r="O3491" s="23" t="n"/>
      <c r="R3491" s="24" t="n"/>
      <c r="S3491" s="24" t="n"/>
      <c r="Y3491" s="24" t="n"/>
    </row>
    <row r="3492">
      <c r="O3492" s="23" t="n"/>
      <c r="R3492" s="24" t="n"/>
      <c r="S3492" s="24" t="n"/>
      <c r="Y3492" s="24" t="n"/>
    </row>
    <row r="3493">
      <c r="O3493" s="23" t="n"/>
      <c r="R3493" s="24" t="n"/>
      <c r="S3493" s="24" t="n"/>
      <c r="Y3493" s="24" t="n"/>
    </row>
    <row r="3494">
      <c r="O3494" s="23" t="n"/>
      <c r="R3494" s="24" t="n"/>
      <c r="S3494" s="24" t="n"/>
      <c r="Y3494" s="24" t="n"/>
    </row>
    <row r="3495">
      <c r="O3495" s="23" t="n"/>
      <c r="R3495" s="24" t="n"/>
      <c r="S3495" s="24" t="n"/>
      <c r="Y3495" s="24" t="n"/>
    </row>
    <row r="3496">
      <c r="O3496" s="23" t="n"/>
      <c r="R3496" s="24" t="n"/>
      <c r="S3496" s="24" t="n"/>
      <c r="Y3496" s="24" t="n"/>
    </row>
    <row r="3497">
      <c r="O3497" s="23" t="n"/>
      <c r="R3497" s="24" t="n"/>
      <c r="S3497" s="24" t="n"/>
      <c r="Y3497" s="24" t="n"/>
    </row>
    <row r="3498">
      <c r="O3498" s="23" t="n"/>
      <c r="R3498" s="24" t="n"/>
      <c r="S3498" s="24" t="n"/>
      <c r="Y3498" s="24" t="n"/>
    </row>
    <row r="3499">
      <c r="O3499" s="23" t="n"/>
      <c r="R3499" s="24" t="n"/>
      <c r="S3499" s="24" t="n"/>
      <c r="Y3499" s="24" t="n"/>
    </row>
    <row r="3500">
      <c r="O3500" s="23" t="n"/>
      <c r="R3500" s="24" t="n"/>
      <c r="S3500" s="24" t="n"/>
      <c r="Y3500" s="24" t="n"/>
    </row>
    <row r="3501">
      <c r="O3501" s="23" t="n"/>
      <c r="R3501" s="24" t="n"/>
      <c r="S3501" s="24" t="n"/>
      <c r="Y3501" s="24" t="n"/>
    </row>
    <row r="3502">
      <c r="O3502" s="23" t="n"/>
      <c r="R3502" s="24" t="n"/>
      <c r="S3502" s="24" t="n"/>
      <c r="Y3502" s="24" t="n"/>
    </row>
    <row r="3503">
      <c r="O3503" s="23" t="n"/>
      <c r="R3503" s="24" t="n"/>
      <c r="S3503" s="24" t="n"/>
      <c r="Y3503" s="24" t="n"/>
    </row>
    <row r="3504">
      <c r="O3504" s="23" t="n"/>
      <c r="R3504" s="24" t="n"/>
      <c r="S3504" s="24" t="n"/>
      <c r="Y3504" s="24" t="n"/>
    </row>
    <row r="3505">
      <c r="O3505" s="23" t="n"/>
      <c r="R3505" s="24" t="n"/>
      <c r="S3505" s="24" t="n"/>
      <c r="Y3505" s="24" t="n"/>
    </row>
    <row r="3506">
      <c r="O3506" s="23" t="n"/>
      <c r="R3506" s="24" t="n"/>
      <c r="S3506" s="24" t="n"/>
      <c r="Y3506" s="24" t="n"/>
    </row>
    <row r="3507">
      <c r="O3507" s="23" t="n"/>
      <c r="R3507" s="24" t="n"/>
      <c r="S3507" s="24" t="n"/>
      <c r="Y3507" s="24" t="n"/>
    </row>
    <row r="3508">
      <c r="O3508" s="23" t="n"/>
      <c r="R3508" s="24" t="n"/>
      <c r="S3508" s="24" t="n"/>
      <c r="Y3508" s="24" t="n"/>
    </row>
    <row r="3509">
      <c r="O3509" s="23" t="n"/>
      <c r="R3509" s="24" t="n"/>
      <c r="S3509" s="24" t="n"/>
      <c r="Y3509" s="24" t="n"/>
    </row>
    <row r="3510">
      <c r="O3510" s="23" t="n"/>
      <c r="R3510" s="24" t="n"/>
      <c r="S3510" s="24" t="n"/>
      <c r="Y3510" s="24" t="n"/>
    </row>
    <row r="3511">
      <c r="O3511" s="23" t="n"/>
      <c r="R3511" s="24" t="n"/>
      <c r="S3511" s="24" t="n"/>
      <c r="Y3511" s="24" t="n"/>
    </row>
    <row r="3512">
      <c r="O3512" s="23" t="n"/>
      <c r="R3512" s="24" t="n"/>
      <c r="S3512" s="24" t="n"/>
      <c r="Y3512" s="24" t="n"/>
    </row>
    <row r="3513">
      <c r="O3513" s="23" t="n"/>
      <c r="R3513" s="24" t="n"/>
      <c r="S3513" s="24" t="n"/>
      <c r="Y3513" s="24" t="n"/>
    </row>
    <row r="3514">
      <c r="O3514" s="23" t="n"/>
      <c r="R3514" s="24" t="n"/>
      <c r="S3514" s="24" t="n"/>
      <c r="Y3514" s="24" t="n"/>
    </row>
    <row r="3515">
      <c r="O3515" s="23" t="n"/>
      <c r="R3515" s="24" t="n"/>
      <c r="S3515" s="24" t="n"/>
      <c r="Y3515" s="24" t="n"/>
    </row>
    <row r="3516">
      <c r="O3516" s="23" t="n"/>
      <c r="R3516" s="24" t="n"/>
      <c r="S3516" s="24" t="n"/>
      <c r="Y3516" s="24" t="n"/>
    </row>
    <row r="3517">
      <c r="O3517" s="23" t="n"/>
      <c r="R3517" s="24" t="n"/>
      <c r="S3517" s="24" t="n"/>
      <c r="Y3517" s="24" t="n"/>
    </row>
    <row r="3518">
      <c r="O3518" s="23" t="n"/>
      <c r="R3518" s="24" t="n"/>
      <c r="S3518" s="24" t="n"/>
      <c r="Y3518" s="24" t="n"/>
    </row>
    <row r="3519">
      <c r="O3519" s="23" t="n"/>
      <c r="R3519" s="24" t="n"/>
      <c r="S3519" s="24" t="n"/>
      <c r="Y3519" s="24" t="n"/>
    </row>
    <row r="3520">
      <c r="O3520" s="23" t="n"/>
      <c r="R3520" s="24" t="n"/>
      <c r="S3520" s="24" t="n"/>
      <c r="Y3520" s="24" t="n"/>
    </row>
    <row r="3521">
      <c r="O3521" s="23" t="n"/>
      <c r="R3521" s="24" t="n"/>
      <c r="S3521" s="24" t="n"/>
      <c r="Y3521" s="24" t="n"/>
    </row>
    <row r="3522">
      <c r="O3522" s="23" t="n"/>
      <c r="R3522" s="24" t="n"/>
      <c r="S3522" s="24" t="n"/>
      <c r="Y3522" s="24" t="n"/>
    </row>
    <row r="3523">
      <c r="O3523" s="23" t="n"/>
      <c r="R3523" s="24" t="n"/>
      <c r="S3523" s="24" t="n"/>
      <c r="Y3523" s="24" t="n"/>
    </row>
    <row r="3524">
      <c r="O3524" s="23" t="n"/>
      <c r="R3524" s="24" t="n"/>
      <c r="S3524" s="24" t="n"/>
      <c r="Y3524" s="24" t="n"/>
    </row>
    <row r="3525">
      <c r="O3525" s="23" t="n"/>
      <c r="R3525" s="24" t="n"/>
      <c r="S3525" s="24" t="n"/>
      <c r="Y3525" s="24" t="n"/>
    </row>
    <row r="3526">
      <c r="O3526" s="23" t="n"/>
      <c r="R3526" s="24" t="n"/>
      <c r="S3526" s="24" t="n"/>
      <c r="Y3526" s="24" t="n"/>
    </row>
    <row r="3527">
      <c r="O3527" s="23" t="n"/>
      <c r="R3527" s="24" t="n"/>
      <c r="S3527" s="24" t="n"/>
      <c r="Y3527" s="24" t="n"/>
    </row>
    <row r="3528">
      <c r="O3528" s="23" t="n"/>
      <c r="R3528" s="24" t="n"/>
      <c r="S3528" s="24" t="n"/>
      <c r="Y3528" s="24" t="n"/>
    </row>
    <row r="3529">
      <c r="O3529" s="23" t="n"/>
      <c r="R3529" s="24" t="n"/>
      <c r="S3529" s="24" t="n"/>
      <c r="Y3529" s="24" t="n"/>
    </row>
    <row r="3530">
      <c r="O3530" s="23" t="n"/>
      <c r="R3530" s="24" t="n"/>
      <c r="S3530" s="24" t="n"/>
      <c r="Y3530" s="24" t="n"/>
    </row>
    <row r="3531">
      <c r="O3531" s="23" t="n"/>
      <c r="R3531" s="24" t="n"/>
      <c r="S3531" s="24" t="n"/>
      <c r="Y3531" s="24" t="n"/>
    </row>
    <row r="3532">
      <c r="O3532" s="23" t="n"/>
      <c r="R3532" s="24" t="n"/>
      <c r="S3532" s="24" t="n"/>
      <c r="Y3532" s="24" t="n"/>
    </row>
    <row r="3533">
      <c r="O3533" s="23" t="n"/>
      <c r="R3533" s="24" t="n"/>
      <c r="S3533" s="24" t="n"/>
      <c r="Y3533" s="24" t="n"/>
    </row>
    <row r="3534">
      <c r="O3534" s="23" t="n"/>
      <c r="R3534" s="24" t="n"/>
      <c r="S3534" s="24" t="n"/>
      <c r="Y3534" s="24" t="n"/>
    </row>
    <row r="3535">
      <c r="O3535" s="23" t="n"/>
      <c r="R3535" s="24" t="n"/>
      <c r="S3535" s="24" t="n"/>
      <c r="Y3535" s="24" t="n"/>
    </row>
    <row r="3536">
      <c r="O3536" s="23" t="n"/>
      <c r="R3536" s="24" t="n"/>
      <c r="S3536" s="24" t="n"/>
      <c r="Y3536" s="24" t="n"/>
    </row>
    <row r="3537">
      <c r="O3537" s="23" t="n"/>
      <c r="R3537" s="24" t="n"/>
      <c r="S3537" s="24" t="n"/>
      <c r="Y3537" s="24" t="n"/>
    </row>
    <row r="3538">
      <c r="O3538" s="23" t="n"/>
      <c r="R3538" s="24" t="n"/>
      <c r="S3538" s="24" t="n"/>
      <c r="Y3538" s="24" t="n"/>
    </row>
    <row r="3539">
      <c r="O3539" s="23" t="n"/>
      <c r="R3539" s="24" t="n"/>
      <c r="S3539" s="24" t="n"/>
      <c r="Y3539" s="24" t="n"/>
    </row>
    <row r="3540">
      <c r="O3540" s="23" t="n"/>
      <c r="R3540" s="24" t="n"/>
      <c r="S3540" s="24" t="n"/>
      <c r="Y3540" s="24" t="n"/>
    </row>
    <row r="3541">
      <c r="O3541" s="23" t="n"/>
      <c r="R3541" s="24" t="n"/>
      <c r="S3541" s="24" t="n"/>
      <c r="Y3541" s="24" t="n"/>
    </row>
    <row r="3542">
      <c r="O3542" s="23" t="n"/>
      <c r="R3542" s="24" t="n"/>
      <c r="S3542" s="24" t="n"/>
      <c r="Y3542" s="24" t="n"/>
    </row>
    <row r="3543">
      <c r="O3543" s="23" t="n"/>
      <c r="R3543" s="24" t="n"/>
      <c r="S3543" s="24" t="n"/>
      <c r="Y3543" s="24" t="n"/>
    </row>
    <row r="3544">
      <c r="O3544" s="23" t="n"/>
      <c r="R3544" s="24" t="n"/>
      <c r="S3544" s="24" t="n"/>
      <c r="Y3544" s="24" t="n"/>
    </row>
    <row r="3545">
      <c r="O3545" s="23" t="n"/>
      <c r="R3545" s="24" t="n"/>
      <c r="S3545" s="24" t="n"/>
      <c r="Y3545" s="24" t="n"/>
    </row>
    <row r="3546">
      <c r="O3546" s="23" t="n"/>
      <c r="R3546" s="24" t="n"/>
      <c r="S3546" s="24" t="n"/>
      <c r="Y3546" s="24" t="n"/>
    </row>
    <row r="3547">
      <c r="O3547" s="23" t="n"/>
      <c r="R3547" s="24" t="n"/>
      <c r="S3547" s="24" t="n"/>
      <c r="Y3547" s="24" t="n"/>
    </row>
    <row r="3548">
      <c r="O3548" s="23" t="n"/>
      <c r="R3548" s="24" t="n"/>
      <c r="S3548" s="24" t="n"/>
      <c r="Y3548" s="24" t="n"/>
    </row>
    <row r="3549">
      <c r="O3549" s="23" t="n"/>
      <c r="R3549" s="24" t="n"/>
      <c r="S3549" s="24" t="n"/>
      <c r="Y3549" s="24" t="n"/>
    </row>
    <row r="3550">
      <c r="O3550" s="23" t="n"/>
      <c r="R3550" s="24" t="n"/>
      <c r="S3550" s="24" t="n"/>
      <c r="Y3550" s="24" t="n"/>
    </row>
    <row r="3551">
      <c r="O3551" s="23" t="n"/>
      <c r="R3551" s="24" t="n"/>
      <c r="S3551" s="24" t="n"/>
      <c r="Y3551" s="24" t="n"/>
    </row>
    <row r="3552">
      <c r="O3552" s="23" t="n"/>
      <c r="R3552" s="24" t="n"/>
      <c r="S3552" s="24" t="n"/>
      <c r="Y3552" s="24" t="n"/>
    </row>
    <row r="3553">
      <c r="O3553" s="23" t="n"/>
      <c r="R3553" s="24" t="n"/>
      <c r="S3553" s="24" t="n"/>
      <c r="Y3553" s="24" t="n"/>
    </row>
    <row r="3554">
      <c r="O3554" s="23" t="n"/>
      <c r="R3554" s="24" t="n"/>
      <c r="S3554" s="24" t="n"/>
      <c r="Y3554" s="24" t="n"/>
    </row>
    <row r="3555">
      <c r="O3555" s="23" t="n"/>
      <c r="R3555" s="24" t="n"/>
      <c r="S3555" s="24" t="n"/>
      <c r="Y3555" s="24" t="n"/>
    </row>
    <row r="3556">
      <c r="O3556" s="23" t="n"/>
      <c r="R3556" s="24" t="n"/>
      <c r="S3556" s="24" t="n"/>
      <c r="Y3556" s="24" t="n"/>
    </row>
    <row r="3557">
      <c r="O3557" s="23" t="n"/>
      <c r="R3557" s="24" t="n"/>
      <c r="S3557" s="24" t="n"/>
      <c r="Y3557" s="24" t="n"/>
    </row>
    <row r="3558">
      <c r="O3558" s="23" t="n"/>
      <c r="R3558" s="24" t="n"/>
      <c r="S3558" s="24" t="n"/>
      <c r="Y3558" s="24" t="n"/>
    </row>
    <row r="3559">
      <c r="O3559" s="23" t="n"/>
      <c r="R3559" s="24" t="n"/>
      <c r="S3559" s="24" t="n"/>
      <c r="Y3559" s="24" t="n"/>
    </row>
    <row r="3560">
      <c r="O3560" s="23" t="n"/>
      <c r="R3560" s="24" t="n"/>
      <c r="S3560" s="24" t="n"/>
      <c r="Y3560" s="24" t="n"/>
    </row>
    <row r="3561">
      <c r="O3561" s="23" t="n"/>
      <c r="R3561" s="24" t="n"/>
      <c r="S3561" s="24" t="n"/>
      <c r="Y3561" s="24" t="n"/>
    </row>
    <row r="3562">
      <c r="O3562" s="23" t="n"/>
      <c r="R3562" s="24" t="n"/>
      <c r="S3562" s="24" t="n"/>
      <c r="Y3562" s="24" t="n"/>
    </row>
    <row r="3563">
      <c r="O3563" s="23" t="n"/>
      <c r="R3563" s="24" t="n"/>
      <c r="S3563" s="24" t="n"/>
      <c r="Y3563" s="24" t="n"/>
    </row>
    <row r="3564">
      <c r="O3564" s="23" t="n"/>
      <c r="R3564" s="24" t="n"/>
      <c r="S3564" s="24" t="n"/>
      <c r="Y3564" s="24" t="n"/>
    </row>
    <row r="3565">
      <c r="O3565" s="23" t="n"/>
      <c r="R3565" s="24" t="n"/>
      <c r="S3565" s="24" t="n"/>
      <c r="Y3565" s="24" t="n"/>
    </row>
    <row r="3566">
      <c r="O3566" s="23" t="n"/>
      <c r="R3566" s="24" t="n"/>
      <c r="S3566" s="24" t="n"/>
      <c r="Y3566" s="24" t="n"/>
    </row>
    <row r="3567">
      <c r="O3567" s="23" t="n"/>
      <c r="R3567" s="24" t="n"/>
      <c r="S3567" s="24" t="n"/>
      <c r="Y3567" s="24" t="n"/>
    </row>
    <row r="3568">
      <c r="O3568" s="23" t="n"/>
      <c r="R3568" s="24" t="n"/>
      <c r="S3568" s="24" t="n"/>
      <c r="Y3568" s="24" t="n"/>
    </row>
    <row r="3569">
      <c r="O3569" s="23" t="n"/>
      <c r="R3569" s="24" t="n"/>
      <c r="S3569" s="24" t="n"/>
      <c r="Y3569" s="24" t="n"/>
    </row>
    <row r="3570">
      <c r="O3570" s="23" t="n"/>
      <c r="R3570" s="24" t="n"/>
      <c r="S3570" s="24" t="n"/>
      <c r="Y3570" s="24" t="n"/>
    </row>
    <row r="3571">
      <c r="O3571" s="23" t="n"/>
      <c r="R3571" s="24" t="n"/>
      <c r="S3571" s="24" t="n"/>
      <c r="Y3571" s="24" t="n"/>
    </row>
    <row r="3572">
      <c r="O3572" s="23" t="n"/>
      <c r="R3572" s="24" t="n"/>
      <c r="S3572" s="24" t="n"/>
      <c r="Y3572" s="24" t="n"/>
    </row>
    <row r="3573">
      <c r="O3573" s="23" t="n"/>
      <c r="R3573" s="24" t="n"/>
      <c r="S3573" s="24" t="n"/>
      <c r="Y3573" s="24" t="n"/>
    </row>
    <row r="3574">
      <c r="O3574" s="23" t="n"/>
      <c r="R3574" s="24" t="n"/>
      <c r="S3574" s="24" t="n"/>
      <c r="Y3574" s="24" t="n"/>
    </row>
    <row r="3575">
      <c r="O3575" s="23" t="n"/>
      <c r="R3575" s="24" t="n"/>
      <c r="S3575" s="24" t="n"/>
      <c r="Y3575" s="24" t="n"/>
    </row>
    <row r="3576">
      <c r="O3576" s="23" t="n"/>
      <c r="R3576" s="24" t="n"/>
      <c r="S3576" s="24" t="n"/>
      <c r="Y3576" s="24" t="n"/>
    </row>
    <row r="3577">
      <c r="O3577" s="23" t="n"/>
      <c r="R3577" s="24" t="n"/>
      <c r="S3577" s="24" t="n"/>
      <c r="Y3577" s="24" t="n"/>
    </row>
    <row r="3578">
      <c r="O3578" s="23" t="n"/>
      <c r="R3578" s="24" t="n"/>
      <c r="S3578" s="24" t="n"/>
      <c r="Y3578" s="24" t="n"/>
    </row>
    <row r="3579">
      <c r="O3579" s="23" t="n"/>
      <c r="R3579" s="24" t="n"/>
      <c r="S3579" s="24" t="n"/>
      <c r="Y3579" s="24" t="n"/>
    </row>
    <row r="3580">
      <c r="O3580" s="23" t="n"/>
      <c r="R3580" s="24" t="n"/>
      <c r="S3580" s="24" t="n"/>
      <c r="Y3580" s="24" t="n"/>
    </row>
    <row r="3581">
      <c r="O3581" s="23" t="n"/>
      <c r="R3581" s="24" t="n"/>
      <c r="S3581" s="24" t="n"/>
      <c r="Y3581" s="24" t="n"/>
    </row>
    <row r="3582">
      <c r="O3582" s="23" t="n"/>
      <c r="R3582" s="24" t="n"/>
      <c r="S3582" s="24" t="n"/>
      <c r="Y3582" s="24" t="n"/>
    </row>
    <row r="3583">
      <c r="O3583" s="23" t="n"/>
      <c r="R3583" s="24" t="n"/>
      <c r="S3583" s="24" t="n"/>
      <c r="Y3583" s="24" t="n"/>
    </row>
    <row r="3584">
      <c r="O3584" s="23" t="n"/>
      <c r="R3584" s="24" t="n"/>
      <c r="S3584" s="24" t="n"/>
      <c r="Y3584" s="24" t="n"/>
    </row>
    <row r="3585">
      <c r="O3585" s="23" t="n"/>
      <c r="R3585" s="24" t="n"/>
      <c r="S3585" s="24" t="n"/>
      <c r="Y3585" s="24" t="n"/>
    </row>
    <row r="3586">
      <c r="O3586" s="23" t="n"/>
      <c r="R3586" s="24" t="n"/>
      <c r="S3586" s="24" t="n"/>
      <c r="Y3586" s="24" t="n"/>
    </row>
    <row r="3587">
      <c r="O3587" s="23" t="n"/>
      <c r="R3587" s="24" t="n"/>
      <c r="S3587" s="24" t="n"/>
      <c r="Y3587" s="24" t="n"/>
    </row>
    <row r="3588">
      <c r="O3588" s="23" t="n"/>
      <c r="R3588" s="24" t="n"/>
      <c r="S3588" s="24" t="n"/>
      <c r="Y3588" s="24" t="n"/>
    </row>
    <row r="3589">
      <c r="O3589" s="23" t="n"/>
      <c r="R3589" s="24" t="n"/>
      <c r="S3589" s="24" t="n"/>
      <c r="Y3589" s="24" t="n"/>
    </row>
    <row r="3590">
      <c r="O3590" s="23" t="n"/>
      <c r="R3590" s="24" t="n"/>
      <c r="S3590" s="24" t="n"/>
      <c r="Y3590" s="24" t="n"/>
    </row>
    <row r="3591">
      <c r="O3591" s="23" t="n"/>
      <c r="R3591" s="24" t="n"/>
      <c r="S3591" s="24" t="n"/>
      <c r="Y3591" s="24" t="n"/>
    </row>
    <row r="3592">
      <c r="O3592" s="23" t="n"/>
      <c r="R3592" s="24" t="n"/>
      <c r="S3592" s="24" t="n"/>
      <c r="Y3592" s="24" t="n"/>
    </row>
    <row r="3593">
      <c r="O3593" s="23" t="n"/>
      <c r="R3593" s="24" t="n"/>
      <c r="S3593" s="24" t="n"/>
      <c r="Y3593" s="24" t="n"/>
    </row>
    <row r="3594">
      <c r="O3594" s="23" t="n"/>
      <c r="R3594" s="24" t="n"/>
      <c r="S3594" s="24" t="n"/>
      <c r="Y3594" s="24" t="n"/>
    </row>
    <row r="3595">
      <c r="O3595" s="23" t="n"/>
      <c r="R3595" s="24" t="n"/>
      <c r="S3595" s="24" t="n"/>
      <c r="Y3595" s="24" t="n"/>
    </row>
    <row r="3596">
      <c r="O3596" s="23" t="n"/>
      <c r="R3596" s="24" t="n"/>
      <c r="S3596" s="24" t="n"/>
      <c r="Y3596" s="24" t="n"/>
    </row>
    <row r="3597">
      <c r="O3597" s="23" t="n"/>
      <c r="R3597" s="24" t="n"/>
      <c r="S3597" s="24" t="n"/>
      <c r="Y3597" s="24" t="n"/>
    </row>
    <row r="3598">
      <c r="O3598" s="23" t="n"/>
      <c r="R3598" s="24" t="n"/>
      <c r="S3598" s="24" t="n"/>
      <c r="Y3598" s="24" t="n"/>
    </row>
    <row r="3599">
      <c r="O3599" s="23" t="n"/>
      <c r="R3599" s="24" t="n"/>
      <c r="S3599" s="24" t="n"/>
      <c r="Y3599" s="24" t="n"/>
    </row>
    <row r="3600">
      <c r="O3600" s="23" t="n"/>
      <c r="R3600" s="24" t="n"/>
      <c r="S3600" s="24" t="n"/>
      <c r="Y3600" s="24" t="n"/>
    </row>
    <row r="3601">
      <c r="O3601" s="23" t="n"/>
      <c r="R3601" s="24" t="n"/>
      <c r="S3601" s="24" t="n"/>
      <c r="Y3601" s="24" t="n"/>
    </row>
    <row r="3602">
      <c r="O3602" s="23" t="n"/>
      <c r="R3602" s="24" t="n"/>
      <c r="S3602" s="24" t="n"/>
      <c r="Y3602" s="24" t="n"/>
    </row>
    <row r="3603">
      <c r="O3603" s="23" t="n"/>
      <c r="R3603" s="24" t="n"/>
      <c r="S3603" s="24" t="n"/>
      <c r="Y3603" s="24" t="n"/>
    </row>
    <row r="3604">
      <c r="O3604" s="23" t="n"/>
      <c r="R3604" s="24" t="n"/>
      <c r="S3604" s="24" t="n"/>
      <c r="Y3604" s="24" t="n"/>
    </row>
    <row r="3605">
      <c r="O3605" s="23" t="n"/>
      <c r="R3605" s="24" t="n"/>
      <c r="S3605" s="24" t="n"/>
      <c r="Y3605" s="24" t="n"/>
    </row>
    <row r="3606">
      <c r="O3606" s="23" t="n"/>
      <c r="R3606" s="24" t="n"/>
      <c r="S3606" s="24" t="n"/>
      <c r="Y3606" s="24" t="n"/>
    </row>
    <row r="3607">
      <c r="O3607" s="23" t="n"/>
      <c r="R3607" s="24" t="n"/>
      <c r="S3607" s="24" t="n"/>
      <c r="Y3607" s="24" t="n"/>
    </row>
    <row r="3608">
      <c r="O3608" s="23" t="n"/>
      <c r="R3608" s="24" t="n"/>
      <c r="S3608" s="24" t="n"/>
      <c r="Y3608" s="24" t="n"/>
    </row>
    <row r="3609">
      <c r="O3609" s="23" t="n"/>
      <c r="R3609" s="24" t="n"/>
      <c r="S3609" s="24" t="n"/>
      <c r="Y3609" s="24" t="n"/>
    </row>
    <row r="3610">
      <c r="O3610" s="23" t="n"/>
      <c r="R3610" s="24" t="n"/>
      <c r="S3610" s="24" t="n"/>
      <c r="Y3610" s="24" t="n"/>
    </row>
    <row r="3611">
      <c r="O3611" s="23" t="n"/>
      <c r="R3611" s="24" t="n"/>
      <c r="S3611" s="24" t="n"/>
      <c r="Y3611" s="24" t="n"/>
    </row>
    <row r="3612">
      <c r="O3612" s="23" t="n"/>
      <c r="R3612" s="24" t="n"/>
      <c r="S3612" s="24" t="n"/>
      <c r="Y3612" s="24" t="n"/>
    </row>
    <row r="3613">
      <c r="O3613" s="23" t="n"/>
      <c r="R3613" s="24" t="n"/>
      <c r="S3613" s="24" t="n"/>
      <c r="Y3613" s="24" t="n"/>
    </row>
    <row r="3614">
      <c r="O3614" s="23" t="n"/>
      <c r="R3614" s="24" t="n"/>
      <c r="S3614" s="24" t="n"/>
      <c r="Y3614" s="24" t="n"/>
    </row>
    <row r="3615">
      <c r="O3615" s="23" t="n"/>
      <c r="R3615" s="24" t="n"/>
      <c r="S3615" s="24" t="n"/>
      <c r="Y3615" s="24" t="n"/>
    </row>
    <row r="3616">
      <c r="O3616" s="23" t="n"/>
      <c r="R3616" s="24" t="n"/>
      <c r="S3616" s="24" t="n"/>
      <c r="Y3616" s="24" t="n"/>
    </row>
    <row r="3617">
      <c r="O3617" s="23" t="n"/>
      <c r="R3617" s="24" t="n"/>
      <c r="S3617" s="24" t="n"/>
      <c r="Y3617" s="24" t="n"/>
    </row>
    <row r="3618">
      <c r="O3618" s="23" t="n"/>
      <c r="R3618" s="24" t="n"/>
      <c r="S3618" s="24" t="n"/>
      <c r="Y3618" s="24" t="n"/>
    </row>
    <row r="3619">
      <c r="O3619" s="23" t="n"/>
      <c r="R3619" s="24" t="n"/>
      <c r="S3619" s="24" t="n"/>
      <c r="Y3619" s="24" t="n"/>
    </row>
    <row r="3620">
      <c r="O3620" s="23" t="n"/>
      <c r="R3620" s="24" t="n"/>
      <c r="S3620" s="24" t="n"/>
      <c r="Y3620" s="24" t="n"/>
    </row>
    <row r="3621">
      <c r="O3621" s="23" t="n"/>
      <c r="R3621" s="24" t="n"/>
      <c r="S3621" s="24" t="n"/>
      <c r="Y3621" s="24" t="n"/>
    </row>
    <row r="3622">
      <c r="O3622" s="23" t="n"/>
      <c r="R3622" s="24" t="n"/>
      <c r="S3622" s="24" t="n"/>
      <c r="Y3622" s="24" t="n"/>
    </row>
    <row r="3623">
      <c r="O3623" s="23" t="n"/>
      <c r="R3623" s="24" t="n"/>
      <c r="S3623" s="24" t="n"/>
      <c r="Y3623" s="24" t="n"/>
    </row>
    <row r="3624">
      <c r="O3624" s="23" t="n"/>
      <c r="R3624" s="24" t="n"/>
      <c r="S3624" s="24" t="n"/>
      <c r="Y3624" s="24" t="n"/>
    </row>
    <row r="3625">
      <c r="O3625" s="23" t="n"/>
      <c r="R3625" s="24" t="n"/>
      <c r="S3625" s="24" t="n"/>
      <c r="Y3625" s="24" t="n"/>
    </row>
    <row r="3626">
      <c r="O3626" s="23" t="n"/>
      <c r="R3626" s="24" t="n"/>
      <c r="S3626" s="24" t="n"/>
      <c r="Y3626" s="24" t="n"/>
    </row>
    <row r="3627">
      <c r="O3627" s="23" t="n"/>
      <c r="R3627" s="24" t="n"/>
      <c r="S3627" s="24" t="n"/>
      <c r="Y3627" s="24" t="n"/>
    </row>
    <row r="3628">
      <c r="O3628" s="23" t="n"/>
      <c r="R3628" s="24" t="n"/>
      <c r="S3628" s="24" t="n"/>
      <c r="Y3628" s="24" t="n"/>
    </row>
    <row r="3629">
      <c r="O3629" s="23" t="n"/>
      <c r="R3629" s="24" t="n"/>
      <c r="S3629" s="24" t="n"/>
      <c r="Y3629" s="24" t="n"/>
    </row>
    <row r="3630">
      <c r="O3630" s="23" t="n"/>
      <c r="R3630" s="24" t="n"/>
      <c r="S3630" s="24" t="n"/>
      <c r="Y3630" s="24" t="n"/>
    </row>
    <row r="3631">
      <c r="O3631" s="23" t="n"/>
      <c r="R3631" s="24" t="n"/>
      <c r="S3631" s="24" t="n"/>
      <c r="Y3631" s="24" t="n"/>
    </row>
    <row r="3632">
      <c r="O3632" s="23" t="n"/>
      <c r="R3632" s="24" t="n"/>
      <c r="S3632" s="24" t="n"/>
      <c r="Y3632" s="24" t="n"/>
    </row>
    <row r="3633">
      <c r="O3633" s="23" t="n"/>
      <c r="R3633" s="24" t="n"/>
      <c r="S3633" s="24" t="n"/>
      <c r="Y3633" s="24" t="n"/>
    </row>
    <row r="3634">
      <c r="O3634" s="23" t="n"/>
      <c r="R3634" s="24" t="n"/>
      <c r="S3634" s="24" t="n"/>
      <c r="Y3634" s="24" t="n"/>
    </row>
    <row r="3635">
      <c r="O3635" s="23" t="n"/>
      <c r="R3635" s="24" t="n"/>
      <c r="S3635" s="24" t="n"/>
      <c r="Y3635" s="24" t="n"/>
    </row>
    <row r="3636">
      <c r="O3636" s="23" t="n"/>
      <c r="R3636" s="24" t="n"/>
      <c r="S3636" s="24" t="n"/>
      <c r="Y3636" s="24" t="n"/>
    </row>
    <row r="3637">
      <c r="O3637" s="23" t="n"/>
      <c r="R3637" s="24" t="n"/>
      <c r="S3637" s="24" t="n"/>
      <c r="Y3637" s="24" t="n"/>
    </row>
    <row r="3638">
      <c r="O3638" s="23" t="n"/>
      <c r="R3638" s="24" t="n"/>
      <c r="S3638" s="24" t="n"/>
      <c r="Y3638" s="24" t="n"/>
    </row>
    <row r="3639">
      <c r="O3639" s="23" t="n"/>
      <c r="R3639" s="24" t="n"/>
      <c r="S3639" s="24" t="n"/>
      <c r="Y3639" s="24" t="n"/>
    </row>
    <row r="3640">
      <c r="O3640" s="23" t="n"/>
      <c r="R3640" s="24" t="n"/>
      <c r="S3640" s="24" t="n"/>
      <c r="Y3640" s="24" t="n"/>
    </row>
    <row r="3641">
      <c r="O3641" s="23" t="n"/>
      <c r="R3641" s="24" t="n"/>
      <c r="S3641" s="24" t="n"/>
      <c r="Y3641" s="24" t="n"/>
    </row>
    <row r="3642">
      <c r="O3642" s="23" t="n"/>
      <c r="R3642" s="24" t="n"/>
      <c r="S3642" s="24" t="n"/>
      <c r="Y3642" s="24" t="n"/>
    </row>
    <row r="3643">
      <c r="O3643" s="23" t="n"/>
      <c r="R3643" s="24" t="n"/>
      <c r="S3643" s="24" t="n"/>
      <c r="Y3643" s="24" t="n"/>
    </row>
    <row r="3644">
      <c r="O3644" s="23" t="n"/>
      <c r="R3644" s="24" t="n"/>
      <c r="S3644" s="24" t="n"/>
      <c r="Y3644" s="24" t="n"/>
    </row>
    <row r="3645">
      <c r="O3645" s="23" t="n"/>
      <c r="R3645" s="24" t="n"/>
      <c r="S3645" s="24" t="n"/>
      <c r="Y3645" s="24" t="n"/>
    </row>
    <row r="3646">
      <c r="O3646" s="23" t="n"/>
      <c r="R3646" s="24" t="n"/>
      <c r="S3646" s="24" t="n"/>
      <c r="Y3646" s="24" t="n"/>
    </row>
    <row r="3647">
      <c r="O3647" s="23" t="n"/>
      <c r="R3647" s="24" t="n"/>
      <c r="S3647" s="24" t="n"/>
      <c r="Y3647" s="24" t="n"/>
    </row>
    <row r="3648">
      <c r="O3648" s="23" t="n"/>
      <c r="R3648" s="24" t="n"/>
      <c r="S3648" s="24" t="n"/>
      <c r="Y3648" s="24" t="n"/>
    </row>
    <row r="3649">
      <c r="O3649" s="23" t="n"/>
      <c r="R3649" s="24" t="n"/>
      <c r="S3649" s="24" t="n"/>
      <c r="Y3649" s="24" t="n"/>
    </row>
    <row r="3650">
      <c r="O3650" s="23" t="n"/>
      <c r="R3650" s="24" t="n"/>
      <c r="S3650" s="24" t="n"/>
      <c r="Y3650" s="24" t="n"/>
    </row>
    <row r="3651">
      <c r="O3651" s="23" t="n"/>
      <c r="R3651" s="24" t="n"/>
      <c r="S3651" s="24" t="n"/>
      <c r="Y3651" s="24" t="n"/>
    </row>
    <row r="3652">
      <c r="O3652" s="23" t="n"/>
      <c r="R3652" s="24" t="n"/>
      <c r="S3652" s="24" t="n"/>
      <c r="Y3652" s="24" t="n"/>
    </row>
    <row r="3653">
      <c r="O3653" s="23" t="n"/>
      <c r="R3653" s="24" t="n"/>
      <c r="S3653" s="24" t="n"/>
      <c r="Y3653" s="24" t="n"/>
    </row>
    <row r="3654">
      <c r="O3654" s="23" t="n"/>
      <c r="R3654" s="24" t="n"/>
      <c r="S3654" s="24" t="n"/>
      <c r="Y3654" s="24" t="n"/>
    </row>
    <row r="3655">
      <c r="O3655" s="23" t="n"/>
      <c r="R3655" s="24" t="n"/>
      <c r="S3655" s="24" t="n"/>
      <c r="Y3655" s="24" t="n"/>
    </row>
    <row r="3656">
      <c r="O3656" s="23" t="n"/>
      <c r="R3656" s="24" t="n"/>
      <c r="S3656" s="24" t="n"/>
      <c r="Y3656" s="24" t="n"/>
    </row>
    <row r="3657">
      <c r="O3657" s="23" t="n"/>
      <c r="R3657" s="24" t="n"/>
      <c r="S3657" s="24" t="n"/>
      <c r="Y3657" s="24" t="n"/>
    </row>
    <row r="3658">
      <c r="O3658" s="23" t="n"/>
      <c r="R3658" s="24" t="n"/>
      <c r="S3658" s="24" t="n"/>
      <c r="Y3658" s="24" t="n"/>
    </row>
    <row r="3659">
      <c r="O3659" s="23" t="n"/>
      <c r="R3659" s="24" t="n"/>
      <c r="S3659" s="24" t="n"/>
      <c r="Y3659" s="24" t="n"/>
    </row>
    <row r="3660">
      <c r="O3660" s="23" t="n"/>
      <c r="R3660" s="24" t="n"/>
      <c r="S3660" s="24" t="n"/>
      <c r="Y3660" s="24" t="n"/>
    </row>
    <row r="3661">
      <c r="O3661" s="23" t="n"/>
      <c r="R3661" s="24" t="n"/>
      <c r="S3661" s="24" t="n"/>
      <c r="Y3661" s="24" t="n"/>
    </row>
    <row r="3662">
      <c r="O3662" s="23" t="n"/>
      <c r="R3662" s="24" t="n"/>
      <c r="S3662" s="24" t="n"/>
      <c r="Y3662" s="24" t="n"/>
    </row>
    <row r="3663">
      <c r="O3663" s="23" t="n"/>
      <c r="R3663" s="24" t="n"/>
      <c r="S3663" s="24" t="n"/>
      <c r="Y3663" s="24" t="n"/>
    </row>
    <row r="3664">
      <c r="O3664" s="23" t="n"/>
      <c r="R3664" s="24" t="n"/>
      <c r="S3664" s="24" t="n"/>
      <c r="Y3664" s="24" t="n"/>
    </row>
    <row r="3665">
      <c r="O3665" s="23" t="n"/>
      <c r="R3665" s="24" t="n"/>
      <c r="S3665" s="24" t="n"/>
      <c r="Y3665" s="24" t="n"/>
    </row>
    <row r="3666">
      <c r="O3666" s="23" t="n"/>
      <c r="R3666" s="24" t="n"/>
      <c r="S3666" s="24" t="n"/>
      <c r="Y3666" s="24" t="n"/>
    </row>
    <row r="3667">
      <c r="O3667" s="23" t="n"/>
      <c r="R3667" s="24" t="n"/>
      <c r="S3667" s="24" t="n"/>
      <c r="Y3667" s="24" t="n"/>
    </row>
    <row r="3668">
      <c r="O3668" s="23" t="n"/>
      <c r="R3668" s="24" t="n"/>
      <c r="S3668" s="24" t="n"/>
      <c r="Y3668" s="24" t="n"/>
    </row>
    <row r="3669">
      <c r="O3669" s="23" t="n"/>
      <c r="R3669" s="24" t="n"/>
      <c r="S3669" s="24" t="n"/>
      <c r="Y3669" s="24" t="n"/>
    </row>
    <row r="3670">
      <c r="O3670" s="23" t="n"/>
      <c r="R3670" s="24" t="n"/>
      <c r="S3670" s="24" t="n"/>
      <c r="Y3670" s="24" t="n"/>
    </row>
    <row r="3671">
      <c r="O3671" s="23" t="n"/>
      <c r="R3671" s="24" t="n"/>
      <c r="S3671" s="24" t="n"/>
      <c r="Y3671" s="24" t="n"/>
    </row>
    <row r="3672">
      <c r="O3672" s="23" t="n"/>
      <c r="R3672" s="24" t="n"/>
      <c r="S3672" s="24" t="n"/>
      <c r="Y3672" s="24" t="n"/>
    </row>
    <row r="3673">
      <c r="O3673" s="23" t="n"/>
      <c r="R3673" s="24" t="n"/>
      <c r="S3673" s="24" t="n"/>
      <c r="Y3673" s="24" t="n"/>
    </row>
    <row r="3674">
      <c r="O3674" s="23" t="n"/>
      <c r="R3674" s="24" t="n"/>
      <c r="S3674" s="24" t="n"/>
      <c r="Y3674" s="24" t="n"/>
    </row>
    <row r="3675">
      <c r="O3675" s="23" t="n"/>
      <c r="R3675" s="24" t="n"/>
      <c r="S3675" s="24" t="n"/>
      <c r="Y3675" s="24" t="n"/>
    </row>
    <row r="3676">
      <c r="O3676" s="23" t="n"/>
      <c r="R3676" s="24" t="n"/>
      <c r="S3676" s="24" t="n"/>
      <c r="Y3676" s="24" t="n"/>
    </row>
    <row r="3677">
      <c r="O3677" s="23" t="n"/>
      <c r="R3677" s="24" t="n"/>
      <c r="S3677" s="24" t="n"/>
      <c r="Y3677" s="24" t="n"/>
    </row>
    <row r="3678">
      <c r="O3678" s="23" t="n"/>
      <c r="R3678" s="24" t="n"/>
      <c r="S3678" s="24" t="n"/>
      <c r="Y3678" s="24" t="n"/>
    </row>
    <row r="3679">
      <c r="O3679" s="23" t="n"/>
      <c r="R3679" s="24" t="n"/>
      <c r="S3679" s="24" t="n"/>
      <c r="Y3679" s="24" t="n"/>
    </row>
    <row r="3680">
      <c r="O3680" s="23" t="n"/>
      <c r="R3680" s="24" t="n"/>
      <c r="S3680" s="24" t="n"/>
      <c r="Y3680" s="24" t="n"/>
    </row>
    <row r="3681">
      <c r="O3681" s="23" t="n"/>
      <c r="R3681" s="24" t="n"/>
      <c r="S3681" s="24" t="n"/>
      <c r="Y3681" s="24" t="n"/>
    </row>
    <row r="3682">
      <c r="O3682" s="23" t="n"/>
      <c r="R3682" s="24" t="n"/>
      <c r="S3682" s="24" t="n"/>
      <c r="Y3682" s="24" t="n"/>
    </row>
    <row r="3683">
      <c r="O3683" s="23" t="n"/>
      <c r="R3683" s="24" t="n"/>
      <c r="S3683" s="24" t="n"/>
      <c r="Y3683" s="24" t="n"/>
    </row>
    <row r="3684">
      <c r="O3684" s="23" t="n"/>
      <c r="R3684" s="24" t="n"/>
      <c r="S3684" s="24" t="n"/>
      <c r="Y3684" s="24" t="n"/>
    </row>
    <row r="3685">
      <c r="O3685" s="23" t="n"/>
      <c r="R3685" s="24" t="n"/>
      <c r="S3685" s="24" t="n"/>
      <c r="Y3685" s="24" t="n"/>
    </row>
    <row r="3686">
      <c r="O3686" s="23" t="n"/>
      <c r="R3686" s="24" t="n"/>
      <c r="S3686" s="24" t="n"/>
      <c r="Y3686" s="24" t="n"/>
    </row>
    <row r="3687">
      <c r="O3687" s="23" t="n"/>
      <c r="R3687" s="24" t="n"/>
      <c r="S3687" s="24" t="n"/>
      <c r="Y3687" s="24" t="n"/>
    </row>
    <row r="3688">
      <c r="O3688" s="23" t="n"/>
      <c r="R3688" s="24" t="n"/>
      <c r="S3688" s="24" t="n"/>
      <c r="Y3688" s="24" t="n"/>
    </row>
    <row r="3689">
      <c r="O3689" s="23" t="n"/>
      <c r="R3689" s="24" t="n"/>
      <c r="S3689" s="24" t="n"/>
      <c r="Y3689" s="24" t="n"/>
    </row>
    <row r="3690">
      <c r="O3690" s="23" t="n"/>
      <c r="R3690" s="24" t="n"/>
      <c r="S3690" s="24" t="n"/>
      <c r="Y3690" s="24" t="n"/>
    </row>
    <row r="3691">
      <c r="O3691" s="23" t="n"/>
      <c r="R3691" s="24" t="n"/>
      <c r="S3691" s="24" t="n"/>
      <c r="Y3691" s="24" t="n"/>
    </row>
    <row r="3692">
      <c r="O3692" s="23" t="n"/>
      <c r="R3692" s="24" t="n"/>
      <c r="S3692" s="24" t="n"/>
      <c r="Y3692" s="24" t="n"/>
    </row>
    <row r="3693">
      <c r="O3693" s="23" t="n"/>
      <c r="R3693" s="24" t="n"/>
      <c r="S3693" s="24" t="n"/>
      <c r="Y3693" s="24" t="n"/>
    </row>
    <row r="3694">
      <c r="O3694" s="23" t="n"/>
      <c r="R3694" s="24" t="n"/>
      <c r="S3694" s="24" t="n"/>
      <c r="Y3694" s="24" t="n"/>
    </row>
    <row r="3695">
      <c r="O3695" s="23" t="n"/>
      <c r="R3695" s="24" t="n"/>
      <c r="S3695" s="24" t="n"/>
      <c r="Y3695" s="24" t="n"/>
    </row>
    <row r="3696">
      <c r="O3696" s="23" t="n"/>
      <c r="R3696" s="24" t="n"/>
      <c r="S3696" s="24" t="n"/>
      <c r="Y3696" s="24" t="n"/>
    </row>
    <row r="3697">
      <c r="O3697" s="23" t="n"/>
      <c r="R3697" s="24" t="n"/>
      <c r="S3697" s="24" t="n"/>
      <c r="Y3697" s="24" t="n"/>
    </row>
    <row r="3698">
      <c r="O3698" s="23" t="n"/>
      <c r="R3698" s="24" t="n"/>
      <c r="S3698" s="24" t="n"/>
      <c r="Y3698" s="24" t="n"/>
    </row>
    <row r="3699">
      <c r="O3699" s="23" t="n"/>
      <c r="R3699" s="24" t="n"/>
      <c r="S3699" s="24" t="n"/>
      <c r="Y3699" s="24" t="n"/>
    </row>
    <row r="3700">
      <c r="O3700" s="23" t="n"/>
      <c r="R3700" s="24" t="n"/>
      <c r="S3700" s="24" t="n"/>
      <c r="Y3700" s="24" t="n"/>
    </row>
    <row r="3701">
      <c r="O3701" s="23" t="n"/>
      <c r="R3701" s="24" t="n"/>
      <c r="S3701" s="24" t="n"/>
      <c r="Y3701" s="24" t="n"/>
    </row>
    <row r="3702">
      <c r="O3702" s="23" t="n"/>
      <c r="R3702" s="24" t="n"/>
      <c r="S3702" s="24" t="n"/>
      <c r="Y3702" s="24" t="n"/>
    </row>
    <row r="3703">
      <c r="O3703" s="23" t="n"/>
      <c r="R3703" s="24" t="n"/>
      <c r="S3703" s="24" t="n"/>
      <c r="Y3703" s="24" t="n"/>
    </row>
    <row r="3704">
      <c r="O3704" s="23" t="n"/>
      <c r="R3704" s="24" t="n"/>
      <c r="S3704" s="24" t="n"/>
      <c r="Y3704" s="24" t="n"/>
    </row>
    <row r="3705">
      <c r="O3705" s="23" t="n"/>
      <c r="R3705" s="24" t="n"/>
      <c r="S3705" s="24" t="n"/>
      <c r="Y3705" s="24" t="n"/>
    </row>
    <row r="3706">
      <c r="O3706" s="23" t="n"/>
      <c r="R3706" s="24" t="n"/>
      <c r="S3706" s="24" t="n"/>
      <c r="Y3706" s="24" t="n"/>
    </row>
    <row r="3707">
      <c r="O3707" s="23" t="n"/>
      <c r="R3707" s="24" t="n"/>
      <c r="S3707" s="24" t="n"/>
      <c r="Y3707" s="24" t="n"/>
    </row>
    <row r="3708">
      <c r="O3708" s="23" t="n"/>
      <c r="R3708" s="24" t="n"/>
      <c r="S3708" s="24" t="n"/>
      <c r="Y3708" s="24" t="n"/>
    </row>
    <row r="3709">
      <c r="O3709" s="23" t="n"/>
      <c r="R3709" s="24" t="n"/>
      <c r="S3709" s="24" t="n"/>
      <c r="Y3709" s="24" t="n"/>
    </row>
    <row r="3710">
      <c r="O3710" s="23" t="n"/>
      <c r="R3710" s="24" t="n"/>
      <c r="S3710" s="24" t="n"/>
      <c r="Y3710" s="24" t="n"/>
    </row>
    <row r="3711">
      <c r="O3711" s="23" t="n"/>
      <c r="R3711" s="24" t="n"/>
      <c r="S3711" s="24" t="n"/>
      <c r="Y3711" s="24" t="n"/>
    </row>
    <row r="3712">
      <c r="O3712" s="23" t="n"/>
      <c r="R3712" s="24" t="n"/>
      <c r="S3712" s="24" t="n"/>
      <c r="Y3712" s="24" t="n"/>
    </row>
    <row r="3713">
      <c r="O3713" s="23" t="n"/>
      <c r="R3713" s="24" t="n"/>
      <c r="S3713" s="24" t="n"/>
      <c r="Y3713" s="24" t="n"/>
    </row>
    <row r="3714">
      <c r="O3714" s="23" t="n"/>
      <c r="R3714" s="24" t="n"/>
      <c r="S3714" s="24" t="n"/>
      <c r="Y3714" s="24" t="n"/>
    </row>
    <row r="3715">
      <c r="O3715" s="23" t="n"/>
      <c r="R3715" s="24" t="n"/>
      <c r="S3715" s="24" t="n"/>
      <c r="Y3715" s="24" t="n"/>
    </row>
    <row r="3716">
      <c r="O3716" s="23" t="n"/>
      <c r="R3716" s="24" t="n"/>
      <c r="S3716" s="24" t="n"/>
      <c r="Y3716" s="24" t="n"/>
    </row>
    <row r="3717">
      <c r="O3717" s="23" t="n"/>
      <c r="R3717" s="24" t="n"/>
      <c r="S3717" s="24" t="n"/>
      <c r="Y3717" s="24" t="n"/>
    </row>
    <row r="3718">
      <c r="O3718" s="23" t="n"/>
      <c r="R3718" s="24" t="n"/>
      <c r="S3718" s="24" t="n"/>
      <c r="Y3718" s="24" t="n"/>
    </row>
    <row r="3719">
      <c r="O3719" s="23" t="n"/>
      <c r="R3719" s="24" t="n"/>
      <c r="S3719" s="24" t="n"/>
      <c r="Y3719" s="24" t="n"/>
    </row>
    <row r="3720">
      <c r="O3720" s="23" t="n"/>
      <c r="R3720" s="24" t="n"/>
      <c r="S3720" s="24" t="n"/>
      <c r="Y3720" s="24" t="n"/>
    </row>
    <row r="3721">
      <c r="O3721" s="23" t="n"/>
      <c r="R3721" s="24" t="n"/>
      <c r="S3721" s="24" t="n"/>
      <c r="Y3721" s="24" t="n"/>
    </row>
    <row r="3722">
      <c r="O3722" s="23" t="n"/>
      <c r="R3722" s="24" t="n"/>
      <c r="S3722" s="24" t="n"/>
      <c r="Y3722" s="24" t="n"/>
    </row>
    <row r="3723">
      <c r="O3723" s="23" t="n"/>
      <c r="R3723" s="24" t="n"/>
      <c r="S3723" s="24" t="n"/>
      <c r="Y3723" s="24" t="n"/>
    </row>
    <row r="3724">
      <c r="O3724" s="23" t="n"/>
      <c r="R3724" s="24" t="n"/>
      <c r="S3724" s="24" t="n"/>
      <c r="Y3724" s="24" t="n"/>
    </row>
    <row r="3725">
      <c r="O3725" s="23" t="n"/>
      <c r="R3725" s="24" t="n"/>
      <c r="S3725" s="24" t="n"/>
      <c r="Y3725" s="24" t="n"/>
    </row>
    <row r="3726">
      <c r="O3726" s="23" t="n"/>
      <c r="R3726" s="24" t="n"/>
      <c r="S3726" s="24" t="n"/>
      <c r="Y3726" s="24" t="n"/>
    </row>
    <row r="3727">
      <c r="O3727" s="23" t="n"/>
      <c r="R3727" s="24" t="n"/>
      <c r="S3727" s="24" t="n"/>
      <c r="Y3727" s="24" t="n"/>
    </row>
    <row r="3728">
      <c r="O3728" s="23" t="n"/>
      <c r="R3728" s="24" t="n"/>
      <c r="S3728" s="24" t="n"/>
      <c r="Y3728" s="24" t="n"/>
    </row>
    <row r="3729">
      <c r="O3729" s="23" t="n"/>
      <c r="R3729" s="24" t="n"/>
      <c r="S3729" s="24" t="n"/>
      <c r="Y3729" s="24" t="n"/>
    </row>
    <row r="3730">
      <c r="O3730" s="23" t="n"/>
      <c r="R3730" s="24" t="n"/>
      <c r="S3730" s="24" t="n"/>
      <c r="Y3730" s="24" t="n"/>
    </row>
    <row r="3731">
      <c r="O3731" s="23" t="n"/>
      <c r="R3731" s="24" t="n"/>
      <c r="S3731" s="24" t="n"/>
      <c r="Y3731" s="24" t="n"/>
    </row>
    <row r="3732">
      <c r="O3732" s="23" t="n"/>
      <c r="R3732" s="24" t="n"/>
      <c r="S3732" s="24" t="n"/>
      <c r="Y3732" s="24" t="n"/>
    </row>
    <row r="3733">
      <c r="O3733" s="23" t="n"/>
      <c r="R3733" s="24" t="n"/>
      <c r="S3733" s="24" t="n"/>
      <c r="Y3733" s="24" t="n"/>
    </row>
    <row r="3734">
      <c r="O3734" s="23" t="n"/>
      <c r="R3734" s="24" t="n"/>
      <c r="S3734" s="24" t="n"/>
      <c r="Y3734" s="24" t="n"/>
    </row>
    <row r="3735">
      <c r="O3735" s="23" t="n"/>
      <c r="R3735" s="24" t="n"/>
      <c r="S3735" s="24" t="n"/>
      <c r="Y3735" s="24" t="n"/>
    </row>
    <row r="3736">
      <c r="O3736" s="23" t="n"/>
      <c r="R3736" s="24" t="n"/>
      <c r="S3736" s="24" t="n"/>
      <c r="Y3736" s="24" t="n"/>
    </row>
    <row r="3737">
      <c r="O3737" s="23" t="n"/>
      <c r="R3737" s="24" t="n"/>
      <c r="S3737" s="24" t="n"/>
      <c r="Y3737" s="24" t="n"/>
    </row>
    <row r="3738">
      <c r="O3738" s="23" t="n"/>
      <c r="R3738" s="24" t="n"/>
      <c r="S3738" s="24" t="n"/>
      <c r="Y3738" s="24" t="n"/>
    </row>
    <row r="3739">
      <c r="O3739" s="23" t="n"/>
      <c r="R3739" s="24" t="n"/>
      <c r="S3739" s="24" t="n"/>
      <c r="Y3739" s="24" t="n"/>
    </row>
    <row r="3740">
      <c r="O3740" s="23" t="n"/>
      <c r="R3740" s="24" t="n"/>
      <c r="S3740" s="24" t="n"/>
      <c r="Y3740" s="24" t="n"/>
    </row>
    <row r="3741">
      <c r="O3741" s="23" t="n"/>
      <c r="R3741" s="24" t="n"/>
      <c r="S3741" s="24" t="n"/>
      <c r="Y3741" s="24" t="n"/>
    </row>
    <row r="3742">
      <c r="O3742" s="23" t="n"/>
      <c r="R3742" s="24" t="n"/>
      <c r="S3742" s="24" t="n"/>
      <c r="Y3742" s="24" t="n"/>
    </row>
    <row r="3743">
      <c r="O3743" s="23" t="n"/>
      <c r="R3743" s="24" t="n"/>
      <c r="S3743" s="24" t="n"/>
      <c r="Y3743" s="24" t="n"/>
    </row>
    <row r="3744">
      <c r="O3744" s="23" t="n"/>
      <c r="R3744" s="24" t="n"/>
      <c r="S3744" s="24" t="n"/>
      <c r="Y3744" s="24" t="n"/>
    </row>
    <row r="3745">
      <c r="O3745" s="23" t="n"/>
      <c r="R3745" s="24" t="n"/>
      <c r="S3745" s="24" t="n"/>
      <c r="Y3745" s="24" t="n"/>
    </row>
    <row r="3746">
      <c r="O3746" s="23" t="n"/>
      <c r="R3746" s="24" t="n"/>
      <c r="S3746" s="24" t="n"/>
      <c r="Y3746" s="24" t="n"/>
    </row>
    <row r="3747">
      <c r="O3747" s="23" t="n"/>
      <c r="R3747" s="24" t="n"/>
      <c r="S3747" s="24" t="n"/>
      <c r="Y3747" s="24" t="n"/>
    </row>
    <row r="3748">
      <c r="O3748" s="23" t="n"/>
      <c r="R3748" s="24" t="n"/>
      <c r="S3748" s="24" t="n"/>
      <c r="Y3748" s="24" t="n"/>
    </row>
    <row r="3749">
      <c r="O3749" s="23" t="n"/>
      <c r="R3749" s="24" t="n"/>
      <c r="S3749" s="24" t="n"/>
      <c r="Y3749" s="24" t="n"/>
    </row>
    <row r="3750">
      <c r="O3750" s="23" t="n"/>
      <c r="R3750" s="24" t="n"/>
      <c r="S3750" s="24" t="n"/>
      <c r="Y3750" s="24" t="n"/>
    </row>
    <row r="3751">
      <c r="O3751" s="23" t="n"/>
      <c r="R3751" s="24" t="n"/>
      <c r="S3751" s="24" t="n"/>
      <c r="Y3751" s="24" t="n"/>
    </row>
    <row r="3752">
      <c r="O3752" s="23" t="n"/>
      <c r="R3752" s="24" t="n"/>
      <c r="S3752" s="24" t="n"/>
      <c r="Y3752" s="24" t="n"/>
    </row>
    <row r="3753">
      <c r="O3753" s="23" t="n"/>
      <c r="R3753" s="24" t="n"/>
      <c r="S3753" s="24" t="n"/>
      <c r="Y3753" s="24" t="n"/>
    </row>
    <row r="3754">
      <c r="O3754" s="23" t="n"/>
      <c r="R3754" s="24" t="n"/>
      <c r="S3754" s="24" t="n"/>
      <c r="Y3754" s="24" t="n"/>
    </row>
    <row r="3755">
      <c r="O3755" s="23" t="n"/>
      <c r="R3755" s="24" t="n"/>
      <c r="S3755" s="24" t="n"/>
      <c r="Y3755" s="24" t="n"/>
    </row>
    <row r="3756">
      <c r="O3756" s="23" t="n"/>
      <c r="R3756" s="24" t="n"/>
      <c r="S3756" s="24" t="n"/>
      <c r="Y3756" s="24" t="n"/>
    </row>
    <row r="3757">
      <c r="O3757" s="23" t="n"/>
      <c r="R3757" s="24" t="n"/>
      <c r="S3757" s="24" t="n"/>
      <c r="Y3757" s="24" t="n"/>
    </row>
    <row r="3758">
      <c r="O3758" s="23" t="n"/>
      <c r="R3758" s="24" t="n"/>
      <c r="S3758" s="24" t="n"/>
      <c r="Y3758" s="24" t="n"/>
    </row>
    <row r="3759">
      <c r="O3759" s="23" t="n"/>
      <c r="R3759" s="24" t="n"/>
      <c r="S3759" s="24" t="n"/>
      <c r="Y3759" s="24" t="n"/>
    </row>
    <row r="3760">
      <c r="O3760" s="23" t="n"/>
      <c r="R3760" s="24" t="n"/>
      <c r="S3760" s="24" t="n"/>
      <c r="Y3760" s="24" t="n"/>
    </row>
    <row r="3761">
      <c r="O3761" s="23" t="n"/>
      <c r="R3761" s="24" t="n"/>
      <c r="S3761" s="24" t="n"/>
      <c r="Y3761" s="24" t="n"/>
    </row>
    <row r="3762">
      <c r="O3762" s="23" t="n"/>
      <c r="R3762" s="24" t="n"/>
      <c r="S3762" s="24" t="n"/>
      <c r="Y3762" s="24" t="n"/>
    </row>
    <row r="3763">
      <c r="O3763" s="23" t="n"/>
      <c r="R3763" s="24" t="n"/>
      <c r="S3763" s="24" t="n"/>
      <c r="Y3763" s="24" t="n"/>
    </row>
    <row r="3764">
      <c r="O3764" s="23" t="n"/>
      <c r="R3764" s="24" t="n"/>
      <c r="S3764" s="24" t="n"/>
      <c r="Y3764" s="24" t="n"/>
    </row>
    <row r="3765">
      <c r="O3765" s="23" t="n"/>
      <c r="R3765" s="24" t="n"/>
      <c r="S3765" s="24" t="n"/>
      <c r="Y3765" s="24" t="n"/>
    </row>
    <row r="3766">
      <c r="O3766" s="23" t="n"/>
      <c r="R3766" s="24" t="n"/>
      <c r="S3766" s="24" t="n"/>
      <c r="Y3766" s="24" t="n"/>
    </row>
    <row r="3767">
      <c r="O3767" s="23" t="n"/>
      <c r="R3767" s="24" t="n"/>
      <c r="S3767" s="24" t="n"/>
      <c r="Y3767" s="24" t="n"/>
    </row>
    <row r="3768">
      <c r="O3768" s="23" t="n"/>
      <c r="R3768" s="24" t="n"/>
      <c r="S3768" s="24" t="n"/>
      <c r="Y3768" s="24" t="n"/>
    </row>
    <row r="3769">
      <c r="O3769" s="23" t="n"/>
      <c r="R3769" s="24" t="n"/>
      <c r="S3769" s="24" t="n"/>
      <c r="Y3769" s="24" t="n"/>
    </row>
    <row r="3770">
      <c r="O3770" s="23" t="n"/>
      <c r="R3770" s="24" t="n"/>
      <c r="S3770" s="24" t="n"/>
      <c r="Y3770" s="24" t="n"/>
    </row>
    <row r="3771">
      <c r="O3771" s="23" t="n"/>
      <c r="R3771" s="24" t="n"/>
      <c r="S3771" s="24" t="n"/>
      <c r="Y3771" s="24" t="n"/>
    </row>
    <row r="3772">
      <c r="O3772" s="23" t="n"/>
      <c r="R3772" s="24" t="n"/>
      <c r="S3772" s="24" t="n"/>
      <c r="Y3772" s="24" t="n"/>
    </row>
    <row r="3773">
      <c r="O3773" s="23" t="n"/>
      <c r="R3773" s="24" t="n"/>
      <c r="S3773" s="24" t="n"/>
      <c r="Y3773" s="24" t="n"/>
    </row>
    <row r="3774">
      <c r="O3774" s="23" t="n"/>
      <c r="R3774" s="24" t="n"/>
      <c r="S3774" s="24" t="n"/>
      <c r="Y3774" s="24" t="n"/>
    </row>
    <row r="3775">
      <c r="O3775" s="23" t="n"/>
      <c r="R3775" s="24" t="n"/>
      <c r="S3775" s="24" t="n"/>
      <c r="Y3775" s="24" t="n"/>
    </row>
    <row r="3776">
      <c r="O3776" s="23" t="n"/>
      <c r="R3776" s="24" t="n"/>
      <c r="S3776" s="24" t="n"/>
      <c r="Y3776" s="24" t="n"/>
    </row>
    <row r="3777">
      <c r="O3777" s="23" t="n"/>
      <c r="R3777" s="24" t="n"/>
      <c r="S3777" s="24" t="n"/>
      <c r="Y3777" s="24" t="n"/>
    </row>
    <row r="3778">
      <c r="O3778" s="23" t="n"/>
      <c r="R3778" s="24" t="n"/>
      <c r="S3778" s="24" t="n"/>
      <c r="Y3778" s="24" t="n"/>
    </row>
    <row r="3779">
      <c r="O3779" s="23" t="n"/>
      <c r="R3779" s="24" t="n"/>
      <c r="S3779" s="24" t="n"/>
      <c r="Y3779" s="24" t="n"/>
    </row>
    <row r="3780">
      <c r="O3780" s="23" t="n"/>
      <c r="R3780" s="24" t="n"/>
      <c r="S3780" s="24" t="n"/>
      <c r="Y3780" s="24" t="n"/>
    </row>
    <row r="3781">
      <c r="O3781" s="23" t="n"/>
      <c r="R3781" s="24" t="n"/>
      <c r="S3781" s="24" t="n"/>
      <c r="Y3781" s="24" t="n"/>
    </row>
    <row r="3782">
      <c r="O3782" s="23" t="n"/>
      <c r="R3782" s="24" t="n"/>
      <c r="S3782" s="24" t="n"/>
      <c r="Y3782" s="24" t="n"/>
    </row>
    <row r="3783">
      <c r="O3783" s="23" t="n"/>
      <c r="R3783" s="24" t="n"/>
      <c r="S3783" s="24" t="n"/>
      <c r="Y3783" s="24" t="n"/>
    </row>
    <row r="3784">
      <c r="O3784" s="23" t="n"/>
      <c r="R3784" s="24" t="n"/>
      <c r="S3784" s="24" t="n"/>
      <c r="Y3784" s="24" t="n"/>
    </row>
    <row r="3785">
      <c r="O3785" s="23" t="n"/>
      <c r="R3785" s="24" t="n"/>
      <c r="S3785" s="24" t="n"/>
      <c r="Y3785" s="24" t="n"/>
    </row>
    <row r="3786">
      <c r="O3786" s="23" t="n"/>
      <c r="R3786" s="24" t="n"/>
      <c r="S3786" s="24" t="n"/>
      <c r="Y3786" s="24" t="n"/>
    </row>
    <row r="3787">
      <c r="O3787" s="23" t="n"/>
      <c r="R3787" s="24" t="n"/>
      <c r="S3787" s="24" t="n"/>
      <c r="Y3787" s="24" t="n"/>
    </row>
    <row r="3788">
      <c r="O3788" s="23" t="n"/>
      <c r="R3788" s="24" t="n"/>
      <c r="S3788" s="24" t="n"/>
      <c r="Y3788" s="24" t="n"/>
    </row>
    <row r="3789">
      <c r="O3789" s="23" t="n"/>
      <c r="R3789" s="24" t="n"/>
      <c r="S3789" s="24" t="n"/>
      <c r="Y3789" s="24" t="n"/>
    </row>
    <row r="3790">
      <c r="O3790" s="23" t="n"/>
      <c r="R3790" s="24" t="n"/>
      <c r="S3790" s="24" t="n"/>
      <c r="Y3790" s="24" t="n"/>
    </row>
    <row r="3791">
      <c r="O3791" s="23" t="n"/>
      <c r="R3791" s="24" t="n"/>
      <c r="S3791" s="24" t="n"/>
      <c r="Y3791" s="24" t="n"/>
    </row>
    <row r="3792">
      <c r="O3792" s="23" t="n"/>
      <c r="R3792" s="24" t="n"/>
      <c r="S3792" s="24" t="n"/>
      <c r="Y3792" s="24" t="n"/>
    </row>
    <row r="3793">
      <c r="O3793" s="23" t="n"/>
      <c r="R3793" s="24" t="n"/>
      <c r="S3793" s="24" t="n"/>
      <c r="Y3793" s="24" t="n"/>
    </row>
    <row r="3794">
      <c r="O3794" s="23" t="n"/>
      <c r="R3794" s="24" t="n"/>
      <c r="S3794" s="24" t="n"/>
      <c r="Y3794" s="24" t="n"/>
    </row>
    <row r="3795">
      <c r="O3795" s="23" t="n"/>
      <c r="R3795" s="24" t="n"/>
      <c r="S3795" s="24" t="n"/>
      <c r="Y3795" s="24" t="n"/>
    </row>
    <row r="3796">
      <c r="O3796" s="23" t="n"/>
      <c r="R3796" s="24" t="n"/>
      <c r="S3796" s="24" t="n"/>
      <c r="Y3796" s="24" t="n"/>
    </row>
    <row r="3797">
      <c r="O3797" s="23" t="n"/>
      <c r="R3797" s="24" t="n"/>
      <c r="S3797" s="24" t="n"/>
      <c r="Y3797" s="24" t="n"/>
    </row>
    <row r="3798">
      <c r="O3798" s="23" t="n"/>
      <c r="R3798" s="24" t="n"/>
      <c r="S3798" s="24" t="n"/>
      <c r="Y3798" s="24" t="n"/>
    </row>
    <row r="3799">
      <c r="O3799" s="23" t="n"/>
      <c r="R3799" s="24" t="n"/>
      <c r="S3799" s="24" t="n"/>
      <c r="Y3799" s="24" t="n"/>
    </row>
    <row r="3800">
      <c r="O3800" s="23" t="n"/>
      <c r="R3800" s="24" t="n"/>
      <c r="S3800" s="24" t="n"/>
      <c r="Y3800" s="24" t="n"/>
    </row>
    <row r="3801">
      <c r="O3801" s="23" t="n"/>
      <c r="R3801" s="24" t="n"/>
      <c r="S3801" s="24" t="n"/>
      <c r="Y3801" s="24" t="n"/>
    </row>
    <row r="3802">
      <c r="O3802" s="23" t="n"/>
      <c r="R3802" s="24" t="n"/>
      <c r="S3802" s="24" t="n"/>
      <c r="Y3802" s="24" t="n"/>
    </row>
    <row r="3803">
      <c r="O3803" s="23" t="n"/>
      <c r="R3803" s="24" t="n"/>
      <c r="S3803" s="24" t="n"/>
      <c r="Y3803" s="24" t="n"/>
    </row>
    <row r="3804">
      <c r="O3804" s="23" t="n"/>
      <c r="R3804" s="24" t="n"/>
      <c r="S3804" s="24" t="n"/>
      <c r="Y3804" s="24" t="n"/>
    </row>
    <row r="3805">
      <c r="O3805" s="23" t="n"/>
      <c r="R3805" s="24" t="n"/>
      <c r="S3805" s="24" t="n"/>
      <c r="Y3805" s="24" t="n"/>
    </row>
    <row r="3806">
      <c r="O3806" s="23" t="n"/>
      <c r="R3806" s="24" t="n"/>
      <c r="S3806" s="24" t="n"/>
      <c r="Y3806" s="24" t="n"/>
    </row>
    <row r="3807">
      <c r="O3807" s="23" t="n"/>
      <c r="R3807" s="24" t="n"/>
      <c r="S3807" s="24" t="n"/>
      <c r="Y3807" s="24" t="n"/>
    </row>
    <row r="3808">
      <c r="O3808" s="23" t="n"/>
      <c r="R3808" s="24" t="n"/>
      <c r="S3808" s="24" t="n"/>
      <c r="Y3808" s="24" t="n"/>
    </row>
    <row r="3809">
      <c r="O3809" s="23" t="n"/>
      <c r="R3809" s="24" t="n"/>
      <c r="S3809" s="24" t="n"/>
      <c r="Y3809" s="24" t="n"/>
    </row>
    <row r="3810">
      <c r="O3810" s="23" t="n"/>
      <c r="R3810" s="24" t="n"/>
      <c r="S3810" s="24" t="n"/>
      <c r="Y3810" s="24" t="n"/>
    </row>
    <row r="3811">
      <c r="O3811" s="23" t="n"/>
      <c r="R3811" s="24" t="n"/>
      <c r="S3811" s="24" t="n"/>
      <c r="Y3811" s="24" t="n"/>
    </row>
    <row r="3812">
      <c r="O3812" s="23" t="n"/>
      <c r="R3812" s="24" t="n"/>
      <c r="S3812" s="24" t="n"/>
      <c r="Y3812" s="24" t="n"/>
    </row>
    <row r="3813">
      <c r="O3813" s="23" t="n"/>
      <c r="R3813" s="24" t="n"/>
      <c r="S3813" s="24" t="n"/>
      <c r="Y3813" s="24" t="n"/>
    </row>
    <row r="3814">
      <c r="O3814" s="23" t="n"/>
      <c r="R3814" s="24" t="n"/>
      <c r="S3814" s="24" t="n"/>
      <c r="Y3814" s="24" t="n"/>
    </row>
    <row r="3815">
      <c r="O3815" s="23" t="n"/>
      <c r="R3815" s="24" t="n"/>
      <c r="S3815" s="24" t="n"/>
      <c r="Y3815" s="24" t="n"/>
    </row>
    <row r="3816">
      <c r="O3816" s="23" t="n"/>
      <c r="R3816" s="24" t="n"/>
      <c r="S3816" s="24" t="n"/>
      <c r="Y3816" s="24" t="n"/>
    </row>
    <row r="3817">
      <c r="O3817" s="23" t="n"/>
      <c r="R3817" s="24" t="n"/>
      <c r="S3817" s="24" t="n"/>
      <c r="Y3817" s="24" t="n"/>
    </row>
    <row r="3818">
      <c r="O3818" s="23" t="n"/>
      <c r="R3818" s="24" t="n"/>
      <c r="S3818" s="24" t="n"/>
      <c r="Y3818" s="24" t="n"/>
    </row>
    <row r="3819">
      <c r="O3819" s="23" t="n"/>
      <c r="R3819" s="24" t="n"/>
      <c r="S3819" s="24" t="n"/>
      <c r="Y3819" s="24" t="n"/>
    </row>
    <row r="3820">
      <c r="O3820" s="23" t="n"/>
      <c r="R3820" s="24" t="n"/>
      <c r="S3820" s="24" t="n"/>
      <c r="Y3820" s="24" t="n"/>
    </row>
    <row r="3821">
      <c r="O3821" s="23" t="n"/>
      <c r="R3821" s="24" t="n"/>
      <c r="S3821" s="24" t="n"/>
      <c r="Y3821" s="24" t="n"/>
    </row>
    <row r="3822">
      <c r="O3822" s="23" t="n"/>
      <c r="R3822" s="24" t="n"/>
      <c r="S3822" s="24" t="n"/>
      <c r="Y3822" s="24" t="n"/>
    </row>
    <row r="3823">
      <c r="O3823" s="23" t="n"/>
      <c r="R3823" s="24" t="n"/>
      <c r="S3823" s="24" t="n"/>
      <c r="Y3823" s="24" t="n"/>
    </row>
    <row r="3824">
      <c r="O3824" s="23" t="n"/>
      <c r="R3824" s="24" t="n"/>
      <c r="S3824" s="24" t="n"/>
      <c r="Y3824" s="24" t="n"/>
    </row>
    <row r="3825">
      <c r="O3825" s="23" t="n"/>
      <c r="R3825" s="24" t="n"/>
      <c r="S3825" s="24" t="n"/>
      <c r="Y3825" s="24" t="n"/>
    </row>
    <row r="3826">
      <c r="O3826" s="23" t="n"/>
      <c r="R3826" s="24" t="n"/>
      <c r="S3826" s="24" t="n"/>
      <c r="Y3826" s="24" t="n"/>
    </row>
    <row r="3827">
      <c r="O3827" s="23" t="n"/>
      <c r="R3827" s="24" t="n"/>
      <c r="S3827" s="24" t="n"/>
      <c r="Y3827" s="24" t="n"/>
    </row>
    <row r="3828">
      <c r="O3828" s="23" t="n"/>
      <c r="R3828" s="24" t="n"/>
      <c r="S3828" s="24" t="n"/>
      <c r="Y3828" s="24" t="n"/>
    </row>
    <row r="3829">
      <c r="O3829" s="23" t="n"/>
      <c r="R3829" s="24" t="n"/>
      <c r="S3829" s="24" t="n"/>
      <c r="Y3829" s="24" t="n"/>
    </row>
    <row r="3830">
      <c r="O3830" s="23" t="n"/>
      <c r="R3830" s="24" t="n"/>
      <c r="S3830" s="24" t="n"/>
      <c r="Y3830" s="24" t="n"/>
    </row>
    <row r="3831">
      <c r="O3831" s="23" t="n"/>
      <c r="R3831" s="24" t="n"/>
      <c r="S3831" s="24" t="n"/>
      <c r="Y3831" s="24" t="n"/>
    </row>
    <row r="3832">
      <c r="O3832" s="23" t="n"/>
      <c r="R3832" s="24" t="n"/>
      <c r="S3832" s="24" t="n"/>
      <c r="Y3832" s="24" t="n"/>
    </row>
    <row r="3833">
      <c r="O3833" s="23" t="n"/>
      <c r="R3833" s="24" t="n"/>
      <c r="S3833" s="24" t="n"/>
      <c r="Y3833" s="24" t="n"/>
    </row>
    <row r="3834">
      <c r="O3834" s="23" t="n"/>
      <c r="R3834" s="24" t="n"/>
      <c r="S3834" s="24" t="n"/>
      <c r="Y3834" s="24" t="n"/>
    </row>
    <row r="3835">
      <c r="O3835" s="23" t="n"/>
      <c r="R3835" s="24" t="n"/>
      <c r="S3835" s="24" t="n"/>
      <c r="Y3835" s="24" t="n"/>
    </row>
    <row r="3836">
      <c r="O3836" s="23" t="n"/>
      <c r="R3836" s="24" t="n"/>
      <c r="S3836" s="24" t="n"/>
      <c r="Y3836" s="24" t="n"/>
    </row>
    <row r="3837">
      <c r="O3837" s="23" t="n"/>
      <c r="R3837" s="24" t="n"/>
      <c r="S3837" s="24" t="n"/>
      <c r="Y3837" s="24" t="n"/>
    </row>
    <row r="3838">
      <c r="O3838" s="23" t="n"/>
      <c r="R3838" s="24" t="n"/>
      <c r="S3838" s="24" t="n"/>
      <c r="Y3838" s="24" t="n"/>
    </row>
    <row r="3839">
      <c r="O3839" s="23" t="n"/>
      <c r="R3839" s="24" t="n"/>
      <c r="S3839" s="24" t="n"/>
      <c r="Y3839" s="24" t="n"/>
    </row>
    <row r="3840">
      <c r="O3840" s="23" t="n"/>
      <c r="R3840" s="24" t="n"/>
      <c r="S3840" s="24" t="n"/>
      <c r="Y3840" s="24" t="n"/>
    </row>
    <row r="3841">
      <c r="O3841" s="23" t="n"/>
      <c r="R3841" s="24" t="n"/>
      <c r="S3841" s="24" t="n"/>
      <c r="Y3841" s="24" t="n"/>
    </row>
    <row r="3842">
      <c r="O3842" s="23" t="n"/>
      <c r="R3842" s="24" t="n"/>
      <c r="S3842" s="24" t="n"/>
      <c r="Y3842" s="24" t="n"/>
    </row>
    <row r="3843">
      <c r="O3843" s="23" t="n"/>
      <c r="R3843" s="24" t="n"/>
      <c r="S3843" s="24" t="n"/>
      <c r="Y3843" s="24" t="n"/>
    </row>
    <row r="3844">
      <c r="O3844" s="23" t="n"/>
      <c r="R3844" s="24" t="n"/>
      <c r="S3844" s="24" t="n"/>
      <c r="Y3844" s="24" t="n"/>
    </row>
    <row r="3845">
      <c r="O3845" s="23" t="n"/>
      <c r="R3845" s="24" t="n"/>
      <c r="S3845" s="24" t="n"/>
      <c r="Y3845" s="24" t="n"/>
    </row>
    <row r="3846">
      <c r="O3846" s="23" t="n"/>
      <c r="R3846" s="24" t="n"/>
      <c r="S3846" s="24" t="n"/>
      <c r="Y3846" s="24" t="n"/>
    </row>
    <row r="3847">
      <c r="O3847" s="23" t="n"/>
      <c r="R3847" s="24" t="n"/>
      <c r="S3847" s="24" t="n"/>
      <c r="Y3847" s="24" t="n"/>
    </row>
    <row r="3848">
      <c r="O3848" s="23" t="n"/>
      <c r="R3848" s="24" t="n"/>
      <c r="S3848" s="24" t="n"/>
      <c r="Y3848" s="24" t="n"/>
    </row>
    <row r="3849">
      <c r="O3849" s="23" t="n"/>
      <c r="R3849" s="24" t="n"/>
      <c r="S3849" s="24" t="n"/>
      <c r="Y3849" s="24" t="n"/>
    </row>
    <row r="3850">
      <c r="O3850" s="23" t="n"/>
      <c r="R3850" s="24" t="n"/>
      <c r="S3850" s="24" t="n"/>
      <c r="Y3850" s="24" t="n"/>
    </row>
    <row r="3851">
      <c r="O3851" s="23" t="n"/>
      <c r="R3851" s="24" t="n"/>
      <c r="S3851" s="24" t="n"/>
      <c r="Y3851" s="24" t="n"/>
    </row>
    <row r="3852">
      <c r="O3852" s="23" t="n"/>
      <c r="R3852" s="24" t="n"/>
      <c r="S3852" s="24" t="n"/>
      <c r="Y3852" s="24" t="n"/>
    </row>
    <row r="3853">
      <c r="O3853" s="23" t="n"/>
      <c r="R3853" s="24" t="n"/>
      <c r="S3853" s="24" t="n"/>
      <c r="Y3853" s="24" t="n"/>
    </row>
    <row r="3854">
      <c r="O3854" s="23" t="n"/>
      <c r="R3854" s="24" t="n"/>
      <c r="S3854" s="24" t="n"/>
      <c r="Y3854" s="24" t="n"/>
    </row>
    <row r="3855">
      <c r="O3855" s="23" t="n"/>
      <c r="R3855" s="24" t="n"/>
      <c r="S3855" s="24" t="n"/>
      <c r="Y3855" s="24" t="n"/>
    </row>
    <row r="3856">
      <c r="O3856" s="23" t="n"/>
      <c r="R3856" s="24" t="n"/>
      <c r="S3856" s="24" t="n"/>
      <c r="Y3856" s="24" t="n"/>
    </row>
    <row r="3857">
      <c r="O3857" s="23" t="n"/>
      <c r="R3857" s="24" t="n"/>
      <c r="S3857" s="24" t="n"/>
      <c r="Y3857" s="24" t="n"/>
    </row>
    <row r="3858">
      <c r="O3858" s="23" t="n"/>
      <c r="R3858" s="24" t="n"/>
      <c r="S3858" s="24" t="n"/>
      <c r="Y3858" s="24" t="n"/>
    </row>
    <row r="3859">
      <c r="O3859" s="23" t="n"/>
      <c r="R3859" s="24" t="n"/>
      <c r="S3859" s="24" t="n"/>
      <c r="Y3859" s="24" t="n"/>
    </row>
    <row r="3860">
      <c r="O3860" s="23" t="n"/>
      <c r="R3860" s="24" t="n"/>
      <c r="S3860" s="24" t="n"/>
      <c r="Y3860" s="24" t="n"/>
    </row>
    <row r="3861">
      <c r="O3861" s="23" t="n"/>
      <c r="R3861" s="24" t="n"/>
      <c r="S3861" s="24" t="n"/>
      <c r="Y3861" s="24" t="n"/>
    </row>
    <row r="3862">
      <c r="O3862" s="23" t="n"/>
      <c r="R3862" s="24" t="n"/>
      <c r="S3862" s="24" t="n"/>
      <c r="Y3862" s="24" t="n"/>
    </row>
    <row r="3863">
      <c r="O3863" s="23" t="n"/>
      <c r="R3863" s="24" t="n"/>
      <c r="S3863" s="24" t="n"/>
      <c r="Y3863" s="24" t="n"/>
    </row>
    <row r="3864">
      <c r="O3864" s="23" t="n"/>
      <c r="R3864" s="24" t="n"/>
      <c r="S3864" s="24" t="n"/>
      <c r="Y3864" s="24" t="n"/>
    </row>
    <row r="3865">
      <c r="O3865" s="23" t="n"/>
      <c r="R3865" s="24" t="n"/>
      <c r="S3865" s="24" t="n"/>
      <c r="Y3865" s="24" t="n"/>
    </row>
    <row r="3866">
      <c r="O3866" s="23" t="n"/>
      <c r="R3866" s="24" t="n"/>
      <c r="S3866" s="24" t="n"/>
      <c r="Y3866" s="24" t="n"/>
    </row>
    <row r="3867">
      <c r="O3867" s="23" t="n"/>
      <c r="R3867" s="24" t="n"/>
      <c r="S3867" s="24" t="n"/>
      <c r="Y3867" s="24" t="n"/>
    </row>
    <row r="3868">
      <c r="O3868" s="23" t="n"/>
      <c r="R3868" s="24" t="n"/>
      <c r="S3868" s="24" t="n"/>
      <c r="Y3868" s="24" t="n"/>
    </row>
    <row r="3869">
      <c r="O3869" s="23" t="n"/>
      <c r="R3869" s="24" t="n"/>
      <c r="S3869" s="24" t="n"/>
      <c r="Y3869" s="24" t="n"/>
    </row>
    <row r="3870">
      <c r="O3870" s="23" t="n"/>
      <c r="R3870" s="24" t="n"/>
      <c r="S3870" s="24" t="n"/>
      <c r="Y3870" s="24" t="n"/>
    </row>
    <row r="3871">
      <c r="O3871" s="23" t="n"/>
      <c r="R3871" s="24" t="n"/>
      <c r="S3871" s="24" t="n"/>
      <c r="Y3871" s="24" t="n"/>
    </row>
    <row r="3872">
      <c r="O3872" s="23" t="n"/>
      <c r="R3872" s="24" t="n"/>
      <c r="S3872" s="24" t="n"/>
      <c r="Y3872" s="24" t="n"/>
    </row>
    <row r="3873">
      <c r="O3873" s="23" t="n"/>
      <c r="R3873" s="24" t="n"/>
      <c r="S3873" s="24" t="n"/>
      <c r="Y3873" s="24" t="n"/>
    </row>
    <row r="3874">
      <c r="O3874" s="23" t="n"/>
      <c r="R3874" s="24" t="n"/>
      <c r="S3874" s="24" t="n"/>
      <c r="Y3874" s="24" t="n"/>
    </row>
    <row r="3875">
      <c r="O3875" s="23" t="n"/>
      <c r="R3875" s="24" t="n"/>
      <c r="S3875" s="24" t="n"/>
      <c r="Y3875" s="24" t="n"/>
    </row>
    <row r="3876">
      <c r="O3876" s="23" t="n"/>
      <c r="R3876" s="24" t="n"/>
      <c r="S3876" s="24" t="n"/>
      <c r="Y3876" s="24" t="n"/>
    </row>
    <row r="3877">
      <c r="O3877" s="23" t="n"/>
      <c r="R3877" s="24" t="n"/>
      <c r="S3877" s="24" t="n"/>
      <c r="Y3877" s="24" t="n"/>
    </row>
    <row r="3878">
      <c r="O3878" s="23" t="n"/>
      <c r="R3878" s="24" t="n"/>
      <c r="S3878" s="24" t="n"/>
      <c r="Y3878" s="24" t="n"/>
    </row>
    <row r="3879">
      <c r="O3879" s="23" t="n"/>
      <c r="R3879" s="24" t="n"/>
      <c r="S3879" s="24" t="n"/>
      <c r="Y3879" s="24" t="n"/>
    </row>
    <row r="3880">
      <c r="O3880" s="23" t="n"/>
      <c r="R3880" s="24" t="n"/>
      <c r="S3880" s="24" t="n"/>
      <c r="Y3880" s="24" t="n"/>
    </row>
    <row r="3881">
      <c r="O3881" s="23" t="n"/>
      <c r="R3881" s="24" t="n"/>
      <c r="S3881" s="24" t="n"/>
      <c r="Y3881" s="24" t="n"/>
    </row>
    <row r="3882">
      <c r="O3882" s="23" t="n"/>
      <c r="R3882" s="24" t="n"/>
      <c r="S3882" s="24" t="n"/>
      <c r="Y3882" s="24" t="n"/>
    </row>
    <row r="3883">
      <c r="O3883" s="23" t="n"/>
      <c r="R3883" s="24" t="n"/>
      <c r="S3883" s="24" t="n"/>
      <c r="Y3883" s="24" t="n"/>
    </row>
    <row r="3884">
      <c r="O3884" s="23" t="n"/>
      <c r="R3884" s="24" t="n"/>
      <c r="S3884" s="24" t="n"/>
      <c r="Y3884" s="24" t="n"/>
    </row>
    <row r="3885">
      <c r="O3885" s="23" t="n"/>
      <c r="R3885" s="24" t="n"/>
      <c r="S3885" s="24" t="n"/>
      <c r="Y3885" s="24" t="n"/>
    </row>
    <row r="3886">
      <c r="O3886" s="23" t="n"/>
      <c r="R3886" s="24" t="n"/>
      <c r="S3886" s="24" t="n"/>
      <c r="Y3886" s="24" t="n"/>
    </row>
    <row r="3887">
      <c r="O3887" s="23" t="n"/>
      <c r="R3887" s="24" t="n"/>
      <c r="S3887" s="24" t="n"/>
      <c r="Y3887" s="24" t="n"/>
    </row>
    <row r="3888">
      <c r="O3888" s="23" t="n"/>
      <c r="R3888" s="24" t="n"/>
      <c r="S3888" s="24" t="n"/>
      <c r="Y3888" s="24" t="n"/>
    </row>
    <row r="3889">
      <c r="O3889" s="23" t="n"/>
      <c r="R3889" s="24" t="n"/>
      <c r="S3889" s="24" t="n"/>
      <c r="Y3889" s="24" t="n"/>
    </row>
    <row r="3890">
      <c r="O3890" s="23" t="n"/>
      <c r="R3890" s="24" t="n"/>
      <c r="S3890" s="24" t="n"/>
      <c r="Y3890" s="24" t="n"/>
    </row>
    <row r="3891">
      <c r="O3891" s="23" t="n"/>
      <c r="R3891" s="24" t="n"/>
      <c r="S3891" s="24" t="n"/>
      <c r="Y3891" s="24" t="n"/>
    </row>
    <row r="3892">
      <c r="O3892" s="23" t="n"/>
      <c r="R3892" s="24" t="n"/>
      <c r="S3892" s="24" t="n"/>
      <c r="Y3892" s="24" t="n"/>
    </row>
    <row r="3893">
      <c r="O3893" s="23" t="n"/>
      <c r="R3893" s="24" t="n"/>
      <c r="S3893" s="24" t="n"/>
      <c r="Y3893" s="24" t="n"/>
    </row>
    <row r="3894">
      <c r="O3894" s="23" t="n"/>
      <c r="R3894" s="24" t="n"/>
      <c r="S3894" s="24" t="n"/>
      <c r="Y3894" s="24" t="n"/>
    </row>
    <row r="3895">
      <c r="O3895" s="23" t="n"/>
      <c r="R3895" s="24" t="n"/>
      <c r="S3895" s="24" t="n"/>
      <c r="Y3895" s="24" t="n"/>
    </row>
    <row r="3896">
      <c r="O3896" s="23" t="n"/>
      <c r="R3896" s="24" t="n"/>
      <c r="S3896" s="24" t="n"/>
      <c r="Y3896" s="24" t="n"/>
    </row>
    <row r="3897">
      <c r="O3897" s="23" t="n"/>
      <c r="R3897" s="24" t="n"/>
      <c r="S3897" s="24" t="n"/>
      <c r="Y3897" s="24" t="n"/>
    </row>
    <row r="3898">
      <c r="O3898" s="23" t="n"/>
      <c r="R3898" s="24" t="n"/>
      <c r="S3898" s="24" t="n"/>
      <c r="Y3898" s="24" t="n"/>
    </row>
    <row r="3899">
      <c r="O3899" s="23" t="n"/>
      <c r="R3899" s="24" t="n"/>
      <c r="S3899" s="24" t="n"/>
      <c r="Y3899" s="24" t="n"/>
    </row>
    <row r="3900">
      <c r="O3900" s="23" t="n"/>
      <c r="R3900" s="24" t="n"/>
      <c r="S3900" s="24" t="n"/>
      <c r="Y3900" s="24" t="n"/>
    </row>
    <row r="3901">
      <c r="O3901" s="23" t="n"/>
      <c r="R3901" s="24" t="n"/>
      <c r="S3901" s="24" t="n"/>
      <c r="Y3901" s="24" t="n"/>
    </row>
    <row r="3902">
      <c r="O3902" s="23" t="n"/>
      <c r="R3902" s="24" t="n"/>
      <c r="S3902" s="24" t="n"/>
      <c r="Y3902" s="24" t="n"/>
    </row>
    <row r="3903">
      <c r="O3903" s="23" t="n"/>
      <c r="R3903" s="24" t="n"/>
      <c r="S3903" s="24" t="n"/>
      <c r="Y3903" s="24" t="n"/>
    </row>
    <row r="3904">
      <c r="O3904" s="23" t="n"/>
      <c r="R3904" s="24" t="n"/>
      <c r="S3904" s="24" t="n"/>
      <c r="Y3904" s="24" t="n"/>
    </row>
    <row r="3905">
      <c r="O3905" s="23" t="n"/>
      <c r="R3905" s="24" t="n"/>
      <c r="S3905" s="24" t="n"/>
      <c r="Y3905" s="24" t="n"/>
    </row>
    <row r="3906">
      <c r="O3906" s="23" t="n"/>
      <c r="R3906" s="24" t="n"/>
      <c r="S3906" s="24" t="n"/>
      <c r="Y3906" s="24" t="n"/>
    </row>
    <row r="3907">
      <c r="O3907" s="23" t="n"/>
      <c r="R3907" s="24" t="n"/>
      <c r="S3907" s="24" t="n"/>
      <c r="Y3907" s="24" t="n"/>
    </row>
    <row r="3908">
      <c r="O3908" s="23" t="n"/>
      <c r="R3908" s="24" t="n"/>
      <c r="S3908" s="24" t="n"/>
      <c r="Y3908" s="24" t="n"/>
    </row>
    <row r="3909">
      <c r="O3909" s="23" t="n"/>
      <c r="R3909" s="24" t="n"/>
      <c r="S3909" s="24" t="n"/>
      <c r="Y3909" s="24" t="n"/>
    </row>
    <row r="3910">
      <c r="O3910" s="23" t="n"/>
      <c r="R3910" s="24" t="n"/>
      <c r="S3910" s="24" t="n"/>
      <c r="Y3910" s="24" t="n"/>
    </row>
    <row r="3911">
      <c r="O3911" s="23" t="n"/>
      <c r="R3911" s="24" t="n"/>
      <c r="S3911" s="24" t="n"/>
      <c r="Y3911" s="24" t="n"/>
    </row>
    <row r="3912">
      <c r="O3912" s="23" t="n"/>
      <c r="R3912" s="24" t="n"/>
      <c r="S3912" s="24" t="n"/>
      <c r="Y3912" s="24" t="n"/>
    </row>
    <row r="3913">
      <c r="O3913" s="23" t="n"/>
      <c r="R3913" s="24" t="n"/>
      <c r="S3913" s="24" t="n"/>
      <c r="Y3913" s="24" t="n"/>
    </row>
    <row r="3914">
      <c r="O3914" s="23" t="n"/>
      <c r="R3914" s="24" t="n"/>
      <c r="S3914" s="24" t="n"/>
      <c r="Y3914" s="24" t="n"/>
    </row>
    <row r="3915">
      <c r="O3915" s="23" t="n"/>
      <c r="R3915" s="24" t="n"/>
      <c r="S3915" s="24" t="n"/>
      <c r="Y3915" s="24" t="n"/>
    </row>
    <row r="3916">
      <c r="O3916" s="23" t="n"/>
      <c r="R3916" s="24" t="n"/>
      <c r="S3916" s="24" t="n"/>
      <c r="Y3916" s="24" t="n"/>
    </row>
    <row r="3917">
      <c r="O3917" s="23" t="n"/>
      <c r="R3917" s="24" t="n"/>
      <c r="S3917" s="24" t="n"/>
      <c r="Y3917" s="24" t="n"/>
    </row>
    <row r="3918">
      <c r="O3918" s="23" t="n"/>
      <c r="R3918" s="24" t="n"/>
      <c r="S3918" s="24" t="n"/>
      <c r="Y3918" s="24" t="n"/>
    </row>
    <row r="3919">
      <c r="O3919" s="23" t="n"/>
      <c r="R3919" s="24" t="n"/>
      <c r="S3919" s="24" t="n"/>
      <c r="Y3919" s="24" t="n"/>
    </row>
    <row r="3920">
      <c r="O3920" s="23" t="n"/>
      <c r="R3920" s="24" t="n"/>
      <c r="S3920" s="24" t="n"/>
      <c r="Y3920" s="24" t="n"/>
    </row>
    <row r="3921">
      <c r="O3921" s="23" t="n"/>
      <c r="R3921" s="24" t="n"/>
      <c r="S3921" s="24" t="n"/>
      <c r="Y3921" s="24" t="n"/>
    </row>
    <row r="3922">
      <c r="O3922" s="23" t="n"/>
      <c r="R3922" s="24" t="n"/>
      <c r="S3922" s="24" t="n"/>
      <c r="Y3922" s="24" t="n"/>
    </row>
    <row r="3923">
      <c r="O3923" s="23" t="n"/>
      <c r="R3923" s="24" t="n"/>
      <c r="S3923" s="24" t="n"/>
      <c r="Y3923" s="24" t="n"/>
    </row>
    <row r="3924">
      <c r="O3924" s="23" t="n"/>
      <c r="R3924" s="24" t="n"/>
      <c r="S3924" s="24" t="n"/>
      <c r="Y3924" s="24" t="n"/>
    </row>
    <row r="3925">
      <c r="O3925" s="23" t="n"/>
      <c r="R3925" s="24" t="n"/>
      <c r="S3925" s="24" t="n"/>
      <c r="Y3925" s="24" t="n"/>
    </row>
    <row r="3926">
      <c r="O3926" s="23" t="n"/>
      <c r="R3926" s="24" t="n"/>
      <c r="S3926" s="24" t="n"/>
      <c r="Y3926" s="24" t="n"/>
    </row>
    <row r="3927">
      <c r="O3927" s="23" t="n"/>
      <c r="R3927" s="24" t="n"/>
      <c r="S3927" s="24" t="n"/>
      <c r="Y3927" s="24" t="n"/>
    </row>
    <row r="3928">
      <c r="O3928" s="23" t="n"/>
      <c r="R3928" s="24" t="n"/>
      <c r="S3928" s="24" t="n"/>
      <c r="Y3928" s="24" t="n"/>
    </row>
    <row r="3929">
      <c r="O3929" s="23" t="n"/>
      <c r="R3929" s="24" t="n"/>
      <c r="S3929" s="24" t="n"/>
      <c r="Y3929" s="24" t="n"/>
    </row>
    <row r="3930">
      <c r="O3930" s="23" t="n"/>
      <c r="R3930" s="24" t="n"/>
      <c r="S3930" s="24" t="n"/>
      <c r="Y3930" s="24" t="n"/>
    </row>
    <row r="3931">
      <c r="O3931" s="23" t="n"/>
      <c r="R3931" s="24" t="n"/>
      <c r="S3931" s="24" t="n"/>
      <c r="Y3931" s="24" t="n"/>
    </row>
    <row r="3932">
      <c r="O3932" s="23" t="n"/>
      <c r="R3932" s="24" t="n"/>
      <c r="S3932" s="24" t="n"/>
      <c r="Y3932" s="24" t="n"/>
    </row>
    <row r="3933">
      <c r="O3933" s="23" t="n"/>
      <c r="R3933" s="24" t="n"/>
      <c r="S3933" s="24" t="n"/>
      <c r="Y3933" s="24" t="n"/>
    </row>
    <row r="3934">
      <c r="O3934" s="23" t="n"/>
      <c r="R3934" s="24" t="n"/>
      <c r="S3934" s="24" t="n"/>
      <c r="Y3934" s="24" t="n"/>
    </row>
    <row r="3935">
      <c r="O3935" s="23" t="n"/>
      <c r="R3935" s="24" t="n"/>
      <c r="S3935" s="24" t="n"/>
      <c r="Y3935" s="24" t="n"/>
    </row>
    <row r="3936">
      <c r="O3936" s="23" t="n"/>
      <c r="R3936" s="24" t="n"/>
      <c r="S3936" s="24" t="n"/>
      <c r="Y3936" s="24" t="n"/>
    </row>
    <row r="3937">
      <c r="O3937" s="23" t="n"/>
      <c r="R3937" s="24" t="n"/>
      <c r="S3937" s="24" t="n"/>
      <c r="Y3937" s="24" t="n"/>
    </row>
    <row r="3938">
      <c r="O3938" s="23" t="n"/>
      <c r="R3938" s="24" t="n"/>
      <c r="S3938" s="24" t="n"/>
      <c r="Y3938" s="24" t="n"/>
    </row>
    <row r="3939">
      <c r="O3939" s="23" t="n"/>
      <c r="R3939" s="24" t="n"/>
      <c r="S3939" s="24" t="n"/>
      <c r="Y3939" s="24" t="n"/>
    </row>
    <row r="3940">
      <c r="O3940" s="23" t="n"/>
      <c r="R3940" s="24" t="n"/>
      <c r="S3940" s="24" t="n"/>
      <c r="Y3940" s="24" t="n"/>
    </row>
    <row r="3941">
      <c r="O3941" s="23" t="n"/>
      <c r="R3941" s="24" t="n"/>
      <c r="S3941" s="24" t="n"/>
      <c r="Y3941" s="24" t="n"/>
    </row>
    <row r="3942">
      <c r="O3942" s="23" t="n"/>
      <c r="R3942" s="24" t="n"/>
      <c r="S3942" s="24" t="n"/>
      <c r="Y3942" s="24" t="n"/>
    </row>
    <row r="3943">
      <c r="O3943" s="23" t="n"/>
      <c r="R3943" s="24" t="n"/>
      <c r="S3943" s="24" t="n"/>
      <c r="Y3943" s="24" t="n"/>
    </row>
    <row r="3944">
      <c r="O3944" s="23" t="n"/>
      <c r="R3944" s="24" t="n"/>
      <c r="S3944" s="24" t="n"/>
      <c r="Y3944" s="24" t="n"/>
    </row>
    <row r="3945">
      <c r="O3945" s="23" t="n"/>
      <c r="R3945" s="24" t="n"/>
      <c r="S3945" s="24" t="n"/>
      <c r="Y3945" s="24" t="n"/>
    </row>
    <row r="3946">
      <c r="O3946" s="23" t="n"/>
      <c r="R3946" s="24" t="n"/>
      <c r="S3946" s="24" t="n"/>
      <c r="Y3946" s="24" t="n"/>
    </row>
    <row r="3947">
      <c r="O3947" s="23" t="n"/>
      <c r="R3947" s="24" t="n"/>
      <c r="S3947" s="24" t="n"/>
      <c r="Y3947" s="24" t="n"/>
    </row>
    <row r="3948">
      <c r="O3948" s="23" t="n"/>
      <c r="R3948" s="24" t="n"/>
      <c r="S3948" s="24" t="n"/>
      <c r="Y3948" s="24" t="n"/>
    </row>
    <row r="3949">
      <c r="O3949" s="23" t="n"/>
      <c r="R3949" s="24" t="n"/>
      <c r="S3949" s="24" t="n"/>
      <c r="Y3949" s="24" t="n"/>
    </row>
    <row r="3950">
      <c r="O3950" s="23" t="n"/>
      <c r="R3950" s="24" t="n"/>
      <c r="S3950" s="24" t="n"/>
      <c r="Y3950" s="24" t="n"/>
    </row>
    <row r="3951">
      <c r="O3951" s="23" t="n"/>
      <c r="R3951" s="24" t="n"/>
      <c r="S3951" s="24" t="n"/>
      <c r="Y3951" s="24" t="n"/>
    </row>
    <row r="3952">
      <c r="O3952" s="23" t="n"/>
      <c r="R3952" s="24" t="n"/>
      <c r="S3952" s="24" t="n"/>
      <c r="Y3952" s="24" t="n"/>
    </row>
    <row r="3953">
      <c r="O3953" s="23" t="n"/>
      <c r="R3953" s="24" t="n"/>
      <c r="S3953" s="24" t="n"/>
      <c r="Y3953" s="24" t="n"/>
    </row>
    <row r="3954">
      <c r="O3954" s="23" t="n"/>
      <c r="R3954" s="24" t="n"/>
      <c r="S3954" s="24" t="n"/>
      <c r="Y3954" s="24" t="n"/>
    </row>
    <row r="3955">
      <c r="O3955" s="23" t="n"/>
      <c r="R3955" s="24" t="n"/>
      <c r="S3955" s="24" t="n"/>
      <c r="Y3955" s="24" t="n"/>
    </row>
    <row r="3956">
      <c r="O3956" s="23" t="n"/>
      <c r="R3956" s="24" t="n"/>
      <c r="S3956" s="24" t="n"/>
      <c r="Y3956" s="24" t="n"/>
    </row>
    <row r="3957">
      <c r="O3957" s="23" t="n"/>
      <c r="R3957" s="24" t="n"/>
      <c r="S3957" s="24" t="n"/>
      <c r="Y3957" s="24" t="n"/>
    </row>
    <row r="3958">
      <c r="O3958" s="23" t="n"/>
      <c r="R3958" s="24" t="n"/>
      <c r="S3958" s="24" t="n"/>
      <c r="Y3958" s="24" t="n"/>
    </row>
    <row r="3959">
      <c r="O3959" s="23" t="n"/>
      <c r="R3959" s="24" t="n"/>
      <c r="S3959" s="24" t="n"/>
      <c r="Y3959" s="24" t="n"/>
    </row>
    <row r="3960">
      <c r="O3960" s="23" t="n"/>
      <c r="R3960" s="24" t="n"/>
      <c r="S3960" s="24" t="n"/>
      <c r="Y3960" s="24" t="n"/>
    </row>
    <row r="3961">
      <c r="O3961" s="23" t="n"/>
      <c r="R3961" s="24" t="n"/>
      <c r="S3961" s="24" t="n"/>
      <c r="Y3961" s="24" t="n"/>
    </row>
    <row r="3962">
      <c r="O3962" s="23" t="n"/>
      <c r="R3962" s="24" t="n"/>
      <c r="S3962" s="24" t="n"/>
      <c r="Y3962" s="24" t="n"/>
    </row>
    <row r="3963">
      <c r="O3963" s="23" t="n"/>
      <c r="R3963" s="24" t="n"/>
      <c r="S3963" s="24" t="n"/>
      <c r="Y3963" s="24" t="n"/>
    </row>
    <row r="3964">
      <c r="O3964" s="23" t="n"/>
      <c r="R3964" s="24" t="n"/>
      <c r="S3964" s="24" t="n"/>
      <c r="Y3964" s="24" t="n"/>
    </row>
    <row r="3965">
      <c r="O3965" s="23" t="n"/>
      <c r="R3965" s="24" t="n"/>
      <c r="S3965" s="24" t="n"/>
      <c r="Y3965" s="24" t="n"/>
    </row>
    <row r="3966">
      <c r="O3966" s="23" t="n"/>
      <c r="R3966" s="24" t="n"/>
      <c r="S3966" s="24" t="n"/>
      <c r="Y3966" s="24" t="n"/>
    </row>
    <row r="3967">
      <c r="O3967" s="23" t="n"/>
      <c r="R3967" s="24" t="n"/>
      <c r="S3967" s="24" t="n"/>
      <c r="Y3967" s="24" t="n"/>
    </row>
    <row r="3968">
      <c r="O3968" s="23" t="n"/>
      <c r="R3968" s="24" t="n"/>
      <c r="S3968" s="24" t="n"/>
      <c r="Y3968" s="24" t="n"/>
    </row>
    <row r="3969">
      <c r="O3969" s="23" t="n"/>
      <c r="R3969" s="24" t="n"/>
      <c r="S3969" s="24" t="n"/>
      <c r="Y3969" s="24" t="n"/>
    </row>
    <row r="3970">
      <c r="O3970" s="23" t="n"/>
      <c r="R3970" s="24" t="n"/>
      <c r="S3970" s="24" t="n"/>
      <c r="Y3970" s="24" t="n"/>
    </row>
    <row r="3971">
      <c r="O3971" s="23" t="n"/>
      <c r="R3971" s="24" t="n"/>
      <c r="S3971" s="24" t="n"/>
      <c r="Y3971" s="24" t="n"/>
    </row>
    <row r="3972">
      <c r="O3972" s="23" t="n"/>
      <c r="R3972" s="24" t="n"/>
      <c r="S3972" s="24" t="n"/>
      <c r="Y3972" s="24" t="n"/>
    </row>
    <row r="3973">
      <c r="O3973" s="23" t="n"/>
      <c r="R3973" s="24" t="n"/>
      <c r="S3973" s="24" t="n"/>
      <c r="Y3973" s="24" t="n"/>
    </row>
    <row r="3974">
      <c r="O3974" s="23" t="n"/>
      <c r="R3974" s="24" t="n"/>
      <c r="S3974" s="24" t="n"/>
      <c r="Y3974" s="24" t="n"/>
    </row>
    <row r="3975">
      <c r="O3975" s="23" t="n"/>
      <c r="R3975" s="24" t="n"/>
      <c r="S3975" s="24" t="n"/>
      <c r="Y3975" s="24" t="n"/>
    </row>
    <row r="3976">
      <c r="O3976" s="23" t="n"/>
      <c r="R3976" s="24" t="n"/>
      <c r="S3976" s="24" t="n"/>
      <c r="Y3976" s="24" t="n"/>
    </row>
    <row r="3977">
      <c r="O3977" s="23" t="n"/>
      <c r="R3977" s="24" t="n"/>
      <c r="S3977" s="24" t="n"/>
      <c r="Y3977" s="24" t="n"/>
    </row>
    <row r="3978">
      <c r="O3978" s="23" t="n"/>
      <c r="R3978" s="24" t="n"/>
      <c r="S3978" s="24" t="n"/>
      <c r="Y3978" s="24" t="n"/>
    </row>
    <row r="3979">
      <c r="O3979" s="23" t="n"/>
      <c r="R3979" s="24" t="n"/>
      <c r="S3979" s="24" t="n"/>
      <c r="Y3979" s="24" t="n"/>
    </row>
    <row r="3980">
      <c r="O3980" s="23" t="n"/>
      <c r="R3980" s="24" t="n"/>
      <c r="S3980" s="24" t="n"/>
      <c r="Y3980" s="24" t="n"/>
    </row>
    <row r="3981">
      <c r="O3981" s="23" t="n"/>
      <c r="R3981" s="24" t="n"/>
      <c r="S3981" s="24" t="n"/>
      <c r="Y3981" s="24" t="n"/>
    </row>
    <row r="3982">
      <c r="O3982" s="23" t="n"/>
      <c r="R3982" s="24" t="n"/>
      <c r="S3982" s="24" t="n"/>
      <c r="Y3982" s="24" t="n"/>
    </row>
    <row r="3983">
      <c r="O3983" s="23" t="n"/>
      <c r="R3983" s="24" t="n"/>
      <c r="S3983" s="24" t="n"/>
      <c r="Y3983" s="24" t="n"/>
    </row>
    <row r="3984">
      <c r="O3984" s="23" t="n"/>
      <c r="R3984" s="24" t="n"/>
      <c r="S3984" s="24" t="n"/>
      <c r="Y3984" s="24" t="n"/>
    </row>
    <row r="3985">
      <c r="O3985" s="23" t="n"/>
      <c r="R3985" s="24" t="n"/>
      <c r="S3985" s="24" t="n"/>
      <c r="Y3985" s="24" t="n"/>
    </row>
    <row r="3986">
      <c r="O3986" s="23" t="n"/>
      <c r="R3986" s="24" t="n"/>
      <c r="S3986" s="24" t="n"/>
      <c r="Y3986" s="24" t="n"/>
    </row>
    <row r="3987">
      <c r="O3987" s="23" t="n"/>
      <c r="R3987" s="24" t="n"/>
      <c r="S3987" s="24" t="n"/>
      <c r="Y3987" s="24" t="n"/>
    </row>
    <row r="3988">
      <c r="O3988" s="23" t="n"/>
      <c r="R3988" s="24" t="n"/>
      <c r="S3988" s="24" t="n"/>
      <c r="Y3988" s="24" t="n"/>
    </row>
    <row r="3989">
      <c r="O3989" s="23" t="n"/>
      <c r="R3989" s="24" t="n"/>
      <c r="S3989" s="24" t="n"/>
      <c r="Y3989" s="24" t="n"/>
    </row>
    <row r="3990">
      <c r="O3990" s="23" t="n"/>
      <c r="R3990" s="24" t="n"/>
      <c r="S3990" s="24" t="n"/>
      <c r="Y3990" s="24" t="n"/>
    </row>
    <row r="3991">
      <c r="O3991" s="23" t="n"/>
      <c r="R3991" s="24" t="n"/>
      <c r="S3991" s="24" t="n"/>
      <c r="Y3991" s="24" t="n"/>
    </row>
    <row r="3992">
      <c r="O3992" s="23" t="n"/>
      <c r="R3992" s="24" t="n"/>
      <c r="S3992" s="24" t="n"/>
      <c r="Y3992" s="24" t="n"/>
    </row>
    <row r="3993">
      <c r="O3993" s="23" t="n"/>
      <c r="R3993" s="24" t="n"/>
      <c r="S3993" s="24" t="n"/>
      <c r="Y3993" s="24" t="n"/>
    </row>
    <row r="3994">
      <c r="O3994" s="23" t="n"/>
      <c r="R3994" s="24" t="n"/>
      <c r="S3994" s="24" t="n"/>
      <c r="Y3994" s="24" t="n"/>
    </row>
    <row r="3995">
      <c r="O3995" s="23" t="n"/>
      <c r="R3995" s="24" t="n"/>
      <c r="S3995" s="24" t="n"/>
      <c r="Y3995" s="24" t="n"/>
    </row>
    <row r="3996">
      <c r="O3996" s="23" t="n"/>
      <c r="R3996" s="24" t="n"/>
      <c r="S3996" s="24" t="n"/>
      <c r="Y3996" s="24" t="n"/>
    </row>
    <row r="3997">
      <c r="O3997" s="23" t="n"/>
      <c r="R3997" s="24" t="n"/>
      <c r="S3997" s="24" t="n"/>
      <c r="Y3997" s="24" t="n"/>
    </row>
    <row r="3998">
      <c r="O3998" s="23" t="n"/>
      <c r="R3998" s="24" t="n"/>
      <c r="S3998" s="24" t="n"/>
      <c r="Y3998" s="24" t="n"/>
    </row>
    <row r="3999">
      <c r="O3999" s="23" t="n"/>
      <c r="R3999" s="24" t="n"/>
      <c r="S3999" s="24" t="n"/>
      <c r="Y3999" s="24" t="n"/>
    </row>
    <row r="4000">
      <c r="O4000" s="23" t="n"/>
      <c r="R4000" s="24" t="n"/>
      <c r="S4000" s="24" t="n"/>
      <c r="Y4000" s="24" t="n"/>
    </row>
    <row r="4001">
      <c r="O4001" s="23" t="n"/>
      <c r="R4001" s="24" t="n"/>
      <c r="S4001" s="24" t="n"/>
      <c r="Y4001" s="24" t="n"/>
    </row>
    <row r="4002">
      <c r="O4002" s="23" t="n"/>
      <c r="R4002" s="24" t="n"/>
      <c r="S4002" s="24" t="n"/>
      <c r="Y4002" s="24" t="n"/>
    </row>
    <row r="4003">
      <c r="O4003" s="23" t="n"/>
      <c r="R4003" s="24" t="n"/>
      <c r="S4003" s="24" t="n"/>
      <c r="Y4003" s="24" t="n"/>
    </row>
    <row r="4004">
      <c r="O4004" s="23" t="n"/>
      <c r="R4004" s="24" t="n"/>
      <c r="S4004" s="24" t="n"/>
      <c r="Y4004" s="24" t="n"/>
    </row>
    <row r="4005">
      <c r="O4005" s="23" t="n"/>
      <c r="R4005" s="24" t="n"/>
      <c r="S4005" s="24" t="n"/>
      <c r="Y4005" s="24" t="n"/>
    </row>
    <row r="4006">
      <c r="O4006" s="23" t="n"/>
      <c r="R4006" s="24" t="n"/>
      <c r="S4006" s="24" t="n"/>
      <c r="Y4006" s="24" t="n"/>
    </row>
    <row r="4007">
      <c r="O4007" s="23" t="n"/>
      <c r="R4007" s="24" t="n"/>
      <c r="S4007" s="24" t="n"/>
      <c r="Y4007" s="24" t="n"/>
    </row>
    <row r="4008">
      <c r="O4008" s="23" t="n"/>
      <c r="R4008" s="24" t="n"/>
      <c r="S4008" s="24" t="n"/>
      <c r="Y4008" s="24" t="n"/>
    </row>
    <row r="4009">
      <c r="O4009" s="23" t="n"/>
      <c r="R4009" s="24" t="n"/>
      <c r="S4009" s="24" t="n"/>
      <c r="Y4009" s="24" t="n"/>
    </row>
    <row r="4010">
      <c r="O4010" s="23" t="n"/>
      <c r="R4010" s="24" t="n"/>
      <c r="S4010" s="24" t="n"/>
      <c r="Y4010" s="24" t="n"/>
    </row>
    <row r="4011">
      <c r="O4011" s="23" t="n"/>
      <c r="R4011" s="24" t="n"/>
      <c r="S4011" s="24" t="n"/>
      <c r="Y4011" s="24" t="n"/>
    </row>
    <row r="4012">
      <c r="O4012" s="23" t="n"/>
      <c r="R4012" s="24" t="n"/>
      <c r="S4012" s="24" t="n"/>
      <c r="Y4012" s="24" t="n"/>
    </row>
    <row r="4013">
      <c r="O4013" s="23" t="n"/>
      <c r="R4013" s="24" t="n"/>
      <c r="S4013" s="24" t="n"/>
      <c r="Y4013" s="24" t="n"/>
    </row>
    <row r="4014">
      <c r="O4014" s="23" t="n"/>
      <c r="R4014" s="24" t="n"/>
      <c r="S4014" s="24" t="n"/>
      <c r="Y4014" s="24" t="n"/>
    </row>
    <row r="4015">
      <c r="O4015" s="23" t="n"/>
      <c r="R4015" s="24" t="n"/>
      <c r="S4015" s="24" t="n"/>
      <c r="Y4015" s="24" t="n"/>
    </row>
    <row r="4016">
      <c r="O4016" s="23" t="n"/>
      <c r="R4016" s="24" t="n"/>
      <c r="S4016" s="24" t="n"/>
      <c r="Y4016" s="24" t="n"/>
    </row>
    <row r="4017">
      <c r="O4017" s="23" t="n"/>
      <c r="R4017" s="24" t="n"/>
      <c r="S4017" s="24" t="n"/>
      <c r="Y4017" s="24" t="n"/>
    </row>
    <row r="4018">
      <c r="O4018" s="23" t="n"/>
      <c r="R4018" s="24" t="n"/>
      <c r="S4018" s="24" t="n"/>
      <c r="Y4018" s="24" t="n"/>
    </row>
    <row r="4019">
      <c r="O4019" s="23" t="n"/>
      <c r="R4019" s="24" t="n"/>
      <c r="S4019" s="24" t="n"/>
      <c r="Y4019" s="24" t="n"/>
    </row>
    <row r="4020">
      <c r="O4020" s="23" t="n"/>
      <c r="R4020" s="24" t="n"/>
      <c r="S4020" s="24" t="n"/>
      <c r="Y4020" s="24" t="n"/>
    </row>
    <row r="4021">
      <c r="O4021" s="23" t="n"/>
      <c r="R4021" s="24" t="n"/>
      <c r="S4021" s="24" t="n"/>
      <c r="Y4021" s="24" t="n"/>
    </row>
    <row r="4022">
      <c r="O4022" s="23" t="n"/>
      <c r="R4022" s="24" t="n"/>
      <c r="S4022" s="24" t="n"/>
      <c r="Y4022" s="24" t="n"/>
    </row>
    <row r="4023">
      <c r="O4023" s="23" t="n"/>
      <c r="R4023" s="24" t="n"/>
      <c r="S4023" s="24" t="n"/>
      <c r="Y4023" s="24" t="n"/>
    </row>
    <row r="4024">
      <c r="O4024" s="23" t="n"/>
      <c r="R4024" s="24" t="n"/>
      <c r="S4024" s="24" t="n"/>
      <c r="Y4024" s="24" t="n"/>
    </row>
    <row r="4025">
      <c r="O4025" s="23" t="n"/>
      <c r="R4025" s="24" t="n"/>
      <c r="S4025" s="24" t="n"/>
      <c r="Y4025" s="24" t="n"/>
    </row>
    <row r="4026">
      <c r="O4026" s="23" t="n"/>
      <c r="R4026" s="24" t="n"/>
      <c r="S4026" s="24" t="n"/>
      <c r="Y4026" s="24" t="n"/>
    </row>
    <row r="4027">
      <c r="O4027" s="23" t="n"/>
      <c r="R4027" s="24" t="n"/>
      <c r="S4027" s="24" t="n"/>
      <c r="Y4027" s="24" t="n"/>
    </row>
    <row r="4028">
      <c r="O4028" s="23" t="n"/>
      <c r="R4028" s="24" t="n"/>
      <c r="S4028" s="24" t="n"/>
      <c r="Y4028" s="24" t="n"/>
    </row>
    <row r="4029">
      <c r="O4029" s="23" t="n"/>
      <c r="R4029" s="24" t="n"/>
      <c r="S4029" s="24" t="n"/>
      <c r="Y4029" s="24" t="n"/>
    </row>
    <row r="4030">
      <c r="O4030" s="23" t="n"/>
      <c r="R4030" s="24" t="n"/>
      <c r="S4030" s="24" t="n"/>
      <c r="Y4030" s="24" t="n"/>
    </row>
    <row r="4031">
      <c r="O4031" s="23" t="n"/>
      <c r="R4031" s="24" t="n"/>
      <c r="S4031" s="24" t="n"/>
      <c r="Y4031" s="24" t="n"/>
    </row>
    <row r="4032">
      <c r="O4032" s="23" t="n"/>
      <c r="R4032" s="24" t="n"/>
      <c r="S4032" s="24" t="n"/>
      <c r="Y4032" s="24" t="n"/>
    </row>
    <row r="4033">
      <c r="O4033" s="23" t="n"/>
      <c r="R4033" s="24" t="n"/>
      <c r="S4033" s="24" t="n"/>
      <c r="Y4033" s="24" t="n"/>
    </row>
    <row r="4034">
      <c r="O4034" s="23" t="n"/>
      <c r="R4034" s="24" t="n"/>
      <c r="S4034" s="24" t="n"/>
      <c r="Y4034" s="24" t="n"/>
    </row>
    <row r="4035">
      <c r="O4035" s="23" t="n"/>
      <c r="R4035" s="24" t="n"/>
      <c r="S4035" s="24" t="n"/>
      <c r="Y4035" s="24" t="n"/>
    </row>
    <row r="4036">
      <c r="O4036" s="23" t="n"/>
      <c r="R4036" s="24" t="n"/>
      <c r="S4036" s="24" t="n"/>
      <c r="Y4036" s="24" t="n"/>
    </row>
    <row r="4037">
      <c r="O4037" s="23" t="n"/>
      <c r="R4037" s="24" t="n"/>
      <c r="S4037" s="24" t="n"/>
      <c r="Y4037" s="24" t="n"/>
    </row>
    <row r="4038">
      <c r="O4038" s="23" t="n"/>
      <c r="R4038" s="24" t="n"/>
      <c r="S4038" s="24" t="n"/>
      <c r="Y4038" s="24" t="n"/>
    </row>
    <row r="4039">
      <c r="O4039" s="23" t="n"/>
      <c r="R4039" s="24" t="n"/>
      <c r="S4039" s="24" t="n"/>
      <c r="Y4039" s="24" t="n"/>
    </row>
    <row r="4040">
      <c r="O4040" s="23" t="n"/>
      <c r="R4040" s="24" t="n"/>
      <c r="S4040" s="24" t="n"/>
      <c r="Y4040" s="24" t="n"/>
    </row>
    <row r="4041">
      <c r="O4041" s="23" t="n"/>
      <c r="R4041" s="24" t="n"/>
      <c r="S4041" s="24" t="n"/>
      <c r="Y4041" s="24" t="n"/>
    </row>
    <row r="4042">
      <c r="O4042" s="23" t="n"/>
      <c r="R4042" s="24" t="n"/>
      <c r="S4042" s="24" t="n"/>
      <c r="Y4042" s="24" t="n"/>
    </row>
    <row r="4043">
      <c r="O4043" s="23" t="n"/>
      <c r="R4043" s="24" t="n"/>
      <c r="S4043" s="24" t="n"/>
      <c r="Y4043" s="24" t="n"/>
    </row>
    <row r="4044">
      <c r="O4044" s="23" t="n"/>
      <c r="R4044" s="24" t="n"/>
      <c r="S4044" s="24" t="n"/>
      <c r="Y4044" s="24" t="n"/>
    </row>
    <row r="4045">
      <c r="O4045" s="23" t="n"/>
      <c r="R4045" s="24" t="n"/>
      <c r="S4045" s="24" t="n"/>
      <c r="Y4045" s="24" t="n"/>
    </row>
    <row r="4046">
      <c r="O4046" s="23" t="n"/>
      <c r="R4046" s="24" t="n"/>
      <c r="S4046" s="24" t="n"/>
      <c r="Y4046" s="24" t="n"/>
    </row>
    <row r="4047">
      <c r="O4047" s="23" t="n"/>
      <c r="R4047" s="24" t="n"/>
      <c r="S4047" s="24" t="n"/>
      <c r="Y4047" s="24" t="n"/>
    </row>
    <row r="4048">
      <c r="O4048" s="23" t="n"/>
      <c r="R4048" s="24" t="n"/>
      <c r="S4048" s="24" t="n"/>
      <c r="Y4048" s="24" t="n"/>
    </row>
    <row r="4049">
      <c r="O4049" s="23" t="n"/>
      <c r="R4049" s="24" t="n"/>
      <c r="S4049" s="24" t="n"/>
      <c r="Y4049" s="24" t="n"/>
    </row>
    <row r="4050">
      <c r="O4050" s="23" t="n"/>
      <c r="R4050" s="24" t="n"/>
      <c r="S4050" s="24" t="n"/>
      <c r="Y4050" s="24" t="n"/>
    </row>
    <row r="4051">
      <c r="O4051" s="23" t="n"/>
      <c r="R4051" s="24" t="n"/>
      <c r="S4051" s="24" t="n"/>
      <c r="Y4051" s="24" t="n"/>
    </row>
    <row r="4052">
      <c r="O4052" s="23" t="n"/>
      <c r="R4052" s="24" t="n"/>
      <c r="S4052" s="24" t="n"/>
      <c r="Y4052" s="24" t="n"/>
    </row>
    <row r="4053">
      <c r="O4053" s="23" t="n"/>
      <c r="R4053" s="24" t="n"/>
      <c r="S4053" s="24" t="n"/>
      <c r="Y4053" s="24" t="n"/>
    </row>
    <row r="4054">
      <c r="O4054" s="23" t="n"/>
      <c r="R4054" s="24" t="n"/>
      <c r="S4054" s="24" t="n"/>
      <c r="Y4054" s="24" t="n"/>
    </row>
    <row r="4055">
      <c r="O4055" s="23" t="n"/>
      <c r="R4055" s="24" t="n"/>
      <c r="S4055" s="24" t="n"/>
      <c r="Y4055" s="24" t="n"/>
    </row>
    <row r="4056">
      <c r="O4056" s="23" t="n"/>
      <c r="R4056" s="24" t="n"/>
      <c r="S4056" s="24" t="n"/>
      <c r="Y4056" s="24" t="n"/>
    </row>
    <row r="4057">
      <c r="O4057" s="23" t="n"/>
      <c r="R4057" s="24" t="n"/>
      <c r="S4057" s="24" t="n"/>
      <c r="Y4057" s="24" t="n"/>
    </row>
    <row r="4058">
      <c r="O4058" s="23" t="n"/>
      <c r="R4058" s="24" t="n"/>
      <c r="S4058" s="24" t="n"/>
      <c r="Y4058" s="24" t="n"/>
    </row>
    <row r="4059">
      <c r="O4059" s="23" t="n"/>
      <c r="R4059" s="24" t="n"/>
      <c r="S4059" s="24" t="n"/>
      <c r="Y4059" s="24" t="n"/>
    </row>
    <row r="4060">
      <c r="O4060" s="23" t="n"/>
      <c r="R4060" s="24" t="n"/>
      <c r="S4060" s="24" t="n"/>
      <c r="Y4060" s="24" t="n"/>
    </row>
    <row r="4061">
      <c r="O4061" s="23" t="n"/>
      <c r="R4061" s="24" t="n"/>
      <c r="S4061" s="24" t="n"/>
      <c r="Y4061" s="24" t="n"/>
    </row>
    <row r="4062">
      <c r="O4062" s="23" t="n"/>
      <c r="R4062" s="24" t="n"/>
      <c r="S4062" s="24" t="n"/>
      <c r="Y4062" s="24" t="n"/>
    </row>
    <row r="4063">
      <c r="O4063" s="23" t="n"/>
      <c r="R4063" s="24" t="n"/>
      <c r="S4063" s="24" t="n"/>
      <c r="Y4063" s="24" t="n"/>
    </row>
    <row r="4064">
      <c r="O4064" s="23" t="n"/>
      <c r="R4064" s="24" t="n"/>
      <c r="S4064" s="24" t="n"/>
      <c r="Y4064" s="24" t="n"/>
    </row>
    <row r="4065">
      <c r="O4065" s="23" t="n"/>
      <c r="R4065" s="24" t="n"/>
      <c r="S4065" s="24" t="n"/>
      <c r="Y4065" s="24" t="n"/>
    </row>
    <row r="4066">
      <c r="O4066" s="23" t="n"/>
      <c r="R4066" s="24" t="n"/>
      <c r="S4066" s="24" t="n"/>
      <c r="Y4066" s="24" t="n"/>
    </row>
    <row r="4067">
      <c r="O4067" s="23" t="n"/>
      <c r="R4067" s="24" t="n"/>
      <c r="S4067" s="24" t="n"/>
      <c r="Y4067" s="24" t="n"/>
    </row>
    <row r="4068">
      <c r="O4068" s="23" t="n"/>
      <c r="R4068" s="24" t="n"/>
      <c r="S4068" s="24" t="n"/>
      <c r="Y4068" s="24" t="n"/>
    </row>
    <row r="4069">
      <c r="O4069" s="23" t="n"/>
      <c r="R4069" s="24" t="n"/>
      <c r="S4069" s="24" t="n"/>
      <c r="Y4069" s="24" t="n"/>
    </row>
    <row r="4070">
      <c r="O4070" s="23" t="n"/>
      <c r="R4070" s="24" t="n"/>
      <c r="S4070" s="24" t="n"/>
      <c r="Y4070" s="24" t="n"/>
    </row>
    <row r="4071">
      <c r="O4071" s="23" t="n"/>
      <c r="R4071" s="24" t="n"/>
      <c r="S4071" s="24" t="n"/>
      <c r="Y4071" s="24" t="n"/>
    </row>
    <row r="4072">
      <c r="O4072" s="23" t="n"/>
      <c r="R4072" s="24" t="n"/>
      <c r="S4072" s="24" t="n"/>
      <c r="Y4072" s="24" t="n"/>
    </row>
    <row r="4073">
      <c r="O4073" s="23" t="n"/>
      <c r="R4073" s="24" t="n"/>
      <c r="S4073" s="24" t="n"/>
      <c r="Y4073" s="24" t="n"/>
    </row>
    <row r="4074">
      <c r="O4074" s="23" t="n"/>
      <c r="R4074" s="24" t="n"/>
      <c r="S4074" s="24" t="n"/>
      <c r="Y4074" s="24" t="n"/>
    </row>
    <row r="4075">
      <c r="O4075" s="23" t="n"/>
      <c r="R4075" s="24" t="n"/>
      <c r="S4075" s="24" t="n"/>
      <c r="Y4075" s="24" t="n"/>
    </row>
    <row r="4076">
      <c r="O4076" s="23" t="n"/>
      <c r="R4076" s="24" t="n"/>
      <c r="S4076" s="24" t="n"/>
      <c r="Y4076" s="24" t="n"/>
    </row>
    <row r="4077">
      <c r="O4077" s="23" t="n"/>
      <c r="R4077" s="24" t="n"/>
      <c r="S4077" s="24" t="n"/>
      <c r="Y4077" s="24" t="n"/>
    </row>
    <row r="4078">
      <c r="O4078" s="23" t="n"/>
      <c r="R4078" s="24" t="n"/>
      <c r="S4078" s="24" t="n"/>
      <c r="Y4078" s="24" t="n"/>
    </row>
    <row r="4079">
      <c r="O4079" s="23" t="n"/>
      <c r="R4079" s="24" t="n"/>
      <c r="S4079" s="24" t="n"/>
      <c r="Y4079" s="24" t="n"/>
    </row>
    <row r="4080">
      <c r="O4080" s="23" t="n"/>
      <c r="R4080" s="24" t="n"/>
      <c r="S4080" s="24" t="n"/>
      <c r="Y4080" s="24" t="n"/>
    </row>
    <row r="4081">
      <c r="O4081" s="23" t="n"/>
      <c r="R4081" s="24" t="n"/>
      <c r="S4081" s="24" t="n"/>
      <c r="Y4081" s="24" t="n"/>
    </row>
    <row r="4082">
      <c r="O4082" s="23" t="n"/>
      <c r="R4082" s="24" t="n"/>
      <c r="S4082" s="24" t="n"/>
      <c r="Y4082" s="24" t="n"/>
    </row>
    <row r="4083">
      <c r="O4083" s="23" t="n"/>
      <c r="R4083" s="24" t="n"/>
      <c r="S4083" s="24" t="n"/>
      <c r="Y4083" s="24" t="n"/>
    </row>
    <row r="4084">
      <c r="O4084" s="23" t="n"/>
      <c r="R4084" s="24" t="n"/>
      <c r="S4084" s="24" t="n"/>
      <c r="Y4084" s="24" t="n"/>
    </row>
    <row r="4085">
      <c r="O4085" s="23" t="n"/>
      <c r="R4085" s="24" t="n"/>
      <c r="S4085" s="24" t="n"/>
      <c r="Y4085" s="24" t="n"/>
    </row>
    <row r="4086">
      <c r="O4086" s="23" t="n"/>
      <c r="R4086" s="24" t="n"/>
      <c r="S4086" s="24" t="n"/>
      <c r="Y4086" s="24" t="n"/>
    </row>
    <row r="4087">
      <c r="O4087" s="23" t="n"/>
      <c r="R4087" s="24" t="n"/>
      <c r="S4087" s="24" t="n"/>
      <c r="Y4087" s="24" t="n"/>
    </row>
    <row r="4088">
      <c r="O4088" s="23" t="n"/>
      <c r="R4088" s="24" t="n"/>
      <c r="S4088" s="24" t="n"/>
      <c r="Y4088" s="24" t="n"/>
    </row>
    <row r="4089">
      <c r="O4089" s="23" t="n"/>
      <c r="R4089" s="24" t="n"/>
      <c r="S4089" s="24" t="n"/>
      <c r="Y4089" s="24" t="n"/>
    </row>
    <row r="4090">
      <c r="O4090" s="23" t="n"/>
      <c r="R4090" s="24" t="n"/>
      <c r="S4090" s="24" t="n"/>
      <c r="Y4090" s="24" t="n"/>
    </row>
    <row r="4091">
      <c r="O4091" s="23" t="n"/>
      <c r="R4091" s="24" t="n"/>
      <c r="S4091" s="24" t="n"/>
      <c r="Y4091" s="24" t="n"/>
    </row>
    <row r="4092">
      <c r="O4092" s="23" t="n"/>
      <c r="R4092" s="24" t="n"/>
      <c r="S4092" s="24" t="n"/>
      <c r="Y4092" s="24" t="n"/>
    </row>
    <row r="4093">
      <c r="O4093" s="23" t="n"/>
      <c r="R4093" s="24" t="n"/>
      <c r="S4093" s="24" t="n"/>
      <c r="Y4093" s="24" t="n"/>
    </row>
    <row r="4094">
      <c r="O4094" s="23" t="n"/>
      <c r="R4094" s="24" t="n"/>
      <c r="S4094" s="24" t="n"/>
      <c r="Y4094" s="24" t="n"/>
    </row>
    <row r="4095">
      <c r="O4095" s="23" t="n"/>
      <c r="R4095" s="24" t="n"/>
      <c r="S4095" s="24" t="n"/>
      <c r="Y4095" s="24" t="n"/>
    </row>
    <row r="4096">
      <c r="O4096" s="23" t="n"/>
      <c r="R4096" s="24" t="n"/>
      <c r="S4096" s="24" t="n"/>
      <c r="Y4096" s="24" t="n"/>
    </row>
    <row r="4097">
      <c r="O4097" s="23" t="n"/>
      <c r="R4097" s="24" t="n"/>
      <c r="S4097" s="24" t="n"/>
      <c r="Y4097" s="24" t="n"/>
    </row>
    <row r="4098">
      <c r="O4098" s="23" t="n"/>
      <c r="R4098" s="24" t="n"/>
      <c r="S4098" s="24" t="n"/>
      <c r="Y4098" s="24" t="n"/>
    </row>
    <row r="4099">
      <c r="O4099" s="23" t="n"/>
      <c r="R4099" s="24" t="n"/>
      <c r="S4099" s="24" t="n"/>
      <c r="Y4099" s="24" t="n"/>
    </row>
    <row r="4100">
      <c r="O4100" s="23" t="n"/>
      <c r="R4100" s="24" t="n"/>
      <c r="S4100" s="24" t="n"/>
      <c r="Y4100" s="24" t="n"/>
    </row>
    <row r="4101">
      <c r="O4101" s="23" t="n"/>
      <c r="R4101" s="24" t="n"/>
      <c r="S4101" s="24" t="n"/>
      <c r="Y4101" s="24" t="n"/>
    </row>
    <row r="4102">
      <c r="O4102" s="23" t="n"/>
      <c r="R4102" s="24" t="n"/>
      <c r="S4102" s="24" t="n"/>
      <c r="Y4102" s="24" t="n"/>
    </row>
    <row r="4103">
      <c r="O4103" s="23" t="n"/>
      <c r="R4103" s="24" t="n"/>
      <c r="S4103" s="24" t="n"/>
      <c r="Y4103" s="24" t="n"/>
    </row>
    <row r="4104">
      <c r="O4104" s="23" t="n"/>
      <c r="R4104" s="24" t="n"/>
      <c r="S4104" s="24" t="n"/>
      <c r="Y4104" s="24" t="n"/>
    </row>
    <row r="4105">
      <c r="O4105" s="23" t="n"/>
      <c r="R4105" s="24" t="n"/>
      <c r="S4105" s="24" t="n"/>
      <c r="Y4105" s="24" t="n"/>
    </row>
    <row r="4106">
      <c r="O4106" s="23" t="n"/>
      <c r="R4106" s="24" t="n"/>
      <c r="S4106" s="24" t="n"/>
      <c r="Y4106" s="24" t="n"/>
    </row>
    <row r="4107">
      <c r="O4107" s="23" t="n"/>
      <c r="R4107" s="24" t="n"/>
      <c r="S4107" s="24" t="n"/>
      <c r="Y4107" s="24" t="n"/>
    </row>
    <row r="4108">
      <c r="O4108" s="23" t="n"/>
      <c r="R4108" s="24" t="n"/>
      <c r="S4108" s="24" t="n"/>
      <c r="Y4108" s="24" t="n"/>
    </row>
    <row r="4109">
      <c r="O4109" s="23" t="n"/>
      <c r="R4109" s="24" t="n"/>
      <c r="S4109" s="24" t="n"/>
      <c r="Y4109" s="24" t="n"/>
    </row>
    <row r="4110">
      <c r="O4110" s="23" t="n"/>
      <c r="R4110" s="24" t="n"/>
      <c r="S4110" s="24" t="n"/>
      <c r="Y4110" s="24" t="n"/>
    </row>
    <row r="4111">
      <c r="O4111" s="23" t="n"/>
      <c r="R4111" s="24" t="n"/>
      <c r="S4111" s="24" t="n"/>
      <c r="Y4111" s="24" t="n"/>
    </row>
    <row r="4112">
      <c r="O4112" s="23" t="n"/>
      <c r="R4112" s="24" t="n"/>
      <c r="S4112" s="24" t="n"/>
      <c r="Y4112" s="24" t="n"/>
    </row>
    <row r="4113">
      <c r="O4113" s="23" t="n"/>
      <c r="R4113" s="24" t="n"/>
      <c r="S4113" s="24" t="n"/>
      <c r="Y4113" s="24" t="n"/>
    </row>
    <row r="4114">
      <c r="O4114" s="23" t="n"/>
      <c r="R4114" s="24" t="n"/>
      <c r="S4114" s="24" t="n"/>
      <c r="Y4114" s="24" t="n"/>
    </row>
    <row r="4115">
      <c r="O4115" s="23" t="n"/>
      <c r="R4115" s="24" t="n"/>
      <c r="S4115" s="24" t="n"/>
      <c r="Y4115" s="24" t="n"/>
    </row>
    <row r="4116">
      <c r="O4116" s="23" t="n"/>
      <c r="R4116" s="24" t="n"/>
      <c r="S4116" s="24" t="n"/>
      <c r="Y4116" s="24" t="n"/>
    </row>
    <row r="4117">
      <c r="O4117" s="23" t="n"/>
      <c r="R4117" s="24" t="n"/>
      <c r="S4117" s="24" t="n"/>
      <c r="Y4117" s="24" t="n"/>
    </row>
    <row r="4118">
      <c r="O4118" s="23" t="n"/>
      <c r="R4118" s="24" t="n"/>
      <c r="S4118" s="24" t="n"/>
      <c r="Y4118" s="24" t="n"/>
    </row>
    <row r="4119">
      <c r="O4119" s="23" t="n"/>
      <c r="R4119" s="24" t="n"/>
      <c r="S4119" s="24" t="n"/>
      <c r="Y4119" s="24" t="n"/>
    </row>
    <row r="4120">
      <c r="O4120" s="23" t="n"/>
      <c r="R4120" s="24" t="n"/>
      <c r="S4120" s="24" t="n"/>
      <c r="Y4120" s="24" t="n"/>
    </row>
    <row r="4121">
      <c r="O4121" s="23" t="n"/>
      <c r="R4121" s="24" t="n"/>
      <c r="S4121" s="24" t="n"/>
      <c r="Y4121" s="24" t="n"/>
    </row>
    <row r="4122">
      <c r="O4122" s="23" t="n"/>
      <c r="R4122" s="24" t="n"/>
      <c r="S4122" s="24" t="n"/>
      <c r="Y4122" s="24" t="n"/>
    </row>
    <row r="4123">
      <c r="O4123" s="23" t="n"/>
      <c r="R4123" s="24" t="n"/>
      <c r="S4123" s="24" t="n"/>
      <c r="Y4123" s="24" t="n"/>
    </row>
    <row r="4124">
      <c r="O4124" s="23" t="n"/>
      <c r="R4124" s="24" t="n"/>
      <c r="S4124" s="24" t="n"/>
      <c r="Y4124" s="24" t="n"/>
    </row>
    <row r="4125">
      <c r="O4125" s="23" t="n"/>
      <c r="R4125" s="24" t="n"/>
      <c r="S4125" s="24" t="n"/>
      <c r="Y4125" s="24" t="n"/>
    </row>
    <row r="4126">
      <c r="O4126" s="23" t="n"/>
      <c r="R4126" s="24" t="n"/>
      <c r="S4126" s="24" t="n"/>
      <c r="Y4126" s="24" t="n"/>
    </row>
    <row r="4127">
      <c r="O4127" s="23" t="n"/>
      <c r="R4127" s="24" t="n"/>
      <c r="S4127" s="24" t="n"/>
      <c r="Y4127" s="24" t="n"/>
    </row>
    <row r="4128">
      <c r="O4128" s="23" t="n"/>
      <c r="R4128" s="24" t="n"/>
      <c r="S4128" s="24" t="n"/>
      <c r="Y4128" s="24" t="n"/>
    </row>
    <row r="4129">
      <c r="O4129" s="23" t="n"/>
      <c r="R4129" s="24" t="n"/>
      <c r="S4129" s="24" t="n"/>
      <c r="Y4129" s="24" t="n"/>
    </row>
    <row r="4130">
      <c r="O4130" s="23" t="n"/>
      <c r="R4130" s="24" t="n"/>
      <c r="S4130" s="24" t="n"/>
      <c r="Y4130" s="24" t="n"/>
    </row>
    <row r="4131">
      <c r="O4131" s="23" t="n"/>
      <c r="R4131" s="24" t="n"/>
      <c r="S4131" s="24" t="n"/>
      <c r="Y4131" s="24" t="n"/>
    </row>
    <row r="4132">
      <c r="O4132" s="23" t="n"/>
      <c r="R4132" s="24" t="n"/>
      <c r="S4132" s="24" t="n"/>
      <c r="Y4132" s="24" t="n"/>
    </row>
    <row r="4133">
      <c r="O4133" s="23" t="n"/>
      <c r="R4133" s="24" t="n"/>
      <c r="S4133" s="24" t="n"/>
      <c r="Y4133" s="24" t="n"/>
    </row>
    <row r="4134">
      <c r="O4134" s="23" t="n"/>
      <c r="R4134" s="24" t="n"/>
      <c r="S4134" s="24" t="n"/>
      <c r="Y4134" s="24" t="n"/>
    </row>
    <row r="4135">
      <c r="O4135" s="23" t="n"/>
      <c r="R4135" s="24" t="n"/>
      <c r="S4135" s="24" t="n"/>
      <c r="Y4135" s="24" t="n"/>
    </row>
    <row r="4136">
      <c r="O4136" s="23" t="n"/>
      <c r="R4136" s="24" t="n"/>
      <c r="S4136" s="24" t="n"/>
      <c r="Y4136" s="24" t="n"/>
    </row>
    <row r="4137">
      <c r="O4137" s="23" t="n"/>
      <c r="R4137" s="24" t="n"/>
      <c r="S4137" s="24" t="n"/>
      <c r="Y4137" s="24" t="n"/>
    </row>
    <row r="4138">
      <c r="O4138" s="23" t="n"/>
      <c r="R4138" s="24" t="n"/>
      <c r="S4138" s="24" t="n"/>
      <c r="Y4138" s="24" t="n"/>
    </row>
    <row r="4139">
      <c r="O4139" s="23" t="n"/>
      <c r="R4139" s="24" t="n"/>
      <c r="S4139" s="24" t="n"/>
      <c r="Y4139" s="24" t="n"/>
    </row>
    <row r="4140">
      <c r="O4140" s="23" t="n"/>
      <c r="R4140" s="24" t="n"/>
      <c r="S4140" s="24" t="n"/>
      <c r="Y4140" s="24" t="n"/>
    </row>
    <row r="4141">
      <c r="O4141" s="23" t="n"/>
      <c r="R4141" s="24" t="n"/>
      <c r="S4141" s="24" t="n"/>
      <c r="Y4141" s="24" t="n"/>
    </row>
    <row r="4142">
      <c r="O4142" s="23" t="n"/>
      <c r="R4142" s="24" t="n"/>
      <c r="S4142" s="24" t="n"/>
      <c r="Y4142" s="24" t="n"/>
    </row>
    <row r="4143">
      <c r="O4143" s="23" t="n"/>
      <c r="R4143" s="24" t="n"/>
      <c r="S4143" s="24" t="n"/>
      <c r="Y4143" s="24" t="n"/>
    </row>
    <row r="4144">
      <c r="O4144" s="23" t="n"/>
      <c r="R4144" s="24" t="n"/>
      <c r="S4144" s="24" t="n"/>
      <c r="Y4144" s="24" t="n"/>
    </row>
    <row r="4145">
      <c r="O4145" s="23" t="n"/>
      <c r="R4145" s="24" t="n"/>
      <c r="S4145" s="24" t="n"/>
      <c r="Y4145" s="24" t="n"/>
    </row>
    <row r="4146">
      <c r="O4146" s="23" t="n"/>
      <c r="R4146" s="24" t="n"/>
      <c r="S4146" s="24" t="n"/>
      <c r="Y4146" s="24" t="n"/>
    </row>
    <row r="4147">
      <c r="O4147" s="23" t="n"/>
      <c r="R4147" s="24" t="n"/>
      <c r="S4147" s="24" t="n"/>
      <c r="Y4147" s="24" t="n"/>
    </row>
    <row r="4148">
      <c r="O4148" s="23" t="n"/>
      <c r="R4148" s="24" t="n"/>
      <c r="S4148" s="24" t="n"/>
      <c r="Y4148" s="24" t="n"/>
    </row>
    <row r="4149">
      <c r="O4149" s="23" t="n"/>
      <c r="R4149" s="24" t="n"/>
      <c r="S4149" s="24" t="n"/>
      <c r="Y4149" s="24" t="n"/>
    </row>
    <row r="4150">
      <c r="O4150" s="23" t="n"/>
      <c r="R4150" s="24" t="n"/>
      <c r="S4150" s="24" t="n"/>
      <c r="Y4150" s="24" t="n"/>
    </row>
    <row r="4151">
      <c r="O4151" s="23" t="n"/>
      <c r="R4151" s="24" t="n"/>
      <c r="S4151" s="24" t="n"/>
      <c r="Y4151" s="24" t="n"/>
    </row>
    <row r="4152">
      <c r="O4152" s="23" t="n"/>
      <c r="R4152" s="24" t="n"/>
      <c r="S4152" s="24" t="n"/>
      <c r="Y4152" s="24" t="n"/>
    </row>
    <row r="4153">
      <c r="O4153" s="23" t="n"/>
      <c r="R4153" s="24" t="n"/>
      <c r="S4153" s="24" t="n"/>
      <c r="Y4153" s="24" t="n"/>
    </row>
    <row r="4154">
      <c r="O4154" s="23" t="n"/>
      <c r="R4154" s="24" t="n"/>
      <c r="S4154" s="24" t="n"/>
      <c r="Y4154" s="24" t="n"/>
    </row>
    <row r="4155">
      <c r="O4155" s="23" t="n"/>
      <c r="R4155" s="24" t="n"/>
      <c r="S4155" s="24" t="n"/>
      <c r="Y4155" s="24" t="n"/>
    </row>
    <row r="4156">
      <c r="O4156" s="23" t="n"/>
      <c r="R4156" s="24" t="n"/>
      <c r="S4156" s="24" t="n"/>
      <c r="Y4156" s="24" t="n"/>
    </row>
    <row r="4157">
      <c r="O4157" s="23" t="n"/>
      <c r="R4157" s="24" t="n"/>
      <c r="S4157" s="24" t="n"/>
      <c r="Y4157" s="24" t="n"/>
    </row>
    <row r="4158">
      <c r="O4158" s="23" t="n"/>
      <c r="R4158" s="24" t="n"/>
      <c r="S4158" s="24" t="n"/>
      <c r="Y4158" s="24" t="n"/>
    </row>
    <row r="4159">
      <c r="O4159" s="23" t="n"/>
      <c r="R4159" s="24" t="n"/>
      <c r="S4159" s="24" t="n"/>
      <c r="Y4159" s="24" t="n"/>
    </row>
    <row r="4160">
      <c r="O4160" s="23" t="n"/>
      <c r="R4160" s="24" t="n"/>
      <c r="S4160" s="24" t="n"/>
      <c r="Y4160" s="24" t="n"/>
    </row>
    <row r="4161">
      <c r="O4161" s="23" t="n"/>
      <c r="R4161" s="24" t="n"/>
      <c r="S4161" s="24" t="n"/>
      <c r="Y4161" s="24" t="n"/>
    </row>
    <row r="4162">
      <c r="O4162" s="23" t="n"/>
      <c r="R4162" s="24" t="n"/>
      <c r="S4162" s="24" t="n"/>
      <c r="Y4162" s="24" t="n"/>
    </row>
    <row r="4163">
      <c r="O4163" s="23" t="n"/>
      <c r="R4163" s="24" t="n"/>
      <c r="S4163" s="24" t="n"/>
      <c r="Y4163" s="24" t="n"/>
    </row>
    <row r="4164">
      <c r="O4164" s="23" t="n"/>
      <c r="R4164" s="24" t="n"/>
      <c r="S4164" s="24" t="n"/>
      <c r="Y4164" s="24" t="n"/>
    </row>
    <row r="4165">
      <c r="O4165" s="23" t="n"/>
      <c r="R4165" s="24" t="n"/>
      <c r="S4165" s="24" t="n"/>
      <c r="Y4165" s="24" t="n"/>
    </row>
    <row r="4166">
      <c r="O4166" s="23" t="n"/>
      <c r="R4166" s="24" t="n"/>
      <c r="S4166" s="24" t="n"/>
      <c r="Y4166" s="24" t="n"/>
    </row>
    <row r="4167">
      <c r="O4167" s="23" t="n"/>
      <c r="R4167" s="24" t="n"/>
      <c r="S4167" s="24" t="n"/>
      <c r="Y4167" s="24" t="n"/>
    </row>
    <row r="4168">
      <c r="O4168" s="23" t="n"/>
      <c r="R4168" s="24" t="n"/>
      <c r="S4168" s="24" t="n"/>
      <c r="Y4168" s="24" t="n"/>
    </row>
    <row r="4169">
      <c r="O4169" s="23" t="n"/>
      <c r="R4169" s="24" t="n"/>
      <c r="S4169" s="24" t="n"/>
      <c r="Y4169" s="24" t="n"/>
    </row>
    <row r="4170">
      <c r="O4170" s="23" t="n"/>
      <c r="R4170" s="24" t="n"/>
      <c r="S4170" s="24" t="n"/>
      <c r="Y4170" s="24" t="n"/>
    </row>
    <row r="4171">
      <c r="O4171" s="23" t="n"/>
      <c r="R4171" s="24" t="n"/>
      <c r="S4171" s="24" t="n"/>
      <c r="Y4171" s="24" t="n"/>
    </row>
    <row r="4172">
      <c r="O4172" s="23" t="n"/>
      <c r="R4172" s="24" t="n"/>
      <c r="S4172" s="24" t="n"/>
      <c r="Y4172" s="24" t="n"/>
    </row>
    <row r="4173">
      <c r="O4173" s="23" t="n"/>
      <c r="R4173" s="24" t="n"/>
      <c r="S4173" s="24" t="n"/>
      <c r="Y4173" s="24" t="n"/>
    </row>
    <row r="4174">
      <c r="O4174" s="23" t="n"/>
      <c r="R4174" s="24" t="n"/>
      <c r="S4174" s="24" t="n"/>
      <c r="Y4174" s="24" t="n"/>
    </row>
    <row r="4175">
      <c r="O4175" s="23" t="n"/>
      <c r="R4175" s="24" t="n"/>
      <c r="S4175" s="24" t="n"/>
      <c r="Y4175" s="24" t="n"/>
    </row>
    <row r="4176">
      <c r="O4176" s="23" t="n"/>
      <c r="R4176" s="24" t="n"/>
      <c r="S4176" s="24" t="n"/>
      <c r="Y4176" s="24" t="n"/>
    </row>
    <row r="4177">
      <c r="O4177" s="23" t="n"/>
      <c r="R4177" s="24" t="n"/>
      <c r="S4177" s="24" t="n"/>
      <c r="Y4177" s="24" t="n"/>
    </row>
    <row r="4178">
      <c r="O4178" s="23" t="n"/>
      <c r="R4178" s="24" t="n"/>
      <c r="S4178" s="24" t="n"/>
      <c r="Y4178" s="24" t="n"/>
    </row>
    <row r="4179">
      <c r="O4179" s="23" t="n"/>
      <c r="R4179" s="24" t="n"/>
      <c r="S4179" s="24" t="n"/>
      <c r="Y4179" s="24" t="n"/>
    </row>
    <row r="4180">
      <c r="O4180" s="23" t="n"/>
      <c r="R4180" s="24" t="n"/>
      <c r="S4180" s="24" t="n"/>
      <c r="Y4180" s="24" t="n"/>
    </row>
    <row r="4181">
      <c r="O4181" s="23" t="n"/>
      <c r="R4181" s="24" t="n"/>
      <c r="S4181" s="24" t="n"/>
      <c r="Y4181" s="24" t="n"/>
    </row>
    <row r="4182">
      <c r="O4182" s="23" t="n"/>
      <c r="R4182" s="24" t="n"/>
      <c r="S4182" s="24" t="n"/>
      <c r="Y4182" s="24" t="n"/>
    </row>
    <row r="4183">
      <c r="O4183" s="23" t="n"/>
      <c r="R4183" s="24" t="n"/>
      <c r="S4183" s="24" t="n"/>
      <c r="Y4183" s="24" t="n"/>
    </row>
    <row r="4184">
      <c r="O4184" s="23" t="n"/>
      <c r="R4184" s="24" t="n"/>
      <c r="S4184" s="24" t="n"/>
      <c r="Y4184" s="24" t="n"/>
    </row>
    <row r="4185">
      <c r="O4185" s="23" t="n"/>
      <c r="R4185" s="24" t="n"/>
      <c r="S4185" s="24" t="n"/>
      <c r="Y4185" s="24" t="n"/>
    </row>
    <row r="4186">
      <c r="O4186" s="23" t="n"/>
      <c r="R4186" s="24" t="n"/>
      <c r="S4186" s="24" t="n"/>
      <c r="Y4186" s="24" t="n"/>
    </row>
    <row r="4187">
      <c r="O4187" s="23" t="n"/>
      <c r="R4187" s="24" t="n"/>
      <c r="S4187" s="24" t="n"/>
      <c r="Y4187" s="24" t="n"/>
    </row>
    <row r="4188">
      <c r="O4188" s="23" t="n"/>
      <c r="R4188" s="24" t="n"/>
      <c r="S4188" s="24" t="n"/>
      <c r="Y4188" s="24" t="n"/>
    </row>
    <row r="4189">
      <c r="O4189" s="23" t="n"/>
      <c r="R4189" s="24" t="n"/>
      <c r="S4189" s="24" t="n"/>
      <c r="Y4189" s="24" t="n"/>
    </row>
    <row r="4190">
      <c r="O4190" s="23" t="n"/>
      <c r="R4190" s="24" t="n"/>
      <c r="S4190" s="24" t="n"/>
      <c r="Y4190" s="24" t="n"/>
    </row>
    <row r="4191">
      <c r="O4191" s="23" t="n"/>
      <c r="R4191" s="24" t="n"/>
      <c r="S4191" s="24" t="n"/>
      <c r="Y4191" s="24" t="n"/>
    </row>
    <row r="4192">
      <c r="O4192" s="23" t="n"/>
      <c r="R4192" s="24" t="n"/>
      <c r="S4192" s="24" t="n"/>
      <c r="Y4192" s="24" t="n"/>
    </row>
    <row r="4193">
      <c r="O4193" s="23" t="n"/>
      <c r="R4193" s="24" t="n"/>
      <c r="S4193" s="24" t="n"/>
      <c r="Y4193" s="24" t="n"/>
    </row>
    <row r="4194">
      <c r="O4194" s="23" t="n"/>
      <c r="R4194" s="24" t="n"/>
      <c r="S4194" s="24" t="n"/>
      <c r="Y4194" s="24" t="n"/>
    </row>
    <row r="4195">
      <c r="O4195" s="23" t="n"/>
      <c r="R4195" s="24" t="n"/>
      <c r="S4195" s="24" t="n"/>
      <c r="Y4195" s="24" t="n"/>
    </row>
    <row r="4196">
      <c r="O4196" s="23" t="n"/>
      <c r="R4196" s="24" t="n"/>
      <c r="S4196" s="24" t="n"/>
      <c r="Y4196" s="24" t="n"/>
    </row>
    <row r="4197">
      <c r="O4197" s="23" t="n"/>
      <c r="R4197" s="24" t="n"/>
      <c r="S4197" s="24" t="n"/>
      <c r="Y4197" s="24" t="n"/>
    </row>
    <row r="4198">
      <c r="O4198" s="23" t="n"/>
      <c r="R4198" s="24" t="n"/>
      <c r="S4198" s="24" t="n"/>
      <c r="Y4198" s="24" t="n"/>
    </row>
    <row r="4199">
      <c r="O4199" s="23" t="n"/>
      <c r="R4199" s="24" t="n"/>
      <c r="S4199" s="24" t="n"/>
      <c r="Y4199" s="24" t="n"/>
    </row>
    <row r="4200">
      <c r="O4200" s="23" t="n"/>
      <c r="R4200" s="24" t="n"/>
      <c r="S4200" s="24" t="n"/>
      <c r="Y4200" s="24" t="n"/>
    </row>
    <row r="4201">
      <c r="O4201" s="23" t="n"/>
      <c r="R4201" s="24" t="n"/>
      <c r="S4201" s="24" t="n"/>
      <c r="Y4201" s="24" t="n"/>
    </row>
    <row r="4202">
      <c r="O4202" s="23" t="n"/>
      <c r="R4202" s="24" t="n"/>
      <c r="S4202" s="24" t="n"/>
      <c r="Y4202" s="24" t="n"/>
    </row>
    <row r="4203">
      <c r="O4203" s="23" t="n"/>
      <c r="R4203" s="24" t="n"/>
      <c r="S4203" s="24" t="n"/>
      <c r="Y4203" s="24" t="n"/>
    </row>
    <row r="4204">
      <c r="O4204" s="23" t="n"/>
      <c r="R4204" s="24" t="n"/>
      <c r="S4204" s="24" t="n"/>
      <c r="Y4204" s="24" t="n"/>
    </row>
    <row r="4205">
      <c r="O4205" s="23" t="n"/>
      <c r="R4205" s="24" t="n"/>
      <c r="S4205" s="24" t="n"/>
      <c r="Y4205" s="24" t="n"/>
    </row>
    <row r="4206">
      <c r="O4206" s="23" t="n"/>
      <c r="R4206" s="24" t="n"/>
      <c r="S4206" s="24" t="n"/>
      <c r="Y4206" s="24" t="n"/>
    </row>
    <row r="4207">
      <c r="O4207" s="23" t="n"/>
      <c r="R4207" s="24" t="n"/>
      <c r="S4207" s="24" t="n"/>
      <c r="Y4207" s="24" t="n"/>
    </row>
    <row r="4208">
      <c r="O4208" s="23" t="n"/>
      <c r="R4208" s="24" t="n"/>
      <c r="S4208" s="24" t="n"/>
      <c r="Y4208" s="24" t="n"/>
    </row>
    <row r="4209">
      <c r="O4209" s="23" t="n"/>
      <c r="R4209" s="24" t="n"/>
      <c r="S4209" s="24" t="n"/>
      <c r="Y4209" s="24" t="n"/>
    </row>
    <row r="4210">
      <c r="O4210" s="23" t="n"/>
      <c r="R4210" s="24" t="n"/>
      <c r="S4210" s="24" t="n"/>
      <c r="Y4210" s="24" t="n"/>
    </row>
    <row r="4211">
      <c r="O4211" s="23" t="n"/>
      <c r="R4211" s="24" t="n"/>
      <c r="S4211" s="24" t="n"/>
      <c r="Y4211" s="24" t="n"/>
    </row>
    <row r="4212">
      <c r="O4212" s="23" t="n"/>
      <c r="R4212" s="24" t="n"/>
      <c r="S4212" s="24" t="n"/>
      <c r="Y4212" s="24" t="n"/>
    </row>
    <row r="4213">
      <c r="O4213" s="23" t="n"/>
      <c r="R4213" s="24" t="n"/>
      <c r="S4213" s="24" t="n"/>
      <c r="Y4213" s="24" t="n"/>
    </row>
    <row r="4214">
      <c r="O4214" s="23" t="n"/>
      <c r="R4214" s="24" t="n"/>
      <c r="S4214" s="24" t="n"/>
      <c r="Y4214" s="24" t="n"/>
    </row>
    <row r="4215">
      <c r="O4215" s="23" t="n"/>
      <c r="R4215" s="24" t="n"/>
      <c r="S4215" s="24" t="n"/>
      <c r="Y4215" s="24" t="n"/>
    </row>
    <row r="4216">
      <c r="O4216" s="23" t="n"/>
      <c r="R4216" s="24" t="n"/>
      <c r="S4216" s="24" t="n"/>
      <c r="Y4216" s="24" t="n"/>
    </row>
    <row r="4217">
      <c r="O4217" s="23" t="n"/>
      <c r="R4217" s="24" t="n"/>
      <c r="S4217" s="24" t="n"/>
      <c r="Y4217" s="24" t="n"/>
    </row>
    <row r="4218">
      <c r="O4218" s="23" t="n"/>
      <c r="R4218" s="24" t="n"/>
      <c r="S4218" s="24" t="n"/>
      <c r="Y4218" s="24" t="n"/>
    </row>
    <row r="4219">
      <c r="O4219" s="23" t="n"/>
      <c r="R4219" s="24" t="n"/>
      <c r="S4219" s="24" t="n"/>
      <c r="Y4219" s="24" t="n"/>
    </row>
    <row r="4220">
      <c r="O4220" s="23" t="n"/>
      <c r="R4220" s="24" t="n"/>
      <c r="S4220" s="24" t="n"/>
      <c r="Y4220" s="24" t="n"/>
    </row>
    <row r="4221">
      <c r="O4221" s="23" t="n"/>
      <c r="R4221" s="24" t="n"/>
      <c r="S4221" s="24" t="n"/>
      <c r="Y4221" s="24" t="n"/>
    </row>
    <row r="4222">
      <c r="O4222" s="23" t="n"/>
      <c r="R4222" s="24" t="n"/>
      <c r="S4222" s="24" t="n"/>
      <c r="Y4222" s="24" t="n"/>
    </row>
    <row r="4223">
      <c r="O4223" s="23" t="n"/>
      <c r="R4223" s="24" t="n"/>
      <c r="S4223" s="24" t="n"/>
      <c r="Y4223" s="24" t="n"/>
    </row>
    <row r="4224">
      <c r="O4224" s="23" t="n"/>
      <c r="R4224" s="24" t="n"/>
      <c r="S4224" s="24" t="n"/>
      <c r="Y4224" s="24" t="n"/>
    </row>
    <row r="4225">
      <c r="O4225" s="23" t="n"/>
      <c r="R4225" s="24" t="n"/>
      <c r="S4225" s="24" t="n"/>
      <c r="Y4225" s="24" t="n"/>
    </row>
    <row r="4226">
      <c r="O4226" s="23" t="n"/>
      <c r="R4226" s="24" t="n"/>
      <c r="S4226" s="24" t="n"/>
      <c r="Y4226" s="24" t="n"/>
    </row>
    <row r="4227">
      <c r="O4227" s="23" t="n"/>
      <c r="R4227" s="24" t="n"/>
      <c r="S4227" s="24" t="n"/>
      <c r="Y4227" s="24" t="n"/>
    </row>
    <row r="4228">
      <c r="O4228" s="23" t="n"/>
      <c r="R4228" s="24" t="n"/>
      <c r="S4228" s="24" t="n"/>
      <c r="Y4228" s="24" t="n"/>
    </row>
    <row r="4229">
      <c r="O4229" s="23" t="n"/>
      <c r="R4229" s="24" t="n"/>
      <c r="S4229" s="24" t="n"/>
      <c r="Y4229" s="24" t="n"/>
    </row>
    <row r="4230">
      <c r="O4230" s="23" t="n"/>
      <c r="R4230" s="24" t="n"/>
      <c r="S4230" s="24" t="n"/>
      <c r="Y4230" s="24" t="n"/>
    </row>
    <row r="4231">
      <c r="O4231" s="23" t="n"/>
      <c r="R4231" s="24" t="n"/>
      <c r="S4231" s="24" t="n"/>
      <c r="Y4231" s="24" t="n"/>
    </row>
    <row r="4232">
      <c r="O4232" s="23" t="n"/>
      <c r="R4232" s="24" t="n"/>
      <c r="S4232" s="24" t="n"/>
      <c r="Y4232" s="24" t="n"/>
    </row>
    <row r="4233">
      <c r="O4233" s="23" t="n"/>
      <c r="R4233" s="24" t="n"/>
      <c r="S4233" s="24" t="n"/>
      <c r="Y4233" s="24" t="n"/>
    </row>
    <row r="4234">
      <c r="O4234" s="23" t="n"/>
      <c r="R4234" s="24" t="n"/>
      <c r="S4234" s="24" t="n"/>
      <c r="Y4234" s="24" t="n"/>
    </row>
    <row r="4235">
      <c r="O4235" s="23" t="n"/>
      <c r="R4235" s="24" t="n"/>
      <c r="S4235" s="24" t="n"/>
      <c r="Y4235" s="24" t="n"/>
    </row>
    <row r="4236">
      <c r="O4236" s="23" t="n"/>
      <c r="R4236" s="24" t="n"/>
      <c r="S4236" s="24" t="n"/>
      <c r="Y4236" s="24" t="n"/>
    </row>
    <row r="4237">
      <c r="O4237" s="23" t="n"/>
      <c r="R4237" s="24" t="n"/>
      <c r="S4237" s="24" t="n"/>
      <c r="Y4237" s="24" t="n"/>
    </row>
    <row r="4238">
      <c r="O4238" s="23" t="n"/>
      <c r="R4238" s="24" t="n"/>
      <c r="S4238" s="24" t="n"/>
      <c r="Y4238" s="24" t="n"/>
    </row>
    <row r="4239">
      <c r="O4239" s="23" t="n"/>
      <c r="R4239" s="24" t="n"/>
      <c r="S4239" s="24" t="n"/>
      <c r="Y4239" s="24" t="n"/>
    </row>
    <row r="4240">
      <c r="O4240" s="23" t="n"/>
      <c r="R4240" s="24" t="n"/>
      <c r="S4240" s="24" t="n"/>
      <c r="Y4240" s="24" t="n"/>
    </row>
    <row r="4241">
      <c r="O4241" s="23" t="n"/>
      <c r="R4241" s="24" t="n"/>
      <c r="S4241" s="24" t="n"/>
      <c r="Y4241" s="24" t="n"/>
    </row>
    <row r="4242">
      <c r="O4242" s="23" t="n"/>
      <c r="R4242" s="24" t="n"/>
      <c r="S4242" s="24" t="n"/>
      <c r="Y4242" s="24" t="n"/>
    </row>
    <row r="4243">
      <c r="O4243" s="23" t="n"/>
      <c r="R4243" s="24" t="n"/>
      <c r="S4243" s="24" t="n"/>
      <c r="Y4243" s="24" t="n"/>
    </row>
    <row r="4244">
      <c r="O4244" s="23" t="n"/>
      <c r="R4244" s="24" t="n"/>
      <c r="S4244" s="24" t="n"/>
      <c r="Y4244" s="24" t="n"/>
    </row>
    <row r="4245">
      <c r="O4245" s="23" t="n"/>
      <c r="R4245" s="24" t="n"/>
      <c r="S4245" s="24" t="n"/>
      <c r="Y4245" s="24" t="n"/>
    </row>
    <row r="4246">
      <c r="O4246" s="23" t="n"/>
      <c r="R4246" s="24" t="n"/>
      <c r="S4246" s="24" t="n"/>
      <c r="Y4246" s="24" t="n"/>
    </row>
    <row r="4247">
      <c r="O4247" s="23" t="n"/>
      <c r="R4247" s="24" t="n"/>
      <c r="S4247" s="24" t="n"/>
      <c r="Y4247" s="24" t="n"/>
    </row>
    <row r="4248">
      <c r="O4248" s="23" t="n"/>
      <c r="R4248" s="24" t="n"/>
      <c r="S4248" s="24" t="n"/>
      <c r="Y4248" s="24" t="n"/>
    </row>
    <row r="4249">
      <c r="O4249" s="23" t="n"/>
      <c r="R4249" s="24" t="n"/>
      <c r="S4249" s="24" t="n"/>
      <c r="Y4249" s="24" t="n"/>
    </row>
    <row r="4250">
      <c r="O4250" s="23" t="n"/>
      <c r="R4250" s="24" t="n"/>
      <c r="S4250" s="24" t="n"/>
      <c r="Y4250" s="24" t="n"/>
    </row>
    <row r="4251">
      <c r="O4251" s="23" t="n"/>
      <c r="R4251" s="24" t="n"/>
      <c r="S4251" s="24" t="n"/>
      <c r="Y4251" s="24" t="n"/>
    </row>
    <row r="4252">
      <c r="O4252" s="23" t="n"/>
      <c r="R4252" s="24" t="n"/>
      <c r="S4252" s="24" t="n"/>
      <c r="Y4252" s="24" t="n"/>
    </row>
    <row r="4253">
      <c r="O4253" s="23" t="n"/>
      <c r="R4253" s="24" t="n"/>
      <c r="S4253" s="24" t="n"/>
      <c r="Y4253" s="24" t="n"/>
    </row>
    <row r="4254">
      <c r="O4254" s="23" t="n"/>
      <c r="R4254" s="24" t="n"/>
      <c r="S4254" s="24" t="n"/>
      <c r="Y4254" s="24" t="n"/>
    </row>
    <row r="4255">
      <c r="O4255" s="23" t="n"/>
      <c r="R4255" s="24" t="n"/>
      <c r="S4255" s="24" t="n"/>
      <c r="Y4255" s="24" t="n"/>
    </row>
    <row r="4256">
      <c r="O4256" s="23" t="n"/>
      <c r="R4256" s="24" t="n"/>
      <c r="S4256" s="24" t="n"/>
      <c r="Y4256" s="24" t="n"/>
    </row>
    <row r="4257">
      <c r="O4257" s="23" t="n"/>
      <c r="R4257" s="24" t="n"/>
      <c r="S4257" s="24" t="n"/>
      <c r="Y4257" s="24" t="n"/>
    </row>
    <row r="4258">
      <c r="O4258" s="23" t="n"/>
      <c r="R4258" s="24" t="n"/>
      <c r="S4258" s="24" t="n"/>
      <c r="Y4258" s="24" t="n"/>
    </row>
    <row r="4259">
      <c r="O4259" s="23" t="n"/>
      <c r="R4259" s="24" t="n"/>
      <c r="S4259" s="24" t="n"/>
      <c r="Y4259" s="24" t="n"/>
    </row>
    <row r="4260">
      <c r="O4260" s="23" t="n"/>
      <c r="R4260" s="24" t="n"/>
      <c r="S4260" s="24" t="n"/>
      <c r="Y4260" s="24" t="n"/>
    </row>
    <row r="4261">
      <c r="O4261" s="23" t="n"/>
      <c r="R4261" s="24" t="n"/>
      <c r="S4261" s="24" t="n"/>
      <c r="Y4261" s="24" t="n"/>
    </row>
    <row r="4262">
      <c r="O4262" s="23" t="n"/>
      <c r="R4262" s="24" t="n"/>
      <c r="S4262" s="24" t="n"/>
      <c r="Y4262" s="24" t="n"/>
    </row>
    <row r="4263">
      <c r="O4263" s="23" t="n"/>
      <c r="R4263" s="24" t="n"/>
      <c r="S4263" s="24" t="n"/>
      <c r="Y4263" s="24" t="n"/>
    </row>
    <row r="4264">
      <c r="O4264" s="23" t="n"/>
      <c r="R4264" s="24" t="n"/>
      <c r="S4264" s="24" t="n"/>
      <c r="Y4264" s="24" t="n"/>
    </row>
    <row r="4265">
      <c r="O4265" s="23" t="n"/>
      <c r="R4265" s="24" t="n"/>
      <c r="S4265" s="24" t="n"/>
      <c r="Y4265" s="24" t="n"/>
    </row>
    <row r="4266">
      <c r="O4266" s="23" t="n"/>
      <c r="R4266" s="24" t="n"/>
      <c r="S4266" s="24" t="n"/>
      <c r="Y4266" s="24" t="n"/>
    </row>
    <row r="4267">
      <c r="O4267" s="23" t="n"/>
      <c r="R4267" s="24" t="n"/>
      <c r="S4267" s="24" t="n"/>
      <c r="Y4267" s="24" t="n"/>
    </row>
    <row r="4268">
      <c r="O4268" s="23" t="n"/>
      <c r="R4268" s="24" t="n"/>
      <c r="S4268" s="24" t="n"/>
      <c r="Y4268" s="24" t="n"/>
    </row>
    <row r="4269">
      <c r="O4269" s="23" t="n"/>
      <c r="R4269" s="24" t="n"/>
      <c r="S4269" s="24" t="n"/>
      <c r="Y4269" s="24" t="n"/>
    </row>
    <row r="4270">
      <c r="O4270" s="23" t="n"/>
      <c r="R4270" s="24" t="n"/>
      <c r="S4270" s="24" t="n"/>
      <c r="Y4270" s="24" t="n"/>
    </row>
    <row r="4271">
      <c r="O4271" s="23" t="n"/>
      <c r="R4271" s="24" t="n"/>
      <c r="S4271" s="24" t="n"/>
      <c r="Y4271" s="24" t="n"/>
    </row>
    <row r="4272">
      <c r="O4272" s="23" t="n"/>
      <c r="R4272" s="24" t="n"/>
      <c r="S4272" s="24" t="n"/>
      <c r="Y4272" s="24" t="n"/>
    </row>
    <row r="4273">
      <c r="O4273" s="23" t="n"/>
      <c r="R4273" s="24" t="n"/>
      <c r="S4273" s="24" t="n"/>
      <c r="Y4273" s="24" t="n"/>
    </row>
    <row r="4274">
      <c r="O4274" s="23" t="n"/>
      <c r="R4274" s="24" t="n"/>
      <c r="S4274" s="24" t="n"/>
      <c r="Y4274" s="24" t="n"/>
    </row>
    <row r="4275">
      <c r="O4275" s="23" t="n"/>
      <c r="R4275" s="24" t="n"/>
      <c r="S4275" s="24" t="n"/>
      <c r="Y4275" s="24" t="n"/>
    </row>
    <row r="4276">
      <c r="O4276" s="23" t="n"/>
      <c r="R4276" s="24" t="n"/>
      <c r="S4276" s="24" t="n"/>
      <c r="Y4276" s="24" t="n"/>
    </row>
    <row r="4277">
      <c r="O4277" s="23" t="n"/>
      <c r="R4277" s="24" t="n"/>
      <c r="S4277" s="24" t="n"/>
      <c r="Y4277" s="24" t="n"/>
    </row>
    <row r="4278">
      <c r="O4278" s="23" t="n"/>
      <c r="R4278" s="24" t="n"/>
      <c r="S4278" s="24" t="n"/>
      <c r="Y4278" s="24" t="n"/>
    </row>
    <row r="4279">
      <c r="O4279" s="23" t="n"/>
      <c r="R4279" s="24" t="n"/>
      <c r="S4279" s="24" t="n"/>
      <c r="Y4279" s="24" t="n"/>
    </row>
    <row r="4280">
      <c r="O4280" s="23" t="n"/>
      <c r="R4280" s="24" t="n"/>
      <c r="S4280" s="24" t="n"/>
      <c r="Y4280" s="24" t="n"/>
    </row>
    <row r="4281">
      <c r="O4281" s="23" t="n"/>
      <c r="R4281" s="24" t="n"/>
      <c r="S4281" s="24" t="n"/>
      <c r="Y4281" s="24" t="n"/>
    </row>
    <row r="4282">
      <c r="O4282" s="23" t="n"/>
      <c r="R4282" s="24" t="n"/>
      <c r="S4282" s="24" t="n"/>
      <c r="Y4282" s="24" t="n"/>
    </row>
    <row r="4283">
      <c r="O4283" s="23" t="n"/>
      <c r="R4283" s="24" t="n"/>
      <c r="S4283" s="24" t="n"/>
      <c r="Y4283" s="24" t="n"/>
    </row>
    <row r="4284">
      <c r="O4284" s="23" t="n"/>
      <c r="R4284" s="24" t="n"/>
      <c r="S4284" s="24" t="n"/>
      <c r="Y4284" s="24" t="n"/>
    </row>
    <row r="4285">
      <c r="O4285" s="23" t="n"/>
      <c r="R4285" s="24" t="n"/>
      <c r="S4285" s="24" t="n"/>
      <c r="Y4285" s="24" t="n"/>
    </row>
    <row r="4286">
      <c r="O4286" s="23" t="n"/>
      <c r="R4286" s="24" t="n"/>
      <c r="S4286" s="24" t="n"/>
      <c r="Y4286" s="24" t="n"/>
    </row>
    <row r="4287">
      <c r="O4287" s="23" t="n"/>
      <c r="R4287" s="24" t="n"/>
      <c r="S4287" s="24" t="n"/>
      <c r="Y4287" s="24" t="n"/>
    </row>
    <row r="4288">
      <c r="O4288" s="23" t="n"/>
      <c r="R4288" s="24" t="n"/>
      <c r="S4288" s="24" t="n"/>
      <c r="Y4288" s="24" t="n"/>
    </row>
    <row r="4289">
      <c r="O4289" s="23" t="n"/>
      <c r="R4289" s="24" t="n"/>
      <c r="S4289" s="24" t="n"/>
      <c r="Y4289" s="24" t="n"/>
    </row>
    <row r="4290">
      <c r="O4290" s="23" t="n"/>
      <c r="R4290" s="24" t="n"/>
      <c r="S4290" s="24" t="n"/>
      <c r="Y4290" s="24" t="n"/>
    </row>
    <row r="4291">
      <c r="O4291" s="23" t="n"/>
      <c r="R4291" s="24" t="n"/>
      <c r="S4291" s="24" t="n"/>
      <c r="Y4291" s="24" t="n"/>
    </row>
    <row r="4292">
      <c r="O4292" s="23" t="n"/>
      <c r="R4292" s="24" t="n"/>
      <c r="S4292" s="24" t="n"/>
      <c r="Y4292" s="24" t="n"/>
    </row>
    <row r="4293">
      <c r="O4293" s="23" t="n"/>
      <c r="R4293" s="24" t="n"/>
      <c r="S4293" s="24" t="n"/>
      <c r="Y4293" s="24" t="n"/>
    </row>
    <row r="4294">
      <c r="O4294" s="23" t="n"/>
      <c r="R4294" s="24" t="n"/>
      <c r="S4294" s="24" t="n"/>
      <c r="Y4294" s="24" t="n"/>
    </row>
    <row r="4295">
      <c r="O4295" s="23" t="n"/>
      <c r="R4295" s="24" t="n"/>
      <c r="S4295" s="24" t="n"/>
      <c r="Y4295" s="24" t="n"/>
    </row>
    <row r="4296">
      <c r="O4296" s="23" t="n"/>
      <c r="R4296" s="24" t="n"/>
      <c r="S4296" s="24" t="n"/>
      <c r="Y4296" s="24" t="n"/>
    </row>
    <row r="4297">
      <c r="O4297" s="23" t="n"/>
      <c r="R4297" s="24" t="n"/>
      <c r="S4297" s="24" t="n"/>
      <c r="Y4297" s="24" t="n"/>
    </row>
    <row r="4298">
      <c r="O4298" s="23" t="n"/>
      <c r="R4298" s="24" t="n"/>
      <c r="S4298" s="24" t="n"/>
      <c r="Y4298" s="24" t="n"/>
    </row>
    <row r="4299">
      <c r="O4299" s="23" t="n"/>
      <c r="R4299" s="24" t="n"/>
      <c r="S4299" s="24" t="n"/>
      <c r="Y4299" s="24" t="n"/>
    </row>
    <row r="4300">
      <c r="O4300" s="23" t="n"/>
      <c r="R4300" s="24" t="n"/>
      <c r="S4300" s="24" t="n"/>
      <c r="Y4300" s="24" t="n"/>
    </row>
    <row r="4301">
      <c r="O4301" s="23" t="n"/>
      <c r="R4301" s="24" t="n"/>
      <c r="S4301" s="24" t="n"/>
      <c r="Y4301" s="24" t="n"/>
    </row>
    <row r="4302">
      <c r="O4302" s="23" t="n"/>
      <c r="R4302" s="24" t="n"/>
      <c r="S4302" s="24" t="n"/>
      <c r="Y4302" s="24" t="n"/>
    </row>
    <row r="4303">
      <c r="O4303" s="23" t="n"/>
      <c r="R4303" s="24" t="n"/>
      <c r="S4303" s="24" t="n"/>
      <c r="Y4303" s="24" t="n"/>
    </row>
    <row r="4304">
      <c r="O4304" s="23" t="n"/>
      <c r="R4304" s="24" t="n"/>
      <c r="S4304" s="24" t="n"/>
      <c r="Y4304" s="24" t="n"/>
    </row>
    <row r="4305">
      <c r="O4305" s="23" t="n"/>
      <c r="R4305" s="24" t="n"/>
      <c r="S4305" s="24" t="n"/>
      <c r="Y4305" s="24" t="n"/>
    </row>
    <row r="4306">
      <c r="O4306" s="23" t="n"/>
      <c r="R4306" s="24" t="n"/>
      <c r="S4306" s="24" t="n"/>
      <c r="Y4306" s="24" t="n"/>
    </row>
    <row r="4307">
      <c r="O4307" s="23" t="n"/>
      <c r="R4307" s="24" t="n"/>
      <c r="S4307" s="24" t="n"/>
      <c r="Y4307" s="24" t="n"/>
    </row>
    <row r="4308">
      <c r="O4308" s="23" t="n"/>
      <c r="R4308" s="24" t="n"/>
      <c r="S4308" s="24" t="n"/>
      <c r="Y4308" s="24" t="n"/>
    </row>
    <row r="4309">
      <c r="O4309" s="23" t="n"/>
      <c r="R4309" s="24" t="n"/>
      <c r="S4309" s="24" t="n"/>
      <c r="Y4309" s="24" t="n"/>
    </row>
    <row r="4310">
      <c r="O4310" s="23" t="n"/>
      <c r="R4310" s="24" t="n"/>
      <c r="S4310" s="24" t="n"/>
      <c r="Y4310" s="24" t="n"/>
    </row>
    <row r="4311">
      <c r="O4311" s="23" t="n"/>
      <c r="R4311" s="24" t="n"/>
      <c r="S4311" s="24" t="n"/>
      <c r="Y4311" s="24" t="n"/>
    </row>
    <row r="4312">
      <c r="O4312" s="23" t="n"/>
      <c r="R4312" s="24" t="n"/>
      <c r="S4312" s="24" t="n"/>
      <c r="Y4312" s="24" t="n"/>
    </row>
    <row r="4313">
      <c r="O4313" s="23" t="n"/>
      <c r="R4313" s="24" t="n"/>
      <c r="S4313" s="24" t="n"/>
      <c r="Y4313" s="24" t="n"/>
    </row>
    <row r="4314">
      <c r="O4314" s="23" t="n"/>
      <c r="R4314" s="24" t="n"/>
      <c r="S4314" s="24" t="n"/>
      <c r="Y4314" s="24" t="n"/>
    </row>
    <row r="4315">
      <c r="O4315" s="23" t="n"/>
      <c r="R4315" s="24" t="n"/>
      <c r="S4315" s="24" t="n"/>
      <c r="Y4315" s="24" t="n"/>
    </row>
    <row r="4316">
      <c r="O4316" s="23" t="n"/>
      <c r="R4316" s="24" t="n"/>
      <c r="S4316" s="24" t="n"/>
      <c r="Y4316" s="24" t="n"/>
    </row>
    <row r="4317">
      <c r="O4317" s="23" t="n"/>
      <c r="R4317" s="24" t="n"/>
      <c r="S4317" s="24" t="n"/>
      <c r="Y4317" s="24" t="n"/>
    </row>
    <row r="4318">
      <c r="O4318" s="23" t="n"/>
      <c r="R4318" s="24" t="n"/>
      <c r="S4318" s="24" t="n"/>
      <c r="Y4318" s="24" t="n"/>
    </row>
    <row r="4319">
      <c r="O4319" s="23" t="n"/>
      <c r="R4319" s="24" t="n"/>
      <c r="S4319" s="24" t="n"/>
      <c r="Y4319" s="24" t="n"/>
    </row>
    <row r="4320">
      <c r="O4320" s="23" t="n"/>
      <c r="R4320" s="24" t="n"/>
      <c r="S4320" s="24" t="n"/>
      <c r="Y4320" s="24" t="n"/>
    </row>
    <row r="4321">
      <c r="O4321" s="23" t="n"/>
      <c r="R4321" s="24" t="n"/>
      <c r="S4321" s="24" t="n"/>
      <c r="Y4321" s="24" t="n"/>
    </row>
    <row r="4322">
      <c r="O4322" s="23" t="n"/>
      <c r="R4322" s="24" t="n"/>
      <c r="S4322" s="24" t="n"/>
      <c r="Y4322" s="24" t="n"/>
    </row>
    <row r="4323">
      <c r="O4323" s="23" t="n"/>
      <c r="R4323" s="24" t="n"/>
      <c r="S4323" s="24" t="n"/>
      <c r="Y4323" s="24" t="n"/>
    </row>
    <row r="4324">
      <c r="O4324" s="23" t="n"/>
      <c r="R4324" s="24" t="n"/>
      <c r="S4324" s="24" t="n"/>
      <c r="Y4324" s="24" t="n"/>
    </row>
    <row r="4325">
      <c r="O4325" s="23" t="n"/>
      <c r="R4325" s="24" t="n"/>
      <c r="S4325" s="24" t="n"/>
      <c r="Y4325" s="24" t="n"/>
    </row>
    <row r="4326">
      <c r="O4326" s="23" t="n"/>
      <c r="R4326" s="24" t="n"/>
      <c r="S4326" s="24" t="n"/>
      <c r="Y4326" s="24" t="n"/>
    </row>
    <row r="4327">
      <c r="O4327" s="23" t="n"/>
      <c r="R4327" s="24" t="n"/>
      <c r="S4327" s="24" t="n"/>
      <c r="Y4327" s="24" t="n"/>
    </row>
    <row r="4328">
      <c r="O4328" s="23" t="n"/>
      <c r="R4328" s="24" t="n"/>
      <c r="S4328" s="24" t="n"/>
      <c r="Y4328" s="24" t="n"/>
    </row>
    <row r="4329">
      <c r="O4329" s="23" t="n"/>
      <c r="R4329" s="24" t="n"/>
      <c r="S4329" s="24" t="n"/>
      <c r="Y4329" s="24" t="n"/>
    </row>
    <row r="4330">
      <c r="O4330" s="23" t="n"/>
      <c r="R4330" s="24" t="n"/>
      <c r="S4330" s="24" t="n"/>
      <c r="Y4330" s="24" t="n"/>
    </row>
    <row r="4331">
      <c r="O4331" s="23" t="n"/>
      <c r="R4331" s="24" t="n"/>
      <c r="S4331" s="24" t="n"/>
      <c r="Y4331" s="24" t="n"/>
    </row>
    <row r="4332">
      <c r="O4332" s="23" t="n"/>
      <c r="R4332" s="24" t="n"/>
      <c r="S4332" s="24" t="n"/>
      <c r="Y4332" s="24" t="n"/>
    </row>
    <row r="4333">
      <c r="O4333" s="23" t="n"/>
      <c r="R4333" s="24" t="n"/>
      <c r="S4333" s="24" t="n"/>
      <c r="Y4333" s="24" t="n"/>
    </row>
    <row r="4334">
      <c r="O4334" s="23" t="n"/>
      <c r="R4334" s="24" t="n"/>
      <c r="S4334" s="24" t="n"/>
      <c r="Y4334" s="24" t="n"/>
    </row>
    <row r="4335">
      <c r="O4335" s="23" t="n"/>
      <c r="R4335" s="24" t="n"/>
      <c r="S4335" s="24" t="n"/>
      <c r="Y4335" s="24" t="n"/>
    </row>
    <row r="4336">
      <c r="O4336" s="23" t="n"/>
      <c r="R4336" s="24" t="n"/>
      <c r="S4336" s="24" t="n"/>
      <c r="Y4336" s="24" t="n"/>
    </row>
    <row r="4337">
      <c r="O4337" s="23" t="n"/>
      <c r="R4337" s="24" t="n"/>
      <c r="S4337" s="24" t="n"/>
      <c r="Y4337" s="24" t="n"/>
    </row>
    <row r="4338">
      <c r="O4338" s="23" t="n"/>
      <c r="R4338" s="24" t="n"/>
      <c r="S4338" s="24" t="n"/>
      <c r="Y4338" s="24" t="n"/>
    </row>
    <row r="4339">
      <c r="O4339" s="23" t="n"/>
      <c r="R4339" s="24" t="n"/>
      <c r="S4339" s="24" t="n"/>
      <c r="Y4339" s="24" t="n"/>
    </row>
    <row r="4340">
      <c r="O4340" s="23" t="n"/>
      <c r="R4340" s="24" t="n"/>
      <c r="S4340" s="24" t="n"/>
      <c r="Y4340" s="24" t="n"/>
    </row>
    <row r="4341">
      <c r="O4341" s="23" t="n"/>
      <c r="R4341" s="24" t="n"/>
      <c r="S4341" s="24" t="n"/>
      <c r="Y4341" s="24" t="n"/>
    </row>
    <row r="4342">
      <c r="O4342" s="23" t="n"/>
      <c r="R4342" s="24" t="n"/>
      <c r="S4342" s="24" t="n"/>
      <c r="Y4342" s="24" t="n"/>
    </row>
    <row r="4343">
      <c r="O4343" s="23" t="n"/>
      <c r="R4343" s="24" t="n"/>
      <c r="S4343" s="24" t="n"/>
      <c r="Y4343" s="24" t="n"/>
    </row>
    <row r="4344">
      <c r="O4344" s="23" t="n"/>
      <c r="R4344" s="24" t="n"/>
      <c r="S4344" s="24" t="n"/>
      <c r="Y4344" s="24" t="n"/>
    </row>
    <row r="4345">
      <c r="O4345" s="23" t="n"/>
      <c r="R4345" s="24" t="n"/>
      <c r="S4345" s="24" t="n"/>
      <c r="Y4345" s="24" t="n"/>
    </row>
    <row r="4346">
      <c r="O4346" s="23" t="n"/>
      <c r="R4346" s="24" t="n"/>
      <c r="S4346" s="24" t="n"/>
      <c r="Y4346" s="24" t="n"/>
    </row>
    <row r="4347">
      <c r="O4347" s="23" t="n"/>
      <c r="R4347" s="24" t="n"/>
      <c r="S4347" s="24" t="n"/>
      <c r="Y4347" s="24" t="n"/>
    </row>
    <row r="4348">
      <c r="O4348" s="23" t="n"/>
      <c r="R4348" s="24" t="n"/>
      <c r="S4348" s="24" t="n"/>
      <c r="Y4348" s="24" t="n"/>
    </row>
    <row r="4349">
      <c r="O4349" s="23" t="n"/>
      <c r="R4349" s="24" t="n"/>
      <c r="S4349" s="24" t="n"/>
      <c r="Y4349" s="24" t="n"/>
    </row>
    <row r="4350">
      <c r="O4350" s="23" t="n"/>
      <c r="R4350" s="24" t="n"/>
      <c r="S4350" s="24" t="n"/>
      <c r="Y4350" s="24" t="n"/>
    </row>
    <row r="4351">
      <c r="O4351" s="23" t="n"/>
      <c r="R4351" s="24" t="n"/>
      <c r="S4351" s="24" t="n"/>
      <c r="Y4351" s="24" t="n"/>
    </row>
    <row r="4352">
      <c r="O4352" s="23" t="n"/>
      <c r="R4352" s="24" t="n"/>
      <c r="S4352" s="24" t="n"/>
      <c r="Y4352" s="24" t="n"/>
    </row>
    <row r="4353">
      <c r="O4353" s="23" t="n"/>
      <c r="R4353" s="24" t="n"/>
      <c r="S4353" s="24" t="n"/>
      <c r="Y4353" s="24" t="n"/>
    </row>
    <row r="4354">
      <c r="O4354" s="23" t="n"/>
      <c r="R4354" s="24" t="n"/>
      <c r="S4354" s="24" t="n"/>
      <c r="Y4354" s="24" t="n"/>
    </row>
    <row r="4355">
      <c r="O4355" s="23" t="n"/>
      <c r="R4355" s="24" t="n"/>
      <c r="S4355" s="24" t="n"/>
      <c r="Y4355" s="24" t="n"/>
    </row>
    <row r="4356">
      <c r="O4356" s="23" t="n"/>
      <c r="R4356" s="24" t="n"/>
      <c r="S4356" s="24" t="n"/>
      <c r="Y4356" s="24" t="n"/>
    </row>
    <row r="4357">
      <c r="O4357" s="23" t="n"/>
      <c r="R4357" s="24" t="n"/>
      <c r="S4357" s="24" t="n"/>
      <c r="Y4357" s="24" t="n"/>
    </row>
    <row r="4358">
      <c r="O4358" s="23" t="n"/>
      <c r="R4358" s="24" t="n"/>
      <c r="S4358" s="24" t="n"/>
      <c r="Y4358" s="24" t="n"/>
    </row>
    <row r="4359">
      <c r="O4359" s="23" t="n"/>
      <c r="R4359" s="24" t="n"/>
      <c r="S4359" s="24" t="n"/>
      <c r="Y4359" s="24" t="n"/>
    </row>
    <row r="4360">
      <c r="O4360" s="23" t="n"/>
      <c r="R4360" s="24" t="n"/>
      <c r="S4360" s="24" t="n"/>
      <c r="Y4360" s="24" t="n"/>
    </row>
    <row r="4361">
      <c r="O4361" s="23" t="n"/>
      <c r="R4361" s="24" t="n"/>
      <c r="S4361" s="24" t="n"/>
      <c r="Y4361" s="24" t="n"/>
    </row>
    <row r="4362">
      <c r="O4362" s="23" t="n"/>
      <c r="R4362" s="24" t="n"/>
      <c r="S4362" s="24" t="n"/>
      <c r="Y4362" s="24" t="n"/>
    </row>
    <row r="4363">
      <c r="O4363" s="23" t="n"/>
      <c r="R4363" s="24" t="n"/>
      <c r="S4363" s="24" t="n"/>
      <c r="Y4363" s="24" t="n"/>
    </row>
    <row r="4364">
      <c r="O4364" s="23" t="n"/>
      <c r="R4364" s="24" t="n"/>
      <c r="S4364" s="24" t="n"/>
      <c r="Y4364" s="24" t="n"/>
    </row>
    <row r="4365">
      <c r="O4365" s="23" t="n"/>
      <c r="R4365" s="24" t="n"/>
      <c r="S4365" s="24" t="n"/>
      <c r="Y4365" s="24" t="n"/>
    </row>
    <row r="4366">
      <c r="O4366" s="23" t="n"/>
      <c r="R4366" s="24" t="n"/>
      <c r="S4366" s="24" t="n"/>
      <c r="Y4366" s="24" t="n"/>
    </row>
    <row r="4367">
      <c r="O4367" s="23" t="n"/>
      <c r="R4367" s="24" t="n"/>
      <c r="S4367" s="24" t="n"/>
      <c r="Y4367" s="24" t="n"/>
    </row>
    <row r="4368">
      <c r="O4368" s="23" t="n"/>
      <c r="R4368" s="24" t="n"/>
      <c r="S4368" s="24" t="n"/>
      <c r="Y4368" s="24" t="n"/>
    </row>
    <row r="4369">
      <c r="O4369" s="23" t="n"/>
      <c r="R4369" s="24" t="n"/>
      <c r="S4369" s="24" t="n"/>
      <c r="Y4369" s="24" t="n"/>
    </row>
    <row r="4370">
      <c r="O4370" s="23" t="n"/>
      <c r="R4370" s="24" t="n"/>
      <c r="S4370" s="24" t="n"/>
      <c r="Y4370" s="24" t="n"/>
    </row>
    <row r="4371">
      <c r="O4371" s="23" t="n"/>
      <c r="R4371" s="24" t="n"/>
      <c r="S4371" s="24" t="n"/>
      <c r="Y4371" s="24" t="n"/>
    </row>
    <row r="4372">
      <c r="O4372" s="23" t="n"/>
      <c r="R4372" s="24" t="n"/>
      <c r="S4372" s="24" t="n"/>
      <c r="Y4372" s="24" t="n"/>
    </row>
    <row r="4373">
      <c r="O4373" s="23" t="n"/>
      <c r="R4373" s="24" t="n"/>
      <c r="S4373" s="24" t="n"/>
      <c r="Y4373" s="24" t="n"/>
    </row>
    <row r="4374">
      <c r="O4374" s="23" t="n"/>
      <c r="R4374" s="24" t="n"/>
      <c r="S4374" s="24" t="n"/>
      <c r="Y4374" s="24" t="n"/>
    </row>
    <row r="4375">
      <c r="O4375" s="23" t="n"/>
      <c r="R4375" s="24" t="n"/>
      <c r="S4375" s="24" t="n"/>
      <c r="Y4375" s="24" t="n"/>
    </row>
    <row r="4376">
      <c r="O4376" s="23" t="n"/>
      <c r="R4376" s="24" t="n"/>
      <c r="S4376" s="24" t="n"/>
      <c r="Y4376" s="24" t="n"/>
    </row>
    <row r="4377">
      <c r="O4377" s="23" t="n"/>
      <c r="R4377" s="24" t="n"/>
      <c r="S4377" s="24" t="n"/>
      <c r="Y4377" s="24" t="n"/>
    </row>
    <row r="4378">
      <c r="O4378" s="23" t="n"/>
      <c r="R4378" s="24" t="n"/>
      <c r="S4378" s="24" t="n"/>
      <c r="Y4378" s="24" t="n"/>
    </row>
    <row r="4379">
      <c r="O4379" s="23" t="n"/>
      <c r="R4379" s="24" t="n"/>
      <c r="S4379" s="24" t="n"/>
      <c r="Y4379" s="24" t="n"/>
    </row>
    <row r="4380">
      <c r="O4380" s="23" t="n"/>
      <c r="R4380" s="24" t="n"/>
      <c r="S4380" s="24" t="n"/>
      <c r="Y4380" s="24" t="n"/>
    </row>
    <row r="4381">
      <c r="O4381" s="23" t="n"/>
      <c r="R4381" s="24" t="n"/>
      <c r="S4381" s="24" t="n"/>
      <c r="Y4381" s="24" t="n"/>
    </row>
    <row r="4382">
      <c r="O4382" s="23" t="n"/>
      <c r="R4382" s="24" t="n"/>
      <c r="S4382" s="24" t="n"/>
      <c r="Y4382" s="24" t="n"/>
    </row>
    <row r="4383">
      <c r="O4383" s="23" t="n"/>
      <c r="R4383" s="24" t="n"/>
      <c r="S4383" s="24" t="n"/>
      <c r="Y4383" s="24" t="n"/>
    </row>
    <row r="4384">
      <c r="O4384" s="23" t="n"/>
      <c r="R4384" s="24" t="n"/>
      <c r="S4384" s="24" t="n"/>
      <c r="Y4384" s="24" t="n"/>
    </row>
    <row r="4385">
      <c r="O4385" s="23" t="n"/>
      <c r="R4385" s="24" t="n"/>
      <c r="S4385" s="24" t="n"/>
      <c r="Y4385" s="24" t="n"/>
    </row>
    <row r="4386">
      <c r="O4386" s="23" t="n"/>
      <c r="R4386" s="24" t="n"/>
      <c r="S4386" s="24" t="n"/>
      <c r="Y4386" s="24" t="n"/>
    </row>
    <row r="4387">
      <c r="O4387" s="23" t="n"/>
      <c r="R4387" s="24" t="n"/>
      <c r="S4387" s="24" t="n"/>
      <c r="Y4387" s="24" t="n"/>
    </row>
    <row r="4388">
      <c r="O4388" s="23" t="n"/>
      <c r="R4388" s="24" t="n"/>
      <c r="S4388" s="24" t="n"/>
      <c r="Y4388" s="24" t="n"/>
    </row>
    <row r="4389">
      <c r="O4389" s="23" t="n"/>
      <c r="R4389" s="24" t="n"/>
      <c r="S4389" s="24" t="n"/>
      <c r="Y4389" s="24" t="n"/>
    </row>
    <row r="4390">
      <c r="O4390" s="23" t="n"/>
      <c r="R4390" s="24" t="n"/>
      <c r="S4390" s="24" t="n"/>
      <c r="Y4390" s="24" t="n"/>
    </row>
    <row r="4391">
      <c r="O4391" s="23" t="n"/>
      <c r="R4391" s="24" t="n"/>
      <c r="S4391" s="24" t="n"/>
      <c r="Y4391" s="24" t="n"/>
    </row>
    <row r="4392">
      <c r="O4392" s="23" t="n"/>
      <c r="R4392" s="24" t="n"/>
      <c r="S4392" s="24" t="n"/>
      <c r="Y4392" s="24" t="n"/>
    </row>
    <row r="4393">
      <c r="O4393" s="23" t="n"/>
      <c r="R4393" s="24" t="n"/>
      <c r="S4393" s="24" t="n"/>
      <c r="Y4393" s="24" t="n"/>
    </row>
    <row r="4394">
      <c r="O4394" s="23" t="n"/>
      <c r="R4394" s="24" t="n"/>
      <c r="S4394" s="24" t="n"/>
      <c r="Y4394" s="24" t="n"/>
    </row>
    <row r="4395">
      <c r="O4395" s="23" t="n"/>
      <c r="R4395" s="24" t="n"/>
      <c r="S4395" s="24" t="n"/>
      <c r="Y4395" s="24" t="n"/>
    </row>
    <row r="4396">
      <c r="O4396" s="23" t="n"/>
      <c r="R4396" s="24" t="n"/>
      <c r="S4396" s="24" t="n"/>
      <c r="Y4396" s="24" t="n"/>
    </row>
    <row r="4397">
      <c r="O4397" s="23" t="n"/>
      <c r="R4397" s="24" t="n"/>
      <c r="S4397" s="24" t="n"/>
      <c r="Y4397" s="24" t="n"/>
    </row>
    <row r="4398">
      <c r="O4398" s="23" t="n"/>
      <c r="R4398" s="24" t="n"/>
      <c r="S4398" s="24" t="n"/>
      <c r="Y4398" s="24" t="n"/>
    </row>
    <row r="4399">
      <c r="O4399" s="23" t="n"/>
      <c r="R4399" s="24" t="n"/>
      <c r="S4399" s="24" t="n"/>
      <c r="Y4399" s="24" t="n"/>
    </row>
    <row r="4400">
      <c r="O4400" s="23" t="n"/>
      <c r="R4400" s="24" t="n"/>
      <c r="S4400" s="24" t="n"/>
      <c r="Y4400" s="24" t="n"/>
    </row>
    <row r="4401">
      <c r="O4401" s="23" t="n"/>
      <c r="R4401" s="24" t="n"/>
      <c r="S4401" s="24" t="n"/>
      <c r="Y4401" s="24" t="n"/>
    </row>
    <row r="4402">
      <c r="O4402" s="23" t="n"/>
      <c r="R4402" s="24" t="n"/>
      <c r="S4402" s="24" t="n"/>
      <c r="Y4402" s="24" t="n"/>
    </row>
    <row r="4403">
      <c r="O4403" s="23" t="n"/>
      <c r="R4403" s="24" t="n"/>
      <c r="S4403" s="24" t="n"/>
      <c r="Y4403" s="24" t="n"/>
    </row>
    <row r="4404">
      <c r="O4404" s="23" t="n"/>
      <c r="R4404" s="24" t="n"/>
      <c r="S4404" s="24" t="n"/>
      <c r="Y4404" s="24" t="n"/>
    </row>
    <row r="4405">
      <c r="O4405" s="23" t="n"/>
      <c r="R4405" s="24" t="n"/>
      <c r="S4405" s="24" t="n"/>
      <c r="Y4405" s="24" t="n"/>
    </row>
    <row r="4406">
      <c r="O4406" s="23" t="n"/>
      <c r="R4406" s="24" t="n"/>
      <c r="S4406" s="24" t="n"/>
      <c r="Y4406" s="24" t="n"/>
    </row>
    <row r="4407">
      <c r="O4407" s="23" t="n"/>
      <c r="R4407" s="24" t="n"/>
      <c r="S4407" s="24" t="n"/>
      <c r="Y4407" s="24" t="n"/>
    </row>
    <row r="4408">
      <c r="O4408" s="23" t="n"/>
      <c r="R4408" s="24" t="n"/>
      <c r="S4408" s="24" t="n"/>
      <c r="Y4408" s="24" t="n"/>
    </row>
    <row r="4409">
      <c r="O4409" s="23" t="n"/>
      <c r="R4409" s="24" t="n"/>
      <c r="S4409" s="24" t="n"/>
      <c r="Y4409" s="24" t="n"/>
    </row>
    <row r="4410">
      <c r="O4410" s="23" t="n"/>
      <c r="R4410" s="24" t="n"/>
      <c r="S4410" s="24" t="n"/>
      <c r="Y4410" s="24" t="n"/>
    </row>
    <row r="4411">
      <c r="O4411" s="23" t="n"/>
      <c r="R4411" s="24" t="n"/>
      <c r="S4411" s="24" t="n"/>
      <c r="Y4411" s="24" t="n"/>
    </row>
    <row r="4412">
      <c r="O4412" s="23" t="n"/>
      <c r="R4412" s="24" t="n"/>
      <c r="S4412" s="24" t="n"/>
      <c r="Y4412" s="24" t="n"/>
    </row>
    <row r="4413">
      <c r="O4413" s="23" t="n"/>
      <c r="R4413" s="24" t="n"/>
      <c r="S4413" s="24" t="n"/>
      <c r="Y4413" s="24" t="n"/>
    </row>
    <row r="4414">
      <c r="O4414" s="23" t="n"/>
      <c r="R4414" s="24" t="n"/>
      <c r="S4414" s="24" t="n"/>
      <c r="Y4414" s="24" t="n"/>
    </row>
    <row r="4415">
      <c r="O4415" s="23" t="n"/>
      <c r="R4415" s="24" t="n"/>
      <c r="S4415" s="24" t="n"/>
      <c r="Y4415" s="24" t="n"/>
    </row>
    <row r="4416">
      <c r="O4416" s="23" t="n"/>
      <c r="R4416" s="24" t="n"/>
      <c r="S4416" s="24" t="n"/>
      <c r="Y4416" s="24" t="n"/>
    </row>
    <row r="4417">
      <c r="O4417" s="23" t="n"/>
      <c r="R4417" s="24" t="n"/>
      <c r="S4417" s="24" t="n"/>
      <c r="Y4417" s="24" t="n"/>
    </row>
    <row r="4418">
      <c r="O4418" s="23" t="n"/>
      <c r="R4418" s="24" t="n"/>
      <c r="S4418" s="24" t="n"/>
      <c r="Y4418" s="24" t="n"/>
    </row>
    <row r="4419">
      <c r="O4419" s="23" t="n"/>
      <c r="R4419" s="24" t="n"/>
      <c r="S4419" s="24" t="n"/>
      <c r="Y4419" s="24" t="n"/>
    </row>
    <row r="4420">
      <c r="O4420" s="23" t="n"/>
      <c r="R4420" s="24" t="n"/>
      <c r="S4420" s="24" t="n"/>
      <c r="Y4420" s="24" t="n"/>
    </row>
    <row r="4421">
      <c r="O4421" s="23" t="n"/>
      <c r="R4421" s="24" t="n"/>
      <c r="S4421" s="24" t="n"/>
      <c r="Y4421" s="24" t="n"/>
    </row>
    <row r="4422">
      <c r="O4422" s="23" t="n"/>
      <c r="R4422" s="24" t="n"/>
      <c r="S4422" s="24" t="n"/>
      <c r="Y4422" s="24" t="n"/>
    </row>
    <row r="4423">
      <c r="O4423" s="23" t="n"/>
      <c r="R4423" s="24" t="n"/>
      <c r="S4423" s="24" t="n"/>
      <c r="Y4423" s="24" t="n"/>
    </row>
    <row r="4424">
      <c r="O4424" s="23" t="n"/>
      <c r="R4424" s="24" t="n"/>
      <c r="S4424" s="24" t="n"/>
      <c r="Y4424" s="24" t="n"/>
    </row>
    <row r="4425">
      <c r="O4425" s="23" t="n"/>
      <c r="R4425" s="24" t="n"/>
      <c r="S4425" s="24" t="n"/>
      <c r="Y4425" s="24" t="n"/>
    </row>
    <row r="4426">
      <c r="O4426" s="23" t="n"/>
      <c r="R4426" s="24" t="n"/>
      <c r="S4426" s="24" t="n"/>
      <c r="Y4426" s="24" t="n"/>
    </row>
    <row r="4427">
      <c r="O4427" s="23" t="n"/>
      <c r="R4427" s="24" t="n"/>
      <c r="S4427" s="24" t="n"/>
      <c r="Y4427" s="24" t="n"/>
    </row>
    <row r="4428">
      <c r="O4428" s="23" t="n"/>
      <c r="R4428" s="24" t="n"/>
      <c r="S4428" s="24" t="n"/>
      <c r="Y4428" s="24" t="n"/>
    </row>
    <row r="4429">
      <c r="O4429" s="23" t="n"/>
      <c r="R4429" s="24" t="n"/>
      <c r="S4429" s="24" t="n"/>
      <c r="Y4429" s="24" t="n"/>
    </row>
    <row r="4430">
      <c r="O4430" s="23" t="n"/>
      <c r="R4430" s="24" t="n"/>
      <c r="S4430" s="24" t="n"/>
      <c r="Y4430" s="24" t="n"/>
    </row>
    <row r="4431">
      <c r="O4431" s="23" t="n"/>
      <c r="R4431" s="24" t="n"/>
      <c r="S4431" s="24" t="n"/>
      <c r="Y4431" s="24" t="n"/>
    </row>
    <row r="4432">
      <c r="O4432" s="23" t="n"/>
      <c r="R4432" s="24" t="n"/>
      <c r="S4432" s="24" t="n"/>
      <c r="Y4432" s="24" t="n"/>
    </row>
    <row r="4433">
      <c r="O4433" s="23" t="n"/>
      <c r="R4433" s="24" t="n"/>
      <c r="S4433" s="24" t="n"/>
      <c r="Y4433" s="24" t="n"/>
    </row>
    <row r="4434">
      <c r="O4434" s="23" t="n"/>
      <c r="R4434" s="24" t="n"/>
      <c r="S4434" s="24" t="n"/>
      <c r="Y4434" s="24" t="n"/>
    </row>
    <row r="4435">
      <c r="O4435" s="23" t="n"/>
      <c r="R4435" s="24" t="n"/>
      <c r="S4435" s="24" t="n"/>
      <c r="Y4435" s="24" t="n"/>
    </row>
    <row r="4436">
      <c r="O4436" s="23" t="n"/>
      <c r="R4436" s="24" t="n"/>
      <c r="S4436" s="24" t="n"/>
      <c r="Y4436" s="24" t="n"/>
    </row>
    <row r="4437">
      <c r="O4437" s="23" t="n"/>
      <c r="R4437" s="24" t="n"/>
      <c r="S4437" s="24" t="n"/>
      <c r="Y4437" s="24" t="n"/>
    </row>
    <row r="4438">
      <c r="O4438" s="23" t="n"/>
      <c r="R4438" s="24" t="n"/>
      <c r="S4438" s="24" t="n"/>
      <c r="Y4438" s="24" t="n"/>
    </row>
    <row r="4439">
      <c r="O4439" s="23" t="n"/>
      <c r="R4439" s="24" t="n"/>
      <c r="S4439" s="24" t="n"/>
      <c r="Y4439" s="24" t="n"/>
    </row>
    <row r="4440">
      <c r="O4440" s="23" t="n"/>
      <c r="R4440" s="24" t="n"/>
      <c r="S4440" s="24" t="n"/>
      <c r="Y4440" s="24" t="n"/>
    </row>
    <row r="4441">
      <c r="O4441" s="23" t="n"/>
      <c r="R4441" s="24" t="n"/>
      <c r="S4441" s="24" t="n"/>
      <c r="Y4441" s="24" t="n"/>
    </row>
    <row r="4442">
      <c r="O4442" s="23" t="n"/>
      <c r="R4442" s="24" t="n"/>
      <c r="S4442" s="24" t="n"/>
      <c r="Y4442" s="24" t="n"/>
    </row>
    <row r="4443">
      <c r="O4443" s="23" t="n"/>
      <c r="R4443" s="24" t="n"/>
      <c r="S4443" s="24" t="n"/>
      <c r="Y4443" s="24" t="n"/>
    </row>
    <row r="4444">
      <c r="O4444" s="23" t="n"/>
      <c r="R4444" s="24" t="n"/>
      <c r="S4444" s="24" t="n"/>
      <c r="Y4444" s="24" t="n"/>
    </row>
    <row r="4445">
      <c r="O4445" s="23" t="n"/>
      <c r="R4445" s="24" t="n"/>
      <c r="S4445" s="24" t="n"/>
      <c r="Y4445" s="24" t="n"/>
    </row>
    <row r="4446">
      <c r="O4446" s="23" t="n"/>
      <c r="R4446" s="24" t="n"/>
      <c r="S4446" s="24" t="n"/>
      <c r="Y4446" s="24" t="n"/>
    </row>
    <row r="4447">
      <c r="O4447" s="23" t="n"/>
      <c r="R4447" s="24" t="n"/>
      <c r="S4447" s="24" t="n"/>
      <c r="Y4447" s="24" t="n"/>
    </row>
    <row r="4448">
      <c r="O4448" s="23" t="n"/>
      <c r="R4448" s="24" t="n"/>
      <c r="S4448" s="24" t="n"/>
      <c r="Y4448" s="24" t="n"/>
    </row>
    <row r="4449">
      <c r="O4449" s="23" t="n"/>
      <c r="R4449" s="24" t="n"/>
      <c r="S4449" s="24" t="n"/>
      <c r="Y4449" s="24" t="n"/>
    </row>
    <row r="4450">
      <c r="O4450" s="23" t="n"/>
      <c r="R4450" s="24" t="n"/>
      <c r="S4450" s="24" t="n"/>
      <c r="Y4450" s="24" t="n"/>
    </row>
    <row r="4451">
      <c r="O4451" s="23" t="n"/>
      <c r="R4451" s="24" t="n"/>
      <c r="S4451" s="24" t="n"/>
      <c r="Y4451" s="24" t="n"/>
    </row>
    <row r="4452">
      <c r="O4452" s="23" t="n"/>
      <c r="R4452" s="24" t="n"/>
      <c r="S4452" s="24" t="n"/>
      <c r="Y4452" s="24" t="n"/>
    </row>
    <row r="4453">
      <c r="O4453" s="23" t="n"/>
      <c r="R4453" s="24" t="n"/>
      <c r="S4453" s="24" t="n"/>
      <c r="Y4453" s="24" t="n"/>
    </row>
    <row r="4454">
      <c r="O4454" s="23" t="n"/>
      <c r="R4454" s="24" t="n"/>
      <c r="S4454" s="24" t="n"/>
      <c r="Y4454" s="24" t="n"/>
    </row>
    <row r="4455">
      <c r="O4455" s="23" t="n"/>
      <c r="R4455" s="24" t="n"/>
      <c r="S4455" s="24" t="n"/>
      <c r="Y4455" s="24" t="n"/>
    </row>
    <row r="4456">
      <c r="O4456" s="23" t="n"/>
      <c r="R4456" s="24" t="n"/>
      <c r="S4456" s="24" t="n"/>
      <c r="Y4456" s="24" t="n"/>
    </row>
    <row r="4457">
      <c r="O4457" s="23" t="n"/>
      <c r="R4457" s="24" t="n"/>
      <c r="S4457" s="24" t="n"/>
      <c r="Y4457" s="24" t="n"/>
    </row>
    <row r="4458">
      <c r="O4458" s="23" t="n"/>
      <c r="R4458" s="24" t="n"/>
      <c r="S4458" s="24" t="n"/>
      <c r="Y4458" s="24" t="n"/>
    </row>
    <row r="4459">
      <c r="O4459" s="23" t="n"/>
      <c r="R4459" s="24" t="n"/>
      <c r="S4459" s="24" t="n"/>
      <c r="Y4459" s="24" t="n"/>
    </row>
    <row r="4460">
      <c r="O4460" s="23" t="n"/>
      <c r="R4460" s="24" t="n"/>
      <c r="S4460" s="24" t="n"/>
      <c r="Y4460" s="24" t="n"/>
    </row>
    <row r="4461">
      <c r="O4461" s="23" t="n"/>
      <c r="R4461" s="24" t="n"/>
      <c r="S4461" s="24" t="n"/>
      <c r="Y4461" s="24" t="n"/>
    </row>
    <row r="4462">
      <c r="O4462" s="23" t="n"/>
      <c r="R4462" s="24" t="n"/>
      <c r="S4462" s="24" t="n"/>
      <c r="Y4462" s="24" t="n"/>
    </row>
    <row r="4463">
      <c r="O4463" s="23" t="n"/>
      <c r="R4463" s="24" t="n"/>
      <c r="S4463" s="24" t="n"/>
      <c r="Y4463" s="24" t="n"/>
    </row>
    <row r="4464">
      <c r="O4464" s="23" t="n"/>
      <c r="R4464" s="24" t="n"/>
      <c r="S4464" s="24" t="n"/>
      <c r="Y4464" s="24" t="n"/>
    </row>
    <row r="4465">
      <c r="O4465" s="23" t="n"/>
      <c r="R4465" s="24" t="n"/>
      <c r="S4465" s="24" t="n"/>
      <c r="Y4465" s="24" t="n"/>
    </row>
    <row r="4466">
      <c r="O4466" s="23" t="n"/>
      <c r="R4466" s="24" t="n"/>
      <c r="S4466" s="24" t="n"/>
      <c r="Y4466" s="24" t="n"/>
    </row>
    <row r="4467">
      <c r="O4467" s="23" t="n"/>
      <c r="R4467" s="24" t="n"/>
      <c r="S4467" s="24" t="n"/>
      <c r="Y4467" s="24" t="n"/>
    </row>
    <row r="4468">
      <c r="O4468" s="23" t="n"/>
      <c r="R4468" s="24" t="n"/>
      <c r="S4468" s="24" t="n"/>
      <c r="Y4468" s="24" t="n"/>
    </row>
    <row r="4469">
      <c r="O4469" s="23" t="n"/>
      <c r="R4469" s="24" t="n"/>
      <c r="S4469" s="24" t="n"/>
      <c r="Y4469" s="24" t="n"/>
    </row>
    <row r="4470">
      <c r="O4470" s="23" t="n"/>
      <c r="R4470" s="24" t="n"/>
      <c r="S4470" s="24" t="n"/>
      <c r="Y4470" s="24" t="n"/>
    </row>
    <row r="4471">
      <c r="O4471" s="23" t="n"/>
      <c r="R4471" s="24" t="n"/>
      <c r="S4471" s="24" t="n"/>
      <c r="Y4471" s="24" t="n"/>
    </row>
    <row r="4472">
      <c r="O4472" s="23" t="n"/>
      <c r="R4472" s="24" t="n"/>
      <c r="S4472" s="24" t="n"/>
      <c r="Y4472" s="24" t="n"/>
    </row>
    <row r="4473">
      <c r="O4473" s="23" t="n"/>
      <c r="R4473" s="24" t="n"/>
      <c r="S4473" s="24" t="n"/>
      <c r="Y4473" s="24" t="n"/>
    </row>
    <row r="4474">
      <c r="O4474" s="23" t="n"/>
      <c r="R4474" s="24" t="n"/>
      <c r="S4474" s="24" t="n"/>
      <c r="Y4474" s="24" t="n"/>
    </row>
    <row r="4475">
      <c r="O4475" s="23" t="n"/>
      <c r="R4475" s="24" t="n"/>
      <c r="S4475" s="24" t="n"/>
      <c r="Y4475" s="24" t="n"/>
    </row>
    <row r="4476">
      <c r="O4476" s="23" t="n"/>
      <c r="R4476" s="24" t="n"/>
      <c r="S4476" s="24" t="n"/>
      <c r="Y4476" s="24" t="n"/>
    </row>
    <row r="4477">
      <c r="O4477" s="23" t="n"/>
      <c r="R4477" s="24" t="n"/>
      <c r="S4477" s="24" t="n"/>
      <c r="Y4477" s="24" t="n"/>
    </row>
    <row r="4478">
      <c r="O4478" s="23" t="n"/>
      <c r="R4478" s="24" t="n"/>
      <c r="S4478" s="24" t="n"/>
      <c r="Y4478" s="24" t="n"/>
    </row>
    <row r="4479">
      <c r="O4479" s="23" t="n"/>
      <c r="R4479" s="24" t="n"/>
      <c r="S4479" s="24" t="n"/>
      <c r="Y4479" s="24" t="n"/>
    </row>
    <row r="4480">
      <c r="O4480" s="23" t="n"/>
      <c r="R4480" s="24" t="n"/>
      <c r="S4480" s="24" t="n"/>
      <c r="Y4480" s="24" t="n"/>
    </row>
    <row r="4481">
      <c r="O4481" s="23" t="n"/>
      <c r="R4481" s="24" t="n"/>
      <c r="S4481" s="24" t="n"/>
      <c r="Y4481" s="24" t="n"/>
    </row>
    <row r="4482">
      <c r="O4482" s="23" t="n"/>
      <c r="R4482" s="24" t="n"/>
      <c r="S4482" s="24" t="n"/>
      <c r="Y4482" s="24" t="n"/>
    </row>
    <row r="4483">
      <c r="O4483" s="23" t="n"/>
      <c r="R4483" s="24" t="n"/>
      <c r="S4483" s="24" t="n"/>
      <c r="Y4483" s="24" t="n"/>
    </row>
    <row r="4484">
      <c r="O4484" s="23" t="n"/>
      <c r="R4484" s="24" t="n"/>
      <c r="S4484" s="24" t="n"/>
      <c r="Y4484" s="24" t="n"/>
    </row>
    <row r="4485">
      <c r="O4485" s="23" t="n"/>
      <c r="R4485" s="24" t="n"/>
      <c r="S4485" s="24" t="n"/>
      <c r="Y4485" s="24" t="n"/>
    </row>
    <row r="4486">
      <c r="O4486" s="23" t="n"/>
      <c r="R4486" s="24" t="n"/>
      <c r="S4486" s="24" t="n"/>
      <c r="Y4486" s="24" t="n"/>
    </row>
    <row r="4487">
      <c r="O4487" s="23" t="n"/>
      <c r="R4487" s="24" t="n"/>
      <c r="S4487" s="24" t="n"/>
      <c r="Y4487" s="24" t="n"/>
    </row>
    <row r="4488">
      <c r="O4488" s="23" t="n"/>
      <c r="R4488" s="24" t="n"/>
      <c r="S4488" s="24" t="n"/>
      <c r="Y4488" s="24" t="n"/>
    </row>
    <row r="4489">
      <c r="O4489" s="23" t="n"/>
      <c r="R4489" s="24" t="n"/>
      <c r="S4489" s="24" t="n"/>
      <c r="Y4489" s="24" t="n"/>
    </row>
    <row r="4490">
      <c r="O4490" s="23" t="n"/>
      <c r="R4490" s="24" t="n"/>
      <c r="S4490" s="24" t="n"/>
      <c r="Y4490" s="24" t="n"/>
    </row>
    <row r="4491">
      <c r="O4491" s="23" t="n"/>
      <c r="R4491" s="24" t="n"/>
      <c r="S4491" s="24" t="n"/>
      <c r="Y4491" s="24" t="n"/>
    </row>
    <row r="4492">
      <c r="O4492" s="23" t="n"/>
      <c r="R4492" s="24" t="n"/>
      <c r="S4492" s="24" t="n"/>
      <c r="Y4492" s="24" t="n"/>
    </row>
    <row r="4493">
      <c r="O4493" s="23" t="n"/>
      <c r="R4493" s="24" t="n"/>
      <c r="S4493" s="24" t="n"/>
      <c r="Y4493" s="24" t="n"/>
    </row>
    <row r="4494">
      <c r="O4494" s="23" t="n"/>
      <c r="R4494" s="24" t="n"/>
      <c r="S4494" s="24" t="n"/>
      <c r="Y4494" s="24" t="n"/>
    </row>
    <row r="4495">
      <c r="O4495" s="23" t="n"/>
      <c r="R4495" s="24" t="n"/>
      <c r="S4495" s="24" t="n"/>
      <c r="Y4495" s="24" t="n"/>
    </row>
    <row r="4496">
      <c r="O4496" s="23" t="n"/>
      <c r="R4496" s="24" t="n"/>
      <c r="S4496" s="24" t="n"/>
      <c r="Y4496" s="24" t="n"/>
    </row>
    <row r="4497">
      <c r="O4497" s="23" t="n"/>
      <c r="R4497" s="24" t="n"/>
      <c r="S4497" s="24" t="n"/>
      <c r="Y4497" s="24" t="n"/>
    </row>
    <row r="4498">
      <c r="O4498" s="23" t="n"/>
      <c r="R4498" s="24" t="n"/>
      <c r="S4498" s="24" t="n"/>
      <c r="Y4498" s="24" t="n"/>
    </row>
    <row r="4499">
      <c r="O4499" s="23" t="n"/>
      <c r="R4499" s="24" t="n"/>
      <c r="S4499" s="24" t="n"/>
      <c r="Y4499" s="24" t="n"/>
    </row>
    <row r="4500">
      <c r="O4500" s="23" t="n"/>
      <c r="R4500" s="24" t="n"/>
      <c r="S4500" s="24" t="n"/>
      <c r="Y4500" s="24" t="n"/>
    </row>
    <row r="4501">
      <c r="O4501" s="23" t="n"/>
      <c r="R4501" s="24" t="n"/>
      <c r="S4501" s="24" t="n"/>
      <c r="Y4501" s="24" t="n"/>
    </row>
    <row r="4502">
      <c r="O4502" s="23" t="n"/>
      <c r="R4502" s="24" t="n"/>
      <c r="S4502" s="24" t="n"/>
      <c r="Y4502" s="24" t="n"/>
    </row>
    <row r="4503">
      <c r="O4503" s="23" t="n"/>
      <c r="R4503" s="24" t="n"/>
      <c r="S4503" s="24" t="n"/>
      <c r="Y4503" s="24" t="n"/>
    </row>
    <row r="4504">
      <c r="O4504" s="23" t="n"/>
      <c r="R4504" s="24" t="n"/>
      <c r="S4504" s="24" t="n"/>
      <c r="Y4504" s="24" t="n"/>
    </row>
    <row r="4505">
      <c r="O4505" s="23" t="n"/>
      <c r="R4505" s="24" t="n"/>
      <c r="S4505" s="24" t="n"/>
      <c r="Y4505" s="24" t="n"/>
    </row>
    <row r="4506">
      <c r="O4506" s="23" t="n"/>
      <c r="R4506" s="24" t="n"/>
      <c r="S4506" s="24" t="n"/>
      <c r="Y4506" s="24" t="n"/>
    </row>
    <row r="4507">
      <c r="O4507" s="23" t="n"/>
      <c r="R4507" s="24" t="n"/>
      <c r="S4507" s="24" t="n"/>
      <c r="Y4507" s="24" t="n"/>
    </row>
    <row r="4508">
      <c r="O4508" s="23" t="n"/>
      <c r="R4508" s="24" t="n"/>
      <c r="S4508" s="24" t="n"/>
      <c r="Y4508" s="24" t="n"/>
    </row>
    <row r="4509">
      <c r="O4509" s="23" t="n"/>
      <c r="R4509" s="24" t="n"/>
      <c r="S4509" s="24" t="n"/>
      <c r="Y4509" s="24" t="n"/>
    </row>
    <row r="4510">
      <c r="O4510" s="23" t="n"/>
      <c r="R4510" s="24" t="n"/>
      <c r="S4510" s="24" t="n"/>
      <c r="Y4510" s="24" t="n"/>
    </row>
    <row r="4511">
      <c r="O4511" s="23" t="n"/>
      <c r="R4511" s="24" t="n"/>
      <c r="S4511" s="24" t="n"/>
      <c r="Y4511" s="24" t="n"/>
    </row>
    <row r="4512">
      <c r="O4512" s="23" t="n"/>
      <c r="R4512" s="24" t="n"/>
      <c r="S4512" s="24" t="n"/>
      <c r="Y4512" s="24" t="n"/>
    </row>
    <row r="4513">
      <c r="O4513" s="23" t="n"/>
      <c r="R4513" s="24" t="n"/>
      <c r="S4513" s="24" t="n"/>
      <c r="Y4513" s="24" t="n"/>
    </row>
    <row r="4514">
      <c r="O4514" s="23" t="n"/>
      <c r="R4514" s="24" t="n"/>
      <c r="S4514" s="24" t="n"/>
      <c r="Y4514" s="24" t="n"/>
    </row>
    <row r="4515">
      <c r="O4515" s="23" t="n"/>
      <c r="R4515" s="24" t="n"/>
      <c r="S4515" s="24" t="n"/>
      <c r="Y4515" s="24" t="n"/>
    </row>
    <row r="4516">
      <c r="O4516" s="23" t="n"/>
      <c r="R4516" s="24" t="n"/>
      <c r="S4516" s="24" t="n"/>
      <c r="Y4516" s="24" t="n"/>
    </row>
    <row r="4517">
      <c r="O4517" s="23" t="n"/>
      <c r="R4517" s="24" t="n"/>
      <c r="S4517" s="24" t="n"/>
      <c r="Y4517" s="24" t="n"/>
    </row>
    <row r="4518">
      <c r="O4518" s="23" t="n"/>
      <c r="R4518" s="24" t="n"/>
      <c r="S4518" s="24" t="n"/>
      <c r="Y4518" s="24" t="n"/>
    </row>
    <row r="4519">
      <c r="O4519" s="23" t="n"/>
      <c r="R4519" s="24" t="n"/>
      <c r="S4519" s="24" t="n"/>
      <c r="Y4519" s="24" t="n"/>
    </row>
    <row r="4520">
      <c r="O4520" s="23" t="n"/>
      <c r="R4520" s="24" t="n"/>
      <c r="S4520" s="24" t="n"/>
      <c r="Y4520" s="24" t="n"/>
    </row>
    <row r="4521">
      <c r="O4521" s="23" t="n"/>
      <c r="R4521" s="24" t="n"/>
      <c r="S4521" s="24" t="n"/>
      <c r="Y4521" s="24" t="n"/>
    </row>
    <row r="4522">
      <c r="O4522" s="23" t="n"/>
      <c r="R4522" s="24" t="n"/>
      <c r="S4522" s="24" t="n"/>
      <c r="Y4522" s="24" t="n"/>
    </row>
    <row r="4523">
      <c r="O4523" s="23" t="n"/>
      <c r="R4523" s="24" t="n"/>
      <c r="S4523" s="24" t="n"/>
      <c r="Y4523" s="24" t="n"/>
    </row>
    <row r="4524">
      <c r="O4524" s="23" t="n"/>
      <c r="R4524" s="24" t="n"/>
      <c r="S4524" s="24" t="n"/>
      <c r="Y4524" s="24" t="n"/>
    </row>
    <row r="4525">
      <c r="O4525" s="23" t="n"/>
      <c r="R4525" s="24" t="n"/>
      <c r="S4525" s="24" t="n"/>
      <c r="Y4525" s="24" t="n"/>
    </row>
    <row r="4526">
      <c r="O4526" s="23" t="n"/>
      <c r="R4526" s="24" t="n"/>
      <c r="S4526" s="24" t="n"/>
      <c r="Y4526" s="24" t="n"/>
    </row>
    <row r="4527">
      <c r="O4527" s="23" t="n"/>
      <c r="R4527" s="24" t="n"/>
      <c r="S4527" s="24" t="n"/>
      <c r="Y4527" s="24" t="n"/>
    </row>
    <row r="4528">
      <c r="O4528" s="23" t="n"/>
      <c r="R4528" s="24" t="n"/>
      <c r="S4528" s="24" t="n"/>
      <c r="Y4528" s="24" t="n"/>
    </row>
    <row r="4529">
      <c r="O4529" s="23" t="n"/>
      <c r="R4529" s="24" t="n"/>
      <c r="S4529" s="24" t="n"/>
      <c r="Y4529" s="24" t="n"/>
    </row>
    <row r="4530">
      <c r="O4530" s="23" t="n"/>
      <c r="R4530" s="24" t="n"/>
      <c r="S4530" s="24" t="n"/>
      <c r="Y4530" s="24" t="n"/>
    </row>
    <row r="4531">
      <c r="O4531" s="23" t="n"/>
      <c r="R4531" s="24" t="n"/>
      <c r="S4531" s="24" t="n"/>
      <c r="Y4531" s="24" t="n"/>
    </row>
    <row r="4532">
      <c r="O4532" s="23" t="n"/>
      <c r="R4532" s="24" t="n"/>
      <c r="S4532" s="24" t="n"/>
      <c r="Y4532" s="24" t="n"/>
    </row>
    <row r="4533">
      <c r="O4533" s="23" t="n"/>
      <c r="R4533" s="24" t="n"/>
      <c r="S4533" s="24" t="n"/>
      <c r="Y4533" s="24" t="n"/>
    </row>
    <row r="4534">
      <c r="O4534" s="23" t="n"/>
      <c r="R4534" s="24" t="n"/>
      <c r="S4534" s="24" t="n"/>
      <c r="Y4534" s="24" t="n"/>
    </row>
    <row r="4535">
      <c r="O4535" s="23" t="n"/>
      <c r="R4535" s="24" t="n"/>
      <c r="S4535" s="24" t="n"/>
      <c r="Y4535" s="24" t="n"/>
    </row>
    <row r="4536">
      <c r="O4536" s="23" t="n"/>
      <c r="R4536" s="24" t="n"/>
      <c r="S4536" s="24" t="n"/>
      <c r="Y4536" s="24" t="n"/>
    </row>
    <row r="4537">
      <c r="O4537" s="23" t="n"/>
      <c r="R4537" s="24" t="n"/>
      <c r="S4537" s="24" t="n"/>
      <c r="Y4537" s="24" t="n"/>
    </row>
    <row r="4538">
      <c r="O4538" s="23" t="n"/>
      <c r="R4538" s="24" t="n"/>
      <c r="S4538" s="24" t="n"/>
      <c r="Y4538" s="24" t="n"/>
    </row>
    <row r="4539">
      <c r="O4539" s="23" t="n"/>
      <c r="R4539" s="24" t="n"/>
      <c r="S4539" s="24" t="n"/>
      <c r="Y4539" s="24" t="n"/>
    </row>
    <row r="4540">
      <c r="O4540" s="23" t="n"/>
      <c r="R4540" s="24" t="n"/>
      <c r="S4540" s="24" t="n"/>
      <c r="Y4540" s="24" t="n"/>
    </row>
    <row r="4541">
      <c r="O4541" s="23" t="n"/>
      <c r="R4541" s="24" t="n"/>
      <c r="S4541" s="24" t="n"/>
      <c r="Y4541" s="24" t="n"/>
    </row>
    <row r="4542">
      <c r="O4542" s="23" t="n"/>
      <c r="R4542" s="24" t="n"/>
      <c r="S4542" s="24" t="n"/>
      <c r="Y4542" s="24" t="n"/>
    </row>
    <row r="4543">
      <c r="O4543" s="23" t="n"/>
      <c r="R4543" s="24" t="n"/>
      <c r="S4543" s="24" t="n"/>
      <c r="Y4543" s="24" t="n"/>
    </row>
    <row r="4544">
      <c r="O4544" s="23" t="n"/>
      <c r="R4544" s="24" t="n"/>
      <c r="S4544" s="24" t="n"/>
      <c r="Y4544" s="24" t="n"/>
    </row>
    <row r="4545">
      <c r="O4545" s="23" t="n"/>
      <c r="R4545" s="24" t="n"/>
      <c r="S4545" s="24" t="n"/>
      <c r="Y4545" s="24" t="n"/>
    </row>
    <row r="4546">
      <c r="O4546" s="23" t="n"/>
      <c r="R4546" s="24" t="n"/>
      <c r="S4546" s="24" t="n"/>
      <c r="Y4546" s="24" t="n"/>
    </row>
    <row r="4547">
      <c r="O4547" s="23" t="n"/>
      <c r="R4547" s="24" t="n"/>
      <c r="S4547" s="24" t="n"/>
      <c r="Y4547" s="24" t="n"/>
    </row>
    <row r="4548">
      <c r="O4548" s="23" t="n"/>
      <c r="R4548" s="24" t="n"/>
      <c r="S4548" s="24" t="n"/>
      <c r="Y4548" s="24" t="n"/>
    </row>
    <row r="4549">
      <c r="O4549" s="23" t="n"/>
      <c r="R4549" s="24" t="n"/>
      <c r="S4549" s="24" t="n"/>
      <c r="Y4549" s="24" t="n"/>
    </row>
    <row r="4550">
      <c r="O4550" s="23" t="n"/>
      <c r="R4550" s="24" t="n"/>
      <c r="S4550" s="24" t="n"/>
      <c r="Y4550" s="24" t="n"/>
    </row>
    <row r="4551">
      <c r="O4551" s="23" t="n"/>
      <c r="R4551" s="24" t="n"/>
      <c r="S4551" s="24" t="n"/>
      <c r="Y4551" s="24" t="n"/>
    </row>
    <row r="4552">
      <c r="O4552" s="23" t="n"/>
      <c r="R4552" s="24" t="n"/>
      <c r="S4552" s="24" t="n"/>
      <c r="Y4552" s="24" t="n"/>
    </row>
    <row r="4553">
      <c r="O4553" s="23" t="n"/>
      <c r="R4553" s="24" t="n"/>
      <c r="S4553" s="24" t="n"/>
      <c r="Y4553" s="24" t="n"/>
    </row>
    <row r="4554">
      <c r="O4554" s="23" t="n"/>
      <c r="R4554" s="24" t="n"/>
      <c r="S4554" s="24" t="n"/>
      <c r="Y4554" s="24" t="n"/>
    </row>
    <row r="4555">
      <c r="O4555" s="23" t="n"/>
      <c r="R4555" s="24" t="n"/>
      <c r="S4555" s="24" t="n"/>
      <c r="Y4555" s="24" t="n"/>
    </row>
    <row r="4556">
      <c r="O4556" s="23" t="n"/>
      <c r="R4556" s="24" t="n"/>
      <c r="S4556" s="24" t="n"/>
      <c r="Y4556" s="24" t="n"/>
    </row>
    <row r="4557">
      <c r="O4557" s="23" t="n"/>
      <c r="R4557" s="24" t="n"/>
      <c r="S4557" s="24" t="n"/>
      <c r="Y4557" s="24" t="n"/>
    </row>
    <row r="4558">
      <c r="O4558" s="23" t="n"/>
      <c r="R4558" s="24" t="n"/>
      <c r="S4558" s="24" t="n"/>
      <c r="Y4558" s="24" t="n"/>
    </row>
    <row r="4559">
      <c r="O4559" s="23" t="n"/>
      <c r="R4559" s="24" t="n"/>
      <c r="S4559" s="24" t="n"/>
      <c r="Y4559" s="24" t="n"/>
    </row>
    <row r="4560">
      <c r="O4560" s="23" t="n"/>
      <c r="R4560" s="24" t="n"/>
      <c r="S4560" s="24" t="n"/>
      <c r="Y4560" s="24" t="n"/>
    </row>
    <row r="4561">
      <c r="O4561" s="23" t="n"/>
      <c r="R4561" s="24" t="n"/>
      <c r="S4561" s="24" t="n"/>
      <c r="Y4561" s="24" t="n"/>
    </row>
    <row r="4562">
      <c r="O4562" s="23" t="n"/>
      <c r="R4562" s="24" t="n"/>
      <c r="S4562" s="24" t="n"/>
      <c r="Y4562" s="24" t="n"/>
    </row>
    <row r="4563">
      <c r="O4563" s="23" t="n"/>
      <c r="R4563" s="24" t="n"/>
      <c r="S4563" s="24" t="n"/>
      <c r="Y4563" s="24" t="n"/>
    </row>
    <row r="4564">
      <c r="O4564" s="23" t="n"/>
      <c r="R4564" s="24" t="n"/>
      <c r="S4564" s="24" t="n"/>
      <c r="Y4564" s="24" t="n"/>
    </row>
    <row r="4565">
      <c r="O4565" s="23" t="n"/>
      <c r="R4565" s="24" t="n"/>
      <c r="S4565" s="24" t="n"/>
      <c r="Y4565" s="24" t="n"/>
    </row>
    <row r="4566">
      <c r="O4566" s="23" t="n"/>
      <c r="R4566" s="24" t="n"/>
      <c r="S4566" s="24" t="n"/>
      <c r="Y4566" s="24" t="n"/>
    </row>
    <row r="4567">
      <c r="O4567" s="23" t="n"/>
      <c r="R4567" s="24" t="n"/>
      <c r="S4567" s="24" t="n"/>
      <c r="Y4567" s="24" t="n"/>
    </row>
    <row r="4568">
      <c r="O4568" s="23" t="n"/>
      <c r="R4568" s="24" t="n"/>
      <c r="S4568" s="24" t="n"/>
      <c r="Y4568" s="24" t="n"/>
    </row>
    <row r="4569">
      <c r="O4569" s="23" t="n"/>
      <c r="R4569" s="24" t="n"/>
      <c r="S4569" s="24" t="n"/>
      <c r="Y4569" s="24" t="n"/>
    </row>
    <row r="4570">
      <c r="O4570" s="23" t="n"/>
      <c r="R4570" s="24" t="n"/>
      <c r="S4570" s="24" t="n"/>
      <c r="Y4570" s="24" t="n"/>
    </row>
    <row r="4571">
      <c r="O4571" s="23" t="n"/>
      <c r="R4571" s="24" t="n"/>
      <c r="S4571" s="24" t="n"/>
      <c r="Y4571" s="24" t="n"/>
    </row>
    <row r="4572">
      <c r="O4572" s="23" t="n"/>
      <c r="R4572" s="24" t="n"/>
      <c r="S4572" s="24" t="n"/>
      <c r="Y4572" s="24" t="n"/>
    </row>
    <row r="4573">
      <c r="O4573" s="23" t="n"/>
      <c r="R4573" s="24" t="n"/>
      <c r="S4573" s="24" t="n"/>
      <c r="Y4573" s="24" t="n"/>
    </row>
    <row r="4574">
      <c r="O4574" s="23" t="n"/>
      <c r="R4574" s="24" t="n"/>
      <c r="S4574" s="24" t="n"/>
      <c r="Y4574" s="24" t="n"/>
    </row>
    <row r="4575">
      <c r="O4575" s="23" t="n"/>
      <c r="R4575" s="24" t="n"/>
      <c r="S4575" s="24" t="n"/>
      <c r="Y4575" s="24" t="n"/>
    </row>
    <row r="4576">
      <c r="O4576" s="23" t="n"/>
      <c r="R4576" s="24" t="n"/>
      <c r="S4576" s="24" t="n"/>
      <c r="Y4576" s="24" t="n"/>
    </row>
    <row r="4577">
      <c r="O4577" s="23" t="n"/>
      <c r="R4577" s="24" t="n"/>
      <c r="S4577" s="24" t="n"/>
      <c r="Y4577" s="24" t="n"/>
    </row>
    <row r="4578">
      <c r="O4578" s="23" t="n"/>
      <c r="R4578" s="24" t="n"/>
      <c r="S4578" s="24" t="n"/>
      <c r="Y4578" s="24" t="n"/>
    </row>
    <row r="4579">
      <c r="O4579" s="23" t="n"/>
      <c r="R4579" s="24" t="n"/>
      <c r="S4579" s="24" t="n"/>
      <c r="Y4579" s="24" t="n"/>
    </row>
    <row r="4580">
      <c r="O4580" s="23" t="n"/>
      <c r="R4580" s="24" t="n"/>
      <c r="S4580" s="24" t="n"/>
      <c r="Y4580" s="24" t="n"/>
    </row>
    <row r="4581">
      <c r="O4581" s="23" t="n"/>
      <c r="R4581" s="24" t="n"/>
      <c r="S4581" s="24" t="n"/>
      <c r="Y4581" s="24" t="n"/>
    </row>
    <row r="4582">
      <c r="O4582" s="23" t="n"/>
      <c r="R4582" s="24" t="n"/>
      <c r="S4582" s="24" t="n"/>
      <c r="Y4582" s="24" t="n"/>
    </row>
    <row r="4583">
      <c r="O4583" s="23" t="n"/>
      <c r="R4583" s="24" t="n"/>
      <c r="S4583" s="24" t="n"/>
      <c r="Y4583" s="24" t="n"/>
    </row>
    <row r="4584">
      <c r="O4584" s="23" t="n"/>
      <c r="R4584" s="24" t="n"/>
      <c r="S4584" s="24" t="n"/>
      <c r="Y4584" s="24" t="n"/>
    </row>
    <row r="4585">
      <c r="O4585" s="23" t="n"/>
      <c r="R4585" s="24" t="n"/>
      <c r="S4585" s="24" t="n"/>
      <c r="Y4585" s="24" t="n"/>
    </row>
    <row r="4586">
      <c r="O4586" s="23" t="n"/>
      <c r="R4586" s="24" t="n"/>
      <c r="S4586" s="24" t="n"/>
      <c r="Y4586" s="24" t="n"/>
    </row>
    <row r="4587">
      <c r="O4587" s="23" t="n"/>
      <c r="R4587" s="24" t="n"/>
      <c r="S4587" s="24" t="n"/>
      <c r="Y4587" s="24" t="n"/>
    </row>
    <row r="4588">
      <c r="O4588" s="23" t="n"/>
      <c r="R4588" s="24" t="n"/>
      <c r="S4588" s="24" t="n"/>
      <c r="Y4588" s="24" t="n"/>
    </row>
    <row r="4589">
      <c r="O4589" s="23" t="n"/>
      <c r="R4589" s="24" t="n"/>
      <c r="S4589" s="24" t="n"/>
      <c r="Y4589" s="24" t="n"/>
    </row>
    <row r="4590">
      <c r="O4590" s="23" t="n"/>
      <c r="R4590" s="24" t="n"/>
      <c r="S4590" s="24" t="n"/>
      <c r="Y4590" s="24" t="n"/>
    </row>
    <row r="4591">
      <c r="O4591" s="23" t="n"/>
      <c r="R4591" s="24" t="n"/>
      <c r="S4591" s="24" t="n"/>
      <c r="Y4591" s="24" t="n"/>
    </row>
    <row r="4592">
      <c r="O4592" s="23" t="n"/>
      <c r="R4592" s="24" t="n"/>
      <c r="S4592" s="24" t="n"/>
      <c r="Y4592" s="24" t="n"/>
    </row>
    <row r="4593">
      <c r="O4593" s="23" t="n"/>
      <c r="R4593" s="24" t="n"/>
      <c r="S4593" s="24" t="n"/>
      <c r="Y4593" s="24" t="n"/>
    </row>
    <row r="4594">
      <c r="O4594" s="23" t="n"/>
      <c r="R4594" s="24" t="n"/>
      <c r="S4594" s="24" t="n"/>
      <c r="Y4594" s="24" t="n"/>
    </row>
    <row r="4595">
      <c r="O4595" s="23" t="n"/>
      <c r="R4595" s="24" t="n"/>
      <c r="S4595" s="24" t="n"/>
      <c r="Y4595" s="24" t="n"/>
    </row>
    <row r="4596">
      <c r="O4596" s="23" t="n"/>
      <c r="R4596" s="24" t="n"/>
      <c r="S4596" s="24" t="n"/>
      <c r="Y4596" s="24" t="n"/>
    </row>
    <row r="4597">
      <c r="O4597" s="23" t="n"/>
      <c r="R4597" s="24" t="n"/>
      <c r="S4597" s="24" t="n"/>
      <c r="Y4597" s="24" t="n"/>
    </row>
    <row r="4598">
      <c r="O4598" s="23" t="n"/>
      <c r="R4598" s="24" t="n"/>
      <c r="S4598" s="24" t="n"/>
      <c r="Y4598" s="24" t="n"/>
    </row>
    <row r="4599">
      <c r="O4599" s="23" t="n"/>
      <c r="R4599" s="24" t="n"/>
      <c r="S4599" s="24" t="n"/>
      <c r="Y4599" s="24" t="n"/>
    </row>
    <row r="4600">
      <c r="O4600" s="23" t="n"/>
      <c r="R4600" s="24" t="n"/>
      <c r="S4600" s="24" t="n"/>
      <c r="Y4600" s="24" t="n"/>
    </row>
    <row r="4601">
      <c r="O4601" s="23" t="n"/>
      <c r="R4601" s="24" t="n"/>
      <c r="S4601" s="24" t="n"/>
      <c r="Y4601" s="24" t="n"/>
    </row>
    <row r="4602">
      <c r="O4602" s="23" t="n"/>
      <c r="R4602" s="24" t="n"/>
      <c r="S4602" s="24" t="n"/>
      <c r="Y4602" s="24" t="n"/>
    </row>
    <row r="4603">
      <c r="O4603" s="23" t="n"/>
      <c r="R4603" s="24" t="n"/>
      <c r="S4603" s="24" t="n"/>
      <c r="Y4603" s="24" t="n"/>
    </row>
    <row r="4604">
      <c r="O4604" s="23" t="n"/>
      <c r="R4604" s="24" t="n"/>
      <c r="S4604" s="24" t="n"/>
      <c r="Y4604" s="24" t="n"/>
    </row>
    <row r="4605">
      <c r="O4605" s="23" t="n"/>
      <c r="R4605" s="24" t="n"/>
      <c r="S4605" s="24" t="n"/>
      <c r="Y4605" s="24" t="n"/>
    </row>
    <row r="4606">
      <c r="O4606" s="23" t="n"/>
      <c r="R4606" s="24" t="n"/>
      <c r="S4606" s="24" t="n"/>
      <c r="Y4606" s="24" t="n"/>
    </row>
    <row r="4607">
      <c r="O4607" s="23" t="n"/>
      <c r="R4607" s="24" t="n"/>
      <c r="S4607" s="24" t="n"/>
      <c r="Y4607" s="24" t="n"/>
    </row>
    <row r="4608">
      <c r="O4608" s="23" t="n"/>
      <c r="R4608" s="24" t="n"/>
      <c r="S4608" s="24" t="n"/>
      <c r="Y4608" s="24" t="n"/>
    </row>
    <row r="4609">
      <c r="O4609" s="23" t="n"/>
      <c r="R4609" s="24" t="n"/>
      <c r="S4609" s="24" t="n"/>
      <c r="Y4609" s="24" t="n"/>
    </row>
    <row r="4610">
      <c r="O4610" s="23" t="n"/>
      <c r="R4610" s="24" t="n"/>
      <c r="S4610" s="24" t="n"/>
      <c r="Y4610" s="24" t="n"/>
    </row>
    <row r="4611">
      <c r="O4611" s="23" t="n"/>
      <c r="R4611" s="24" t="n"/>
      <c r="S4611" s="24" t="n"/>
      <c r="Y4611" s="24" t="n"/>
    </row>
    <row r="4612">
      <c r="O4612" s="23" t="n"/>
      <c r="R4612" s="24" t="n"/>
      <c r="S4612" s="24" t="n"/>
      <c r="Y4612" s="24" t="n"/>
    </row>
    <row r="4613">
      <c r="O4613" s="23" t="n"/>
      <c r="R4613" s="24" t="n"/>
      <c r="S4613" s="24" t="n"/>
      <c r="Y4613" s="24" t="n"/>
    </row>
    <row r="4614">
      <c r="O4614" s="23" t="n"/>
      <c r="R4614" s="24" t="n"/>
      <c r="S4614" s="24" t="n"/>
      <c r="Y4614" s="24" t="n"/>
    </row>
    <row r="4615">
      <c r="O4615" s="23" t="n"/>
      <c r="R4615" s="24" t="n"/>
      <c r="S4615" s="24" t="n"/>
      <c r="Y4615" s="24" t="n"/>
    </row>
    <row r="4616">
      <c r="O4616" s="23" t="n"/>
      <c r="R4616" s="24" t="n"/>
      <c r="S4616" s="24" t="n"/>
      <c r="Y4616" s="24" t="n"/>
    </row>
    <row r="4617">
      <c r="O4617" s="23" t="n"/>
      <c r="R4617" s="24" t="n"/>
      <c r="S4617" s="24" t="n"/>
      <c r="Y4617" s="24" t="n"/>
    </row>
    <row r="4618">
      <c r="O4618" s="23" t="n"/>
      <c r="R4618" s="24" t="n"/>
      <c r="S4618" s="24" t="n"/>
      <c r="Y4618" s="24" t="n"/>
    </row>
    <row r="4619">
      <c r="O4619" s="23" t="n"/>
      <c r="R4619" s="24" t="n"/>
      <c r="S4619" s="24" t="n"/>
      <c r="Y4619" s="24" t="n"/>
    </row>
    <row r="4620">
      <c r="O4620" s="23" t="n"/>
      <c r="R4620" s="24" t="n"/>
      <c r="S4620" s="24" t="n"/>
      <c r="Y4620" s="24" t="n"/>
    </row>
    <row r="4621">
      <c r="O4621" s="23" t="n"/>
      <c r="R4621" s="24" t="n"/>
      <c r="S4621" s="24" t="n"/>
      <c r="Y4621" s="24" t="n"/>
    </row>
    <row r="4622">
      <c r="O4622" s="23" t="n"/>
      <c r="R4622" s="24" t="n"/>
      <c r="S4622" s="24" t="n"/>
      <c r="Y4622" s="24" t="n"/>
    </row>
    <row r="4623">
      <c r="O4623" s="23" t="n"/>
      <c r="R4623" s="24" t="n"/>
      <c r="S4623" s="24" t="n"/>
      <c r="Y4623" s="24" t="n"/>
    </row>
    <row r="4624">
      <c r="O4624" s="23" t="n"/>
      <c r="R4624" s="24" t="n"/>
      <c r="S4624" s="24" t="n"/>
      <c r="Y4624" s="24" t="n"/>
    </row>
    <row r="4625">
      <c r="O4625" s="23" t="n"/>
      <c r="R4625" s="24" t="n"/>
      <c r="S4625" s="24" t="n"/>
      <c r="Y4625" s="24" t="n"/>
    </row>
    <row r="4626">
      <c r="O4626" s="23" t="n"/>
      <c r="R4626" s="24" t="n"/>
      <c r="S4626" s="24" t="n"/>
      <c r="Y4626" s="24" t="n"/>
    </row>
    <row r="4627">
      <c r="O4627" s="23" t="n"/>
      <c r="R4627" s="24" t="n"/>
      <c r="S4627" s="24" t="n"/>
      <c r="Y4627" s="24" t="n"/>
    </row>
    <row r="4628">
      <c r="O4628" s="23" t="n"/>
      <c r="R4628" s="24" t="n"/>
      <c r="S4628" s="24" t="n"/>
      <c r="Y4628" s="24" t="n"/>
    </row>
    <row r="4629">
      <c r="O4629" s="23" t="n"/>
      <c r="R4629" s="24" t="n"/>
      <c r="S4629" s="24" t="n"/>
      <c r="Y4629" s="24" t="n"/>
    </row>
    <row r="4630">
      <c r="O4630" s="23" t="n"/>
      <c r="R4630" s="24" t="n"/>
      <c r="S4630" s="24" t="n"/>
      <c r="Y4630" s="24" t="n"/>
    </row>
    <row r="4631">
      <c r="O4631" s="23" t="n"/>
      <c r="R4631" s="24" t="n"/>
      <c r="S4631" s="24" t="n"/>
      <c r="Y4631" s="24" t="n"/>
    </row>
    <row r="4632">
      <c r="O4632" s="23" t="n"/>
      <c r="R4632" s="24" t="n"/>
      <c r="S4632" s="24" t="n"/>
      <c r="Y4632" s="24" t="n"/>
    </row>
    <row r="4633">
      <c r="O4633" s="23" t="n"/>
      <c r="R4633" s="24" t="n"/>
      <c r="S4633" s="24" t="n"/>
      <c r="Y4633" s="24" t="n"/>
    </row>
    <row r="4634">
      <c r="O4634" s="23" t="n"/>
      <c r="R4634" s="24" t="n"/>
      <c r="S4634" s="24" t="n"/>
      <c r="Y4634" s="24" t="n"/>
    </row>
    <row r="4635">
      <c r="O4635" s="23" t="n"/>
      <c r="R4635" s="24" t="n"/>
      <c r="S4635" s="24" t="n"/>
      <c r="Y4635" s="24" t="n"/>
    </row>
    <row r="4636">
      <c r="O4636" s="23" t="n"/>
      <c r="R4636" s="24" t="n"/>
      <c r="S4636" s="24" t="n"/>
      <c r="Y4636" s="24" t="n"/>
    </row>
    <row r="4637">
      <c r="O4637" s="23" t="n"/>
      <c r="R4637" s="24" t="n"/>
      <c r="S4637" s="24" t="n"/>
      <c r="Y4637" s="24" t="n"/>
    </row>
    <row r="4638">
      <c r="O4638" s="23" t="n"/>
      <c r="R4638" s="24" t="n"/>
      <c r="S4638" s="24" t="n"/>
      <c r="Y4638" s="24" t="n"/>
    </row>
    <row r="4639">
      <c r="O4639" s="23" t="n"/>
      <c r="R4639" s="24" t="n"/>
      <c r="S4639" s="24" t="n"/>
      <c r="Y4639" s="24" t="n"/>
    </row>
    <row r="4640">
      <c r="O4640" s="23" t="n"/>
      <c r="R4640" s="24" t="n"/>
      <c r="S4640" s="24" t="n"/>
      <c r="Y4640" s="24" t="n"/>
    </row>
    <row r="4641">
      <c r="O4641" s="23" t="n"/>
      <c r="R4641" s="24" t="n"/>
      <c r="S4641" s="24" t="n"/>
      <c r="Y4641" s="24" t="n"/>
    </row>
    <row r="4642">
      <c r="O4642" s="23" t="n"/>
      <c r="R4642" s="24" t="n"/>
      <c r="S4642" s="24" t="n"/>
      <c r="Y4642" s="24" t="n"/>
    </row>
    <row r="4643">
      <c r="O4643" s="23" t="n"/>
      <c r="R4643" s="24" t="n"/>
      <c r="S4643" s="24" t="n"/>
      <c r="Y4643" s="24" t="n"/>
    </row>
    <row r="4644">
      <c r="O4644" s="23" t="n"/>
      <c r="R4644" s="24" t="n"/>
      <c r="S4644" s="24" t="n"/>
      <c r="Y4644" s="24" t="n"/>
    </row>
    <row r="4645">
      <c r="O4645" s="23" t="n"/>
      <c r="R4645" s="24" t="n"/>
      <c r="S4645" s="24" t="n"/>
      <c r="Y4645" s="24" t="n"/>
    </row>
    <row r="4646">
      <c r="O4646" s="23" t="n"/>
      <c r="R4646" s="24" t="n"/>
      <c r="S4646" s="24" t="n"/>
      <c r="Y4646" s="24" t="n"/>
    </row>
    <row r="4647">
      <c r="O4647" s="23" t="n"/>
      <c r="R4647" s="24" t="n"/>
      <c r="S4647" s="24" t="n"/>
      <c r="Y4647" s="24" t="n"/>
    </row>
    <row r="4648">
      <c r="O4648" s="23" t="n"/>
      <c r="R4648" s="24" t="n"/>
      <c r="S4648" s="24" t="n"/>
      <c r="Y4648" s="24" t="n"/>
    </row>
    <row r="4649">
      <c r="O4649" s="23" t="n"/>
      <c r="R4649" s="24" t="n"/>
      <c r="S4649" s="24" t="n"/>
      <c r="Y4649" s="24" t="n"/>
    </row>
    <row r="4650">
      <c r="O4650" s="23" t="n"/>
      <c r="R4650" s="24" t="n"/>
      <c r="S4650" s="24" t="n"/>
      <c r="Y4650" s="24" t="n"/>
    </row>
    <row r="4651">
      <c r="O4651" s="23" t="n"/>
      <c r="R4651" s="24" t="n"/>
      <c r="S4651" s="24" t="n"/>
      <c r="Y4651" s="24" t="n"/>
    </row>
    <row r="4652">
      <c r="O4652" s="23" t="n"/>
      <c r="R4652" s="24" t="n"/>
      <c r="S4652" s="24" t="n"/>
      <c r="Y4652" s="24" t="n"/>
    </row>
    <row r="4653">
      <c r="O4653" s="23" t="n"/>
      <c r="R4653" s="24" t="n"/>
      <c r="S4653" s="24" t="n"/>
      <c r="Y4653" s="24" t="n"/>
    </row>
    <row r="4654">
      <c r="O4654" s="23" t="n"/>
      <c r="R4654" s="24" t="n"/>
      <c r="S4654" s="24" t="n"/>
      <c r="Y4654" s="24" t="n"/>
    </row>
    <row r="4655">
      <c r="O4655" s="23" t="n"/>
      <c r="R4655" s="24" t="n"/>
      <c r="S4655" s="24" t="n"/>
      <c r="Y4655" s="24" t="n"/>
    </row>
    <row r="4656">
      <c r="O4656" s="23" t="n"/>
      <c r="R4656" s="24" t="n"/>
      <c r="S4656" s="24" t="n"/>
      <c r="Y4656" s="24" t="n"/>
    </row>
    <row r="4657">
      <c r="O4657" s="23" t="n"/>
      <c r="R4657" s="24" t="n"/>
      <c r="S4657" s="24" t="n"/>
      <c r="Y4657" s="24" t="n"/>
    </row>
    <row r="4658">
      <c r="O4658" s="23" t="n"/>
      <c r="R4658" s="24" t="n"/>
      <c r="S4658" s="24" t="n"/>
      <c r="Y4658" s="24" t="n"/>
    </row>
    <row r="4659">
      <c r="O4659" s="23" t="n"/>
      <c r="R4659" s="24" t="n"/>
      <c r="S4659" s="24" t="n"/>
      <c r="Y4659" s="24" t="n"/>
    </row>
    <row r="4660">
      <c r="O4660" s="23" t="n"/>
      <c r="R4660" s="24" t="n"/>
      <c r="S4660" s="24" t="n"/>
      <c r="Y4660" s="24" t="n"/>
    </row>
    <row r="4661">
      <c r="O4661" s="23" t="n"/>
      <c r="R4661" s="24" t="n"/>
      <c r="S4661" s="24" t="n"/>
      <c r="Y4661" s="24" t="n"/>
    </row>
    <row r="4662">
      <c r="O4662" s="23" t="n"/>
      <c r="R4662" s="24" t="n"/>
      <c r="S4662" s="24" t="n"/>
      <c r="Y4662" s="24" t="n"/>
    </row>
    <row r="4663">
      <c r="O4663" s="23" t="n"/>
      <c r="R4663" s="24" t="n"/>
      <c r="S4663" s="24" t="n"/>
      <c r="Y4663" s="24" t="n"/>
    </row>
    <row r="4664">
      <c r="O4664" s="23" t="n"/>
      <c r="R4664" s="24" t="n"/>
      <c r="S4664" s="24" t="n"/>
      <c r="Y4664" s="24" t="n"/>
    </row>
    <row r="4665">
      <c r="O4665" s="23" t="n"/>
      <c r="R4665" s="24" t="n"/>
      <c r="S4665" s="24" t="n"/>
      <c r="Y4665" s="24" t="n"/>
    </row>
    <row r="4666">
      <c r="O4666" s="23" t="n"/>
      <c r="R4666" s="24" t="n"/>
      <c r="S4666" s="24" t="n"/>
      <c r="Y4666" s="24" t="n"/>
    </row>
    <row r="4667">
      <c r="O4667" s="23" t="n"/>
      <c r="R4667" s="24" t="n"/>
      <c r="S4667" s="24" t="n"/>
      <c r="Y4667" s="24" t="n"/>
    </row>
    <row r="4668">
      <c r="O4668" s="23" t="n"/>
      <c r="R4668" s="24" t="n"/>
      <c r="S4668" s="24" t="n"/>
      <c r="Y4668" s="24" t="n"/>
    </row>
    <row r="4669">
      <c r="O4669" s="23" t="n"/>
      <c r="R4669" s="24" t="n"/>
      <c r="S4669" s="24" t="n"/>
      <c r="Y4669" s="24" t="n"/>
    </row>
    <row r="4670">
      <c r="O4670" s="23" t="n"/>
      <c r="R4670" s="24" t="n"/>
      <c r="S4670" s="24" t="n"/>
      <c r="Y4670" s="24" t="n"/>
    </row>
    <row r="4671">
      <c r="O4671" s="23" t="n"/>
      <c r="R4671" s="24" t="n"/>
      <c r="S4671" s="24" t="n"/>
      <c r="Y4671" s="24" t="n"/>
    </row>
    <row r="4672">
      <c r="O4672" s="23" t="n"/>
      <c r="R4672" s="24" t="n"/>
      <c r="S4672" s="24" t="n"/>
      <c r="Y4672" s="24" t="n"/>
    </row>
    <row r="4673">
      <c r="O4673" s="23" t="n"/>
      <c r="R4673" s="24" t="n"/>
      <c r="S4673" s="24" t="n"/>
      <c r="Y4673" s="24" t="n"/>
    </row>
    <row r="4674">
      <c r="O4674" s="23" t="n"/>
      <c r="R4674" s="24" t="n"/>
      <c r="S4674" s="24" t="n"/>
      <c r="Y4674" s="24" t="n"/>
    </row>
    <row r="4675">
      <c r="O4675" s="23" t="n"/>
      <c r="R4675" s="24" t="n"/>
      <c r="S4675" s="24" t="n"/>
      <c r="Y4675" s="24" t="n"/>
    </row>
    <row r="4676">
      <c r="O4676" s="23" t="n"/>
      <c r="R4676" s="24" t="n"/>
      <c r="S4676" s="24" t="n"/>
      <c r="Y4676" s="24" t="n"/>
    </row>
    <row r="4677">
      <c r="O4677" s="23" t="n"/>
      <c r="R4677" s="24" t="n"/>
      <c r="S4677" s="24" t="n"/>
      <c r="Y4677" s="24" t="n"/>
    </row>
    <row r="4678">
      <c r="O4678" s="23" t="n"/>
      <c r="R4678" s="24" t="n"/>
      <c r="S4678" s="24" t="n"/>
      <c r="Y4678" s="24" t="n"/>
    </row>
    <row r="4679">
      <c r="O4679" s="23" t="n"/>
      <c r="R4679" s="24" t="n"/>
      <c r="S4679" s="24" t="n"/>
      <c r="Y4679" s="24" t="n"/>
    </row>
    <row r="4680">
      <c r="O4680" s="23" t="n"/>
      <c r="R4680" s="24" t="n"/>
      <c r="S4680" s="24" t="n"/>
      <c r="Y4680" s="24" t="n"/>
    </row>
    <row r="4681">
      <c r="O4681" s="23" t="n"/>
      <c r="R4681" s="24" t="n"/>
      <c r="S4681" s="24" t="n"/>
      <c r="Y4681" s="24" t="n"/>
    </row>
    <row r="4682">
      <c r="O4682" s="23" t="n"/>
      <c r="R4682" s="24" t="n"/>
      <c r="S4682" s="24" t="n"/>
      <c r="Y4682" s="24" t="n"/>
    </row>
    <row r="4683">
      <c r="O4683" s="23" t="n"/>
      <c r="R4683" s="24" t="n"/>
      <c r="S4683" s="24" t="n"/>
      <c r="Y4683" s="24" t="n"/>
    </row>
    <row r="4684">
      <c r="O4684" s="23" t="n"/>
      <c r="R4684" s="24" t="n"/>
      <c r="S4684" s="24" t="n"/>
      <c r="Y4684" s="24" t="n"/>
    </row>
    <row r="4685">
      <c r="O4685" s="23" t="n"/>
      <c r="R4685" s="24" t="n"/>
      <c r="S4685" s="24" t="n"/>
      <c r="Y4685" s="24" t="n"/>
    </row>
    <row r="4686">
      <c r="O4686" s="23" t="n"/>
      <c r="R4686" s="24" t="n"/>
      <c r="S4686" s="24" t="n"/>
      <c r="Y4686" s="24" t="n"/>
    </row>
    <row r="4687">
      <c r="O4687" s="23" t="n"/>
      <c r="R4687" s="24" t="n"/>
      <c r="S4687" s="24" t="n"/>
      <c r="Y4687" s="24" t="n"/>
    </row>
    <row r="4688">
      <c r="O4688" s="23" t="n"/>
      <c r="R4688" s="24" t="n"/>
      <c r="S4688" s="24" t="n"/>
      <c r="Y4688" s="24" t="n"/>
    </row>
    <row r="4689">
      <c r="O4689" s="23" t="n"/>
      <c r="R4689" s="24" t="n"/>
      <c r="S4689" s="24" t="n"/>
      <c r="Y4689" s="24" t="n"/>
    </row>
    <row r="4690">
      <c r="O4690" s="23" t="n"/>
      <c r="R4690" s="24" t="n"/>
      <c r="S4690" s="24" t="n"/>
      <c r="Y4690" s="24" t="n"/>
    </row>
    <row r="4691">
      <c r="O4691" s="23" t="n"/>
      <c r="R4691" s="24" t="n"/>
      <c r="S4691" s="24" t="n"/>
      <c r="Y4691" s="24" t="n"/>
    </row>
    <row r="4692">
      <c r="O4692" s="23" t="n"/>
      <c r="R4692" s="24" t="n"/>
      <c r="S4692" s="24" t="n"/>
      <c r="Y4692" s="24" t="n"/>
    </row>
    <row r="4693">
      <c r="O4693" s="23" t="n"/>
      <c r="R4693" s="24" t="n"/>
      <c r="S4693" s="24" t="n"/>
      <c r="Y4693" s="24" t="n"/>
    </row>
    <row r="4694">
      <c r="O4694" s="23" t="n"/>
      <c r="R4694" s="24" t="n"/>
      <c r="S4694" s="24" t="n"/>
      <c r="Y4694" s="24" t="n"/>
    </row>
    <row r="4695">
      <c r="O4695" s="23" t="n"/>
      <c r="R4695" s="24" t="n"/>
      <c r="S4695" s="24" t="n"/>
      <c r="Y4695" s="24" t="n"/>
    </row>
    <row r="4696">
      <c r="O4696" s="23" t="n"/>
      <c r="R4696" s="24" t="n"/>
      <c r="S4696" s="24" t="n"/>
      <c r="Y4696" s="24" t="n"/>
    </row>
    <row r="4697">
      <c r="O4697" s="23" t="n"/>
      <c r="R4697" s="24" t="n"/>
      <c r="S4697" s="24" t="n"/>
      <c r="Y4697" s="24" t="n"/>
    </row>
    <row r="4698">
      <c r="O4698" s="23" t="n"/>
      <c r="R4698" s="24" t="n"/>
      <c r="S4698" s="24" t="n"/>
      <c r="Y4698" s="24" t="n"/>
    </row>
    <row r="4699">
      <c r="O4699" s="23" t="n"/>
      <c r="R4699" s="24" t="n"/>
      <c r="S4699" s="24" t="n"/>
      <c r="Y4699" s="24" t="n"/>
    </row>
    <row r="4700">
      <c r="O4700" s="23" t="n"/>
      <c r="R4700" s="24" t="n"/>
      <c r="S4700" s="24" t="n"/>
      <c r="Y4700" s="24" t="n"/>
    </row>
    <row r="4701">
      <c r="O4701" s="23" t="n"/>
      <c r="R4701" s="24" t="n"/>
      <c r="S4701" s="24" t="n"/>
      <c r="Y4701" s="24" t="n"/>
    </row>
    <row r="4702">
      <c r="O4702" s="23" t="n"/>
      <c r="R4702" s="24" t="n"/>
      <c r="S4702" s="24" t="n"/>
      <c r="Y4702" s="24" t="n"/>
    </row>
    <row r="4703">
      <c r="O4703" s="23" t="n"/>
      <c r="R4703" s="24" t="n"/>
      <c r="S4703" s="24" t="n"/>
      <c r="Y4703" s="24" t="n"/>
    </row>
    <row r="4704">
      <c r="O4704" s="23" t="n"/>
      <c r="R4704" s="24" t="n"/>
      <c r="S4704" s="24" t="n"/>
      <c r="Y4704" s="24" t="n"/>
    </row>
    <row r="4705">
      <c r="O4705" s="23" t="n"/>
      <c r="R4705" s="24" t="n"/>
      <c r="S4705" s="24" t="n"/>
      <c r="Y4705" s="24" t="n"/>
    </row>
    <row r="4706">
      <c r="O4706" s="23" t="n"/>
      <c r="R4706" s="24" t="n"/>
      <c r="S4706" s="24" t="n"/>
      <c r="Y4706" s="24" t="n"/>
    </row>
    <row r="4707">
      <c r="O4707" s="23" t="n"/>
      <c r="R4707" s="24" t="n"/>
      <c r="S4707" s="24" t="n"/>
      <c r="Y4707" s="24" t="n"/>
    </row>
    <row r="4708">
      <c r="O4708" s="23" t="n"/>
      <c r="R4708" s="24" t="n"/>
      <c r="S4708" s="24" t="n"/>
      <c r="Y4708" s="24" t="n"/>
    </row>
    <row r="4709">
      <c r="O4709" s="23" t="n"/>
      <c r="R4709" s="24" t="n"/>
      <c r="S4709" s="24" t="n"/>
      <c r="Y4709" s="24" t="n"/>
    </row>
    <row r="4710">
      <c r="O4710" s="23" t="n"/>
      <c r="R4710" s="24" t="n"/>
      <c r="S4710" s="24" t="n"/>
      <c r="Y4710" s="24" t="n"/>
    </row>
    <row r="4711">
      <c r="O4711" s="23" t="n"/>
      <c r="R4711" s="24" t="n"/>
      <c r="S4711" s="24" t="n"/>
      <c r="Y4711" s="24" t="n"/>
    </row>
    <row r="4712">
      <c r="O4712" s="23" t="n"/>
      <c r="R4712" s="24" t="n"/>
      <c r="S4712" s="24" t="n"/>
      <c r="Y4712" s="24" t="n"/>
    </row>
    <row r="4713">
      <c r="O4713" s="23" t="n"/>
      <c r="R4713" s="24" t="n"/>
      <c r="S4713" s="24" t="n"/>
      <c r="Y4713" s="24" t="n"/>
    </row>
    <row r="4714">
      <c r="O4714" s="23" t="n"/>
      <c r="R4714" s="24" t="n"/>
      <c r="S4714" s="24" t="n"/>
      <c r="Y4714" s="24" t="n"/>
    </row>
    <row r="4715">
      <c r="O4715" s="23" t="n"/>
      <c r="R4715" s="24" t="n"/>
      <c r="S4715" s="24" t="n"/>
      <c r="Y4715" s="24" t="n"/>
    </row>
    <row r="4716">
      <c r="O4716" s="23" t="n"/>
      <c r="R4716" s="24" t="n"/>
      <c r="S4716" s="24" t="n"/>
      <c r="Y4716" s="24" t="n"/>
    </row>
    <row r="4717">
      <c r="O4717" s="23" t="n"/>
      <c r="R4717" s="24" t="n"/>
      <c r="S4717" s="24" t="n"/>
      <c r="Y4717" s="24" t="n"/>
    </row>
    <row r="4718">
      <c r="O4718" s="23" t="n"/>
      <c r="R4718" s="24" t="n"/>
      <c r="S4718" s="24" t="n"/>
      <c r="Y4718" s="24" t="n"/>
    </row>
    <row r="4719">
      <c r="O4719" s="23" t="n"/>
      <c r="R4719" s="24" t="n"/>
      <c r="S4719" s="24" t="n"/>
      <c r="Y4719" s="24" t="n"/>
    </row>
    <row r="4720">
      <c r="O4720" s="23" t="n"/>
      <c r="R4720" s="24" t="n"/>
      <c r="S4720" s="24" t="n"/>
      <c r="Y4720" s="24" t="n"/>
    </row>
    <row r="4721">
      <c r="O4721" s="23" t="n"/>
      <c r="R4721" s="24" t="n"/>
      <c r="S4721" s="24" t="n"/>
      <c r="Y4721" s="24" t="n"/>
    </row>
    <row r="4722">
      <c r="O4722" s="23" t="n"/>
      <c r="R4722" s="24" t="n"/>
      <c r="S4722" s="24" t="n"/>
      <c r="Y4722" s="24" t="n"/>
    </row>
    <row r="4723">
      <c r="O4723" s="23" t="n"/>
      <c r="R4723" s="24" t="n"/>
      <c r="S4723" s="24" t="n"/>
      <c r="Y4723" s="24" t="n"/>
    </row>
    <row r="4724">
      <c r="O4724" s="23" t="n"/>
      <c r="R4724" s="24" t="n"/>
      <c r="S4724" s="24" t="n"/>
      <c r="Y4724" s="24" t="n"/>
    </row>
    <row r="4725">
      <c r="O4725" s="23" t="n"/>
      <c r="R4725" s="24" t="n"/>
      <c r="S4725" s="24" t="n"/>
      <c r="Y4725" s="24" t="n"/>
    </row>
    <row r="4726">
      <c r="O4726" s="23" t="n"/>
      <c r="R4726" s="24" t="n"/>
      <c r="S4726" s="24" t="n"/>
      <c r="Y4726" s="24" t="n"/>
    </row>
    <row r="4727">
      <c r="O4727" s="23" t="n"/>
      <c r="R4727" s="24" t="n"/>
      <c r="S4727" s="24" t="n"/>
      <c r="Y4727" s="24" t="n"/>
    </row>
    <row r="4728">
      <c r="O4728" s="23" t="n"/>
      <c r="R4728" s="24" t="n"/>
      <c r="S4728" s="24" t="n"/>
      <c r="Y4728" s="24" t="n"/>
    </row>
    <row r="4729">
      <c r="O4729" s="23" t="n"/>
      <c r="R4729" s="24" t="n"/>
      <c r="S4729" s="24" t="n"/>
      <c r="Y4729" s="24" t="n"/>
    </row>
    <row r="4730">
      <c r="O4730" s="23" t="n"/>
      <c r="R4730" s="24" t="n"/>
      <c r="S4730" s="24" t="n"/>
      <c r="Y4730" s="24" t="n"/>
    </row>
    <row r="4731">
      <c r="O4731" s="23" t="n"/>
      <c r="R4731" s="24" t="n"/>
      <c r="S4731" s="24" t="n"/>
      <c r="Y4731" s="24" t="n"/>
    </row>
    <row r="4732">
      <c r="O4732" s="23" t="n"/>
      <c r="R4732" s="24" t="n"/>
      <c r="S4732" s="24" t="n"/>
      <c r="Y4732" s="24" t="n"/>
    </row>
    <row r="4733">
      <c r="O4733" s="23" t="n"/>
      <c r="R4733" s="24" t="n"/>
      <c r="S4733" s="24" t="n"/>
      <c r="Y4733" s="24" t="n"/>
    </row>
    <row r="4734">
      <c r="O4734" s="23" t="n"/>
      <c r="R4734" s="24" t="n"/>
      <c r="S4734" s="24" t="n"/>
      <c r="Y4734" s="24" t="n"/>
    </row>
    <row r="4735">
      <c r="O4735" s="23" t="n"/>
      <c r="R4735" s="24" t="n"/>
      <c r="S4735" s="24" t="n"/>
      <c r="Y4735" s="24" t="n"/>
    </row>
    <row r="4736">
      <c r="O4736" s="23" t="n"/>
      <c r="R4736" s="24" t="n"/>
      <c r="S4736" s="24" t="n"/>
      <c r="Y4736" s="24" t="n"/>
    </row>
    <row r="4737">
      <c r="O4737" s="23" t="n"/>
      <c r="R4737" s="24" t="n"/>
      <c r="S4737" s="24" t="n"/>
      <c r="Y4737" s="24" t="n"/>
    </row>
    <row r="4738">
      <c r="O4738" s="23" t="n"/>
      <c r="R4738" s="24" t="n"/>
      <c r="S4738" s="24" t="n"/>
      <c r="Y4738" s="24" t="n"/>
    </row>
    <row r="4739">
      <c r="O4739" s="23" t="n"/>
      <c r="R4739" s="24" t="n"/>
      <c r="S4739" s="24" t="n"/>
      <c r="Y4739" s="24" t="n"/>
    </row>
    <row r="4740">
      <c r="O4740" s="23" t="n"/>
      <c r="R4740" s="24" t="n"/>
      <c r="S4740" s="24" t="n"/>
      <c r="Y4740" s="24" t="n"/>
    </row>
    <row r="4741">
      <c r="O4741" s="23" t="n"/>
      <c r="R4741" s="24" t="n"/>
      <c r="S4741" s="24" t="n"/>
      <c r="Y4741" s="24" t="n"/>
    </row>
    <row r="4742">
      <c r="O4742" s="23" t="n"/>
      <c r="R4742" s="24" t="n"/>
      <c r="S4742" s="24" t="n"/>
      <c r="Y4742" s="24" t="n"/>
    </row>
    <row r="4743">
      <c r="O4743" s="23" t="n"/>
      <c r="R4743" s="24" t="n"/>
      <c r="S4743" s="24" t="n"/>
      <c r="Y4743" s="24" t="n"/>
    </row>
    <row r="4744">
      <c r="O4744" s="23" t="n"/>
      <c r="R4744" s="24" t="n"/>
      <c r="S4744" s="24" t="n"/>
      <c r="Y4744" s="24" t="n"/>
    </row>
    <row r="4745">
      <c r="O4745" s="23" t="n"/>
      <c r="R4745" s="24" t="n"/>
      <c r="S4745" s="24" t="n"/>
      <c r="Y4745" s="24" t="n"/>
    </row>
    <row r="4746">
      <c r="O4746" s="23" t="n"/>
      <c r="R4746" s="24" t="n"/>
      <c r="S4746" s="24" t="n"/>
      <c r="Y4746" s="24" t="n"/>
    </row>
    <row r="4747">
      <c r="O4747" s="23" t="n"/>
      <c r="R4747" s="24" t="n"/>
      <c r="S4747" s="24" t="n"/>
      <c r="Y4747" s="24" t="n"/>
    </row>
    <row r="4748">
      <c r="O4748" s="23" t="n"/>
      <c r="R4748" s="24" t="n"/>
      <c r="S4748" s="24" t="n"/>
      <c r="Y4748" s="24" t="n"/>
    </row>
    <row r="4749">
      <c r="O4749" s="23" t="n"/>
      <c r="R4749" s="24" t="n"/>
      <c r="S4749" s="24" t="n"/>
      <c r="Y4749" s="24" t="n"/>
    </row>
    <row r="4750">
      <c r="O4750" s="23" t="n"/>
      <c r="R4750" s="24" t="n"/>
      <c r="S4750" s="24" t="n"/>
      <c r="Y4750" s="24" t="n"/>
    </row>
    <row r="4751">
      <c r="O4751" s="23" t="n"/>
      <c r="R4751" s="24" t="n"/>
      <c r="S4751" s="24" t="n"/>
      <c r="Y4751" s="24" t="n"/>
    </row>
    <row r="4752">
      <c r="O4752" s="23" t="n"/>
      <c r="R4752" s="24" t="n"/>
      <c r="S4752" s="24" t="n"/>
      <c r="Y4752" s="24" t="n"/>
    </row>
    <row r="4753">
      <c r="O4753" s="23" t="n"/>
      <c r="R4753" s="24" t="n"/>
      <c r="S4753" s="24" t="n"/>
      <c r="Y4753" s="24" t="n"/>
    </row>
    <row r="4754">
      <c r="O4754" s="23" t="n"/>
      <c r="R4754" s="24" t="n"/>
      <c r="S4754" s="24" t="n"/>
      <c r="Y4754" s="24" t="n"/>
    </row>
    <row r="4755">
      <c r="O4755" s="23" t="n"/>
      <c r="R4755" s="24" t="n"/>
      <c r="S4755" s="24" t="n"/>
      <c r="Y4755" s="24" t="n"/>
    </row>
    <row r="4756">
      <c r="O4756" s="23" t="n"/>
      <c r="R4756" s="24" t="n"/>
      <c r="S4756" s="24" t="n"/>
      <c r="Y4756" s="24" t="n"/>
    </row>
    <row r="4757">
      <c r="O4757" s="23" t="n"/>
      <c r="R4757" s="24" t="n"/>
      <c r="S4757" s="24" t="n"/>
      <c r="Y4757" s="24" t="n"/>
    </row>
    <row r="4758">
      <c r="O4758" s="23" t="n"/>
      <c r="R4758" s="24" t="n"/>
      <c r="S4758" s="24" t="n"/>
      <c r="Y4758" s="24" t="n"/>
    </row>
    <row r="4759">
      <c r="O4759" s="23" t="n"/>
      <c r="R4759" s="24" t="n"/>
      <c r="S4759" s="24" t="n"/>
      <c r="Y4759" s="24" t="n"/>
    </row>
    <row r="4760">
      <c r="O4760" s="23" t="n"/>
      <c r="R4760" s="24" t="n"/>
      <c r="S4760" s="24" t="n"/>
      <c r="Y4760" s="24" t="n"/>
    </row>
    <row r="4761">
      <c r="O4761" s="23" t="n"/>
      <c r="R4761" s="24" t="n"/>
      <c r="S4761" s="24" t="n"/>
      <c r="Y4761" s="24" t="n"/>
    </row>
    <row r="4762">
      <c r="O4762" s="23" t="n"/>
      <c r="R4762" s="24" t="n"/>
      <c r="S4762" s="24" t="n"/>
      <c r="Y4762" s="24" t="n"/>
    </row>
    <row r="4763">
      <c r="O4763" s="23" t="n"/>
      <c r="R4763" s="24" t="n"/>
      <c r="S4763" s="24" t="n"/>
      <c r="Y4763" s="24" t="n"/>
    </row>
    <row r="4764">
      <c r="O4764" s="23" t="n"/>
      <c r="R4764" s="24" t="n"/>
      <c r="S4764" s="24" t="n"/>
      <c r="Y4764" s="24" t="n"/>
    </row>
    <row r="4765">
      <c r="O4765" s="23" t="n"/>
      <c r="R4765" s="24" t="n"/>
      <c r="S4765" s="24" t="n"/>
      <c r="Y4765" s="24" t="n"/>
    </row>
    <row r="4766">
      <c r="O4766" s="23" t="n"/>
      <c r="R4766" s="24" t="n"/>
      <c r="S4766" s="24" t="n"/>
      <c r="Y4766" s="24" t="n"/>
    </row>
    <row r="4767">
      <c r="O4767" s="23" t="n"/>
      <c r="R4767" s="24" t="n"/>
      <c r="S4767" s="24" t="n"/>
      <c r="Y4767" s="24" t="n"/>
    </row>
    <row r="4768">
      <c r="O4768" s="23" t="n"/>
      <c r="R4768" s="24" t="n"/>
      <c r="S4768" s="24" t="n"/>
      <c r="Y4768" s="24" t="n"/>
    </row>
    <row r="4769">
      <c r="O4769" s="23" t="n"/>
      <c r="R4769" s="24" t="n"/>
      <c r="S4769" s="24" t="n"/>
      <c r="Y4769" s="24" t="n"/>
    </row>
    <row r="4770">
      <c r="O4770" s="23" t="n"/>
      <c r="R4770" s="24" t="n"/>
      <c r="S4770" s="24" t="n"/>
      <c r="Y4770" s="24" t="n"/>
    </row>
    <row r="4771">
      <c r="O4771" s="23" t="n"/>
      <c r="R4771" s="24" t="n"/>
      <c r="S4771" s="24" t="n"/>
      <c r="Y4771" s="24" t="n"/>
    </row>
    <row r="4772">
      <c r="O4772" s="23" t="n"/>
      <c r="R4772" s="24" t="n"/>
      <c r="S4772" s="24" t="n"/>
      <c r="Y4772" s="24" t="n"/>
    </row>
    <row r="4773">
      <c r="O4773" s="23" t="n"/>
      <c r="R4773" s="24" t="n"/>
      <c r="S4773" s="24" t="n"/>
      <c r="Y4773" s="24" t="n"/>
    </row>
    <row r="4774">
      <c r="O4774" s="23" t="n"/>
      <c r="R4774" s="24" t="n"/>
      <c r="S4774" s="24" t="n"/>
      <c r="Y4774" s="24" t="n"/>
    </row>
    <row r="4775">
      <c r="O4775" s="23" t="n"/>
      <c r="R4775" s="24" t="n"/>
      <c r="S4775" s="24" t="n"/>
      <c r="Y4775" s="24" t="n"/>
    </row>
    <row r="4776">
      <c r="O4776" s="23" t="n"/>
      <c r="R4776" s="24" t="n"/>
      <c r="S4776" s="24" t="n"/>
      <c r="Y4776" s="24" t="n"/>
    </row>
    <row r="4777">
      <c r="O4777" s="23" t="n"/>
      <c r="R4777" s="24" t="n"/>
      <c r="S4777" s="24" t="n"/>
      <c r="Y4777" s="24" t="n"/>
    </row>
    <row r="4778">
      <c r="O4778" s="23" t="n"/>
      <c r="R4778" s="24" t="n"/>
      <c r="S4778" s="24" t="n"/>
      <c r="Y4778" s="24" t="n"/>
    </row>
    <row r="4779">
      <c r="O4779" s="23" t="n"/>
      <c r="R4779" s="24" t="n"/>
      <c r="S4779" s="24" t="n"/>
      <c r="Y4779" s="24" t="n"/>
    </row>
    <row r="4780">
      <c r="O4780" s="23" t="n"/>
      <c r="R4780" s="24" t="n"/>
      <c r="S4780" s="24" t="n"/>
      <c r="Y4780" s="24" t="n"/>
    </row>
    <row r="4781">
      <c r="O4781" s="23" t="n"/>
      <c r="R4781" s="24" t="n"/>
      <c r="S4781" s="24" t="n"/>
      <c r="Y4781" s="24" t="n"/>
    </row>
    <row r="4782">
      <c r="O4782" s="23" t="n"/>
      <c r="R4782" s="24" t="n"/>
      <c r="S4782" s="24" t="n"/>
      <c r="Y4782" s="24" t="n"/>
    </row>
    <row r="4783">
      <c r="O4783" s="23" t="n"/>
      <c r="R4783" s="24" t="n"/>
      <c r="S4783" s="24" t="n"/>
      <c r="Y4783" s="24" t="n"/>
    </row>
    <row r="4784">
      <c r="O4784" s="23" t="n"/>
      <c r="R4784" s="24" t="n"/>
      <c r="S4784" s="24" t="n"/>
      <c r="Y4784" s="24" t="n"/>
    </row>
    <row r="4785">
      <c r="O4785" s="23" t="n"/>
      <c r="R4785" s="24" t="n"/>
      <c r="S4785" s="24" t="n"/>
      <c r="Y4785" s="24" t="n"/>
    </row>
    <row r="4786">
      <c r="O4786" s="23" t="n"/>
      <c r="R4786" s="24" t="n"/>
      <c r="S4786" s="24" t="n"/>
      <c r="Y4786" s="24" t="n"/>
    </row>
    <row r="4787">
      <c r="O4787" s="23" t="n"/>
      <c r="R4787" s="24" t="n"/>
      <c r="S4787" s="24" t="n"/>
      <c r="Y4787" s="24" t="n"/>
    </row>
    <row r="4788">
      <c r="O4788" s="23" t="n"/>
      <c r="R4788" s="24" t="n"/>
      <c r="S4788" s="24" t="n"/>
      <c r="Y4788" s="24" t="n"/>
    </row>
    <row r="4789">
      <c r="O4789" s="23" t="n"/>
      <c r="R4789" s="24" t="n"/>
      <c r="S4789" s="24" t="n"/>
      <c r="Y4789" s="24" t="n"/>
    </row>
    <row r="4790">
      <c r="O4790" s="23" t="n"/>
      <c r="R4790" s="24" t="n"/>
      <c r="S4790" s="24" t="n"/>
      <c r="Y4790" s="24" t="n"/>
    </row>
    <row r="4791">
      <c r="O4791" s="23" t="n"/>
      <c r="R4791" s="24" t="n"/>
      <c r="S4791" s="24" t="n"/>
      <c r="Y4791" s="24" t="n"/>
    </row>
    <row r="4792">
      <c r="O4792" s="23" t="n"/>
      <c r="R4792" s="24" t="n"/>
      <c r="S4792" s="24" t="n"/>
      <c r="Y4792" s="24" t="n"/>
    </row>
    <row r="4793">
      <c r="O4793" s="23" t="n"/>
      <c r="R4793" s="24" t="n"/>
      <c r="S4793" s="24" t="n"/>
      <c r="Y4793" s="24" t="n"/>
    </row>
    <row r="4794">
      <c r="O4794" s="23" t="n"/>
      <c r="R4794" s="24" t="n"/>
      <c r="S4794" s="24" t="n"/>
      <c r="Y4794" s="24" t="n"/>
    </row>
    <row r="4795">
      <c r="O4795" s="23" t="n"/>
      <c r="R4795" s="24" t="n"/>
      <c r="S4795" s="24" t="n"/>
      <c r="Y4795" s="24" t="n"/>
    </row>
    <row r="4796">
      <c r="O4796" s="23" t="n"/>
      <c r="R4796" s="24" t="n"/>
      <c r="S4796" s="24" t="n"/>
      <c r="Y4796" s="24" t="n"/>
    </row>
    <row r="4797">
      <c r="O4797" s="23" t="n"/>
      <c r="R4797" s="24" t="n"/>
      <c r="S4797" s="24" t="n"/>
      <c r="Y4797" s="24" t="n"/>
    </row>
    <row r="4798">
      <c r="O4798" s="23" t="n"/>
      <c r="R4798" s="24" t="n"/>
      <c r="S4798" s="24" t="n"/>
      <c r="Y4798" s="24" t="n"/>
    </row>
    <row r="4799">
      <c r="O4799" s="23" t="n"/>
      <c r="R4799" s="24" t="n"/>
      <c r="S4799" s="24" t="n"/>
      <c r="Y4799" s="24" t="n"/>
    </row>
    <row r="4800">
      <c r="O4800" s="23" t="n"/>
      <c r="R4800" s="24" t="n"/>
      <c r="S4800" s="24" t="n"/>
      <c r="Y4800" s="24" t="n"/>
    </row>
    <row r="4801">
      <c r="O4801" s="23" t="n"/>
      <c r="R4801" s="24" t="n"/>
      <c r="S4801" s="24" t="n"/>
      <c r="Y4801" s="24" t="n"/>
    </row>
    <row r="4802">
      <c r="O4802" s="23" t="n"/>
      <c r="R4802" s="24" t="n"/>
      <c r="S4802" s="24" t="n"/>
      <c r="Y4802" s="24" t="n"/>
    </row>
    <row r="4803">
      <c r="O4803" s="23" t="n"/>
      <c r="R4803" s="24" t="n"/>
      <c r="S4803" s="24" t="n"/>
      <c r="Y4803" s="24" t="n"/>
    </row>
    <row r="4804">
      <c r="O4804" s="23" t="n"/>
      <c r="R4804" s="24" t="n"/>
      <c r="S4804" s="24" t="n"/>
      <c r="Y4804" s="24" t="n"/>
    </row>
    <row r="4805">
      <c r="O4805" s="23" t="n"/>
      <c r="R4805" s="24" t="n"/>
      <c r="S4805" s="24" t="n"/>
      <c r="Y4805" s="24" t="n"/>
    </row>
    <row r="4806">
      <c r="O4806" s="23" t="n"/>
      <c r="R4806" s="24" t="n"/>
      <c r="S4806" s="24" t="n"/>
      <c r="Y4806" s="24" t="n"/>
    </row>
    <row r="4807">
      <c r="O4807" s="23" t="n"/>
      <c r="R4807" s="24" t="n"/>
      <c r="S4807" s="24" t="n"/>
      <c r="Y4807" s="24" t="n"/>
    </row>
    <row r="4808">
      <c r="O4808" s="23" t="n"/>
      <c r="R4808" s="24" t="n"/>
      <c r="S4808" s="24" t="n"/>
      <c r="Y4808" s="24" t="n"/>
    </row>
    <row r="4809">
      <c r="O4809" s="23" t="n"/>
      <c r="R4809" s="24" t="n"/>
      <c r="S4809" s="24" t="n"/>
      <c r="Y4809" s="24" t="n"/>
    </row>
    <row r="4810">
      <c r="O4810" s="23" t="n"/>
      <c r="R4810" s="24" t="n"/>
      <c r="S4810" s="24" t="n"/>
      <c r="Y4810" s="24" t="n"/>
    </row>
    <row r="4811">
      <c r="O4811" s="23" t="n"/>
      <c r="R4811" s="24" t="n"/>
      <c r="S4811" s="24" t="n"/>
      <c r="Y4811" s="24" t="n"/>
    </row>
    <row r="4812">
      <c r="O4812" s="23" t="n"/>
      <c r="R4812" s="24" t="n"/>
      <c r="S4812" s="24" t="n"/>
      <c r="Y4812" s="24" t="n"/>
    </row>
    <row r="4813">
      <c r="O4813" s="23" t="n"/>
      <c r="R4813" s="24" t="n"/>
      <c r="S4813" s="24" t="n"/>
      <c r="Y4813" s="24" t="n"/>
    </row>
    <row r="4814">
      <c r="O4814" s="23" t="n"/>
      <c r="R4814" s="24" t="n"/>
      <c r="S4814" s="24" t="n"/>
      <c r="Y4814" s="24" t="n"/>
    </row>
    <row r="4815">
      <c r="O4815" s="23" t="n"/>
      <c r="R4815" s="24" t="n"/>
      <c r="S4815" s="24" t="n"/>
      <c r="Y4815" s="24" t="n"/>
    </row>
    <row r="4816">
      <c r="O4816" s="23" t="n"/>
      <c r="R4816" s="24" t="n"/>
      <c r="S4816" s="24" t="n"/>
      <c r="Y4816" s="24" t="n"/>
    </row>
    <row r="4817">
      <c r="O4817" s="23" t="n"/>
      <c r="R4817" s="24" t="n"/>
      <c r="S4817" s="24" t="n"/>
      <c r="Y4817" s="24" t="n"/>
    </row>
    <row r="4818">
      <c r="O4818" s="23" t="n"/>
      <c r="R4818" s="24" t="n"/>
      <c r="S4818" s="24" t="n"/>
      <c r="Y4818" s="24" t="n"/>
    </row>
    <row r="4819">
      <c r="O4819" s="23" t="n"/>
      <c r="R4819" s="24" t="n"/>
      <c r="S4819" s="24" t="n"/>
      <c r="Y4819" s="24" t="n"/>
    </row>
    <row r="4820">
      <c r="O4820" s="23" t="n"/>
      <c r="R4820" s="24" t="n"/>
      <c r="S4820" s="24" t="n"/>
      <c r="Y4820" s="24" t="n"/>
    </row>
    <row r="4821">
      <c r="O4821" s="23" t="n"/>
      <c r="R4821" s="24" t="n"/>
      <c r="S4821" s="24" t="n"/>
      <c r="Y4821" s="24" t="n"/>
    </row>
    <row r="4822">
      <c r="O4822" s="23" t="n"/>
      <c r="R4822" s="24" t="n"/>
      <c r="S4822" s="24" t="n"/>
      <c r="Y4822" s="24" t="n"/>
    </row>
    <row r="4823">
      <c r="O4823" s="23" t="n"/>
      <c r="R4823" s="24" t="n"/>
      <c r="S4823" s="24" t="n"/>
      <c r="Y4823" s="24" t="n"/>
    </row>
    <row r="4824">
      <c r="O4824" s="23" t="n"/>
      <c r="R4824" s="24" t="n"/>
      <c r="S4824" s="24" t="n"/>
      <c r="Y4824" s="24" t="n"/>
    </row>
    <row r="4825">
      <c r="O4825" s="23" t="n"/>
      <c r="R4825" s="24" t="n"/>
      <c r="S4825" s="24" t="n"/>
      <c r="Y4825" s="24" t="n"/>
    </row>
    <row r="4826">
      <c r="O4826" s="23" t="n"/>
      <c r="R4826" s="24" t="n"/>
      <c r="S4826" s="24" t="n"/>
      <c r="Y4826" s="24" t="n"/>
    </row>
    <row r="4827">
      <c r="O4827" s="23" t="n"/>
      <c r="R4827" s="24" t="n"/>
      <c r="S4827" s="24" t="n"/>
      <c r="Y4827" s="24" t="n"/>
    </row>
    <row r="4828">
      <c r="O4828" s="23" t="n"/>
      <c r="R4828" s="24" t="n"/>
      <c r="S4828" s="24" t="n"/>
      <c r="Y4828" s="24" t="n"/>
    </row>
    <row r="4829">
      <c r="O4829" s="23" t="n"/>
      <c r="R4829" s="24" t="n"/>
      <c r="S4829" s="24" t="n"/>
      <c r="Y4829" s="24" t="n"/>
    </row>
    <row r="4830">
      <c r="O4830" s="23" t="n"/>
      <c r="R4830" s="24" t="n"/>
      <c r="S4830" s="24" t="n"/>
      <c r="Y4830" s="24" t="n"/>
    </row>
    <row r="4831">
      <c r="O4831" s="23" t="n"/>
      <c r="R4831" s="24" t="n"/>
      <c r="S4831" s="24" t="n"/>
      <c r="Y4831" s="24" t="n"/>
    </row>
    <row r="4832">
      <c r="O4832" s="23" t="n"/>
      <c r="R4832" s="24" t="n"/>
      <c r="S4832" s="24" t="n"/>
      <c r="Y4832" s="24" t="n"/>
    </row>
    <row r="4833">
      <c r="O4833" s="23" t="n"/>
      <c r="R4833" s="24" t="n"/>
      <c r="S4833" s="24" t="n"/>
      <c r="Y4833" s="24" t="n"/>
    </row>
    <row r="4834">
      <c r="O4834" s="23" t="n"/>
      <c r="R4834" s="24" t="n"/>
      <c r="S4834" s="24" t="n"/>
      <c r="Y4834" s="24" t="n"/>
    </row>
    <row r="4835">
      <c r="O4835" s="23" t="n"/>
      <c r="R4835" s="24" t="n"/>
      <c r="S4835" s="24" t="n"/>
      <c r="Y4835" s="24" t="n"/>
    </row>
    <row r="4836">
      <c r="O4836" s="23" t="n"/>
      <c r="R4836" s="24" t="n"/>
      <c r="S4836" s="24" t="n"/>
      <c r="Y4836" s="24" t="n"/>
    </row>
    <row r="4837">
      <c r="O4837" s="23" t="n"/>
      <c r="R4837" s="24" t="n"/>
      <c r="S4837" s="24" t="n"/>
      <c r="Y4837" s="24" t="n"/>
    </row>
    <row r="4838">
      <c r="O4838" s="23" t="n"/>
      <c r="R4838" s="24" t="n"/>
      <c r="S4838" s="24" t="n"/>
      <c r="Y4838" s="24" t="n"/>
    </row>
    <row r="4839">
      <c r="O4839" s="23" t="n"/>
      <c r="R4839" s="24" t="n"/>
      <c r="S4839" s="24" t="n"/>
      <c r="Y4839" s="24" t="n"/>
    </row>
    <row r="4840">
      <c r="O4840" s="23" t="n"/>
      <c r="R4840" s="24" t="n"/>
      <c r="S4840" s="24" t="n"/>
      <c r="Y4840" s="24" t="n"/>
    </row>
    <row r="4841">
      <c r="O4841" s="23" t="n"/>
      <c r="R4841" s="24" t="n"/>
      <c r="S4841" s="24" t="n"/>
      <c r="Y4841" s="24" t="n"/>
    </row>
    <row r="4842">
      <c r="O4842" s="23" t="n"/>
      <c r="R4842" s="24" t="n"/>
      <c r="S4842" s="24" t="n"/>
      <c r="Y4842" s="24" t="n"/>
    </row>
    <row r="4843">
      <c r="O4843" s="23" t="n"/>
      <c r="R4843" s="24" t="n"/>
      <c r="S4843" s="24" t="n"/>
      <c r="Y4843" s="24" t="n"/>
    </row>
    <row r="4844">
      <c r="O4844" s="23" t="n"/>
      <c r="R4844" s="24" t="n"/>
      <c r="S4844" s="24" t="n"/>
      <c r="Y4844" s="24" t="n"/>
    </row>
    <row r="4845">
      <c r="O4845" s="23" t="n"/>
      <c r="R4845" s="24" t="n"/>
      <c r="S4845" s="24" t="n"/>
      <c r="Y4845" s="24" t="n"/>
    </row>
    <row r="4846">
      <c r="O4846" s="23" t="n"/>
      <c r="R4846" s="24" t="n"/>
      <c r="S4846" s="24" t="n"/>
      <c r="Y4846" s="24" t="n"/>
    </row>
    <row r="4847">
      <c r="O4847" s="23" t="n"/>
      <c r="R4847" s="24" t="n"/>
      <c r="S4847" s="24" t="n"/>
      <c r="Y4847" s="24" t="n"/>
    </row>
    <row r="4848">
      <c r="O4848" s="23" t="n"/>
      <c r="R4848" s="24" t="n"/>
      <c r="S4848" s="24" t="n"/>
      <c r="Y4848" s="24" t="n"/>
    </row>
    <row r="4849">
      <c r="O4849" s="23" t="n"/>
      <c r="R4849" s="24" t="n"/>
      <c r="S4849" s="24" t="n"/>
      <c r="Y4849" s="24" t="n"/>
    </row>
    <row r="4850">
      <c r="O4850" s="23" t="n"/>
      <c r="R4850" s="24" t="n"/>
      <c r="S4850" s="24" t="n"/>
      <c r="Y4850" s="24" t="n"/>
    </row>
    <row r="4851">
      <c r="O4851" s="23" t="n"/>
      <c r="R4851" s="24" t="n"/>
      <c r="S4851" s="24" t="n"/>
      <c r="Y4851" s="24" t="n"/>
    </row>
    <row r="4852">
      <c r="O4852" s="23" t="n"/>
      <c r="R4852" s="24" t="n"/>
      <c r="S4852" s="24" t="n"/>
      <c r="Y4852" s="24" t="n"/>
    </row>
    <row r="4853">
      <c r="O4853" s="23" t="n"/>
      <c r="R4853" s="24" t="n"/>
      <c r="S4853" s="24" t="n"/>
      <c r="Y4853" s="24" t="n"/>
    </row>
    <row r="4854">
      <c r="O4854" s="23" t="n"/>
      <c r="R4854" s="24" t="n"/>
      <c r="S4854" s="24" t="n"/>
      <c r="Y4854" s="24" t="n"/>
    </row>
    <row r="4855">
      <c r="O4855" s="23" t="n"/>
      <c r="R4855" s="24" t="n"/>
      <c r="S4855" s="24" t="n"/>
      <c r="Y4855" s="24" t="n"/>
    </row>
    <row r="4856">
      <c r="O4856" s="23" t="n"/>
      <c r="R4856" s="24" t="n"/>
      <c r="S4856" s="24" t="n"/>
      <c r="Y4856" s="24" t="n"/>
    </row>
    <row r="4857">
      <c r="O4857" s="23" t="n"/>
      <c r="R4857" s="24" t="n"/>
      <c r="S4857" s="24" t="n"/>
      <c r="Y4857" s="24" t="n"/>
    </row>
    <row r="4858">
      <c r="O4858" s="23" t="n"/>
      <c r="R4858" s="24" t="n"/>
      <c r="S4858" s="24" t="n"/>
      <c r="Y4858" s="24" t="n"/>
    </row>
    <row r="4859">
      <c r="O4859" s="23" t="n"/>
      <c r="R4859" s="24" t="n"/>
      <c r="S4859" s="24" t="n"/>
      <c r="Y4859" s="24" t="n"/>
    </row>
    <row r="4860">
      <c r="O4860" s="23" t="n"/>
      <c r="R4860" s="24" t="n"/>
      <c r="S4860" s="24" t="n"/>
      <c r="Y4860" s="24" t="n"/>
    </row>
    <row r="4861">
      <c r="O4861" s="23" t="n"/>
      <c r="R4861" s="24" t="n"/>
      <c r="S4861" s="24" t="n"/>
      <c r="Y4861" s="24" t="n"/>
    </row>
    <row r="4862">
      <c r="O4862" s="23" t="n"/>
      <c r="R4862" s="24" t="n"/>
      <c r="S4862" s="24" t="n"/>
      <c r="Y4862" s="24" t="n"/>
    </row>
    <row r="4863">
      <c r="O4863" s="23" t="n"/>
      <c r="R4863" s="24" t="n"/>
      <c r="S4863" s="24" t="n"/>
      <c r="Y4863" s="24" t="n"/>
    </row>
    <row r="4864">
      <c r="O4864" s="23" t="n"/>
      <c r="R4864" s="24" t="n"/>
      <c r="S4864" s="24" t="n"/>
      <c r="Y4864" s="24" t="n"/>
    </row>
    <row r="4865">
      <c r="O4865" s="23" t="n"/>
      <c r="R4865" s="24" t="n"/>
      <c r="S4865" s="24" t="n"/>
      <c r="Y4865" s="24" t="n"/>
    </row>
    <row r="4866">
      <c r="O4866" s="23" t="n"/>
      <c r="R4866" s="24" t="n"/>
      <c r="S4866" s="24" t="n"/>
      <c r="Y4866" s="24" t="n"/>
    </row>
    <row r="4867">
      <c r="O4867" s="23" t="n"/>
      <c r="R4867" s="24" t="n"/>
      <c r="S4867" s="24" t="n"/>
      <c r="Y4867" s="24" t="n"/>
    </row>
    <row r="4868">
      <c r="O4868" s="23" t="n"/>
      <c r="R4868" s="24" t="n"/>
      <c r="S4868" s="24" t="n"/>
      <c r="Y4868" s="24" t="n"/>
    </row>
    <row r="4869">
      <c r="O4869" s="23" t="n"/>
      <c r="R4869" s="24" t="n"/>
      <c r="S4869" s="24" t="n"/>
      <c r="Y4869" s="24" t="n"/>
    </row>
    <row r="4870">
      <c r="O4870" s="23" t="n"/>
      <c r="R4870" s="24" t="n"/>
      <c r="S4870" s="24" t="n"/>
      <c r="Y4870" s="24" t="n"/>
    </row>
    <row r="4871">
      <c r="O4871" s="23" t="n"/>
      <c r="R4871" s="24" t="n"/>
      <c r="S4871" s="24" t="n"/>
      <c r="Y4871" s="24" t="n"/>
    </row>
    <row r="4872">
      <c r="O4872" s="23" t="n"/>
      <c r="R4872" s="24" t="n"/>
      <c r="S4872" s="24" t="n"/>
      <c r="Y4872" s="24" t="n"/>
    </row>
    <row r="4873">
      <c r="O4873" s="23" t="n"/>
      <c r="R4873" s="24" t="n"/>
      <c r="S4873" s="24" t="n"/>
      <c r="Y4873" s="24" t="n"/>
    </row>
    <row r="4874">
      <c r="O4874" s="23" t="n"/>
      <c r="R4874" s="24" t="n"/>
      <c r="S4874" s="24" t="n"/>
      <c r="Y4874" s="24" t="n"/>
    </row>
    <row r="4875">
      <c r="O4875" s="23" t="n"/>
      <c r="R4875" s="24" t="n"/>
      <c r="S4875" s="24" t="n"/>
      <c r="Y4875" s="24" t="n"/>
    </row>
    <row r="4876">
      <c r="O4876" s="23" t="n"/>
      <c r="R4876" s="24" t="n"/>
      <c r="S4876" s="24" t="n"/>
      <c r="Y4876" s="24" t="n"/>
    </row>
    <row r="4877">
      <c r="O4877" s="23" t="n"/>
      <c r="R4877" s="24" t="n"/>
      <c r="S4877" s="24" t="n"/>
      <c r="Y4877" s="24" t="n"/>
    </row>
    <row r="4878">
      <c r="O4878" s="23" t="n"/>
      <c r="R4878" s="24" t="n"/>
      <c r="S4878" s="24" t="n"/>
      <c r="Y4878" s="24" t="n"/>
    </row>
    <row r="4879">
      <c r="O4879" s="23" t="n"/>
      <c r="R4879" s="24" t="n"/>
      <c r="S4879" s="24" t="n"/>
      <c r="Y4879" s="24" t="n"/>
    </row>
    <row r="4880">
      <c r="O4880" s="23" t="n"/>
      <c r="R4880" s="24" t="n"/>
      <c r="S4880" s="24" t="n"/>
      <c r="Y4880" s="24" t="n"/>
    </row>
    <row r="4881">
      <c r="O4881" s="23" t="n"/>
      <c r="R4881" s="24" t="n"/>
      <c r="S4881" s="24" t="n"/>
      <c r="Y4881" s="24" t="n"/>
    </row>
    <row r="4882">
      <c r="O4882" s="23" t="n"/>
      <c r="R4882" s="24" t="n"/>
      <c r="S4882" s="24" t="n"/>
      <c r="Y4882" s="24" t="n"/>
    </row>
    <row r="4883">
      <c r="O4883" s="23" t="n"/>
      <c r="R4883" s="24" t="n"/>
      <c r="S4883" s="24" t="n"/>
      <c r="Y4883" s="24" t="n"/>
    </row>
    <row r="4884">
      <c r="O4884" s="23" t="n"/>
      <c r="R4884" s="24" t="n"/>
      <c r="S4884" s="24" t="n"/>
      <c r="Y4884" s="24" t="n"/>
    </row>
    <row r="4885">
      <c r="O4885" s="23" t="n"/>
      <c r="R4885" s="24" t="n"/>
      <c r="S4885" s="24" t="n"/>
      <c r="Y4885" s="24" t="n"/>
    </row>
    <row r="4886">
      <c r="O4886" s="23" t="n"/>
      <c r="R4886" s="24" t="n"/>
      <c r="S4886" s="24" t="n"/>
      <c r="Y4886" s="24" t="n"/>
    </row>
    <row r="4887">
      <c r="O4887" s="23" t="n"/>
      <c r="R4887" s="24" t="n"/>
      <c r="S4887" s="24" t="n"/>
      <c r="Y4887" s="24" t="n"/>
    </row>
    <row r="4888">
      <c r="O4888" s="23" t="n"/>
      <c r="R4888" s="24" t="n"/>
      <c r="S4888" s="24" t="n"/>
      <c r="Y4888" s="24" t="n"/>
    </row>
    <row r="4889">
      <c r="O4889" s="23" t="n"/>
      <c r="R4889" s="24" t="n"/>
      <c r="S4889" s="24" t="n"/>
      <c r="Y4889" s="24" t="n"/>
    </row>
    <row r="4890">
      <c r="O4890" s="23" t="n"/>
      <c r="R4890" s="24" t="n"/>
      <c r="S4890" s="24" t="n"/>
      <c r="Y4890" s="24" t="n"/>
    </row>
    <row r="4891">
      <c r="O4891" s="23" t="n"/>
      <c r="R4891" s="24" t="n"/>
      <c r="S4891" s="24" t="n"/>
      <c r="Y4891" s="24" t="n"/>
    </row>
    <row r="4892">
      <c r="O4892" s="23" t="n"/>
      <c r="R4892" s="24" t="n"/>
      <c r="S4892" s="24" t="n"/>
      <c r="Y4892" s="24" t="n"/>
    </row>
    <row r="4893">
      <c r="O4893" s="23" t="n"/>
      <c r="R4893" s="24" t="n"/>
      <c r="S4893" s="24" t="n"/>
      <c r="Y4893" s="24" t="n"/>
    </row>
    <row r="4894">
      <c r="O4894" s="23" t="n"/>
      <c r="R4894" s="24" t="n"/>
      <c r="S4894" s="24" t="n"/>
      <c r="Y4894" s="24" t="n"/>
    </row>
    <row r="4895">
      <c r="O4895" s="23" t="n"/>
      <c r="R4895" s="24" t="n"/>
      <c r="S4895" s="24" t="n"/>
      <c r="Y4895" s="24" t="n"/>
    </row>
    <row r="4896">
      <c r="O4896" s="23" t="n"/>
      <c r="R4896" s="24" t="n"/>
      <c r="S4896" s="24" t="n"/>
      <c r="Y4896" s="24" t="n"/>
    </row>
    <row r="4897">
      <c r="O4897" s="23" t="n"/>
      <c r="R4897" s="24" t="n"/>
      <c r="S4897" s="24" t="n"/>
      <c r="Y4897" s="24" t="n"/>
    </row>
    <row r="4898">
      <c r="O4898" s="23" t="n"/>
      <c r="R4898" s="24" t="n"/>
      <c r="S4898" s="24" t="n"/>
      <c r="Y4898" s="24" t="n"/>
    </row>
    <row r="4899">
      <c r="O4899" s="23" t="n"/>
      <c r="R4899" s="24" t="n"/>
      <c r="S4899" s="24" t="n"/>
      <c r="Y4899" s="24" t="n"/>
    </row>
    <row r="4900">
      <c r="O4900" s="23" t="n"/>
      <c r="R4900" s="24" t="n"/>
      <c r="S4900" s="24" t="n"/>
      <c r="Y4900" s="24" t="n"/>
    </row>
    <row r="4901">
      <c r="O4901" s="23" t="n"/>
      <c r="R4901" s="24" t="n"/>
      <c r="S4901" s="24" t="n"/>
      <c r="Y4901" s="24" t="n"/>
    </row>
    <row r="4902">
      <c r="O4902" s="23" t="n"/>
      <c r="R4902" s="24" t="n"/>
      <c r="S4902" s="24" t="n"/>
      <c r="Y4902" s="24" t="n"/>
    </row>
    <row r="4903">
      <c r="O4903" s="23" t="n"/>
      <c r="R4903" s="24" t="n"/>
      <c r="S4903" s="24" t="n"/>
      <c r="Y4903" s="24" t="n"/>
    </row>
    <row r="4904">
      <c r="O4904" s="23" t="n"/>
      <c r="R4904" s="24" t="n"/>
      <c r="S4904" s="24" t="n"/>
      <c r="Y4904" s="24" t="n"/>
    </row>
    <row r="4905">
      <c r="O4905" s="23" t="n"/>
      <c r="R4905" s="24" t="n"/>
      <c r="S4905" s="24" t="n"/>
      <c r="Y4905" s="24" t="n"/>
    </row>
    <row r="4906">
      <c r="O4906" s="23" t="n"/>
      <c r="R4906" s="24" t="n"/>
      <c r="S4906" s="24" t="n"/>
      <c r="Y4906" s="24" t="n"/>
    </row>
    <row r="4907">
      <c r="O4907" s="23" t="n"/>
      <c r="R4907" s="24" t="n"/>
      <c r="S4907" s="24" t="n"/>
      <c r="Y4907" s="24" t="n"/>
    </row>
    <row r="4908">
      <c r="O4908" s="23" t="n"/>
      <c r="R4908" s="24" t="n"/>
      <c r="S4908" s="24" t="n"/>
      <c r="Y4908" s="24" t="n"/>
    </row>
    <row r="4909">
      <c r="O4909" s="23" t="n"/>
      <c r="R4909" s="24" t="n"/>
      <c r="S4909" s="24" t="n"/>
      <c r="Y4909" s="24" t="n"/>
    </row>
    <row r="4910">
      <c r="O4910" s="23" t="n"/>
      <c r="R4910" s="24" t="n"/>
      <c r="S4910" s="24" t="n"/>
      <c r="Y4910" s="24" t="n"/>
    </row>
    <row r="4911">
      <c r="O4911" s="23" t="n"/>
      <c r="R4911" s="24" t="n"/>
      <c r="S4911" s="24" t="n"/>
      <c r="Y4911" s="24" t="n"/>
    </row>
    <row r="4912">
      <c r="O4912" s="23" t="n"/>
      <c r="R4912" s="24" t="n"/>
      <c r="S4912" s="24" t="n"/>
      <c r="Y4912" s="24" t="n"/>
    </row>
    <row r="4913">
      <c r="O4913" s="23" t="n"/>
      <c r="R4913" s="24" t="n"/>
      <c r="S4913" s="24" t="n"/>
      <c r="Y4913" s="24" t="n"/>
    </row>
    <row r="4914">
      <c r="O4914" s="23" t="n"/>
      <c r="R4914" s="24" t="n"/>
      <c r="S4914" s="24" t="n"/>
      <c r="Y4914" s="24" t="n"/>
    </row>
    <row r="4915">
      <c r="O4915" s="23" t="n"/>
      <c r="R4915" s="24" t="n"/>
      <c r="S4915" s="24" t="n"/>
      <c r="Y4915" s="24" t="n"/>
    </row>
    <row r="4916">
      <c r="O4916" s="23" t="n"/>
      <c r="R4916" s="24" t="n"/>
      <c r="S4916" s="24" t="n"/>
      <c r="Y4916" s="24" t="n"/>
    </row>
    <row r="4917">
      <c r="O4917" s="23" t="n"/>
      <c r="R4917" s="24" t="n"/>
      <c r="S4917" s="24" t="n"/>
      <c r="Y4917" s="24" t="n"/>
    </row>
    <row r="4918">
      <c r="O4918" s="23" t="n"/>
      <c r="R4918" s="24" t="n"/>
      <c r="S4918" s="24" t="n"/>
      <c r="Y4918" s="24" t="n"/>
    </row>
    <row r="4919">
      <c r="O4919" s="23" t="n"/>
      <c r="R4919" s="24" t="n"/>
      <c r="S4919" s="24" t="n"/>
      <c r="Y4919" s="24" t="n"/>
    </row>
    <row r="4920">
      <c r="O4920" s="23" t="n"/>
      <c r="R4920" s="24" t="n"/>
      <c r="S4920" s="24" t="n"/>
      <c r="Y4920" s="24" t="n"/>
    </row>
    <row r="4921">
      <c r="O4921" s="23" t="n"/>
      <c r="R4921" s="24" t="n"/>
      <c r="S4921" s="24" t="n"/>
      <c r="Y4921" s="24" t="n"/>
    </row>
    <row r="4922">
      <c r="O4922" s="23" t="n"/>
      <c r="R4922" s="24" t="n"/>
      <c r="S4922" s="24" t="n"/>
      <c r="Y4922" s="24" t="n"/>
    </row>
    <row r="4923">
      <c r="O4923" s="23" t="n"/>
      <c r="R4923" s="24" t="n"/>
      <c r="S4923" s="24" t="n"/>
      <c r="Y4923" s="24" t="n"/>
    </row>
    <row r="4924">
      <c r="O4924" s="23" t="n"/>
      <c r="R4924" s="24" t="n"/>
      <c r="S4924" s="24" t="n"/>
      <c r="Y4924" s="24" t="n"/>
    </row>
    <row r="4925">
      <c r="O4925" s="23" t="n"/>
      <c r="R4925" s="24" t="n"/>
      <c r="S4925" s="24" t="n"/>
      <c r="Y4925" s="24" t="n"/>
    </row>
    <row r="4926">
      <c r="O4926" s="23" t="n"/>
      <c r="R4926" s="24" t="n"/>
      <c r="S4926" s="24" t="n"/>
      <c r="Y4926" s="24" t="n"/>
    </row>
    <row r="4927">
      <c r="O4927" s="23" t="n"/>
      <c r="R4927" s="24" t="n"/>
      <c r="S4927" s="24" t="n"/>
      <c r="Y4927" s="24" t="n"/>
    </row>
    <row r="4928">
      <c r="O4928" s="23" t="n"/>
      <c r="R4928" s="24" t="n"/>
      <c r="S4928" s="24" t="n"/>
      <c r="Y4928" s="24" t="n"/>
    </row>
    <row r="4929">
      <c r="O4929" s="23" t="n"/>
      <c r="R4929" s="24" t="n"/>
      <c r="S4929" s="24" t="n"/>
      <c r="Y4929" s="24" t="n"/>
    </row>
    <row r="4930">
      <c r="O4930" s="23" t="n"/>
      <c r="R4930" s="24" t="n"/>
      <c r="S4930" s="24" t="n"/>
      <c r="Y4930" s="24" t="n"/>
    </row>
    <row r="4931">
      <c r="O4931" s="23" t="n"/>
      <c r="R4931" s="24" t="n"/>
      <c r="S4931" s="24" t="n"/>
      <c r="Y4931" s="24" t="n"/>
    </row>
    <row r="4932">
      <c r="O4932" s="23" t="n"/>
      <c r="R4932" s="24" t="n"/>
      <c r="S4932" s="24" t="n"/>
      <c r="Y4932" s="24" t="n"/>
    </row>
    <row r="4933">
      <c r="O4933" s="23" t="n"/>
      <c r="R4933" s="24" t="n"/>
      <c r="S4933" s="24" t="n"/>
      <c r="Y4933" s="24" t="n"/>
    </row>
    <row r="4934">
      <c r="O4934" s="23" t="n"/>
      <c r="R4934" s="24" t="n"/>
      <c r="S4934" s="24" t="n"/>
      <c r="Y4934" s="24" t="n"/>
    </row>
    <row r="4935">
      <c r="O4935" s="23" t="n"/>
      <c r="R4935" s="24" t="n"/>
      <c r="S4935" s="24" t="n"/>
      <c r="Y4935" s="24" t="n"/>
    </row>
    <row r="4936">
      <c r="O4936" s="23" t="n"/>
      <c r="R4936" s="24" t="n"/>
      <c r="S4936" s="24" t="n"/>
      <c r="Y4936" s="24" t="n"/>
    </row>
    <row r="4937">
      <c r="O4937" s="23" t="n"/>
      <c r="R4937" s="24" t="n"/>
      <c r="S4937" s="24" t="n"/>
      <c r="Y4937" s="24" t="n"/>
    </row>
    <row r="4938">
      <c r="O4938" s="23" t="n"/>
      <c r="R4938" s="24" t="n"/>
      <c r="S4938" s="24" t="n"/>
      <c r="Y4938" s="24" t="n"/>
    </row>
    <row r="4939">
      <c r="O4939" s="23" t="n"/>
      <c r="R4939" s="24" t="n"/>
      <c r="S4939" s="24" t="n"/>
      <c r="Y4939" s="24" t="n"/>
    </row>
    <row r="4940">
      <c r="O4940" s="23" t="n"/>
      <c r="R4940" s="24" t="n"/>
      <c r="S4940" s="24" t="n"/>
      <c r="Y4940" s="24" t="n"/>
    </row>
    <row r="4941">
      <c r="O4941" s="23" t="n"/>
      <c r="R4941" s="24" t="n"/>
      <c r="S4941" s="24" t="n"/>
      <c r="Y4941" s="24" t="n"/>
    </row>
    <row r="4942">
      <c r="O4942" s="23" t="n"/>
      <c r="R4942" s="24" t="n"/>
      <c r="S4942" s="24" t="n"/>
      <c r="Y4942" s="24" t="n"/>
    </row>
    <row r="4943">
      <c r="O4943" s="23" t="n"/>
      <c r="R4943" s="24" t="n"/>
      <c r="S4943" s="24" t="n"/>
      <c r="Y4943" s="24" t="n"/>
    </row>
    <row r="4944">
      <c r="O4944" s="23" t="n"/>
      <c r="R4944" s="24" t="n"/>
      <c r="S4944" s="24" t="n"/>
      <c r="Y4944" s="24" t="n"/>
    </row>
    <row r="4945">
      <c r="O4945" s="23" t="n"/>
      <c r="R4945" s="24" t="n"/>
      <c r="S4945" s="24" t="n"/>
      <c r="Y4945" s="24" t="n"/>
    </row>
    <row r="4946">
      <c r="O4946" s="23" t="n"/>
      <c r="R4946" s="24" t="n"/>
      <c r="S4946" s="24" t="n"/>
      <c r="Y4946" s="24" t="n"/>
    </row>
    <row r="4947">
      <c r="O4947" s="23" t="n"/>
      <c r="R4947" s="24" t="n"/>
      <c r="S4947" s="24" t="n"/>
      <c r="Y4947" s="24" t="n"/>
    </row>
    <row r="4948">
      <c r="O4948" s="23" t="n"/>
      <c r="R4948" s="24" t="n"/>
      <c r="S4948" s="24" t="n"/>
      <c r="Y4948" s="24" t="n"/>
    </row>
    <row r="4949">
      <c r="O4949" s="23" t="n"/>
      <c r="R4949" s="24" t="n"/>
      <c r="S4949" s="24" t="n"/>
      <c r="Y4949" s="24" t="n"/>
    </row>
    <row r="4950">
      <c r="O4950" s="23" t="n"/>
      <c r="R4950" s="24" t="n"/>
      <c r="S4950" s="24" t="n"/>
      <c r="Y4950" s="24" t="n"/>
    </row>
    <row r="4951">
      <c r="O4951" s="23" t="n"/>
      <c r="R4951" s="24" t="n"/>
      <c r="S4951" s="24" t="n"/>
      <c r="Y4951" s="24" t="n"/>
    </row>
    <row r="4952">
      <c r="O4952" s="23" t="n"/>
      <c r="R4952" s="24" t="n"/>
      <c r="S4952" s="24" t="n"/>
      <c r="Y4952" s="24" t="n"/>
    </row>
    <row r="4953">
      <c r="O4953" s="23" t="n"/>
      <c r="R4953" s="24" t="n"/>
      <c r="S4953" s="24" t="n"/>
      <c r="Y4953" s="24" t="n"/>
    </row>
    <row r="4954">
      <c r="O4954" s="23" t="n"/>
      <c r="R4954" s="24" t="n"/>
      <c r="S4954" s="24" t="n"/>
      <c r="Y4954" s="24" t="n"/>
    </row>
    <row r="4955">
      <c r="O4955" s="23" t="n"/>
      <c r="R4955" s="24" t="n"/>
      <c r="S4955" s="24" t="n"/>
      <c r="Y4955" s="24" t="n"/>
    </row>
    <row r="4956">
      <c r="O4956" s="23" t="n"/>
      <c r="R4956" s="24" t="n"/>
      <c r="S4956" s="24" t="n"/>
      <c r="Y4956" s="24" t="n"/>
    </row>
    <row r="4957">
      <c r="O4957" s="23" t="n"/>
      <c r="R4957" s="24" t="n"/>
      <c r="S4957" s="24" t="n"/>
      <c r="Y4957" s="24" t="n"/>
    </row>
    <row r="4958">
      <c r="O4958" s="23" t="n"/>
      <c r="R4958" s="24" t="n"/>
      <c r="S4958" s="24" t="n"/>
      <c r="Y4958" s="24" t="n"/>
    </row>
    <row r="4959">
      <c r="O4959" s="23" t="n"/>
      <c r="R4959" s="24" t="n"/>
      <c r="S4959" s="24" t="n"/>
      <c r="Y4959" s="24" t="n"/>
    </row>
    <row r="4960">
      <c r="O4960" s="23" t="n"/>
      <c r="R4960" s="24" t="n"/>
      <c r="S4960" s="24" t="n"/>
      <c r="Y4960" s="24" t="n"/>
    </row>
    <row r="4961">
      <c r="O4961" s="23" t="n"/>
      <c r="R4961" s="24" t="n"/>
      <c r="S4961" s="24" t="n"/>
      <c r="Y4961" s="24" t="n"/>
    </row>
    <row r="4962">
      <c r="O4962" s="23" t="n"/>
      <c r="R4962" s="24" t="n"/>
      <c r="S4962" s="24" t="n"/>
      <c r="Y4962" s="24" t="n"/>
    </row>
    <row r="4963">
      <c r="O4963" s="23" t="n"/>
      <c r="R4963" s="24" t="n"/>
      <c r="S4963" s="24" t="n"/>
      <c r="Y4963" s="24" t="n"/>
    </row>
    <row r="4964">
      <c r="O4964" s="23" t="n"/>
      <c r="R4964" s="24" t="n"/>
      <c r="S4964" s="24" t="n"/>
      <c r="Y4964" s="24" t="n"/>
    </row>
    <row r="4965">
      <c r="O4965" s="23" t="n"/>
      <c r="R4965" s="24" t="n"/>
      <c r="S4965" s="24" t="n"/>
      <c r="Y4965" s="24" t="n"/>
    </row>
    <row r="4966">
      <c r="O4966" s="23" t="n"/>
      <c r="R4966" s="24" t="n"/>
      <c r="S4966" s="24" t="n"/>
      <c r="Y4966" s="24" t="n"/>
    </row>
    <row r="4967">
      <c r="O4967" s="23" t="n"/>
      <c r="R4967" s="24" t="n"/>
      <c r="S4967" s="24" t="n"/>
      <c r="Y4967" s="24" t="n"/>
    </row>
    <row r="4968">
      <c r="O4968" s="23" t="n"/>
      <c r="R4968" s="24" t="n"/>
      <c r="S4968" s="24" t="n"/>
      <c r="Y4968" s="24" t="n"/>
    </row>
    <row r="4969">
      <c r="O4969" s="23" t="n"/>
      <c r="R4969" s="24" t="n"/>
      <c r="S4969" s="24" t="n"/>
      <c r="Y4969" s="24" t="n"/>
    </row>
    <row r="4970">
      <c r="O4970" s="23" t="n"/>
      <c r="R4970" s="24" t="n"/>
      <c r="S4970" s="24" t="n"/>
      <c r="Y4970" s="24" t="n"/>
    </row>
    <row r="4971">
      <c r="O4971" s="23" t="n"/>
      <c r="R4971" s="24" t="n"/>
      <c r="S4971" s="24" t="n"/>
      <c r="Y4971" s="24" t="n"/>
    </row>
    <row r="4972">
      <c r="O4972" s="23" t="n"/>
      <c r="R4972" s="24" t="n"/>
      <c r="S4972" s="24" t="n"/>
      <c r="Y4972" s="24" t="n"/>
    </row>
    <row r="4973">
      <c r="O4973" s="23" t="n"/>
      <c r="R4973" s="24" t="n"/>
      <c r="S4973" s="24" t="n"/>
      <c r="Y4973" s="24" t="n"/>
    </row>
    <row r="4974">
      <c r="O4974" s="23" t="n"/>
      <c r="R4974" s="24" t="n"/>
      <c r="S4974" s="24" t="n"/>
      <c r="Y4974" s="24" t="n"/>
    </row>
    <row r="4975">
      <c r="O4975" s="23" t="n"/>
      <c r="R4975" s="24" t="n"/>
      <c r="S4975" s="24" t="n"/>
      <c r="Y4975" s="24" t="n"/>
    </row>
    <row r="4976">
      <c r="O4976" s="23" t="n"/>
      <c r="R4976" s="24" t="n"/>
      <c r="S4976" s="24" t="n"/>
      <c r="Y4976" s="24" t="n"/>
    </row>
    <row r="4977">
      <c r="O4977" s="23" t="n"/>
      <c r="R4977" s="24" t="n"/>
      <c r="S4977" s="24" t="n"/>
      <c r="Y4977" s="24" t="n"/>
    </row>
    <row r="4978">
      <c r="O4978" s="23" t="n"/>
      <c r="R4978" s="24" t="n"/>
      <c r="S4978" s="24" t="n"/>
      <c r="Y4978" s="24" t="n"/>
    </row>
    <row r="4979">
      <c r="O4979" s="23" t="n"/>
      <c r="R4979" s="24" t="n"/>
      <c r="S4979" s="24" t="n"/>
      <c r="Y4979" s="24" t="n"/>
    </row>
    <row r="4980">
      <c r="O4980" s="23" t="n"/>
      <c r="R4980" s="24" t="n"/>
      <c r="S4980" s="24" t="n"/>
      <c r="Y4980" s="24" t="n"/>
    </row>
    <row r="4981">
      <c r="O4981" s="23" t="n"/>
      <c r="R4981" s="24" t="n"/>
      <c r="S4981" s="24" t="n"/>
      <c r="Y4981" s="24" t="n"/>
    </row>
    <row r="4982">
      <c r="O4982" s="23" t="n"/>
      <c r="R4982" s="24" t="n"/>
      <c r="S4982" s="24" t="n"/>
      <c r="Y4982" s="24" t="n"/>
    </row>
    <row r="4983">
      <c r="O4983" s="23" t="n"/>
      <c r="R4983" s="24" t="n"/>
      <c r="S4983" s="24" t="n"/>
      <c r="Y4983" s="24" t="n"/>
    </row>
    <row r="4984">
      <c r="O4984" s="23" t="n"/>
      <c r="R4984" s="24" t="n"/>
      <c r="S4984" s="24" t="n"/>
      <c r="Y4984" s="24" t="n"/>
    </row>
    <row r="4985">
      <c r="O4985" s="23" t="n"/>
      <c r="R4985" s="24" t="n"/>
      <c r="S4985" s="24" t="n"/>
      <c r="Y4985" s="24" t="n"/>
    </row>
    <row r="4986">
      <c r="O4986" s="23" t="n"/>
      <c r="R4986" s="24" t="n"/>
      <c r="S4986" s="24" t="n"/>
      <c r="Y4986" s="24" t="n"/>
    </row>
    <row r="4987">
      <c r="O4987" s="23" t="n"/>
      <c r="R4987" s="24" t="n"/>
      <c r="S4987" s="24" t="n"/>
      <c r="Y4987" s="24" t="n"/>
    </row>
    <row r="4988">
      <c r="O4988" s="23" t="n"/>
      <c r="R4988" s="24" t="n"/>
      <c r="S4988" s="24" t="n"/>
      <c r="Y4988" s="24" t="n"/>
    </row>
    <row r="4989">
      <c r="O4989" s="23" t="n"/>
      <c r="R4989" s="24" t="n"/>
      <c r="S4989" s="24" t="n"/>
      <c r="Y4989" s="24" t="n"/>
    </row>
    <row r="4990">
      <c r="O4990" s="23" t="n"/>
      <c r="R4990" s="24" t="n"/>
      <c r="S4990" s="24" t="n"/>
      <c r="Y4990" s="24" t="n"/>
    </row>
    <row r="4991">
      <c r="O4991" s="23" t="n"/>
      <c r="R4991" s="24" t="n"/>
      <c r="S4991" s="24" t="n"/>
      <c r="Y4991" s="24" t="n"/>
    </row>
    <row r="4992">
      <c r="O4992" s="23" t="n"/>
      <c r="R4992" s="24" t="n"/>
      <c r="S4992" s="24" t="n"/>
      <c r="Y4992" s="24" t="n"/>
    </row>
    <row r="4993">
      <c r="O4993" s="23" t="n"/>
      <c r="R4993" s="24" t="n"/>
      <c r="S4993" s="24" t="n"/>
      <c r="Y4993" s="24" t="n"/>
    </row>
    <row r="4994">
      <c r="O4994" s="23" t="n"/>
      <c r="R4994" s="24" t="n"/>
      <c r="S4994" s="24" t="n"/>
      <c r="Y4994" s="24" t="n"/>
    </row>
    <row r="4995">
      <c r="O4995" s="23" t="n"/>
      <c r="R4995" s="24" t="n"/>
      <c r="S4995" s="24" t="n"/>
      <c r="Y4995" s="24" t="n"/>
    </row>
    <row r="4996">
      <c r="O4996" s="23" t="n"/>
      <c r="R4996" s="24" t="n"/>
      <c r="S4996" s="24" t="n"/>
      <c r="Y4996" s="24" t="n"/>
    </row>
    <row r="4997">
      <c r="O4997" s="23" t="n"/>
      <c r="R4997" s="24" t="n"/>
      <c r="S4997" s="24" t="n"/>
      <c r="Y4997" s="24" t="n"/>
    </row>
    <row r="4998">
      <c r="O4998" s="23" t="n"/>
      <c r="R4998" s="24" t="n"/>
      <c r="S4998" s="24" t="n"/>
      <c r="Y4998" s="24" t="n"/>
    </row>
    <row r="4999">
      <c r="O4999" s="23" t="n"/>
      <c r="R4999" s="24" t="n"/>
      <c r="S4999" s="24" t="n"/>
      <c r="Y4999" s="24" t="n"/>
    </row>
    <row r="5000">
      <c r="O5000" s="23" t="n"/>
      <c r="R5000" s="24" t="n"/>
      <c r="S5000" s="24" t="n"/>
      <c r="Y5000" s="24" t="n"/>
    </row>
    <row r="5001">
      <c r="O5001" s="23" t="n"/>
      <c r="R5001" s="24" t="n"/>
      <c r="S5001" s="24" t="n"/>
      <c r="Y5001" s="24" t="n"/>
    </row>
    <row r="5002">
      <c r="O5002" s="23" t="n"/>
      <c r="R5002" s="24" t="n"/>
      <c r="S5002" s="24" t="n"/>
      <c r="Y5002" s="24" t="n"/>
    </row>
    <row r="5003">
      <c r="O5003" s="23" t="n"/>
      <c r="R5003" s="24" t="n"/>
      <c r="S5003" s="24" t="n"/>
      <c r="Y5003" s="24" t="n"/>
    </row>
    <row r="5004">
      <c r="O5004" s="23" t="n"/>
      <c r="R5004" s="24" t="n"/>
      <c r="S5004" s="24" t="n"/>
      <c r="Y5004" s="24" t="n"/>
    </row>
  </sheetData>
  <mergeCells count="2">
    <mergeCell ref="B3:Y3"/>
    <mergeCell ref="B2:Y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2E6DA4"/>
    <outlinePr summaryBelow="1" summaryRight="1"/>
    <pageSetUpPr fitToPage="1"/>
  </sheetPr>
  <dimension ref="B2:H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4" customWidth="1" min="3" max="3"/>
    <col width="2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5" customHeight="1"/>
    <row r="2" ht="32" customHeight="1">
      <c r="B2" s="1" t="inlineStr">
        <is>
          <t>Guide - IBGT Turnover Dashboard</t>
        </is>
      </c>
    </row>
    <row r="3" ht="8" customHeight="1"/>
    <row r="4">
      <c r="B4" s="9" t="inlineStr">
        <is>
          <t>Quick Start</t>
        </is>
      </c>
    </row>
    <row r="5" ht="30" customHeight="1">
      <c r="B5" s="25" t="inlineStr">
        <is>
          <t>1. Open your 'IBGT Profile' workbook and copy the whole '1. IBGT Profile' table.</t>
        </is>
      </c>
    </row>
    <row r="6" ht="30" customHeight="1">
      <c r="B6" s="25" t="inlineStr">
        <is>
          <t>2. Paste it into the Data_Profile sheet: with headers at B4, or data only at B5. Prefer Paste Values so dates stay real dates.</t>
        </is>
      </c>
    </row>
    <row r="7" ht="30" customHeight="1">
      <c r="B7" s="25" t="inlineStr">
        <is>
          <t>3. Paste the Leavers history into Data_Leavers the same way (it may stay empty if all leavers are already included in Data_Profile).</t>
        </is>
      </c>
    </row>
    <row r="8" ht="30" customHeight="1">
      <c r="B8" s="25" t="inlineStr">
        <is>
          <t>4. On the Dashboard, switch cell C5 between All / Perm / PC / MS - KPI cards and the monthly detail follow instantly.</t>
        </is>
      </c>
    </row>
    <row r="9" ht="30" customHeight="1">
      <c r="B9" s="25" t="inlineStr">
        <is>
          <t>5. Everything recalculates automatically after data changes; press Ctrl+Alt+F9 to force a full recalc.</t>
        </is>
      </c>
    </row>
    <row r="11">
      <c r="B11" s="9" t="inlineStr">
        <is>
          <t>Calculation Rules</t>
        </is>
      </c>
    </row>
    <row r="12" ht="30" customHeight="1">
      <c r="B12" s="25" t="inlineStr">
        <is>
          <t>- Current headcount: Status = Active and the start date has passed. Anyone with Status = Inactive counts as a leaver; the Contract End Date is not used.</t>
        </is>
      </c>
    </row>
    <row r="13" ht="30" customHeight="1">
      <c r="B13" s="25" t="inlineStr">
        <is>
          <t>- Leaving month: taken from Last Work Day. Leavers (a month) = Status Inactive with Last Work Day in that month.</t>
        </is>
      </c>
    </row>
    <row r="14" ht="30" customHeight="1">
      <c r="B14" s="25" t="inlineStr">
        <is>
          <t>- Headcount EOM (a month): start date &lt;= month end, and the person is Active, or Inactive with Last Work Day &gt;= month end (the Last Work Day itself still counts as an active day).</t>
        </is>
      </c>
    </row>
    <row r="15" ht="30" customHeight="1">
      <c r="B15" s="25" t="inlineStr">
        <is>
          <t>- Joiners (a month): Staff start date falls within that month, merged and deduplicated the same way.</t>
        </is>
      </c>
    </row>
    <row r="16" ht="30" customHeight="1">
      <c r="B16" s="25" t="inlineStr">
        <is>
          <t>- Period filter: All time, a whole year, or a single month. Headcount is measured at the end of the selected period (All = as of today); joiners &amp; leavers are counted within the period. The selected rows are highlighted in Monthly Detail.</t>
        </is>
      </c>
    </row>
    <row r="17" ht="20" customHeight="1">
      <c r="B17" s="25" t="inlineStr">
        <is>
          <t>- Type filter: matches the 'Perm / PC / MS' column, case-insensitive and trimmed.</t>
        </is>
      </c>
    </row>
    <row r="18" ht="30" customHeight="1">
      <c r="B18" s="25" t="inlineStr">
        <is>
          <t>- If the same StaffID appears in both tables, it is counted once; for leavers the Data_Leavers record wins. Inactive rows without Last Work Day cannot be placed in a month and are flagged in Data Quality Checks.</t>
        </is>
      </c>
    </row>
    <row r="19">
      <c r="B19" s="9" t="inlineStr">
        <is>
          <t>Header Mapping (if your headers differ, edit column C; column D shows the match)</t>
        </is>
      </c>
    </row>
    <row r="20" ht="20" customHeight="1">
      <c r="B20" s="26" t="inlineStr">
        <is>
          <t>Start Date column header</t>
        </is>
      </c>
      <c r="C20" s="27" t="inlineStr">
        <is>
          <t>Staff start date</t>
        </is>
      </c>
      <c r="D20" s="2">
        <f>IFERROR("Profile col "&amp;MATCH($C20,'Data_Profile'!$4:$4,0)&amp;"   |   Leavers col "&amp;MATCH($C20,'Data_Leavers'!$4:$4,0),"Not found - edit column C")</f>
        <v/>
      </c>
    </row>
    <row r="21" ht="20" customHeight="1">
      <c r="B21" s="26" t="inlineStr">
        <is>
          <t>Last Work Day column header</t>
        </is>
      </c>
      <c r="C21" s="27" t="inlineStr">
        <is>
          <t>Last workday.</t>
        </is>
      </c>
      <c r="D21" s="2">
        <f>IFERROR("Profile col "&amp;MATCH($C21,'Data_Profile'!$4:$4,0)&amp;"   |   Leavers col "&amp;MATCH($C21,'Data_Leavers'!$4:$4,0),"Not found - edit column C")</f>
        <v/>
      </c>
    </row>
    <row r="22" ht="20" customHeight="1">
      <c r="B22" s="26" t="inlineStr">
        <is>
          <t>Perm / PC / MS column header</t>
        </is>
      </c>
      <c r="C22" s="27" t="inlineStr">
        <is>
          <t>Perm / PC / MS</t>
        </is>
      </c>
      <c r="D22" s="2">
        <f>IFERROR("Profile col "&amp;MATCH($C22,'Data_Profile'!$4:$4,0)&amp;"   |   Leavers col "&amp;MATCH($C22,'Data_Leavers'!$4:$4,0),"Not found - edit column C")</f>
        <v/>
      </c>
    </row>
    <row r="23" ht="20" customHeight="1">
      <c r="B23" s="26" t="inlineStr">
        <is>
          <t>Status column header</t>
        </is>
      </c>
      <c r="C23" s="27" t="inlineStr">
        <is>
          <t>Status</t>
        </is>
      </c>
      <c r="D23" s="28" t="inlineStr">
        <is>
          <t>(not used by the current rules)</t>
        </is>
      </c>
    </row>
    <row r="24" ht="20" customHeight="1">
      <c r="B24" s="26" t="inlineStr">
        <is>
          <t>Staff ID column header</t>
        </is>
      </c>
      <c r="C24" s="27" t="inlineStr">
        <is>
          <t>StaffID</t>
        </is>
      </c>
      <c r="D24" s="2">
        <f>IFERROR("Profile col "&amp;MATCH($C24,'Data_Profile'!$4:$4,0)&amp;"   |   Leavers col "&amp;MATCH($C24,'Data_Leavers'!$4:$4,0),"Not found - edit column C")</f>
        <v/>
      </c>
    </row>
    <row r="26">
      <c r="B26" s="9" t="inlineStr">
        <is>
          <t>Data Quality Checks</t>
        </is>
      </c>
    </row>
    <row r="27" ht="20" customHeight="1">
      <c r="B27" s="29" t="inlineStr">
        <is>
          <t>Data_Profile rows</t>
        </is>
      </c>
      <c r="D27" s="3">
        <f>TEXT(SUMPRODUCT(--(P_ID&lt;&gt;"")),"0")&amp;" rows"</f>
        <v/>
      </c>
    </row>
    <row r="28" ht="20" customHeight="1">
      <c r="B28" s="29" t="inlineStr">
        <is>
          <t>Data_Leavers rows</t>
        </is>
      </c>
      <c r="D28" s="3">
        <f>TEXT(SUMPRODUCT(--(L_ID&lt;&gt;"")),"0")&amp;" rows"</f>
        <v/>
      </c>
    </row>
    <row r="29" ht="20" customHeight="1">
      <c r="B29" s="29" t="inlineStr">
        <is>
          <t>Profile rows with Last Work Day</t>
        </is>
      </c>
      <c r="D29" s="3">
        <f>TEXT(SUMPRODUCT((P_ID&lt;&gt;"")*ISNUMBER(P_LWD)),"0")&amp;" leavers"</f>
        <v/>
      </c>
    </row>
    <row r="30" ht="20" customHeight="1">
      <c r="B30" s="29" t="inlineStr">
        <is>
          <t>Leavers also in Profile (deduped)</t>
        </is>
      </c>
      <c r="D30" s="3">
        <f>TEXT(SUMPRODUCT(--(L_InP=1)),"0")&amp;" row(s)"</f>
        <v/>
      </c>
    </row>
    <row r="31" ht="20" customHeight="1">
      <c r="B31" s="29" t="inlineStr">
        <is>
          <t>Date anomalies (start / LWD)</t>
        </is>
      </c>
      <c r="D31" s="3">
        <f>TEXT(SUMPRODUCT((P_ID&lt;&gt;"")*(P_Start&lt;&gt;"")*(ISNUMBER(P_Start)=FALSE)),"0")&amp;" / "&amp;TEXT(SUMPRODUCT((P_ID&lt;&gt;"")*(P_LWD&lt;&gt;"")*(ISNUMBER(P_LWD)=FALSE)),"0")&amp;" in Profile   |   "&amp;TEXT(SUMPRODUCT((L_ID&lt;&gt;"")*(L_Start&lt;&gt;"")*(ISNUMBER(L_Start)=FALSE)),"0")&amp;" / "&amp;TEXT(SUMPRODUCT((L_ID&lt;&gt;"")*(L_LWD&lt;&gt;"")*(ISNUMBER(L_LWD)=FALSE)),"0")&amp;" in Leavers"</f>
        <v/>
      </c>
    </row>
    <row r="32" ht="20" customHeight="1">
      <c r="B32" s="29" t="inlineStr">
        <is>
          <t>Rows with blank / other Status</t>
        </is>
      </c>
      <c r="D32" s="3">
        <f>IFERROR(TEXT(SUMPRODUCT((P_ID&lt;&gt;"")*(P_StatusN&lt;&gt;"ACTIVE")*(P_StatusN&lt;&gt;"INACTIVE"))+SUMPRODUCT((L_ID&lt;&gt;"")*(L_StatusN&lt;&gt;"ACTIVE")*(L_StatusN&lt;&gt;"INACTIVE")),"0")&amp;" rows","Pending header mapping fix")</f>
        <v/>
      </c>
    </row>
    <row r="33">
      <c r="B33" s="9" t="inlineStr">
        <is>
          <t>FAQ</t>
        </is>
      </c>
    </row>
    <row r="34" ht="30" customHeight="1">
      <c r="B34" s="25" t="inlineStr">
        <is>
          <t>Q: Data changed?  A: Just paste over the data sheets; KPIs, tables and charts update automatically.</t>
        </is>
      </c>
    </row>
    <row r="35" ht="30" customHeight="1">
      <c r="B35" s="25" t="inlineStr">
        <is>
          <t>Q: Need more than 48 months?  A: The dashboard shows 48 months from the earliest start date; ask to extend the range if needed.</t>
        </is>
      </c>
    </row>
    <row r="36" ht="30" customHeight="1">
      <c r="B36" s="25" t="inlineStr">
        <is>
          <t>Q: Types other than Perm/PC/MS?  A: The Dashboard filter is fixed to All/Perm/PC/MS; align your data or ask to change the options.</t>
        </is>
      </c>
    </row>
    <row r="37" ht="30" customHeight="1">
      <c r="B37" s="25" t="inlineStr">
        <is>
          <t>Q: What is the Calc sheet?  A: A hidden helper sheet (type normalization and cross-table dedup). Do not delete it; right-click a sheet tab &gt; Unhide to view.</t>
        </is>
      </c>
    </row>
  </sheetData>
  <mergeCells count="29">
    <mergeCell ref="B9:H9"/>
    <mergeCell ref="B6:H6"/>
    <mergeCell ref="B15:H15"/>
    <mergeCell ref="B31:C31"/>
    <mergeCell ref="D31:H31"/>
    <mergeCell ref="B27:C27"/>
    <mergeCell ref="B5:H5"/>
    <mergeCell ref="B37:H37"/>
    <mergeCell ref="B36:H36"/>
    <mergeCell ref="B35:H35"/>
    <mergeCell ref="D27:H27"/>
    <mergeCell ref="B16:H16"/>
    <mergeCell ref="B7:H7"/>
    <mergeCell ref="D32:H32"/>
    <mergeCell ref="B29:C29"/>
    <mergeCell ref="B18:H18"/>
    <mergeCell ref="B12:H12"/>
    <mergeCell ref="B28:C28"/>
    <mergeCell ref="D28:H28"/>
    <mergeCell ref="B2:H2"/>
    <mergeCell ref="B8:H8"/>
    <mergeCell ref="B14:H14"/>
    <mergeCell ref="B30:C30"/>
    <mergeCell ref="D30:H30"/>
    <mergeCell ref="B17:H17"/>
    <mergeCell ref="B13:H13"/>
    <mergeCell ref="D29:H29"/>
    <mergeCell ref="B32:C32"/>
    <mergeCell ref="B34:H34"/>
  </mergeCells>
  <pageMargins left="0.75" right="0.75" top="1" bottom="1" header="0.5" footer="0.5"/>
  <pageSetup orientation="portrait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0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2" customWidth="1" min="4" max="4"/>
    <col width="20" customWidth="1" min="5" max="5"/>
    <col width="12" customWidth="1" min="6" max="6"/>
    <col width="20" customWidth="1" min="7" max="7"/>
    <col width="14" customWidth="1" min="10" max="10"/>
    <col width="12" customWidth="1" min="11" max="11"/>
  </cols>
  <sheetData>
    <row r="1">
      <c r="A1" t="inlineStr">
        <is>
          <t>InProfile (auto)</t>
        </is>
      </c>
      <c r="B1" t="inlineStr">
        <is>
          <t>Profile Type normalized (auto)</t>
        </is>
      </c>
      <c r="C1" t="inlineStr">
        <is>
          <t>Month chain (auto)</t>
        </is>
      </c>
      <c r="D1" t="inlineStr">
        <is>
          <t>Leavers Type normalized (auto)</t>
        </is>
      </c>
      <c r="E1" t="inlineStr">
        <is>
          <t>Profile Status normalized (auto)</t>
        </is>
      </c>
      <c r="F1" t="inlineStr">
        <is>
          <t>Period filter options (auto)</t>
        </is>
      </c>
      <c r="G1" t="inlineStr">
        <is>
          <t>Leavers Status normalized (auto)</t>
        </is>
      </c>
      <c r="H1" t="inlineStr">
        <is>
          <t>H2: Profile headers missing flag</t>
        </is>
      </c>
      <c r="I1" t="inlineStr">
        <is>
          <t>I2: Leavers headers missing flag</t>
        </is>
      </c>
      <c r="J1" t="inlineStr">
        <is>
          <t>J: leaver whose Profile copy is also Inactive (auto)</t>
        </is>
      </c>
    </row>
    <row r="2">
      <c r="H2">
        <f>IF(ISNA(MATCH(cfgStartHdr,'Data_Profile'!$4:$4,0))+ISNA(MATCH(cfgLWDHdr,'Data_Profile'!$4:$4,0))+ISNA(MATCH(cfgTypeHdr,'Data_Profile'!$4:$4,0))+ISNA(MATCH(cfgStatusHdr,'Data_Profile'!$4:$4,0))+ISNA(MATCH(cfgIDHdr,'Data_Profile'!$4:$4,0))&gt;0,1,0)</f>
        <v/>
      </c>
      <c r="I2">
        <f>IF(ISNA(MATCH(cfgStartHdr,'Data_Leavers'!$4:$4,0))+ISNA(MATCH(cfgLWDHdr,'Data_Leavers'!$4:$4,0))+ISNA(MATCH(cfgTypeHdr,'Data_Leavers'!$4:$4,0))+ISNA(MATCH(cfgStatusHdr,'Data_Leavers'!$4:$4,0))+ISNA(MATCH(cfgIDHdr,'Data_Leavers'!$4:$4,0))&gt;0,1,0)</f>
        <v/>
      </c>
      <c r="J2" t="inlineStr">
        <is>
          <t>K2 SelStart / K3 SelEnd / K4 AsOf (from FiltPeriod)</t>
        </is>
      </c>
      <c r="K2" s="30">
        <f>IFERROR(IF(OR(FiltPeriod="All",FiltPeriod=""),$C$5,IF(LEN(FiltPeriod)=4,DATE(VALUE(FiltPeriod),1,1),DATE(VALUE(LEFT(FiltPeriod,4)),VALUE(MID(FiltPeriod,6,2)),1))),"")</f>
        <v/>
      </c>
    </row>
    <row r="3">
      <c r="K3" s="30">
        <f>IFERROR(IF(OR(FiltPeriod="All",FiltPeriod=""),"",IF(LEN(FiltPeriod)=4,DATE(VALUE(FiltPeriod),12,31),EOMONTH(DATE(VALUE(LEFT(FiltPeriod,4)),VALUE(MID(FiltPeriod,6,2)),1),0))),"")</f>
        <v/>
      </c>
    </row>
    <row r="4">
      <c r="K4" s="30">
        <f>IF($K$3="",TODAY(),$K$3)</f>
        <v/>
      </c>
    </row>
    <row r="5">
      <c r="A5">
        <f>IF(INDEX(L_ID,ROW()-4)="","",IF(COUNTIF(P_ID,INDEX(L_ID,ROW()-4))&gt;0,1,0))</f>
        <v/>
      </c>
      <c r="B5">
        <f>IF(INDEX(P_Type,ROW()-4)="","",TRIM(UPPER(INDEX(P_Type,ROW()-4))))</f>
        <v/>
      </c>
      <c r="C5" s="31">
        <f>IF($H$2+$I$2&gt;0,"",IF(COUNT(P_Start)+COUNT(L_Start)=0,"",DATE(YEAR(MIN(P_Start,L_Start)),MONTH(MIN(P_Start,L_Start)),1)))</f>
        <v/>
      </c>
      <c r="D5">
        <f>IF(INDEX(L_Type,ROW()-4)="","",TRIM(UPPER(INDEX(L_Type,ROW()-4))))</f>
        <v/>
      </c>
      <c r="E5">
        <f>IF(INDEX(P_Status,ROW()-4)="","",TRIM(UPPER(INDEX(P_Status,ROW()-4))))</f>
        <v/>
      </c>
      <c r="F5" t="inlineStr">
        <is>
          <t>All</t>
        </is>
      </c>
      <c r="G5">
        <f>IF(INDEX(L_Status,ROW()-4)="","",TRIM(UPPER(INDEX(L_Status,ROW()-4))))</f>
        <v/>
      </c>
      <c r="J5">
        <f>IF(INDEX(L_ID,ROW()-4)="","",IF(SUMPRODUCT((P_ID=INDEX(L_ID,ROW()-4))*(P_StatusN="INACTIVE"))&gt;0,1,0))</f>
        <v/>
      </c>
    </row>
    <row r="6">
      <c r="A6">
        <f>IF(INDEX(L_ID,ROW()-4)="","",IF(COUNTIF(P_ID,INDEX(L_ID,ROW()-4))&gt;0,1,0))</f>
        <v/>
      </c>
      <c r="B6">
        <f>IF(INDEX(P_Type,ROW()-4)="","",TRIM(UPPER(INDEX(P_Type,ROW()-4))))</f>
        <v/>
      </c>
      <c r="C6" s="31">
        <f>IF($C$5="","",EDATE(C5,1))</f>
        <v/>
      </c>
      <c r="D6">
        <f>IF(INDEX(L_Type,ROW()-4)="","",TRIM(UPPER(INDEX(L_Type,ROW()-4))))</f>
        <v/>
      </c>
      <c r="E6">
        <f>IF(INDEX(P_Status,ROW()-4)="","",TRIM(UPPER(INDEX(P_Status,ROW()-4))))</f>
        <v/>
      </c>
      <c r="F6">
        <f>IF($C$5="","",IF(YEAR(EDATE($C$5,12*0))&gt;YEAR(EDATE($C$5,47)),"",YEAR(EDATE($C$5,12*0))))</f>
        <v/>
      </c>
      <c r="G6">
        <f>IF(INDEX(L_Status,ROW()-4)="","",TRIM(UPPER(INDEX(L_Status,ROW()-4))))</f>
        <v/>
      </c>
      <c r="J6">
        <f>IF(INDEX(L_ID,ROW()-4)="","",IF(SUMPRODUCT((P_ID=INDEX(L_ID,ROW()-4))*(P_StatusN="INACTIVE"))&gt;0,1,0))</f>
        <v/>
      </c>
    </row>
    <row r="7">
      <c r="A7">
        <f>IF(INDEX(L_ID,ROW()-4)="","",IF(COUNTIF(P_ID,INDEX(L_ID,ROW()-4))&gt;0,1,0))</f>
        <v/>
      </c>
      <c r="B7">
        <f>IF(INDEX(P_Type,ROW()-4)="","",TRIM(UPPER(INDEX(P_Type,ROW()-4))))</f>
        <v/>
      </c>
      <c r="C7" s="31">
        <f>IF($C$5="","",EDATE(C6,1))</f>
        <v/>
      </c>
      <c r="D7">
        <f>IF(INDEX(L_Type,ROW()-4)="","",TRIM(UPPER(INDEX(L_Type,ROW()-4))))</f>
        <v/>
      </c>
      <c r="E7">
        <f>IF(INDEX(P_Status,ROW()-4)="","",TRIM(UPPER(INDEX(P_Status,ROW()-4))))</f>
        <v/>
      </c>
      <c r="F7">
        <f>IF($C$5="","",IF(YEAR(EDATE($C$5,12*1))&gt;YEAR(EDATE($C$5,47)),"",YEAR(EDATE($C$5,12*1))))</f>
        <v/>
      </c>
      <c r="G7">
        <f>IF(INDEX(L_Status,ROW()-4)="","",TRIM(UPPER(INDEX(L_Status,ROW()-4))))</f>
        <v/>
      </c>
      <c r="J7">
        <f>IF(INDEX(L_ID,ROW()-4)="","",IF(SUMPRODUCT((P_ID=INDEX(L_ID,ROW()-4))*(P_StatusN="INACTIVE"))&gt;0,1,0))</f>
        <v/>
      </c>
    </row>
    <row r="8">
      <c r="A8">
        <f>IF(INDEX(L_ID,ROW()-4)="","",IF(COUNTIF(P_ID,INDEX(L_ID,ROW()-4))&gt;0,1,0))</f>
        <v/>
      </c>
      <c r="B8">
        <f>IF(INDEX(P_Type,ROW()-4)="","",TRIM(UPPER(INDEX(P_Type,ROW()-4))))</f>
        <v/>
      </c>
      <c r="C8" s="31">
        <f>IF($C$5="","",EDATE(C7,1))</f>
        <v/>
      </c>
      <c r="D8">
        <f>IF(INDEX(L_Type,ROW()-4)="","",TRIM(UPPER(INDEX(L_Type,ROW()-4))))</f>
        <v/>
      </c>
      <c r="E8">
        <f>IF(INDEX(P_Status,ROW()-4)="","",TRIM(UPPER(INDEX(P_Status,ROW()-4))))</f>
        <v/>
      </c>
      <c r="F8">
        <f>IF($C$5="","",IF(YEAR(EDATE($C$5,12*2))&gt;YEAR(EDATE($C$5,47)),"",YEAR(EDATE($C$5,12*2))))</f>
        <v/>
      </c>
      <c r="G8">
        <f>IF(INDEX(L_Status,ROW()-4)="","",TRIM(UPPER(INDEX(L_Status,ROW()-4))))</f>
        <v/>
      </c>
      <c r="J8">
        <f>IF(INDEX(L_ID,ROW()-4)="","",IF(SUMPRODUCT((P_ID=INDEX(L_ID,ROW()-4))*(P_StatusN="INACTIVE"))&gt;0,1,0))</f>
        <v/>
      </c>
    </row>
    <row r="9">
      <c r="A9">
        <f>IF(INDEX(L_ID,ROW()-4)="","",IF(COUNTIF(P_ID,INDEX(L_ID,ROW()-4))&gt;0,1,0))</f>
        <v/>
      </c>
      <c r="B9">
        <f>IF(INDEX(P_Type,ROW()-4)="","",TRIM(UPPER(INDEX(P_Type,ROW()-4))))</f>
        <v/>
      </c>
      <c r="C9" s="31">
        <f>IF($C$5="","",EDATE(C8,1))</f>
        <v/>
      </c>
      <c r="D9">
        <f>IF(INDEX(L_Type,ROW()-4)="","",TRIM(UPPER(INDEX(L_Type,ROW()-4))))</f>
        <v/>
      </c>
      <c r="E9">
        <f>IF(INDEX(P_Status,ROW()-4)="","",TRIM(UPPER(INDEX(P_Status,ROW()-4))))</f>
        <v/>
      </c>
      <c r="F9">
        <f>IF($C$5="","",IF(YEAR(EDATE($C$5,12*3))&gt;YEAR(EDATE($C$5,47)),"",YEAR(EDATE($C$5,12*3))))</f>
        <v/>
      </c>
      <c r="G9">
        <f>IF(INDEX(L_Status,ROW()-4)="","",TRIM(UPPER(INDEX(L_Status,ROW()-4))))</f>
        <v/>
      </c>
      <c r="J9">
        <f>IF(INDEX(L_ID,ROW()-4)="","",IF(SUMPRODUCT((P_ID=INDEX(L_ID,ROW()-4))*(P_StatusN="INACTIVE"))&gt;0,1,0))</f>
        <v/>
      </c>
    </row>
    <row r="10">
      <c r="A10">
        <f>IF(INDEX(L_ID,ROW()-4)="","",IF(COUNTIF(P_ID,INDEX(L_ID,ROW()-4))&gt;0,1,0))</f>
        <v/>
      </c>
      <c r="B10">
        <f>IF(INDEX(P_Type,ROW()-4)="","",TRIM(UPPER(INDEX(P_Type,ROW()-4))))</f>
        <v/>
      </c>
      <c r="C10" s="31">
        <f>IF($C$5="","",EDATE(C9,1))</f>
        <v/>
      </c>
      <c r="D10">
        <f>IF(INDEX(L_Type,ROW()-4)="","",TRIM(UPPER(INDEX(L_Type,ROW()-4))))</f>
        <v/>
      </c>
      <c r="E10">
        <f>IF(INDEX(P_Status,ROW()-4)="","",TRIM(UPPER(INDEX(P_Status,ROW()-4))))</f>
        <v/>
      </c>
      <c r="F10">
        <f>IF($C$5="","",IF(YEAR(EDATE($C$5,12*4))&gt;YEAR(EDATE($C$5,47)),"",YEAR(EDATE($C$5,12*4))))</f>
        <v/>
      </c>
      <c r="G10">
        <f>IF(INDEX(L_Status,ROW()-4)="","",TRIM(UPPER(INDEX(L_Status,ROW()-4))))</f>
        <v/>
      </c>
      <c r="J10">
        <f>IF(INDEX(L_ID,ROW()-4)="","",IF(SUMPRODUCT((P_ID=INDEX(L_ID,ROW()-4))*(P_StatusN="INACTIVE"))&gt;0,1,0))</f>
        <v/>
      </c>
    </row>
    <row r="11">
      <c r="A11">
        <f>IF(INDEX(L_ID,ROW()-4)="","",IF(COUNTIF(P_ID,INDEX(L_ID,ROW()-4))&gt;0,1,0))</f>
        <v/>
      </c>
      <c r="B11">
        <f>IF(INDEX(P_Type,ROW()-4)="","",TRIM(UPPER(INDEX(P_Type,ROW()-4))))</f>
        <v/>
      </c>
      <c r="C11" s="31">
        <f>IF($C$5="","",EDATE(C10,1))</f>
        <v/>
      </c>
      <c r="D11">
        <f>IF(INDEX(L_Type,ROW()-4)="","",TRIM(UPPER(INDEX(L_Type,ROW()-4))))</f>
        <v/>
      </c>
      <c r="E11">
        <f>IF(INDEX(P_Status,ROW()-4)="","",TRIM(UPPER(INDEX(P_Status,ROW()-4))))</f>
        <v/>
      </c>
      <c r="F11">
        <f>IF($C$5="","",TEXT($C$5,"yyyy-mm"))</f>
        <v/>
      </c>
      <c r="G11">
        <f>IF(INDEX(L_Status,ROW()-4)="","",TRIM(UPPER(INDEX(L_Status,ROW()-4))))</f>
        <v/>
      </c>
      <c r="J11">
        <f>IF(INDEX(L_ID,ROW()-4)="","",IF(SUMPRODUCT((P_ID=INDEX(L_ID,ROW()-4))*(P_StatusN="INACTIVE"))&gt;0,1,0))</f>
        <v/>
      </c>
    </row>
    <row r="12">
      <c r="A12">
        <f>IF(INDEX(L_ID,ROW()-4)="","",IF(COUNTIF(P_ID,INDEX(L_ID,ROW()-4))&gt;0,1,0))</f>
        <v/>
      </c>
      <c r="B12">
        <f>IF(INDEX(P_Type,ROW()-4)="","",TRIM(UPPER(INDEX(P_Type,ROW()-4))))</f>
        <v/>
      </c>
      <c r="C12" s="31">
        <f>IF($C$5="","",EDATE(C11,1))</f>
        <v/>
      </c>
      <c r="D12">
        <f>IF(INDEX(L_Type,ROW()-4)="","",TRIM(UPPER(INDEX(L_Type,ROW()-4))))</f>
        <v/>
      </c>
      <c r="E12">
        <f>IF(INDEX(P_Status,ROW()-4)="","",TRIM(UPPER(INDEX(P_Status,ROW()-4))))</f>
        <v/>
      </c>
      <c r="F12">
        <f>IF($C$6="","",TEXT($C$6,"yyyy-mm"))</f>
        <v/>
      </c>
      <c r="G12">
        <f>IF(INDEX(L_Status,ROW()-4)="","",TRIM(UPPER(INDEX(L_Status,ROW()-4))))</f>
        <v/>
      </c>
      <c r="J12">
        <f>IF(INDEX(L_ID,ROW()-4)="","",IF(SUMPRODUCT((P_ID=INDEX(L_ID,ROW()-4))*(P_StatusN="INACTIVE"))&gt;0,1,0))</f>
        <v/>
      </c>
    </row>
    <row r="13">
      <c r="A13">
        <f>IF(INDEX(L_ID,ROW()-4)="","",IF(COUNTIF(P_ID,INDEX(L_ID,ROW()-4))&gt;0,1,0))</f>
        <v/>
      </c>
      <c r="B13">
        <f>IF(INDEX(P_Type,ROW()-4)="","",TRIM(UPPER(INDEX(P_Type,ROW()-4))))</f>
        <v/>
      </c>
      <c r="C13" s="31">
        <f>IF($C$5="","",EDATE(C12,1))</f>
        <v/>
      </c>
      <c r="D13">
        <f>IF(INDEX(L_Type,ROW()-4)="","",TRIM(UPPER(INDEX(L_Type,ROW()-4))))</f>
        <v/>
      </c>
      <c r="E13">
        <f>IF(INDEX(P_Status,ROW()-4)="","",TRIM(UPPER(INDEX(P_Status,ROW()-4))))</f>
        <v/>
      </c>
      <c r="F13">
        <f>IF($C$7="","",TEXT($C$7,"yyyy-mm"))</f>
        <v/>
      </c>
      <c r="G13">
        <f>IF(INDEX(L_Status,ROW()-4)="","",TRIM(UPPER(INDEX(L_Status,ROW()-4))))</f>
        <v/>
      </c>
      <c r="J13">
        <f>IF(INDEX(L_ID,ROW()-4)="","",IF(SUMPRODUCT((P_ID=INDEX(L_ID,ROW()-4))*(P_StatusN="INACTIVE"))&gt;0,1,0))</f>
        <v/>
      </c>
    </row>
    <row r="14">
      <c r="A14">
        <f>IF(INDEX(L_ID,ROW()-4)="","",IF(COUNTIF(P_ID,INDEX(L_ID,ROW()-4))&gt;0,1,0))</f>
        <v/>
      </c>
      <c r="B14">
        <f>IF(INDEX(P_Type,ROW()-4)="","",TRIM(UPPER(INDEX(P_Type,ROW()-4))))</f>
        <v/>
      </c>
      <c r="C14" s="31">
        <f>IF($C$5="","",EDATE(C13,1))</f>
        <v/>
      </c>
      <c r="D14">
        <f>IF(INDEX(L_Type,ROW()-4)="","",TRIM(UPPER(INDEX(L_Type,ROW()-4))))</f>
        <v/>
      </c>
      <c r="E14">
        <f>IF(INDEX(P_Status,ROW()-4)="","",TRIM(UPPER(INDEX(P_Status,ROW()-4))))</f>
        <v/>
      </c>
      <c r="F14">
        <f>IF($C$8="","",TEXT($C$8,"yyyy-mm"))</f>
        <v/>
      </c>
      <c r="G14">
        <f>IF(INDEX(L_Status,ROW()-4)="","",TRIM(UPPER(INDEX(L_Status,ROW()-4))))</f>
        <v/>
      </c>
      <c r="J14">
        <f>IF(INDEX(L_ID,ROW()-4)="","",IF(SUMPRODUCT((P_ID=INDEX(L_ID,ROW()-4))*(P_StatusN="INACTIVE"))&gt;0,1,0))</f>
        <v/>
      </c>
    </row>
    <row r="15">
      <c r="A15">
        <f>IF(INDEX(L_ID,ROW()-4)="","",IF(COUNTIF(P_ID,INDEX(L_ID,ROW()-4))&gt;0,1,0))</f>
        <v/>
      </c>
      <c r="B15">
        <f>IF(INDEX(P_Type,ROW()-4)="","",TRIM(UPPER(INDEX(P_Type,ROW()-4))))</f>
        <v/>
      </c>
      <c r="C15" s="31">
        <f>IF($C$5="","",EDATE(C14,1))</f>
        <v/>
      </c>
      <c r="D15">
        <f>IF(INDEX(L_Type,ROW()-4)="","",TRIM(UPPER(INDEX(L_Type,ROW()-4))))</f>
        <v/>
      </c>
      <c r="E15">
        <f>IF(INDEX(P_Status,ROW()-4)="","",TRIM(UPPER(INDEX(P_Status,ROW()-4))))</f>
        <v/>
      </c>
      <c r="F15">
        <f>IF($C$9="","",TEXT($C$9,"yyyy-mm"))</f>
        <v/>
      </c>
      <c r="G15">
        <f>IF(INDEX(L_Status,ROW()-4)="","",TRIM(UPPER(INDEX(L_Status,ROW()-4))))</f>
        <v/>
      </c>
      <c r="J15">
        <f>IF(INDEX(L_ID,ROW()-4)="","",IF(SUMPRODUCT((P_ID=INDEX(L_ID,ROW()-4))*(P_StatusN="INACTIVE"))&gt;0,1,0))</f>
        <v/>
      </c>
    </row>
    <row r="16">
      <c r="A16">
        <f>IF(INDEX(L_ID,ROW()-4)="","",IF(COUNTIF(P_ID,INDEX(L_ID,ROW()-4))&gt;0,1,0))</f>
        <v/>
      </c>
      <c r="B16">
        <f>IF(INDEX(P_Type,ROW()-4)="","",TRIM(UPPER(INDEX(P_Type,ROW()-4))))</f>
        <v/>
      </c>
      <c r="C16" s="31">
        <f>IF($C$5="","",EDATE(C15,1))</f>
        <v/>
      </c>
      <c r="D16">
        <f>IF(INDEX(L_Type,ROW()-4)="","",TRIM(UPPER(INDEX(L_Type,ROW()-4))))</f>
        <v/>
      </c>
      <c r="E16">
        <f>IF(INDEX(P_Status,ROW()-4)="","",TRIM(UPPER(INDEX(P_Status,ROW()-4))))</f>
        <v/>
      </c>
      <c r="F16">
        <f>IF($C$10="","",TEXT($C$10,"yyyy-mm"))</f>
        <v/>
      </c>
      <c r="G16">
        <f>IF(INDEX(L_Status,ROW()-4)="","",TRIM(UPPER(INDEX(L_Status,ROW()-4))))</f>
        <v/>
      </c>
      <c r="J16">
        <f>IF(INDEX(L_ID,ROW()-4)="","",IF(SUMPRODUCT((P_ID=INDEX(L_ID,ROW()-4))*(P_StatusN="INACTIVE"))&gt;0,1,0))</f>
        <v/>
      </c>
    </row>
    <row r="17">
      <c r="A17">
        <f>IF(INDEX(L_ID,ROW()-4)="","",IF(COUNTIF(P_ID,INDEX(L_ID,ROW()-4))&gt;0,1,0))</f>
        <v/>
      </c>
      <c r="B17">
        <f>IF(INDEX(P_Type,ROW()-4)="","",TRIM(UPPER(INDEX(P_Type,ROW()-4))))</f>
        <v/>
      </c>
      <c r="C17" s="31">
        <f>IF($C$5="","",EDATE(C16,1))</f>
        <v/>
      </c>
      <c r="D17">
        <f>IF(INDEX(L_Type,ROW()-4)="","",TRIM(UPPER(INDEX(L_Type,ROW()-4))))</f>
        <v/>
      </c>
      <c r="E17">
        <f>IF(INDEX(P_Status,ROW()-4)="","",TRIM(UPPER(INDEX(P_Status,ROW()-4))))</f>
        <v/>
      </c>
      <c r="F17">
        <f>IF($C$11="","",TEXT($C$11,"yyyy-mm"))</f>
        <v/>
      </c>
      <c r="G17">
        <f>IF(INDEX(L_Status,ROW()-4)="","",TRIM(UPPER(INDEX(L_Status,ROW()-4))))</f>
        <v/>
      </c>
      <c r="J17">
        <f>IF(INDEX(L_ID,ROW()-4)="","",IF(SUMPRODUCT((P_ID=INDEX(L_ID,ROW()-4))*(P_StatusN="INACTIVE"))&gt;0,1,0))</f>
        <v/>
      </c>
    </row>
    <row r="18">
      <c r="A18">
        <f>IF(INDEX(L_ID,ROW()-4)="","",IF(COUNTIF(P_ID,INDEX(L_ID,ROW()-4))&gt;0,1,0))</f>
        <v/>
      </c>
      <c r="B18">
        <f>IF(INDEX(P_Type,ROW()-4)="","",TRIM(UPPER(INDEX(P_Type,ROW()-4))))</f>
        <v/>
      </c>
      <c r="C18" s="31">
        <f>IF($C$5="","",EDATE(C17,1))</f>
        <v/>
      </c>
      <c r="D18">
        <f>IF(INDEX(L_Type,ROW()-4)="","",TRIM(UPPER(INDEX(L_Type,ROW()-4))))</f>
        <v/>
      </c>
      <c r="E18">
        <f>IF(INDEX(P_Status,ROW()-4)="","",TRIM(UPPER(INDEX(P_Status,ROW()-4))))</f>
        <v/>
      </c>
      <c r="F18">
        <f>IF($C$12="","",TEXT($C$12,"yyyy-mm"))</f>
        <v/>
      </c>
      <c r="G18">
        <f>IF(INDEX(L_Status,ROW()-4)="","",TRIM(UPPER(INDEX(L_Status,ROW()-4))))</f>
        <v/>
      </c>
      <c r="J18">
        <f>IF(INDEX(L_ID,ROW()-4)="","",IF(SUMPRODUCT((P_ID=INDEX(L_ID,ROW()-4))*(P_StatusN="INACTIVE"))&gt;0,1,0))</f>
        <v/>
      </c>
    </row>
    <row r="19">
      <c r="A19">
        <f>IF(INDEX(L_ID,ROW()-4)="","",IF(COUNTIF(P_ID,INDEX(L_ID,ROW()-4))&gt;0,1,0))</f>
        <v/>
      </c>
      <c r="B19">
        <f>IF(INDEX(P_Type,ROW()-4)="","",TRIM(UPPER(INDEX(P_Type,ROW()-4))))</f>
        <v/>
      </c>
      <c r="C19" s="31">
        <f>IF($C$5="","",EDATE(C18,1))</f>
        <v/>
      </c>
      <c r="D19">
        <f>IF(INDEX(L_Type,ROW()-4)="","",TRIM(UPPER(INDEX(L_Type,ROW()-4))))</f>
        <v/>
      </c>
      <c r="E19">
        <f>IF(INDEX(P_Status,ROW()-4)="","",TRIM(UPPER(INDEX(P_Status,ROW()-4))))</f>
        <v/>
      </c>
      <c r="F19">
        <f>IF($C$13="","",TEXT($C$13,"yyyy-mm"))</f>
        <v/>
      </c>
      <c r="G19">
        <f>IF(INDEX(L_Status,ROW()-4)="","",TRIM(UPPER(INDEX(L_Status,ROW()-4))))</f>
        <v/>
      </c>
      <c r="J19">
        <f>IF(INDEX(L_ID,ROW()-4)="","",IF(SUMPRODUCT((P_ID=INDEX(L_ID,ROW()-4))*(P_StatusN="INACTIVE"))&gt;0,1,0))</f>
        <v/>
      </c>
    </row>
    <row r="20">
      <c r="A20">
        <f>IF(INDEX(L_ID,ROW()-4)="","",IF(COUNTIF(P_ID,INDEX(L_ID,ROW()-4))&gt;0,1,0))</f>
        <v/>
      </c>
      <c r="B20">
        <f>IF(INDEX(P_Type,ROW()-4)="","",TRIM(UPPER(INDEX(P_Type,ROW()-4))))</f>
        <v/>
      </c>
      <c r="C20" s="31">
        <f>IF($C$5="","",EDATE(C19,1))</f>
        <v/>
      </c>
      <c r="D20">
        <f>IF(INDEX(L_Type,ROW()-4)="","",TRIM(UPPER(INDEX(L_Type,ROW()-4))))</f>
        <v/>
      </c>
      <c r="E20">
        <f>IF(INDEX(P_Status,ROW()-4)="","",TRIM(UPPER(INDEX(P_Status,ROW()-4))))</f>
        <v/>
      </c>
      <c r="F20">
        <f>IF($C$14="","",TEXT($C$14,"yyyy-mm"))</f>
        <v/>
      </c>
      <c r="G20">
        <f>IF(INDEX(L_Status,ROW()-4)="","",TRIM(UPPER(INDEX(L_Status,ROW()-4))))</f>
        <v/>
      </c>
      <c r="J20">
        <f>IF(INDEX(L_ID,ROW()-4)="","",IF(SUMPRODUCT((P_ID=INDEX(L_ID,ROW()-4))*(P_StatusN="INACTIVE"))&gt;0,1,0))</f>
        <v/>
      </c>
    </row>
    <row r="21">
      <c r="A21">
        <f>IF(INDEX(L_ID,ROW()-4)="","",IF(COUNTIF(P_ID,INDEX(L_ID,ROW()-4))&gt;0,1,0))</f>
        <v/>
      </c>
      <c r="B21">
        <f>IF(INDEX(P_Type,ROW()-4)="","",TRIM(UPPER(INDEX(P_Type,ROW()-4))))</f>
        <v/>
      </c>
      <c r="C21" s="31">
        <f>IF($C$5="","",EDATE(C20,1))</f>
        <v/>
      </c>
      <c r="D21">
        <f>IF(INDEX(L_Type,ROW()-4)="","",TRIM(UPPER(INDEX(L_Type,ROW()-4))))</f>
        <v/>
      </c>
      <c r="E21">
        <f>IF(INDEX(P_Status,ROW()-4)="","",TRIM(UPPER(INDEX(P_Status,ROW()-4))))</f>
        <v/>
      </c>
      <c r="F21">
        <f>IF($C$15="","",TEXT($C$15,"yyyy-mm"))</f>
        <v/>
      </c>
      <c r="G21">
        <f>IF(INDEX(L_Status,ROW()-4)="","",TRIM(UPPER(INDEX(L_Status,ROW()-4))))</f>
        <v/>
      </c>
      <c r="J21">
        <f>IF(INDEX(L_ID,ROW()-4)="","",IF(SUMPRODUCT((P_ID=INDEX(L_ID,ROW()-4))*(P_StatusN="INACTIVE"))&gt;0,1,0))</f>
        <v/>
      </c>
    </row>
    <row r="22">
      <c r="A22">
        <f>IF(INDEX(L_ID,ROW()-4)="","",IF(COUNTIF(P_ID,INDEX(L_ID,ROW()-4))&gt;0,1,0))</f>
        <v/>
      </c>
      <c r="B22">
        <f>IF(INDEX(P_Type,ROW()-4)="","",TRIM(UPPER(INDEX(P_Type,ROW()-4))))</f>
        <v/>
      </c>
      <c r="C22" s="31">
        <f>IF($C$5="","",EDATE(C21,1))</f>
        <v/>
      </c>
      <c r="D22">
        <f>IF(INDEX(L_Type,ROW()-4)="","",TRIM(UPPER(INDEX(L_Type,ROW()-4))))</f>
        <v/>
      </c>
      <c r="E22">
        <f>IF(INDEX(P_Status,ROW()-4)="","",TRIM(UPPER(INDEX(P_Status,ROW()-4))))</f>
        <v/>
      </c>
      <c r="F22">
        <f>IF($C$16="","",TEXT($C$16,"yyyy-mm"))</f>
        <v/>
      </c>
      <c r="G22">
        <f>IF(INDEX(L_Status,ROW()-4)="","",TRIM(UPPER(INDEX(L_Status,ROW()-4))))</f>
        <v/>
      </c>
      <c r="J22">
        <f>IF(INDEX(L_ID,ROW()-4)="","",IF(SUMPRODUCT((P_ID=INDEX(L_ID,ROW()-4))*(P_StatusN="INACTIVE"))&gt;0,1,0))</f>
        <v/>
      </c>
    </row>
    <row r="23">
      <c r="A23">
        <f>IF(INDEX(L_ID,ROW()-4)="","",IF(COUNTIF(P_ID,INDEX(L_ID,ROW()-4))&gt;0,1,0))</f>
        <v/>
      </c>
      <c r="B23">
        <f>IF(INDEX(P_Type,ROW()-4)="","",TRIM(UPPER(INDEX(P_Type,ROW()-4))))</f>
        <v/>
      </c>
      <c r="C23" s="31">
        <f>IF($C$5="","",EDATE(C22,1))</f>
        <v/>
      </c>
      <c r="D23">
        <f>IF(INDEX(L_Type,ROW()-4)="","",TRIM(UPPER(INDEX(L_Type,ROW()-4))))</f>
        <v/>
      </c>
      <c r="E23">
        <f>IF(INDEX(P_Status,ROW()-4)="","",TRIM(UPPER(INDEX(P_Status,ROW()-4))))</f>
        <v/>
      </c>
      <c r="F23">
        <f>IF($C$17="","",TEXT($C$17,"yyyy-mm"))</f>
        <v/>
      </c>
      <c r="G23">
        <f>IF(INDEX(L_Status,ROW()-4)="","",TRIM(UPPER(INDEX(L_Status,ROW()-4))))</f>
        <v/>
      </c>
      <c r="J23">
        <f>IF(INDEX(L_ID,ROW()-4)="","",IF(SUMPRODUCT((P_ID=INDEX(L_ID,ROW()-4))*(P_StatusN="INACTIVE"))&gt;0,1,0))</f>
        <v/>
      </c>
    </row>
    <row r="24">
      <c r="A24">
        <f>IF(INDEX(L_ID,ROW()-4)="","",IF(COUNTIF(P_ID,INDEX(L_ID,ROW()-4))&gt;0,1,0))</f>
        <v/>
      </c>
      <c r="B24">
        <f>IF(INDEX(P_Type,ROW()-4)="","",TRIM(UPPER(INDEX(P_Type,ROW()-4))))</f>
        <v/>
      </c>
      <c r="C24" s="31">
        <f>IF($C$5="","",EDATE(C23,1))</f>
        <v/>
      </c>
      <c r="D24">
        <f>IF(INDEX(L_Type,ROW()-4)="","",TRIM(UPPER(INDEX(L_Type,ROW()-4))))</f>
        <v/>
      </c>
      <c r="E24">
        <f>IF(INDEX(P_Status,ROW()-4)="","",TRIM(UPPER(INDEX(P_Status,ROW()-4))))</f>
        <v/>
      </c>
      <c r="F24">
        <f>IF($C$18="","",TEXT($C$18,"yyyy-mm"))</f>
        <v/>
      </c>
      <c r="G24">
        <f>IF(INDEX(L_Status,ROW()-4)="","",TRIM(UPPER(INDEX(L_Status,ROW()-4))))</f>
        <v/>
      </c>
      <c r="J24">
        <f>IF(INDEX(L_ID,ROW()-4)="","",IF(SUMPRODUCT((P_ID=INDEX(L_ID,ROW()-4))*(P_StatusN="INACTIVE"))&gt;0,1,0))</f>
        <v/>
      </c>
    </row>
    <row r="25">
      <c r="A25">
        <f>IF(INDEX(L_ID,ROW()-4)="","",IF(COUNTIF(P_ID,INDEX(L_ID,ROW()-4))&gt;0,1,0))</f>
        <v/>
      </c>
      <c r="B25">
        <f>IF(INDEX(P_Type,ROW()-4)="","",TRIM(UPPER(INDEX(P_Type,ROW()-4))))</f>
        <v/>
      </c>
      <c r="C25" s="31">
        <f>IF($C$5="","",EDATE(C24,1))</f>
        <v/>
      </c>
      <c r="D25">
        <f>IF(INDEX(L_Type,ROW()-4)="","",TRIM(UPPER(INDEX(L_Type,ROW()-4))))</f>
        <v/>
      </c>
      <c r="E25">
        <f>IF(INDEX(P_Status,ROW()-4)="","",TRIM(UPPER(INDEX(P_Status,ROW()-4))))</f>
        <v/>
      </c>
      <c r="F25">
        <f>IF($C$19="","",TEXT($C$19,"yyyy-mm"))</f>
        <v/>
      </c>
      <c r="G25">
        <f>IF(INDEX(L_Status,ROW()-4)="","",TRIM(UPPER(INDEX(L_Status,ROW()-4))))</f>
        <v/>
      </c>
      <c r="J25">
        <f>IF(INDEX(L_ID,ROW()-4)="","",IF(SUMPRODUCT((P_ID=INDEX(L_ID,ROW()-4))*(P_StatusN="INACTIVE"))&gt;0,1,0))</f>
        <v/>
      </c>
    </row>
    <row r="26">
      <c r="A26">
        <f>IF(INDEX(L_ID,ROW()-4)="","",IF(COUNTIF(P_ID,INDEX(L_ID,ROW()-4))&gt;0,1,0))</f>
        <v/>
      </c>
      <c r="B26">
        <f>IF(INDEX(P_Type,ROW()-4)="","",TRIM(UPPER(INDEX(P_Type,ROW()-4))))</f>
        <v/>
      </c>
      <c r="C26" s="31">
        <f>IF($C$5="","",EDATE(C25,1))</f>
        <v/>
      </c>
      <c r="D26">
        <f>IF(INDEX(L_Type,ROW()-4)="","",TRIM(UPPER(INDEX(L_Type,ROW()-4))))</f>
        <v/>
      </c>
      <c r="E26">
        <f>IF(INDEX(P_Status,ROW()-4)="","",TRIM(UPPER(INDEX(P_Status,ROW()-4))))</f>
        <v/>
      </c>
      <c r="F26">
        <f>IF($C$20="","",TEXT($C$20,"yyyy-mm"))</f>
        <v/>
      </c>
      <c r="G26">
        <f>IF(INDEX(L_Status,ROW()-4)="","",TRIM(UPPER(INDEX(L_Status,ROW()-4))))</f>
        <v/>
      </c>
      <c r="J26">
        <f>IF(INDEX(L_ID,ROW()-4)="","",IF(SUMPRODUCT((P_ID=INDEX(L_ID,ROW()-4))*(P_StatusN="INACTIVE"))&gt;0,1,0))</f>
        <v/>
      </c>
    </row>
    <row r="27">
      <c r="A27">
        <f>IF(INDEX(L_ID,ROW()-4)="","",IF(COUNTIF(P_ID,INDEX(L_ID,ROW()-4))&gt;0,1,0))</f>
        <v/>
      </c>
      <c r="B27">
        <f>IF(INDEX(P_Type,ROW()-4)="","",TRIM(UPPER(INDEX(P_Type,ROW()-4))))</f>
        <v/>
      </c>
      <c r="C27" s="31">
        <f>IF($C$5="","",EDATE(C26,1))</f>
        <v/>
      </c>
      <c r="D27">
        <f>IF(INDEX(L_Type,ROW()-4)="","",TRIM(UPPER(INDEX(L_Type,ROW()-4))))</f>
        <v/>
      </c>
      <c r="E27">
        <f>IF(INDEX(P_Status,ROW()-4)="","",TRIM(UPPER(INDEX(P_Status,ROW()-4))))</f>
        <v/>
      </c>
      <c r="F27">
        <f>IF($C$21="","",TEXT($C$21,"yyyy-mm"))</f>
        <v/>
      </c>
      <c r="G27">
        <f>IF(INDEX(L_Status,ROW()-4)="","",TRIM(UPPER(INDEX(L_Status,ROW()-4))))</f>
        <v/>
      </c>
      <c r="J27">
        <f>IF(INDEX(L_ID,ROW()-4)="","",IF(SUMPRODUCT((P_ID=INDEX(L_ID,ROW()-4))*(P_StatusN="INACTIVE"))&gt;0,1,0))</f>
        <v/>
      </c>
    </row>
    <row r="28">
      <c r="A28">
        <f>IF(INDEX(L_ID,ROW()-4)="","",IF(COUNTIF(P_ID,INDEX(L_ID,ROW()-4))&gt;0,1,0))</f>
        <v/>
      </c>
      <c r="B28">
        <f>IF(INDEX(P_Type,ROW()-4)="","",TRIM(UPPER(INDEX(P_Type,ROW()-4))))</f>
        <v/>
      </c>
      <c r="C28" s="31">
        <f>IF($C$5="","",EDATE(C27,1))</f>
        <v/>
      </c>
      <c r="D28">
        <f>IF(INDEX(L_Type,ROW()-4)="","",TRIM(UPPER(INDEX(L_Type,ROW()-4))))</f>
        <v/>
      </c>
      <c r="E28">
        <f>IF(INDEX(P_Status,ROW()-4)="","",TRIM(UPPER(INDEX(P_Status,ROW()-4))))</f>
        <v/>
      </c>
      <c r="F28">
        <f>IF($C$22="","",TEXT($C$22,"yyyy-mm"))</f>
        <v/>
      </c>
      <c r="G28">
        <f>IF(INDEX(L_Status,ROW()-4)="","",TRIM(UPPER(INDEX(L_Status,ROW()-4))))</f>
        <v/>
      </c>
      <c r="J28">
        <f>IF(INDEX(L_ID,ROW()-4)="","",IF(SUMPRODUCT((P_ID=INDEX(L_ID,ROW()-4))*(P_StatusN="INACTIVE"))&gt;0,1,0))</f>
        <v/>
      </c>
    </row>
    <row r="29">
      <c r="A29">
        <f>IF(INDEX(L_ID,ROW()-4)="","",IF(COUNTIF(P_ID,INDEX(L_ID,ROW()-4))&gt;0,1,0))</f>
        <v/>
      </c>
      <c r="B29">
        <f>IF(INDEX(P_Type,ROW()-4)="","",TRIM(UPPER(INDEX(P_Type,ROW()-4))))</f>
        <v/>
      </c>
      <c r="C29" s="31">
        <f>IF($C$5="","",EDATE(C28,1))</f>
        <v/>
      </c>
      <c r="D29">
        <f>IF(INDEX(L_Type,ROW()-4)="","",TRIM(UPPER(INDEX(L_Type,ROW()-4))))</f>
        <v/>
      </c>
      <c r="E29">
        <f>IF(INDEX(P_Status,ROW()-4)="","",TRIM(UPPER(INDEX(P_Status,ROW()-4))))</f>
        <v/>
      </c>
      <c r="F29">
        <f>IF($C$23="","",TEXT($C$23,"yyyy-mm"))</f>
        <v/>
      </c>
      <c r="G29">
        <f>IF(INDEX(L_Status,ROW()-4)="","",TRIM(UPPER(INDEX(L_Status,ROW()-4))))</f>
        <v/>
      </c>
      <c r="J29">
        <f>IF(INDEX(L_ID,ROW()-4)="","",IF(SUMPRODUCT((P_ID=INDEX(L_ID,ROW()-4))*(P_StatusN="INACTIVE"))&gt;0,1,0))</f>
        <v/>
      </c>
    </row>
    <row r="30">
      <c r="A30">
        <f>IF(INDEX(L_ID,ROW()-4)="","",IF(COUNTIF(P_ID,INDEX(L_ID,ROW()-4))&gt;0,1,0))</f>
        <v/>
      </c>
      <c r="B30">
        <f>IF(INDEX(P_Type,ROW()-4)="","",TRIM(UPPER(INDEX(P_Type,ROW()-4))))</f>
        <v/>
      </c>
      <c r="C30" s="31">
        <f>IF($C$5="","",EDATE(C29,1))</f>
        <v/>
      </c>
      <c r="D30">
        <f>IF(INDEX(L_Type,ROW()-4)="","",TRIM(UPPER(INDEX(L_Type,ROW()-4))))</f>
        <v/>
      </c>
      <c r="E30">
        <f>IF(INDEX(P_Status,ROW()-4)="","",TRIM(UPPER(INDEX(P_Status,ROW()-4))))</f>
        <v/>
      </c>
      <c r="F30">
        <f>IF($C$24="","",TEXT($C$24,"yyyy-mm"))</f>
        <v/>
      </c>
      <c r="G30">
        <f>IF(INDEX(L_Status,ROW()-4)="","",TRIM(UPPER(INDEX(L_Status,ROW()-4))))</f>
        <v/>
      </c>
      <c r="J30">
        <f>IF(INDEX(L_ID,ROW()-4)="","",IF(SUMPRODUCT((P_ID=INDEX(L_ID,ROW()-4))*(P_StatusN="INACTIVE"))&gt;0,1,0))</f>
        <v/>
      </c>
    </row>
    <row r="31">
      <c r="A31">
        <f>IF(INDEX(L_ID,ROW()-4)="","",IF(COUNTIF(P_ID,INDEX(L_ID,ROW()-4))&gt;0,1,0))</f>
        <v/>
      </c>
      <c r="B31">
        <f>IF(INDEX(P_Type,ROW()-4)="","",TRIM(UPPER(INDEX(P_Type,ROW()-4))))</f>
        <v/>
      </c>
      <c r="C31" s="31">
        <f>IF($C$5="","",EDATE(C30,1))</f>
        <v/>
      </c>
      <c r="D31">
        <f>IF(INDEX(L_Type,ROW()-4)="","",TRIM(UPPER(INDEX(L_Type,ROW()-4))))</f>
        <v/>
      </c>
      <c r="E31">
        <f>IF(INDEX(P_Status,ROW()-4)="","",TRIM(UPPER(INDEX(P_Status,ROW()-4))))</f>
        <v/>
      </c>
      <c r="F31">
        <f>IF($C$25="","",TEXT($C$25,"yyyy-mm"))</f>
        <v/>
      </c>
      <c r="G31">
        <f>IF(INDEX(L_Status,ROW()-4)="","",TRIM(UPPER(INDEX(L_Status,ROW()-4))))</f>
        <v/>
      </c>
      <c r="J31">
        <f>IF(INDEX(L_ID,ROW()-4)="","",IF(SUMPRODUCT((P_ID=INDEX(L_ID,ROW()-4))*(P_StatusN="INACTIVE"))&gt;0,1,0))</f>
        <v/>
      </c>
    </row>
    <row r="32">
      <c r="A32">
        <f>IF(INDEX(L_ID,ROW()-4)="","",IF(COUNTIF(P_ID,INDEX(L_ID,ROW()-4))&gt;0,1,0))</f>
        <v/>
      </c>
      <c r="B32">
        <f>IF(INDEX(P_Type,ROW()-4)="","",TRIM(UPPER(INDEX(P_Type,ROW()-4))))</f>
        <v/>
      </c>
      <c r="C32" s="31">
        <f>IF($C$5="","",EDATE(C31,1))</f>
        <v/>
      </c>
      <c r="D32">
        <f>IF(INDEX(L_Type,ROW()-4)="","",TRIM(UPPER(INDEX(L_Type,ROW()-4))))</f>
        <v/>
      </c>
      <c r="E32">
        <f>IF(INDEX(P_Status,ROW()-4)="","",TRIM(UPPER(INDEX(P_Status,ROW()-4))))</f>
        <v/>
      </c>
      <c r="F32">
        <f>IF($C$26="","",TEXT($C$26,"yyyy-mm"))</f>
        <v/>
      </c>
      <c r="G32">
        <f>IF(INDEX(L_Status,ROW()-4)="","",TRIM(UPPER(INDEX(L_Status,ROW()-4))))</f>
        <v/>
      </c>
      <c r="J32">
        <f>IF(INDEX(L_ID,ROW()-4)="","",IF(SUMPRODUCT((P_ID=INDEX(L_ID,ROW()-4))*(P_StatusN="INACTIVE"))&gt;0,1,0))</f>
        <v/>
      </c>
    </row>
    <row r="33">
      <c r="A33">
        <f>IF(INDEX(L_ID,ROW()-4)="","",IF(COUNTIF(P_ID,INDEX(L_ID,ROW()-4))&gt;0,1,0))</f>
        <v/>
      </c>
      <c r="B33">
        <f>IF(INDEX(P_Type,ROW()-4)="","",TRIM(UPPER(INDEX(P_Type,ROW()-4))))</f>
        <v/>
      </c>
      <c r="C33" s="31">
        <f>IF($C$5="","",EDATE(C32,1))</f>
        <v/>
      </c>
      <c r="D33">
        <f>IF(INDEX(L_Type,ROW()-4)="","",TRIM(UPPER(INDEX(L_Type,ROW()-4))))</f>
        <v/>
      </c>
      <c r="E33">
        <f>IF(INDEX(P_Status,ROW()-4)="","",TRIM(UPPER(INDEX(P_Status,ROW()-4))))</f>
        <v/>
      </c>
      <c r="F33">
        <f>IF($C$27="","",TEXT($C$27,"yyyy-mm"))</f>
        <v/>
      </c>
      <c r="G33">
        <f>IF(INDEX(L_Status,ROW()-4)="","",TRIM(UPPER(INDEX(L_Status,ROW()-4))))</f>
        <v/>
      </c>
      <c r="J33">
        <f>IF(INDEX(L_ID,ROW()-4)="","",IF(SUMPRODUCT((P_ID=INDEX(L_ID,ROW()-4))*(P_StatusN="INACTIVE"))&gt;0,1,0))</f>
        <v/>
      </c>
    </row>
    <row r="34">
      <c r="A34">
        <f>IF(INDEX(L_ID,ROW()-4)="","",IF(COUNTIF(P_ID,INDEX(L_ID,ROW()-4))&gt;0,1,0))</f>
        <v/>
      </c>
      <c r="B34">
        <f>IF(INDEX(P_Type,ROW()-4)="","",TRIM(UPPER(INDEX(P_Type,ROW()-4))))</f>
        <v/>
      </c>
      <c r="C34" s="31">
        <f>IF($C$5="","",EDATE(C33,1))</f>
        <v/>
      </c>
      <c r="D34">
        <f>IF(INDEX(L_Type,ROW()-4)="","",TRIM(UPPER(INDEX(L_Type,ROW()-4))))</f>
        <v/>
      </c>
      <c r="E34">
        <f>IF(INDEX(P_Status,ROW()-4)="","",TRIM(UPPER(INDEX(P_Status,ROW()-4))))</f>
        <v/>
      </c>
      <c r="F34">
        <f>IF($C$28="","",TEXT($C$28,"yyyy-mm"))</f>
        <v/>
      </c>
      <c r="G34">
        <f>IF(INDEX(L_Status,ROW()-4)="","",TRIM(UPPER(INDEX(L_Status,ROW()-4))))</f>
        <v/>
      </c>
      <c r="J34">
        <f>IF(INDEX(L_ID,ROW()-4)="","",IF(SUMPRODUCT((P_ID=INDEX(L_ID,ROW()-4))*(P_StatusN="INACTIVE"))&gt;0,1,0))</f>
        <v/>
      </c>
    </row>
    <row r="35">
      <c r="A35">
        <f>IF(INDEX(L_ID,ROW()-4)="","",IF(COUNTIF(P_ID,INDEX(L_ID,ROW()-4))&gt;0,1,0))</f>
        <v/>
      </c>
      <c r="B35">
        <f>IF(INDEX(P_Type,ROW()-4)="","",TRIM(UPPER(INDEX(P_Type,ROW()-4))))</f>
        <v/>
      </c>
      <c r="C35" s="31">
        <f>IF($C$5="","",EDATE(C34,1))</f>
        <v/>
      </c>
      <c r="D35">
        <f>IF(INDEX(L_Type,ROW()-4)="","",TRIM(UPPER(INDEX(L_Type,ROW()-4))))</f>
        <v/>
      </c>
      <c r="E35">
        <f>IF(INDEX(P_Status,ROW()-4)="","",TRIM(UPPER(INDEX(P_Status,ROW()-4))))</f>
        <v/>
      </c>
      <c r="F35">
        <f>IF($C$29="","",TEXT($C$29,"yyyy-mm"))</f>
        <v/>
      </c>
      <c r="G35">
        <f>IF(INDEX(L_Status,ROW()-4)="","",TRIM(UPPER(INDEX(L_Status,ROW()-4))))</f>
        <v/>
      </c>
      <c r="J35">
        <f>IF(INDEX(L_ID,ROW()-4)="","",IF(SUMPRODUCT((P_ID=INDEX(L_ID,ROW()-4))*(P_StatusN="INACTIVE"))&gt;0,1,0))</f>
        <v/>
      </c>
    </row>
    <row r="36">
      <c r="A36">
        <f>IF(INDEX(L_ID,ROW()-4)="","",IF(COUNTIF(P_ID,INDEX(L_ID,ROW()-4))&gt;0,1,0))</f>
        <v/>
      </c>
      <c r="B36">
        <f>IF(INDEX(P_Type,ROW()-4)="","",TRIM(UPPER(INDEX(P_Type,ROW()-4))))</f>
        <v/>
      </c>
      <c r="C36" s="31">
        <f>IF($C$5="","",EDATE(C35,1))</f>
        <v/>
      </c>
      <c r="D36">
        <f>IF(INDEX(L_Type,ROW()-4)="","",TRIM(UPPER(INDEX(L_Type,ROW()-4))))</f>
        <v/>
      </c>
      <c r="E36">
        <f>IF(INDEX(P_Status,ROW()-4)="","",TRIM(UPPER(INDEX(P_Status,ROW()-4))))</f>
        <v/>
      </c>
      <c r="F36">
        <f>IF($C$30="","",TEXT($C$30,"yyyy-mm"))</f>
        <v/>
      </c>
      <c r="G36">
        <f>IF(INDEX(L_Status,ROW()-4)="","",TRIM(UPPER(INDEX(L_Status,ROW()-4))))</f>
        <v/>
      </c>
      <c r="J36">
        <f>IF(INDEX(L_ID,ROW()-4)="","",IF(SUMPRODUCT((P_ID=INDEX(L_ID,ROW()-4))*(P_StatusN="INACTIVE"))&gt;0,1,0))</f>
        <v/>
      </c>
    </row>
    <row r="37">
      <c r="A37">
        <f>IF(INDEX(L_ID,ROW()-4)="","",IF(COUNTIF(P_ID,INDEX(L_ID,ROW()-4))&gt;0,1,0))</f>
        <v/>
      </c>
      <c r="B37">
        <f>IF(INDEX(P_Type,ROW()-4)="","",TRIM(UPPER(INDEX(P_Type,ROW()-4))))</f>
        <v/>
      </c>
      <c r="C37" s="31">
        <f>IF($C$5="","",EDATE(C36,1))</f>
        <v/>
      </c>
      <c r="D37">
        <f>IF(INDEX(L_Type,ROW()-4)="","",TRIM(UPPER(INDEX(L_Type,ROW()-4))))</f>
        <v/>
      </c>
      <c r="E37">
        <f>IF(INDEX(P_Status,ROW()-4)="","",TRIM(UPPER(INDEX(P_Status,ROW()-4))))</f>
        <v/>
      </c>
      <c r="F37">
        <f>IF($C$31="","",TEXT($C$31,"yyyy-mm"))</f>
        <v/>
      </c>
      <c r="G37">
        <f>IF(INDEX(L_Status,ROW()-4)="","",TRIM(UPPER(INDEX(L_Status,ROW()-4))))</f>
        <v/>
      </c>
      <c r="J37">
        <f>IF(INDEX(L_ID,ROW()-4)="","",IF(SUMPRODUCT((P_ID=INDEX(L_ID,ROW()-4))*(P_StatusN="INACTIVE"))&gt;0,1,0))</f>
        <v/>
      </c>
    </row>
    <row r="38">
      <c r="A38">
        <f>IF(INDEX(L_ID,ROW()-4)="","",IF(COUNTIF(P_ID,INDEX(L_ID,ROW()-4))&gt;0,1,0))</f>
        <v/>
      </c>
      <c r="B38">
        <f>IF(INDEX(P_Type,ROW()-4)="","",TRIM(UPPER(INDEX(P_Type,ROW()-4))))</f>
        <v/>
      </c>
      <c r="C38" s="31">
        <f>IF($C$5="","",EDATE(C37,1))</f>
        <v/>
      </c>
      <c r="D38">
        <f>IF(INDEX(L_Type,ROW()-4)="","",TRIM(UPPER(INDEX(L_Type,ROW()-4))))</f>
        <v/>
      </c>
      <c r="E38">
        <f>IF(INDEX(P_Status,ROW()-4)="","",TRIM(UPPER(INDEX(P_Status,ROW()-4))))</f>
        <v/>
      </c>
      <c r="F38">
        <f>IF($C$32="","",TEXT($C$32,"yyyy-mm"))</f>
        <v/>
      </c>
      <c r="G38">
        <f>IF(INDEX(L_Status,ROW()-4)="","",TRIM(UPPER(INDEX(L_Status,ROW()-4))))</f>
        <v/>
      </c>
      <c r="J38">
        <f>IF(INDEX(L_ID,ROW()-4)="","",IF(SUMPRODUCT((P_ID=INDEX(L_ID,ROW()-4))*(P_StatusN="INACTIVE"))&gt;0,1,0))</f>
        <v/>
      </c>
    </row>
    <row r="39">
      <c r="A39">
        <f>IF(INDEX(L_ID,ROW()-4)="","",IF(COUNTIF(P_ID,INDEX(L_ID,ROW()-4))&gt;0,1,0))</f>
        <v/>
      </c>
      <c r="B39">
        <f>IF(INDEX(P_Type,ROW()-4)="","",TRIM(UPPER(INDEX(P_Type,ROW()-4))))</f>
        <v/>
      </c>
      <c r="C39" s="31">
        <f>IF($C$5="","",EDATE(C38,1))</f>
        <v/>
      </c>
      <c r="D39">
        <f>IF(INDEX(L_Type,ROW()-4)="","",TRIM(UPPER(INDEX(L_Type,ROW()-4))))</f>
        <v/>
      </c>
      <c r="E39">
        <f>IF(INDEX(P_Status,ROW()-4)="","",TRIM(UPPER(INDEX(P_Status,ROW()-4))))</f>
        <v/>
      </c>
      <c r="F39">
        <f>IF($C$33="","",TEXT($C$33,"yyyy-mm"))</f>
        <v/>
      </c>
      <c r="G39">
        <f>IF(INDEX(L_Status,ROW()-4)="","",TRIM(UPPER(INDEX(L_Status,ROW()-4))))</f>
        <v/>
      </c>
      <c r="J39">
        <f>IF(INDEX(L_ID,ROW()-4)="","",IF(SUMPRODUCT((P_ID=INDEX(L_ID,ROW()-4))*(P_StatusN="INACTIVE"))&gt;0,1,0))</f>
        <v/>
      </c>
    </row>
    <row r="40">
      <c r="A40">
        <f>IF(INDEX(L_ID,ROW()-4)="","",IF(COUNTIF(P_ID,INDEX(L_ID,ROW()-4))&gt;0,1,0))</f>
        <v/>
      </c>
      <c r="B40">
        <f>IF(INDEX(P_Type,ROW()-4)="","",TRIM(UPPER(INDEX(P_Type,ROW()-4))))</f>
        <v/>
      </c>
      <c r="C40" s="31">
        <f>IF($C$5="","",EDATE(C39,1))</f>
        <v/>
      </c>
      <c r="D40">
        <f>IF(INDEX(L_Type,ROW()-4)="","",TRIM(UPPER(INDEX(L_Type,ROW()-4))))</f>
        <v/>
      </c>
      <c r="E40">
        <f>IF(INDEX(P_Status,ROW()-4)="","",TRIM(UPPER(INDEX(P_Status,ROW()-4))))</f>
        <v/>
      </c>
      <c r="F40">
        <f>IF($C$34="","",TEXT($C$34,"yyyy-mm"))</f>
        <v/>
      </c>
      <c r="G40">
        <f>IF(INDEX(L_Status,ROW()-4)="","",TRIM(UPPER(INDEX(L_Status,ROW()-4))))</f>
        <v/>
      </c>
      <c r="J40">
        <f>IF(INDEX(L_ID,ROW()-4)="","",IF(SUMPRODUCT((P_ID=INDEX(L_ID,ROW()-4))*(P_StatusN="INACTIVE"))&gt;0,1,0))</f>
        <v/>
      </c>
    </row>
    <row r="41">
      <c r="A41">
        <f>IF(INDEX(L_ID,ROW()-4)="","",IF(COUNTIF(P_ID,INDEX(L_ID,ROW()-4))&gt;0,1,0))</f>
        <v/>
      </c>
      <c r="B41">
        <f>IF(INDEX(P_Type,ROW()-4)="","",TRIM(UPPER(INDEX(P_Type,ROW()-4))))</f>
        <v/>
      </c>
      <c r="C41" s="31">
        <f>IF($C$5="","",EDATE(C40,1))</f>
        <v/>
      </c>
      <c r="D41">
        <f>IF(INDEX(L_Type,ROW()-4)="","",TRIM(UPPER(INDEX(L_Type,ROW()-4))))</f>
        <v/>
      </c>
      <c r="E41">
        <f>IF(INDEX(P_Status,ROW()-4)="","",TRIM(UPPER(INDEX(P_Status,ROW()-4))))</f>
        <v/>
      </c>
      <c r="F41">
        <f>IF($C$35="","",TEXT($C$35,"yyyy-mm"))</f>
        <v/>
      </c>
      <c r="G41">
        <f>IF(INDEX(L_Status,ROW()-4)="","",TRIM(UPPER(INDEX(L_Status,ROW()-4))))</f>
        <v/>
      </c>
      <c r="J41">
        <f>IF(INDEX(L_ID,ROW()-4)="","",IF(SUMPRODUCT((P_ID=INDEX(L_ID,ROW()-4))*(P_StatusN="INACTIVE"))&gt;0,1,0))</f>
        <v/>
      </c>
    </row>
    <row r="42">
      <c r="A42">
        <f>IF(INDEX(L_ID,ROW()-4)="","",IF(COUNTIF(P_ID,INDEX(L_ID,ROW()-4))&gt;0,1,0))</f>
        <v/>
      </c>
      <c r="B42">
        <f>IF(INDEX(P_Type,ROW()-4)="","",TRIM(UPPER(INDEX(P_Type,ROW()-4))))</f>
        <v/>
      </c>
      <c r="C42" s="31">
        <f>IF($C$5="","",EDATE(C41,1))</f>
        <v/>
      </c>
      <c r="D42">
        <f>IF(INDEX(L_Type,ROW()-4)="","",TRIM(UPPER(INDEX(L_Type,ROW()-4))))</f>
        <v/>
      </c>
      <c r="E42">
        <f>IF(INDEX(P_Status,ROW()-4)="","",TRIM(UPPER(INDEX(P_Status,ROW()-4))))</f>
        <v/>
      </c>
      <c r="F42">
        <f>IF($C$36="","",TEXT($C$36,"yyyy-mm"))</f>
        <v/>
      </c>
      <c r="G42">
        <f>IF(INDEX(L_Status,ROW()-4)="","",TRIM(UPPER(INDEX(L_Status,ROW()-4))))</f>
        <v/>
      </c>
      <c r="J42">
        <f>IF(INDEX(L_ID,ROW()-4)="","",IF(SUMPRODUCT((P_ID=INDEX(L_ID,ROW()-4))*(P_StatusN="INACTIVE"))&gt;0,1,0))</f>
        <v/>
      </c>
    </row>
    <row r="43">
      <c r="A43">
        <f>IF(INDEX(L_ID,ROW()-4)="","",IF(COUNTIF(P_ID,INDEX(L_ID,ROW()-4))&gt;0,1,0))</f>
        <v/>
      </c>
      <c r="B43">
        <f>IF(INDEX(P_Type,ROW()-4)="","",TRIM(UPPER(INDEX(P_Type,ROW()-4))))</f>
        <v/>
      </c>
      <c r="C43" s="31">
        <f>IF($C$5="","",EDATE(C42,1))</f>
        <v/>
      </c>
      <c r="D43">
        <f>IF(INDEX(L_Type,ROW()-4)="","",TRIM(UPPER(INDEX(L_Type,ROW()-4))))</f>
        <v/>
      </c>
      <c r="E43">
        <f>IF(INDEX(P_Status,ROW()-4)="","",TRIM(UPPER(INDEX(P_Status,ROW()-4))))</f>
        <v/>
      </c>
      <c r="F43">
        <f>IF($C$37="","",TEXT($C$37,"yyyy-mm"))</f>
        <v/>
      </c>
      <c r="G43">
        <f>IF(INDEX(L_Status,ROW()-4)="","",TRIM(UPPER(INDEX(L_Status,ROW()-4))))</f>
        <v/>
      </c>
      <c r="J43">
        <f>IF(INDEX(L_ID,ROW()-4)="","",IF(SUMPRODUCT((P_ID=INDEX(L_ID,ROW()-4))*(P_StatusN="INACTIVE"))&gt;0,1,0))</f>
        <v/>
      </c>
    </row>
    <row r="44">
      <c r="A44">
        <f>IF(INDEX(L_ID,ROW()-4)="","",IF(COUNTIF(P_ID,INDEX(L_ID,ROW()-4))&gt;0,1,0))</f>
        <v/>
      </c>
      <c r="B44">
        <f>IF(INDEX(P_Type,ROW()-4)="","",TRIM(UPPER(INDEX(P_Type,ROW()-4))))</f>
        <v/>
      </c>
      <c r="C44" s="31">
        <f>IF($C$5="","",EDATE(C43,1))</f>
        <v/>
      </c>
      <c r="D44">
        <f>IF(INDEX(L_Type,ROW()-4)="","",TRIM(UPPER(INDEX(L_Type,ROW()-4))))</f>
        <v/>
      </c>
      <c r="E44">
        <f>IF(INDEX(P_Status,ROW()-4)="","",TRIM(UPPER(INDEX(P_Status,ROW()-4))))</f>
        <v/>
      </c>
      <c r="F44">
        <f>IF($C$38="","",TEXT($C$38,"yyyy-mm"))</f>
        <v/>
      </c>
      <c r="G44">
        <f>IF(INDEX(L_Status,ROW()-4)="","",TRIM(UPPER(INDEX(L_Status,ROW()-4))))</f>
        <v/>
      </c>
      <c r="J44">
        <f>IF(INDEX(L_ID,ROW()-4)="","",IF(SUMPRODUCT((P_ID=INDEX(L_ID,ROW()-4))*(P_StatusN="INACTIVE"))&gt;0,1,0))</f>
        <v/>
      </c>
    </row>
    <row r="45">
      <c r="A45">
        <f>IF(INDEX(L_ID,ROW()-4)="","",IF(COUNTIF(P_ID,INDEX(L_ID,ROW()-4))&gt;0,1,0))</f>
        <v/>
      </c>
      <c r="B45">
        <f>IF(INDEX(P_Type,ROW()-4)="","",TRIM(UPPER(INDEX(P_Type,ROW()-4))))</f>
        <v/>
      </c>
      <c r="C45" s="31">
        <f>IF($C$5="","",EDATE(C44,1))</f>
        <v/>
      </c>
      <c r="D45">
        <f>IF(INDEX(L_Type,ROW()-4)="","",TRIM(UPPER(INDEX(L_Type,ROW()-4))))</f>
        <v/>
      </c>
      <c r="E45">
        <f>IF(INDEX(P_Status,ROW()-4)="","",TRIM(UPPER(INDEX(P_Status,ROW()-4))))</f>
        <v/>
      </c>
      <c r="F45">
        <f>IF($C$39="","",TEXT($C$39,"yyyy-mm"))</f>
        <v/>
      </c>
      <c r="G45">
        <f>IF(INDEX(L_Status,ROW()-4)="","",TRIM(UPPER(INDEX(L_Status,ROW()-4))))</f>
        <v/>
      </c>
      <c r="J45">
        <f>IF(INDEX(L_ID,ROW()-4)="","",IF(SUMPRODUCT((P_ID=INDEX(L_ID,ROW()-4))*(P_StatusN="INACTIVE"))&gt;0,1,0))</f>
        <v/>
      </c>
    </row>
    <row r="46">
      <c r="A46">
        <f>IF(INDEX(L_ID,ROW()-4)="","",IF(COUNTIF(P_ID,INDEX(L_ID,ROW()-4))&gt;0,1,0))</f>
        <v/>
      </c>
      <c r="B46">
        <f>IF(INDEX(P_Type,ROW()-4)="","",TRIM(UPPER(INDEX(P_Type,ROW()-4))))</f>
        <v/>
      </c>
      <c r="C46" s="31">
        <f>IF($C$5="","",EDATE(C45,1))</f>
        <v/>
      </c>
      <c r="D46">
        <f>IF(INDEX(L_Type,ROW()-4)="","",TRIM(UPPER(INDEX(L_Type,ROW()-4))))</f>
        <v/>
      </c>
      <c r="E46">
        <f>IF(INDEX(P_Status,ROW()-4)="","",TRIM(UPPER(INDEX(P_Status,ROW()-4))))</f>
        <v/>
      </c>
      <c r="F46">
        <f>IF($C$40="","",TEXT($C$40,"yyyy-mm"))</f>
        <v/>
      </c>
      <c r="G46">
        <f>IF(INDEX(L_Status,ROW()-4)="","",TRIM(UPPER(INDEX(L_Status,ROW()-4))))</f>
        <v/>
      </c>
      <c r="J46">
        <f>IF(INDEX(L_ID,ROW()-4)="","",IF(SUMPRODUCT((P_ID=INDEX(L_ID,ROW()-4))*(P_StatusN="INACTIVE"))&gt;0,1,0))</f>
        <v/>
      </c>
    </row>
    <row r="47">
      <c r="A47">
        <f>IF(INDEX(L_ID,ROW()-4)="","",IF(COUNTIF(P_ID,INDEX(L_ID,ROW()-4))&gt;0,1,0))</f>
        <v/>
      </c>
      <c r="B47">
        <f>IF(INDEX(P_Type,ROW()-4)="","",TRIM(UPPER(INDEX(P_Type,ROW()-4))))</f>
        <v/>
      </c>
      <c r="C47" s="31">
        <f>IF($C$5="","",EDATE(C46,1))</f>
        <v/>
      </c>
      <c r="D47">
        <f>IF(INDEX(L_Type,ROW()-4)="","",TRIM(UPPER(INDEX(L_Type,ROW()-4))))</f>
        <v/>
      </c>
      <c r="E47">
        <f>IF(INDEX(P_Status,ROW()-4)="","",TRIM(UPPER(INDEX(P_Status,ROW()-4))))</f>
        <v/>
      </c>
      <c r="F47">
        <f>IF($C$41="","",TEXT($C$41,"yyyy-mm"))</f>
        <v/>
      </c>
      <c r="G47">
        <f>IF(INDEX(L_Status,ROW()-4)="","",TRIM(UPPER(INDEX(L_Status,ROW()-4))))</f>
        <v/>
      </c>
      <c r="J47">
        <f>IF(INDEX(L_ID,ROW()-4)="","",IF(SUMPRODUCT((P_ID=INDEX(L_ID,ROW()-4))*(P_StatusN="INACTIVE"))&gt;0,1,0))</f>
        <v/>
      </c>
    </row>
    <row r="48">
      <c r="A48">
        <f>IF(INDEX(L_ID,ROW()-4)="","",IF(COUNTIF(P_ID,INDEX(L_ID,ROW()-4))&gt;0,1,0))</f>
        <v/>
      </c>
      <c r="B48">
        <f>IF(INDEX(P_Type,ROW()-4)="","",TRIM(UPPER(INDEX(P_Type,ROW()-4))))</f>
        <v/>
      </c>
      <c r="C48" s="31">
        <f>IF($C$5="","",EDATE(C47,1))</f>
        <v/>
      </c>
      <c r="D48">
        <f>IF(INDEX(L_Type,ROW()-4)="","",TRIM(UPPER(INDEX(L_Type,ROW()-4))))</f>
        <v/>
      </c>
      <c r="E48">
        <f>IF(INDEX(P_Status,ROW()-4)="","",TRIM(UPPER(INDEX(P_Status,ROW()-4))))</f>
        <v/>
      </c>
      <c r="F48">
        <f>IF($C$42="","",TEXT($C$42,"yyyy-mm"))</f>
        <v/>
      </c>
      <c r="G48">
        <f>IF(INDEX(L_Status,ROW()-4)="","",TRIM(UPPER(INDEX(L_Status,ROW()-4))))</f>
        <v/>
      </c>
      <c r="J48">
        <f>IF(INDEX(L_ID,ROW()-4)="","",IF(SUMPRODUCT((P_ID=INDEX(L_ID,ROW()-4))*(P_StatusN="INACTIVE"))&gt;0,1,0))</f>
        <v/>
      </c>
    </row>
    <row r="49">
      <c r="A49">
        <f>IF(INDEX(L_ID,ROW()-4)="","",IF(COUNTIF(P_ID,INDEX(L_ID,ROW()-4))&gt;0,1,0))</f>
        <v/>
      </c>
      <c r="B49">
        <f>IF(INDEX(P_Type,ROW()-4)="","",TRIM(UPPER(INDEX(P_Type,ROW()-4))))</f>
        <v/>
      </c>
      <c r="C49" s="31">
        <f>IF($C$5="","",EDATE(C48,1))</f>
        <v/>
      </c>
      <c r="D49">
        <f>IF(INDEX(L_Type,ROW()-4)="","",TRIM(UPPER(INDEX(L_Type,ROW()-4))))</f>
        <v/>
      </c>
      <c r="E49">
        <f>IF(INDEX(P_Status,ROW()-4)="","",TRIM(UPPER(INDEX(P_Status,ROW()-4))))</f>
        <v/>
      </c>
      <c r="F49">
        <f>IF($C$43="","",TEXT($C$43,"yyyy-mm"))</f>
        <v/>
      </c>
      <c r="G49">
        <f>IF(INDEX(L_Status,ROW()-4)="","",TRIM(UPPER(INDEX(L_Status,ROW()-4))))</f>
        <v/>
      </c>
      <c r="J49">
        <f>IF(INDEX(L_ID,ROW()-4)="","",IF(SUMPRODUCT((P_ID=INDEX(L_ID,ROW()-4))*(P_StatusN="INACTIVE"))&gt;0,1,0))</f>
        <v/>
      </c>
    </row>
    <row r="50">
      <c r="A50">
        <f>IF(INDEX(L_ID,ROW()-4)="","",IF(COUNTIF(P_ID,INDEX(L_ID,ROW()-4))&gt;0,1,0))</f>
        <v/>
      </c>
      <c r="B50">
        <f>IF(INDEX(P_Type,ROW()-4)="","",TRIM(UPPER(INDEX(P_Type,ROW()-4))))</f>
        <v/>
      </c>
      <c r="C50" s="31">
        <f>IF($C$5="","",EDATE(C49,1))</f>
        <v/>
      </c>
      <c r="D50">
        <f>IF(INDEX(L_Type,ROW()-4)="","",TRIM(UPPER(INDEX(L_Type,ROW()-4))))</f>
        <v/>
      </c>
      <c r="E50">
        <f>IF(INDEX(P_Status,ROW()-4)="","",TRIM(UPPER(INDEX(P_Status,ROW()-4))))</f>
        <v/>
      </c>
      <c r="F50">
        <f>IF($C$44="","",TEXT($C$44,"yyyy-mm"))</f>
        <v/>
      </c>
      <c r="G50">
        <f>IF(INDEX(L_Status,ROW()-4)="","",TRIM(UPPER(INDEX(L_Status,ROW()-4))))</f>
        <v/>
      </c>
      <c r="J50">
        <f>IF(INDEX(L_ID,ROW()-4)="","",IF(SUMPRODUCT((P_ID=INDEX(L_ID,ROW()-4))*(P_StatusN="INACTIVE"))&gt;0,1,0))</f>
        <v/>
      </c>
    </row>
    <row r="51">
      <c r="A51">
        <f>IF(INDEX(L_ID,ROW()-4)="","",IF(COUNTIF(P_ID,INDEX(L_ID,ROW()-4))&gt;0,1,0))</f>
        <v/>
      </c>
      <c r="B51">
        <f>IF(INDEX(P_Type,ROW()-4)="","",TRIM(UPPER(INDEX(P_Type,ROW()-4))))</f>
        <v/>
      </c>
      <c r="C51" s="31">
        <f>IF($C$5="","",EDATE(C50,1))</f>
        <v/>
      </c>
      <c r="D51">
        <f>IF(INDEX(L_Type,ROW()-4)="","",TRIM(UPPER(INDEX(L_Type,ROW()-4))))</f>
        <v/>
      </c>
      <c r="E51">
        <f>IF(INDEX(P_Status,ROW()-4)="","",TRIM(UPPER(INDEX(P_Status,ROW()-4))))</f>
        <v/>
      </c>
      <c r="F51">
        <f>IF($C$45="","",TEXT($C$45,"yyyy-mm"))</f>
        <v/>
      </c>
      <c r="G51">
        <f>IF(INDEX(L_Status,ROW()-4)="","",TRIM(UPPER(INDEX(L_Status,ROW()-4))))</f>
        <v/>
      </c>
      <c r="J51">
        <f>IF(INDEX(L_ID,ROW()-4)="","",IF(SUMPRODUCT((P_ID=INDEX(L_ID,ROW()-4))*(P_StatusN="INACTIVE"))&gt;0,1,0))</f>
        <v/>
      </c>
    </row>
    <row r="52">
      <c r="A52">
        <f>IF(INDEX(L_ID,ROW()-4)="","",IF(COUNTIF(P_ID,INDEX(L_ID,ROW()-4))&gt;0,1,0))</f>
        <v/>
      </c>
      <c r="B52">
        <f>IF(INDEX(P_Type,ROW()-4)="","",TRIM(UPPER(INDEX(P_Type,ROW()-4))))</f>
        <v/>
      </c>
      <c r="C52" s="31">
        <f>IF($C$5="","",EDATE(C51,1))</f>
        <v/>
      </c>
      <c r="D52">
        <f>IF(INDEX(L_Type,ROW()-4)="","",TRIM(UPPER(INDEX(L_Type,ROW()-4))))</f>
        <v/>
      </c>
      <c r="E52">
        <f>IF(INDEX(P_Status,ROW()-4)="","",TRIM(UPPER(INDEX(P_Status,ROW()-4))))</f>
        <v/>
      </c>
      <c r="F52">
        <f>IF($C$46="","",TEXT($C$46,"yyyy-mm"))</f>
        <v/>
      </c>
      <c r="G52">
        <f>IF(INDEX(L_Status,ROW()-4)="","",TRIM(UPPER(INDEX(L_Status,ROW()-4))))</f>
        <v/>
      </c>
      <c r="J52">
        <f>IF(INDEX(L_ID,ROW()-4)="","",IF(SUMPRODUCT((P_ID=INDEX(L_ID,ROW()-4))*(P_StatusN="INACTIVE"))&gt;0,1,0))</f>
        <v/>
      </c>
    </row>
    <row r="53">
      <c r="A53">
        <f>IF(INDEX(L_ID,ROW()-4)="","",IF(COUNTIF(P_ID,INDEX(L_ID,ROW()-4))&gt;0,1,0))</f>
        <v/>
      </c>
      <c r="B53">
        <f>IF(INDEX(P_Type,ROW()-4)="","",TRIM(UPPER(INDEX(P_Type,ROW()-4))))</f>
        <v/>
      </c>
      <c r="D53">
        <f>IF(INDEX(L_Type,ROW()-4)="","",TRIM(UPPER(INDEX(L_Type,ROW()-4))))</f>
        <v/>
      </c>
      <c r="E53">
        <f>IF(INDEX(P_Status,ROW()-4)="","",TRIM(UPPER(INDEX(P_Status,ROW()-4))))</f>
        <v/>
      </c>
      <c r="F53">
        <f>IF($C$47="","",TEXT($C$47,"yyyy-mm"))</f>
        <v/>
      </c>
      <c r="G53">
        <f>IF(INDEX(L_Status,ROW()-4)="","",TRIM(UPPER(INDEX(L_Status,ROW()-4))))</f>
        <v/>
      </c>
      <c r="J53">
        <f>IF(INDEX(L_ID,ROW()-4)="","",IF(SUMPRODUCT((P_ID=INDEX(L_ID,ROW()-4))*(P_StatusN="INACTIVE"))&gt;0,1,0))</f>
        <v/>
      </c>
    </row>
    <row r="54">
      <c r="A54">
        <f>IF(INDEX(L_ID,ROW()-4)="","",IF(COUNTIF(P_ID,INDEX(L_ID,ROW()-4))&gt;0,1,0))</f>
        <v/>
      </c>
      <c r="B54">
        <f>IF(INDEX(P_Type,ROW()-4)="","",TRIM(UPPER(INDEX(P_Type,ROW()-4))))</f>
        <v/>
      </c>
      <c r="D54">
        <f>IF(INDEX(L_Type,ROW()-4)="","",TRIM(UPPER(INDEX(L_Type,ROW()-4))))</f>
        <v/>
      </c>
      <c r="E54">
        <f>IF(INDEX(P_Status,ROW()-4)="","",TRIM(UPPER(INDEX(P_Status,ROW()-4))))</f>
        <v/>
      </c>
      <c r="F54">
        <f>IF($C$48="","",TEXT($C$48,"yyyy-mm"))</f>
        <v/>
      </c>
      <c r="G54">
        <f>IF(INDEX(L_Status,ROW()-4)="","",TRIM(UPPER(INDEX(L_Status,ROW()-4))))</f>
        <v/>
      </c>
      <c r="J54">
        <f>IF(INDEX(L_ID,ROW()-4)="","",IF(SUMPRODUCT((P_ID=INDEX(L_ID,ROW()-4))*(P_StatusN="INACTIVE"))&gt;0,1,0))</f>
        <v/>
      </c>
    </row>
    <row r="55">
      <c r="A55">
        <f>IF(INDEX(L_ID,ROW()-4)="","",IF(COUNTIF(P_ID,INDEX(L_ID,ROW()-4))&gt;0,1,0))</f>
        <v/>
      </c>
      <c r="B55">
        <f>IF(INDEX(P_Type,ROW()-4)="","",TRIM(UPPER(INDEX(P_Type,ROW()-4))))</f>
        <v/>
      </c>
      <c r="D55">
        <f>IF(INDEX(L_Type,ROW()-4)="","",TRIM(UPPER(INDEX(L_Type,ROW()-4))))</f>
        <v/>
      </c>
      <c r="E55">
        <f>IF(INDEX(P_Status,ROW()-4)="","",TRIM(UPPER(INDEX(P_Status,ROW()-4))))</f>
        <v/>
      </c>
      <c r="F55">
        <f>IF($C$49="","",TEXT($C$49,"yyyy-mm"))</f>
        <v/>
      </c>
      <c r="G55">
        <f>IF(INDEX(L_Status,ROW()-4)="","",TRIM(UPPER(INDEX(L_Status,ROW()-4))))</f>
        <v/>
      </c>
      <c r="J55">
        <f>IF(INDEX(L_ID,ROW()-4)="","",IF(SUMPRODUCT((P_ID=INDEX(L_ID,ROW()-4))*(P_StatusN="INACTIVE"))&gt;0,1,0))</f>
        <v/>
      </c>
    </row>
    <row r="56">
      <c r="A56">
        <f>IF(INDEX(L_ID,ROW()-4)="","",IF(COUNTIF(P_ID,INDEX(L_ID,ROW()-4))&gt;0,1,0))</f>
        <v/>
      </c>
      <c r="B56">
        <f>IF(INDEX(P_Type,ROW()-4)="","",TRIM(UPPER(INDEX(P_Type,ROW()-4))))</f>
        <v/>
      </c>
      <c r="D56">
        <f>IF(INDEX(L_Type,ROW()-4)="","",TRIM(UPPER(INDEX(L_Type,ROW()-4))))</f>
        <v/>
      </c>
      <c r="E56">
        <f>IF(INDEX(P_Status,ROW()-4)="","",TRIM(UPPER(INDEX(P_Status,ROW()-4))))</f>
        <v/>
      </c>
      <c r="F56">
        <f>IF($C$50="","",TEXT($C$50,"yyyy-mm"))</f>
        <v/>
      </c>
      <c r="G56">
        <f>IF(INDEX(L_Status,ROW()-4)="","",TRIM(UPPER(INDEX(L_Status,ROW()-4))))</f>
        <v/>
      </c>
      <c r="J56">
        <f>IF(INDEX(L_ID,ROW()-4)="","",IF(SUMPRODUCT((P_ID=INDEX(L_ID,ROW()-4))*(P_StatusN="INACTIVE"))&gt;0,1,0))</f>
        <v/>
      </c>
    </row>
    <row r="57">
      <c r="A57">
        <f>IF(INDEX(L_ID,ROW()-4)="","",IF(COUNTIF(P_ID,INDEX(L_ID,ROW()-4))&gt;0,1,0))</f>
        <v/>
      </c>
      <c r="B57">
        <f>IF(INDEX(P_Type,ROW()-4)="","",TRIM(UPPER(INDEX(P_Type,ROW()-4))))</f>
        <v/>
      </c>
      <c r="D57">
        <f>IF(INDEX(L_Type,ROW()-4)="","",TRIM(UPPER(INDEX(L_Type,ROW()-4))))</f>
        <v/>
      </c>
      <c r="E57">
        <f>IF(INDEX(P_Status,ROW()-4)="","",TRIM(UPPER(INDEX(P_Status,ROW()-4))))</f>
        <v/>
      </c>
      <c r="F57">
        <f>IF($C$51="","",TEXT($C$51,"yyyy-mm"))</f>
        <v/>
      </c>
      <c r="G57">
        <f>IF(INDEX(L_Status,ROW()-4)="","",TRIM(UPPER(INDEX(L_Status,ROW()-4))))</f>
        <v/>
      </c>
      <c r="J57">
        <f>IF(INDEX(L_ID,ROW()-4)="","",IF(SUMPRODUCT((P_ID=INDEX(L_ID,ROW()-4))*(P_StatusN="INACTIVE"))&gt;0,1,0))</f>
        <v/>
      </c>
    </row>
    <row r="58">
      <c r="A58">
        <f>IF(INDEX(L_ID,ROW()-4)="","",IF(COUNTIF(P_ID,INDEX(L_ID,ROW()-4))&gt;0,1,0))</f>
        <v/>
      </c>
      <c r="B58">
        <f>IF(INDEX(P_Type,ROW()-4)="","",TRIM(UPPER(INDEX(P_Type,ROW()-4))))</f>
        <v/>
      </c>
      <c r="D58">
        <f>IF(INDEX(L_Type,ROW()-4)="","",TRIM(UPPER(INDEX(L_Type,ROW()-4))))</f>
        <v/>
      </c>
      <c r="E58">
        <f>IF(INDEX(P_Status,ROW()-4)="","",TRIM(UPPER(INDEX(P_Status,ROW()-4))))</f>
        <v/>
      </c>
      <c r="F58">
        <f>IF($C$52="","",TEXT($C$52,"yyyy-mm"))</f>
        <v/>
      </c>
      <c r="G58">
        <f>IF(INDEX(L_Status,ROW()-4)="","",TRIM(UPPER(INDEX(L_Status,ROW()-4))))</f>
        <v/>
      </c>
      <c r="J58">
        <f>IF(INDEX(L_ID,ROW()-4)="","",IF(SUMPRODUCT((P_ID=INDEX(L_ID,ROW()-4))*(P_StatusN="INACTIVE"))&gt;0,1,0))</f>
        <v/>
      </c>
    </row>
    <row r="59">
      <c r="A59">
        <f>IF(INDEX(L_ID,ROW()-4)="","",IF(COUNTIF(P_ID,INDEX(L_ID,ROW()-4))&gt;0,1,0))</f>
        <v/>
      </c>
      <c r="B59">
        <f>IF(INDEX(P_Type,ROW()-4)="","",TRIM(UPPER(INDEX(P_Type,ROW()-4))))</f>
        <v/>
      </c>
      <c r="D59">
        <f>IF(INDEX(L_Type,ROW()-4)="","",TRIM(UPPER(INDEX(L_Type,ROW()-4))))</f>
        <v/>
      </c>
      <c r="E59">
        <f>IF(INDEX(P_Status,ROW()-4)="","",TRIM(UPPER(INDEX(P_Status,ROW()-4))))</f>
        <v/>
      </c>
      <c r="G59">
        <f>IF(INDEX(L_Status,ROW()-4)="","",TRIM(UPPER(INDEX(L_Status,ROW()-4))))</f>
        <v/>
      </c>
      <c r="J59">
        <f>IF(INDEX(L_ID,ROW()-4)="","",IF(SUMPRODUCT((P_ID=INDEX(L_ID,ROW()-4))*(P_StatusN="INACTIVE"))&gt;0,1,0))</f>
        <v/>
      </c>
    </row>
    <row r="60">
      <c r="A60">
        <f>IF(INDEX(L_ID,ROW()-4)="","",IF(COUNTIF(P_ID,INDEX(L_ID,ROW()-4))&gt;0,1,0))</f>
        <v/>
      </c>
      <c r="B60">
        <f>IF(INDEX(P_Type,ROW()-4)="","",TRIM(UPPER(INDEX(P_Type,ROW()-4))))</f>
        <v/>
      </c>
      <c r="D60">
        <f>IF(INDEX(L_Type,ROW()-4)="","",TRIM(UPPER(INDEX(L_Type,ROW()-4))))</f>
        <v/>
      </c>
      <c r="E60">
        <f>IF(INDEX(P_Status,ROW()-4)="","",TRIM(UPPER(INDEX(P_Status,ROW()-4))))</f>
        <v/>
      </c>
      <c r="G60">
        <f>IF(INDEX(L_Status,ROW()-4)="","",TRIM(UPPER(INDEX(L_Status,ROW()-4))))</f>
        <v/>
      </c>
      <c r="J60">
        <f>IF(INDEX(L_ID,ROW()-4)="","",IF(SUMPRODUCT((P_ID=INDEX(L_ID,ROW()-4))*(P_StatusN="INACTIVE"))&gt;0,1,0))</f>
        <v/>
      </c>
    </row>
    <row r="61">
      <c r="A61">
        <f>IF(INDEX(L_ID,ROW()-4)="","",IF(COUNTIF(P_ID,INDEX(L_ID,ROW()-4))&gt;0,1,0))</f>
        <v/>
      </c>
      <c r="B61">
        <f>IF(INDEX(P_Type,ROW()-4)="","",TRIM(UPPER(INDEX(P_Type,ROW()-4))))</f>
        <v/>
      </c>
      <c r="D61">
        <f>IF(INDEX(L_Type,ROW()-4)="","",TRIM(UPPER(INDEX(L_Type,ROW()-4))))</f>
        <v/>
      </c>
      <c r="E61">
        <f>IF(INDEX(P_Status,ROW()-4)="","",TRIM(UPPER(INDEX(P_Status,ROW()-4))))</f>
        <v/>
      </c>
      <c r="G61">
        <f>IF(INDEX(L_Status,ROW()-4)="","",TRIM(UPPER(INDEX(L_Status,ROW()-4))))</f>
        <v/>
      </c>
      <c r="J61">
        <f>IF(INDEX(L_ID,ROW()-4)="","",IF(SUMPRODUCT((P_ID=INDEX(L_ID,ROW()-4))*(P_StatusN="INACTIVE"))&gt;0,1,0))</f>
        <v/>
      </c>
    </row>
    <row r="62">
      <c r="A62">
        <f>IF(INDEX(L_ID,ROW()-4)="","",IF(COUNTIF(P_ID,INDEX(L_ID,ROW()-4))&gt;0,1,0))</f>
        <v/>
      </c>
      <c r="B62">
        <f>IF(INDEX(P_Type,ROW()-4)="","",TRIM(UPPER(INDEX(P_Type,ROW()-4))))</f>
        <v/>
      </c>
      <c r="D62">
        <f>IF(INDEX(L_Type,ROW()-4)="","",TRIM(UPPER(INDEX(L_Type,ROW()-4))))</f>
        <v/>
      </c>
      <c r="E62">
        <f>IF(INDEX(P_Status,ROW()-4)="","",TRIM(UPPER(INDEX(P_Status,ROW()-4))))</f>
        <v/>
      </c>
      <c r="G62">
        <f>IF(INDEX(L_Status,ROW()-4)="","",TRIM(UPPER(INDEX(L_Status,ROW()-4))))</f>
        <v/>
      </c>
      <c r="J62">
        <f>IF(INDEX(L_ID,ROW()-4)="","",IF(SUMPRODUCT((P_ID=INDEX(L_ID,ROW()-4))*(P_StatusN="INACTIVE"))&gt;0,1,0))</f>
        <v/>
      </c>
    </row>
    <row r="63">
      <c r="A63">
        <f>IF(INDEX(L_ID,ROW()-4)="","",IF(COUNTIF(P_ID,INDEX(L_ID,ROW()-4))&gt;0,1,0))</f>
        <v/>
      </c>
      <c r="B63">
        <f>IF(INDEX(P_Type,ROW()-4)="","",TRIM(UPPER(INDEX(P_Type,ROW()-4))))</f>
        <v/>
      </c>
      <c r="D63">
        <f>IF(INDEX(L_Type,ROW()-4)="","",TRIM(UPPER(INDEX(L_Type,ROW()-4))))</f>
        <v/>
      </c>
      <c r="E63">
        <f>IF(INDEX(P_Status,ROW()-4)="","",TRIM(UPPER(INDEX(P_Status,ROW()-4))))</f>
        <v/>
      </c>
      <c r="G63">
        <f>IF(INDEX(L_Status,ROW()-4)="","",TRIM(UPPER(INDEX(L_Status,ROW()-4))))</f>
        <v/>
      </c>
      <c r="J63">
        <f>IF(INDEX(L_ID,ROW()-4)="","",IF(SUMPRODUCT((P_ID=INDEX(L_ID,ROW()-4))*(P_StatusN="INACTIVE"))&gt;0,1,0))</f>
        <v/>
      </c>
    </row>
    <row r="64">
      <c r="A64">
        <f>IF(INDEX(L_ID,ROW()-4)="","",IF(COUNTIF(P_ID,INDEX(L_ID,ROW()-4))&gt;0,1,0))</f>
        <v/>
      </c>
      <c r="B64">
        <f>IF(INDEX(P_Type,ROW()-4)="","",TRIM(UPPER(INDEX(P_Type,ROW()-4))))</f>
        <v/>
      </c>
      <c r="D64">
        <f>IF(INDEX(L_Type,ROW()-4)="","",TRIM(UPPER(INDEX(L_Type,ROW()-4))))</f>
        <v/>
      </c>
      <c r="E64">
        <f>IF(INDEX(P_Status,ROW()-4)="","",TRIM(UPPER(INDEX(P_Status,ROW()-4))))</f>
        <v/>
      </c>
      <c r="G64">
        <f>IF(INDEX(L_Status,ROW()-4)="","",TRIM(UPPER(INDEX(L_Status,ROW()-4))))</f>
        <v/>
      </c>
      <c r="J64">
        <f>IF(INDEX(L_ID,ROW()-4)="","",IF(SUMPRODUCT((P_ID=INDEX(L_ID,ROW()-4))*(P_StatusN="INACTIVE"))&gt;0,1,0))</f>
        <v/>
      </c>
    </row>
    <row r="65">
      <c r="A65">
        <f>IF(INDEX(L_ID,ROW()-4)="","",IF(COUNTIF(P_ID,INDEX(L_ID,ROW()-4))&gt;0,1,0))</f>
        <v/>
      </c>
      <c r="B65">
        <f>IF(INDEX(P_Type,ROW()-4)="","",TRIM(UPPER(INDEX(P_Type,ROW()-4))))</f>
        <v/>
      </c>
      <c r="D65">
        <f>IF(INDEX(L_Type,ROW()-4)="","",TRIM(UPPER(INDEX(L_Type,ROW()-4))))</f>
        <v/>
      </c>
      <c r="E65">
        <f>IF(INDEX(P_Status,ROW()-4)="","",TRIM(UPPER(INDEX(P_Status,ROW()-4))))</f>
        <v/>
      </c>
      <c r="G65">
        <f>IF(INDEX(L_Status,ROW()-4)="","",TRIM(UPPER(INDEX(L_Status,ROW()-4))))</f>
        <v/>
      </c>
      <c r="J65">
        <f>IF(INDEX(L_ID,ROW()-4)="","",IF(SUMPRODUCT((P_ID=INDEX(L_ID,ROW()-4))*(P_StatusN="INACTIVE"))&gt;0,1,0))</f>
        <v/>
      </c>
    </row>
    <row r="66">
      <c r="A66">
        <f>IF(INDEX(L_ID,ROW()-4)="","",IF(COUNTIF(P_ID,INDEX(L_ID,ROW()-4))&gt;0,1,0))</f>
        <v/>
      </c>
      <c r="B66">
        <f>IF(INDEX(P_Type,ROW()-4)="","",TRIM(UPPER(INDEX(P_Type,ROW()-4))))</f>
        <v/>
      </c>
      <c r="D66">
        <f>IF(INDEX(L_Type,ROW()-4)="","",TRIM(UPPER(INDEX(L_Type,ROW()-4))))</f>
        <v/>
      </c>
      <c r="E66">
        <f>IF(INDEX(P_Status,ROW()-4)="","",TRIM(UPPER(INDEX(P_Status,ROW()-4))))</f>
        <v/>
      </c>
      <c r="G66">
        <f>IF(INDEX(L_Status,ROW()-4)="","",TRIM(UPPER(INDEX(L_Status,ROW()-4))))</f>
        <v/>
      </c>
      <c r="J66">
        <f>IF(INDEX(L_ID,ROW()-4)="","",IF(SUMPRODUCT((P_ID=INDEX(L_ID,ROW()-4))*(P_StatusN="INACTIVE"))&gt;0,1,0))</f>
        <v/>
      </c>
    </row>
    <row r="67">
      <c r="A67">
        <f>IF(INDEX(L_ID,ROW()-4)="","",IF(COUNTIF(P_ID,INDEX(L_ID,ROW()-4))&gt;0,1,0))</f>
        <v/>
      </c>
      <c r="B67">
        <f>IF(INDEX(P_Type,ROW()-4)="","",TRIM(UPPER(INDEX(P_Type,ROW()-4))))</f>
        <v/>
      </c>
      <c r="D67">
        <f>IF(INDEX(L_Type,ROW()-4)="","",TRIM(UPPER(INDEX(L_Type,ROW()-4))))</f>
        <v/>
      </c>
      <c r="E67">
        <f>IF(INDEX(P_Status,ROW()-4)="","",TRIM(UPPER(INDEX(P_Status,ROW()-4))))</f>
        <v/>
      </c>
      <c r="G67">
        <f>IF(INDEX(L_Status,ROW()-4)="","",TRIM(UPPER(INDEX(L_Status,ROW()-4))))</f>
        <v/>
      </c>
      <c r="J67">
        <f>IF(INDEX(L_ID,ROW()-4)="","",IF(SUMPRODUCT((P_ID=INDEX(L_ID,ROW()-4))*(P_StatusN="INACTIVE"))&gt;0,1,0))</f>
        <v/>
      </c>
    </row>
    <row r="68">
      <c r="A68">
        <f>IF(INDEX(L_ID,ROW()-4)="","",IF(COUNTIF(P_ID,INDEX(L_ID,ROW()-4))&gt;0,1,0))</f>
        <v/>
      </c>
      <c r="B68">
        <f>IF(INDEX(P_Type,ROW()-4)="","",TRIM(UPPER(INDEX(P_Type,ROW()-4))))</f>
        <v/>
      </c>
      <c r="D68">
        <f>IF(INDEX(L_Type,ROW()-4)="","",TRIM(UPPER(INDEX(L_Type,ROW()-4))))</f>
        <v/>
      </c>
      <c r="E68">
        <f>IF(INDEX(P_Status,ROW()-4)="","",TRIM(UPPER(INDEX(P_Status,ROW()-4))))</f>
        <v/>
      </c>
      <c r="G68">
        <f>IF(INDEX(L_Status,ROW()-4)="","",TRIM(UPPER(INDEX(L_Status,ROW()-4))))</f>
        <v/>
      </c>
      <c r="J68">
        <f>IF(INDEX(L_ID,ROW()-4)="","",IF(SUMPRODUCT((P_ID=INDEX(L_ID,ROW()-4))*(P_StatusN="INACTIVE"))&gt;0,1,0))</f>
        <v/>
      </c>
    </row>
    <row r="69">
      <c r="A69">
        <f>IF(INDEX(L_ID,ROW()-4)="","",IF(COUNTIF(P_ID,INDEX(L_ID,ROW()-4))&gt;0,1,0))</f>
        <v/>
      </c>
      <c r="B69">
        <f>IF(INDEX(P_Type,ROW()-4)="","",TRIM(UPPER(INDEX(P_Type,ROW()-4))))</f>
        <v/>
      </c>
      <c r="D69">
        <f>IF(INDEX(L_Type,ROW()-4)="","",TRIM(UPPER(INDEX(L_Type,ROW()-4))))</f>
        <v/>
      </c>
      <c r="E69">
        <f>IF(INDEX(P_Status,ROW()-4)="","",TRIM(UPPER(INDEX(P_Status,ROW()-4))))</f>
        <v/>
      </c>
      <c r="G69">
        <f>IF(INDEX(L_Status,ROW()-4)="","",TRIM(UPPER(INDEX(L_Status,ROW()-4))))</f>
        <v/>
      </c>
      <c r="J69">
        <f>IF(INDEX(L_ID,ROW()-4)="","",IF(SUMPRODUCT((P_ID=INDEX(L_ID,ROW()-4))*(P_StatusN="INACTIVE"))&gt;0,1,0))</f>
        <v/>
      </c>
    </row>
    <row r="70">
      <c r="A70">
        <f>IF(INDEX(L_ID,ROW()-4)="","",IF(COUNTIF(P_ID,INDEX(L_ID,ROW()-4))&gt;0,1,0))</f>
        <v/>
      </c>
      <c r="B70">
        <f>IF(INDEX(P_Type,ROW()-4)="","",TRIM(UPPER(INDEX(P_Type,ROW()-4))))</f>
        <v/>
      </c>
      <c r="D70">
        <f>IF(INDEX(L_Type,ROW()-4)="","",TRIM(UPPER(INDEX(L_Type,ROW()-4))))</f>
        <v/>
      </c>
      <c r="E70">
        <f>IF(INDEX(P_Status,ROW()-4)="","",TRIM(UPPER(INDEX(P_Status,ROW()-4))))</f>
        <v/>
      </c>
      <c r="G70">
        <f>IF(INDEX(L_Status,ROW()-4)="","",TRIM(UPPER(INDEX(L_Status,ROW()-4))))</f>
        <v/>
      </c>
      <c r="J70">
        <f>IF(INDEX(L_ID,ROW()-4)="","",IF(SUMPRODUCT((P_ID=INDEX(L_ID,ROW()-4))*(P_StatusN="INACTIVE"))&gt;0,1,0))</f>
        <v/>
      </c>
    </row>
    <row r="71">
      <c r="A71">
        <f>IF(INDEX(L_ID,ROW()-4)="","",IF(COUNTIF(P_ID,INDEX(L_ID,ROW()-4))&gt;0,1,0))</f>
        <v/>
      </c>
      <c r="B71">
        <f>IF(INDEX(P_Type,ROW()-4)="","",TRIM(UPPER(INDEX(P_Type,ROW()-4))))</f>
        <v/>
      </c>
      <c r="D71">
        <f>IF(INDEX(L_Type,ROW()-4)="","",TRIM(UPPER(INDEX(L_Type,ROW()-4))))</f>
        <v/>
      </c>
      <c r="E71">
        <f>IF(INDEX(P_Status,ROW()-4)="","",TRIM(UPPER(INDEX(P_Status,ROW()-4))))</f>
        <v/>
      </c>
      <c r="G71">
        <f>IF(INDEX(L_Status,ROW()-4)="","",TRIM(UPPER(INDEX(L_Status,ROW()-4))))</f>
        <v/>
      </c>
      <c r="J71">
        <f>IF(INDEX(L_ID,ROW()-4)="","",IF(SUMPRODUCT((P_ID=INDEX(L_ID,ROW()-4))*(P_StatusN="INACTIVE"))&gt;0,1,0))</f>
        <v/>
      </c>
    </row>
    <row r="72">
      <c r="A72">
        <f>IF(INDEX(L_ID,ROW()-4)="","",IF(COUNTIF(P_ID,INDEX(L_ID,ROW()-4))&gt;0,1,0))</f>
        <v/>
      </c>
      <c r="B72">
        <f>IF(INDEX(P_Type,ROW()-4)="","",TRIM(UPPER(INDEX(P_Type,ROW()-4))))</f>
        <v/>
      </c>
      <c r="D72">
        <f>IF(INDEX(L_Type,ROW()-4)="","",TRIM(UPPER(INDEX(L_Type,ROW()-4))))</f>
        <v/>
      </c>
      <c r="E72">
        <f>IF(INDEX(P_Status,ROW()-4)="","",TRIM(UPPER(INDEX(P_Status,ROW()-4))))</f>
        <v/>
      </c>
      <c r="G72">
        <f>IF(INDEX(L_Status,ROW()-4)="","",TRIM(UPPER(INDEX(L_Status,ROW()-4))))</f>
        <v/>
      </c>
      <c r="J72">
        <f>IF(INDEX(L_ID,ROW()-4)="","",IF(SUMPRODUCT((P_ID=INDEX(L_ID,ROW()-4))*(P_StatusN="INACTIVE"))&gt;0,1,0))</f>
        <v/>
      </c>
    </row>
    <row r="73">
      <c r="A73">
        <f>IF(INDEX(L_ID,ROW()-4)="","",IF(COUNTIF(P_ID,INDEX(L_ID,ROW()-4))&gt;0,1,0))</f>
        <v/>
      </c>
      <c r="B73">
        <f>IF(INDEX(P_Type,ROW()-4)="","",TRIM(UPPER(INDEX(P_Type,ROW()-4))))</f>
        <v/>
      </c>
      <c r="D73">
        <f>IF(INDEX(L_Type,ROW()-4)="","",TRIM(UPPER(INDEX(L_Type,ROW()-4))))</f>
        <v/>
      </c>
      <c r="E73">
        <f>IF(INDEX(P_Status,ROW()-4)="","",TRIM(UPPER(INDEX(P_Status,ROW()-4))))</f>
        <v/>
      </c>
      <c r="G73">
        <f>IF(INDEX(L_Status,ROW()-4)="","",TRIM(UPPER(INDEX(L_Status,ROW()-4))))</f>
        <v/>
      </c>
      <c r="J73">
        <f>IF(INDEX(L_ID,ROW()-4)="","",IF(SUMPRODUCT((P_ID=INDEX(L_ID,ROW()-4))*(P_StatusN="INACTIVE"))&gt;0,1,0))</f>
        <v/>
      </c>
    </row>
    <row r="74">
      <c r="A74">
        <f>IF(INDEX(L_ID,ROW()-4)="","",IF(COUNTIF(P_ID,INDEX(L_ID,ROW()-4))&gt;0,1,0))</f>
        <v/>
      </c>
      <c r="B74">
        <f>IF(INDEX(P_Type,ROW()-4)="","",TRIM(UPPER(INDEX(P_Type,ROW()-4))))</f>
        <v/>
      </c>
      <c r="D74">
        <f>IF(INDEX(L_Type,ROW()-4)="","",TRIM(UPPER(INDEX(L_Type,ROW()-4))))</f>
        <v/>
      </c>
      <c r="E74">
        <f>IF(INDEX(P_Status,ROW()-4)="","",TRIM(UPPER(INDEX(P_Status,ROW()-4))))</f>
        <v/>
      </c>
      <c r="G74">
        <f>IF(INDEX(L_Status,ROW()-4)="","",TRIM(UPPER(INDEX(L_Status,ROW()-4))))</f>
        <v/>
      </c>
      <c r="J74">
        <f>IF(INDEX(L_ID,ROW()-4)="","",IF(SUMPRODUCT((P_ID=INDEX(L_ID,ROW()-4))*(P_StatusN="INACTIVE"))&gt;0,1,0))</f>
        <v/>
      </c>
    </row>
    <row r="75">
      <c r="A75">
        <f>IF(INDEX(L_ID,ROW()-4)="","",IF(COUNTIF(P_ID,INDEX(L_ID,ROW()-4))&gt;0,1,0))</f>
        <v/>
      </c>
      <c r="B75">
        <f>IF(INDEX(P_Type,ROW()-4)="","",TRIM(UPPER(INDEX(P_Type,ROW()-4))))</f>
        <v/>
      </c>
      <c r="D75">
        <f>IF(INDEX(L_Type,ROW()-4)="","",TRIM(UPPER(INDEX(L_Type,ROW()-4))))</f>
        <v/>
      </c>
      <c r="E75">
        <f>IF(INDEX(P_Status,ROW()-4)="","",TRIM(UPPER(INDEX(P_Status,ROW()-4))))</f>
        <v/>
      </c>
      <c r="G75">
        <f>IF(INDEX(L_Status,ROW()-4)="","",TRIM(UPPER(INDEX(L_Status,ROW()-4))))</f>
        <v/>
      </c>
      <c r="J75">
        <f>IF(INDEX(L_ID,ROW()-4)="","",IF(SUMPRODUCT((P_ID=INDEX(L_ID,ROW()-4))*(P_StatusN="INACTIVE"))&gt;0,1,0))</f>
        <v/>
      </c>
    </row>
    <row r="76">
      <c r="A76">
        <f>IF(INDEX(L_ID,ROW()-4)="","",IF(COUNTIF(P_ID,INDEX(L_ID,ROW()-4))&gt;0,1,0))</f>
        <v/>
      </c>
      <c r="B76">
        <f>IF(INDEX(P_Type,ROW()-4)="","",TRIM(UPPER(INDEX(P_Type,ROW()-4))))</f>
        <v/>
      </c>
      <c r="D76">
        <f>IF(INDEX(L_Type,ROW()-4)="","",TRIM(UPPER(INDEX(L_Type,ROW()-4))))</f>
        <v/>
      </c>
      <c r="E76">
        <f>IF(INDEX(P_Status,ROW()-4)="","",TRIM(UPPER(INDEX(P_Status,ROW()-4))))</f>
        <v/>
      </c>
      <c r="G76">
        <f>IF(INDEX(L_Status,ROW()-4)="","",TRIM(UPPER(INDEX(L_Status,ROW()-4))))</f>
        <v/>
      </c>
      <c r="J76">
        <f>IF(INDEX(L_ID,ROW()-4)="","",IF(SUMPRODUCT((P_ID=INDEX(L_ID,ROW()-4))*(P_StatusN="INACTIVE"))&gt;0,1,0))</f>
        <v/>
      </c>
    </row>
    <row r="77">
      <c r="A77">
        <f>IF(INDEX(L_ID,ROW()-4)="","",IF(COUNTIF(P_ID,INDEX(L_ID,ROW()-4))&gt;0,1,0))</f>
        <v/>
      </c>
      <c r="B77">
        <f>IF(INDEX(P_Type,ROW()-4)="","",TRIM(UPPER(INDEX(P_Type,ROW()-4))))</f>
        <v/>
      </c>
      <c r="D77">
        <f>IF(INDEX(L_Type,ROW()-4)="","",TRIM(UPPER(INDEX(L_Type,ROW()-4))))</f>
        <v/>
      </c>
      <c r="E77">
        <f>IF(INDEX(P_Status,ROW()-4)="","",TRIM(UPPER(INDEX(P_Status,ROW()-4))))</f>
        <v/>
      </c>
      <c r="G77">
        <f>IF(INDEX(L_Status,ROW()-4)="","",TRIM(UPPER(INDEX(L_Status,ROW()-4))))</f>
        <v/>
      </c>
      <c r="J77">
        <f>IF(INDEX(L_ID,ROW()-4)="","",IF(SUMPRODUCT((P_ID=INDEX(L_ID,ROW()-4))*(P_StatusN="INACTIVE"))&gt;0,1,0))</f>
        <v/>
      </c>
    </row>
    <row r="78">
      <c r="A78">
        <f>IF(INDEX(L_ID,ROW()-4)="","",IF(COUNTIF(P_ID,INDEX(L_ID,ROW()-4))&gt;0,1,0))</f>
        <v/>
      </c>
      <c r="B78">
        <f>IF(INDEX(P_Type,ROW()-4)="","",TRIM(UPPER(INDEX(P_Type,ROW()-4))))</f>
        <v/>
      </c>
      <c r="D78">
        <f>IF(INDEX(L_Type,ROW()-4)="","",TRIM(UPPER(INDEX(L_Type,ROW()-4))))</f>
        <v/>
      </c>
      <c r="E78">
        <f>IF(INDEX(P_Status,ROW()-4)="","",TRIM(UPPER(INDEX(P_Status,ROW()-4))))</f>
        <v/>
      </c>
      <c r="G78">
        <f>IF(INDEX(L_Status,ROW()-4)="","",TRIM(UPPER(INDEX(L_Status,ROW()-4))))</f>
        <v/>
      </c>
      <c r="J78">
        <f>IF(INDEX(L_ID,ROW()-4)="","",IF(SUMPRODUCT((P_ID=INDEX(L_ID,ROW()-4))*(P_StatusN="INACTIVE"))&gt;0,1,0))</f>
        <v/>
      </c>
    </row>
    <row r="79">
      <c r="A79">
        <f>IF(INDEX(L_ID,ROW()-4)="","",IF(COUNTIF(P_ID,INDEX(L_ID,ROW()-4))&gt;0,1,0))</f>
        <v/>
      </c>
      <c r="B79">
        <f>IF(INDEX(P_Type,ROW()-4)="","",TRIM(UPPER(INDEX(P_Type,ROW()-4))))</f>
        <v/>
      </c>
      <c r="D79">
        <f>IF(INDEX(L_Type,ROW()-4)="","",TRIM(UPPER(INDEX(L_Type,ROW()-4))))</f>
        <v/>
      </c>
      <c r="E79">
        <f>IF(INDEX(P_Status,ROW()-4)="","",TRIM(UPPER(INDEX(P_Status,ROW()-4))))</f>
        <v/>
      </c>
      <c r="G79">
        <f>IF(INDEX(L_Status,ROW()-4)="","",TRIM(UPPER(INDEX(L_Status,ROW()-4))))</f>
        <v/>
      </c>
      <c r="J79">
        <f>IF(INDEX(L_ID,ROW()-4)="","",IF(SUMPRODUCT((P_ID=INDEX(L_ID,ROW()-4))*(P_StatusN="INACTIVE"))&gt;0,1,0))</f>
        <v/>
      </c>
    </row>
    <row r="80">
      <c r="A80">
        <f>IF(INDEX(L_ID,ROW()-4)="","",IF(COUNTIF(P_ID,INDEX(L_ID,ROW()-4))&gt;0,1,0))</f>
        <v/>
      </c>
      <c r="B80">
        <f>IF(INDEX(P_Type,ROW()-4)="","",TRIM(UPPER(INDEX(P_Type,ROW()-4))))</f>
        <v/>
      </c>
      <c r="D80">
        <f>IF(INDEX(L_Type,ROW()-4)="","",TRIM(UPPER(INDEX(L_Type,ROW()-4))))</f>
        <v/>
      </c>
      <c r="E80">
        <f>IF(INDEX(P_Status,ROW()-4)="","",TRIM(UPPER(INDEX(P_Status,ROW()-4))))</f>
        <v/>
      </c>
      <c r="G80">
        <f>IF(INDEX(L_Status,ROW()-4)="","",TRIM(UPPER(INDEX(L_Status,ROW()-4))))</f>
        <v/>
      </c>
      <c r="J80">
        <f>IF(INDEX(L_ID,ROW()-4)="","",IF(SUMPRODUCT((P_ID=INDEX(L_ID,ROW()-4))*(P_StatusN="INACTIVE"))&gt;0,1,0))</f>
        <v/>
      </c>
    </row>
    <row r="81">
      <c r="A81">
        <f>IF(INDEX(L_ID,ROW()-4)="","",IF(COUNTIF(P_ID,INDEX(L_ID,ROW()-4))&gt;0,1,0))</f>
        <v/>
      </c>
      <c r="B81">
        <f>IF(INDEX(P_Type,ROW()-4)="","",TRIM(UPPER(INDEX(P_Type,ROW()-4))))</f>
        <v/>
      </c>
      <c r="D81">
        <f>IF(INDEX(L_Type,ROW()-4)="","",TRIM(UPPER(INDEX(L_Type,ROW()-4))))</f>
        <v/>
      </c>
      <c r="E81">
        <f>IF(INDEX(P_Status,ROW()-4)="","",TRIM(UPPER(INDEX(P_Status,ROW()-4))))</f>
        <v/>
      </c>
      <c r="G81">
        <f>IF(INDEX(L_Status,ROW()-4)="","",TRIM(UPPER(INDEX(L_Status,ROW()-4))))</f>
        <v/>
      </c>
      <c r="J81">
        <f>IF(INDEX(L_ID,ROW()-4)="","",IF(SUMPRODUCT((P_ID=INDEX(L_ID,ROW()-4))*(P_StatusN="INACTIVE"))&gt;0,1,0))</f>
        <v/>
      </c>
    </row>
    <row r="82">
      <c r="A82">
        <f>IF(INDEX(L_ID,ROW()-4)="","",IF(COUNTIF(P_ID,INDEX(L_ID,ROW()-4))&gt;0,1,0))</f>
        <v/>
      </c>
      <c r="B82">
        <f>IF(INDEX(P_Type,ROW()-4)="","",TRIM(UPPER(INDEX(P_Type,ROW()-4))))</f>
        <v/>
      </c>
      <c r="D82">
        <f>IF(INDEX(L_Type,ROW()-4)="","",TRIM(UPPER(INDEX(L_Type,ROW()-4))))</f>
        <v/>
      </c>
      <c r="E82">
        <f>IF(INDEX(P_Status,ROW()-4)="","",TRIM(UPPER(INDEX(P_Status,ROW()-4))))</f>
        <v/>
      </c>
      <c r="G82">
        <f>IF(INDEX(L_Status,ROW()-4)="","",TRIM(UPPER(INDEX(L_Status,ROW()-4))))</f>
        <v/>
      </c>
      <c r="J82">
        <f>IF(INDEX(L_ID,ROW()-4)="","",IF(SUMPRODUCT((P_ID=INDEX(L_ID,ROW()-4))*(P_StatusN="INACTIVE"))&gt;0,1,0))</f>
        <v/>
      </c>
    </row>
    <row r="83">
      <c r="A83">
        <f>IF(INDEX(L_ID,ROW()-4)="","",IF(COUNTIF(P_ID,INDEX(L_ID,ROW()-4))&gt;0,1,0))</f>
        <v/>
      </c>
      <c r="B83">
        <f>IF(INDEX(P_Type,ROW()-4)="","",TRIM(UPPER(INDEX(P_Type,ROW()-4))))</f>
        <v/>
      </c>
      <c r="D83">
        <f>IF(INDEX(L_Type,ROW()-4)="","",TRIM(UPPER(INDEX(L_Type,ROW()-4))))</f>
        <v/>
      </c>
      <c r="E83">
        <f>IF(INDEX(P_Status,ROW()-4)="","",TRIM(UPPER(INDEX(P_Status,ROW()-4))))</f>
        <v/>
      </c>
      <c r="G83">
        <f>IF(INDEX(L_Status,ROW()-4)="","",TRIM(UPPER(INDEX(L_Status,ROW()-4))))</f>
        <v/>
      </c>
      <c r="J83">
        <f>IF(INDEX(L_ID,ROW()-4)="","",IF(SUMPRODUCT((P_ID=INDEX(L_ID,ROW()-4))*(P_StatusN="INACTIVE"))&gt;0,1,0))</f>
        <v/>
      </c>
    </row>
    <row r="84">
      <c r="A84">
        <f>IF(INDEX(L_ID,ROW()-4)="","",IF(COUNTIF(P_ID,INDEX(L_ID,ROW()-4))&gt;0,1,0))</f>
        <v/>
      </c>
      <c r="B84">
        <f>IF(INDEX(P_Type,ROW()-4)="","",TRIM(UPPER(INDEX(P_Type,ROW()-4))))</f>
        <v/>
      </c>
      <c r="D84">
        <f>IF(INDEX(L_Type,ROW()-4)="","",TRIM(UPPER(INDEX(L_Type,ROW()-4))))</f>
        <v/>
      </c>
      <c r="E84">
        <f>IF(INDEX(P_Status,ROW()-4)="","",TRIM(UPPER(INDEX(P_Status,ROW()-4))))</f>
        <v/>
      </c>
      <c r="G84">
        <f>IF(INDEX(L_Status,ROW()-4)="","",TRIM(UPPER(INDEX(L_Status,ROW()-4))))</f>
        <v/>
      </c>
      <c r="J84">
        <f>IF(INDEX(L_ID,ROW()-4)="","",IF(SUMPRODUCT((P_ID=INDEX(L_ID,ROW()-4))*(P_StatusN="INACTIVE"))&gt;0,1,0))</f>
        <v/>
      </c>
    </row>
    <row r="85">
      <c r="A85">
        <f>IF(INDEX(L_ID,ROW()-4)="","",IF(COUNTIF(P_ID,INDEX(L_ID,ROW()-4))&gt;0,1,0))</f>
        <v/>
      </c>
      <c r="B85">
        <f>IF(INDEX(P_Type,ROW()-4)="","",TRIM(UPPER(INDEX(P_Type,ROW()-4))))</f>
        <v/>
      </c>
      <c r="D85">
        <f>IF(INDEX(L_Type,ROW()-4)="","",TRIM(UPPER(INDEX(L_Type,ROW()-4))))</f>
        <v/>
      </c>
      <c r="E85">
        <f>IF(INDEX(P_Status,ROW()-4)="","",TRIM(UPPER(INDEX(P_Status,ROW()-4))))</f>
        <v/>
      </c>
      <c r="G85">
        <f>IF(INDEX(L_Status,ROW()-4)="","",TRIM(UPPER(INDEX(L_Status,ROW()-4))))</f>
        <v/>
      </c>
      <c r="J85">
        <f>IF(INDEX(L_ID,ROW()-4)="","",IF(SUMPRODUCT((P_ID=INDEX(L_ID,ROW()-4))*(P_StatusN="INACTIVE"))&gt;0,1,0))</f>
        <v/>
      </c>
    </row>
    <row r="86">
      <c r="A86">
        <f>IF(INDEX(L_ID,ROW()-4)="","",IF(COUNTIF(P_ID,INDEX(L_ID,ROW()-4))&gt;0,1,0))</f>
        <v/>
      </c>
      <c r="B86">
        <f>IF(INDEX(P_Type,ROW()-4)="","",TRIM(UPPER(INDEX(P_Type,ROW()-4))))</f>
        <v/>
      </c>
      <c r="D86">
        <f>IF(INDEX(L_Type,ROW()-4)="","",TRIM(UPPER(INDEX(L_Type,ROW()-4))))</f>
        <v/>
      </c>
      <c r="E86">
        <f>IF(INDEX(P_Status,ROW()-4)="","",TRIM(UPPER(INDEX(P_Status,ROW()-4))))</f>
        <v/>
      </c>
      <c r="G86">
        <f>IF(INDEX(L_Status,ROW()-4)="","",TRIM(UPPER(INDEX(L_Status,ROW()-4))))</f>
        <v/>
      </c>
      <c r="J86">
        <f>IF(INDEX(L_ID,ROW()-4)="","",IF(SUMPRODUCT((P_ID=INDEX(L_ID,ROW()-4))*(P_StatusN="INACTIVE"))&gt;0,1,0))</f>
        <v/>
      </c>
    </row>
    <row r="87">
      <c r="A87">
        <f>IF(INDEX(L_ID,ROW()-4)="","",IF(COUNTIF(P_ID,INDEX(L_ID,ROW()-4))&gt;0,1,0))</f>
        <v/>
      </c>
      <c r="B87">
        <f>IF(INDEX(P_Type,ROW()-4)="","",TRIM(UPPER(INDEX(P_Type,ROW()-4))))</f>
        <v/>
      </c>
      <c r="D87">
        <f>IF(INDEX(L_Type,ROW()-4)="","",TRIM(UPPER(INDEX(L_Type,ROW()-4))))</f>
        <v/>
      </c>
      <c r="E87">
        <f>IF(INDEX(P_Status,ROW()-4)="","",TRIM(UPPER(INDEX(P_Status,ROW()-4))))</f>
        <v/>
      </c>
      <c r="G87">
        <f>IF(INDEX(L_Status,ROW()-4)="","",TRIM(UPPER(INDEX(L_Status,ROW()-4))))</f>
        <v/>
      </c>
      <c r="J87">
        <f>IF(INDEX(L_ID,ROW()-4)="","",IF(SUMPRODUCT((P_ID=INDEX(L_ID,ROW()-4))*(P_StatusN="INACTIVE"))&gt;0,1,0))</f>
        <v/>
      </c>
    </row>
    <row r="88">
      <c r="A88">
        <f>IF(INDEX(L_ID,ROW()-4)="","",IF(COUNTIF(P_ID,INDEX(L_ID,ROW()-4))&gt;0,1,0))</f>
        <v/>
      </c>
      <c r="B88">
        <f>IF(INDEX(P_Type,ROW()-4)="","",TRIM(UPPER(INDEX(P_Type,ROW()-4))))</f>
        <v/>
      </c>
      <c r="D88">
        <f>IF(INDEX(L_Type,ROW()-4)="","",TRIM(UPPER(INDEX(L_Type,ROW()-4))))</f>
        <v/>
      </c>
      <c r="E88">
        <f>IF(INDEX(P_Status,ROW()-4)="","",TRIM(UPPER(INDEX(P_Status,ROW()-4))))</f>
        <v/>
      </c>
      <c r="G88">
        <f>IF(INDEX(L_Status,ROW()-4)="","",TRIM(UPPER(INDEX(L_Status,ROW()-4))))</f>
        <v/>
      </c>
      <c r="J88">
        <f>IF(INDEX(L_ID,ROW()-4)="","",IF(SUMPRODUCT((P_ID=INDEX(L_ID,ROW()-4))*(P_StatusN="INACTIVE"))&gt;0,1,0))</f>
        <v/>
      </c>
    </row>
    <row r="89">
      <c r="A89">
        <f>IF(INDEX(L_ID,ROW()-4)="","",IF(COUNTIF(P_ID,INDEX(L_ID,ROW()-4))&gt;0,1,0))</f>
        <v/>
      </c>
      <c r="B89">
        <f>IF(INDEX(P_Type,ROW()-4)="","",TRIM(UPPER(INDEX(P_Type,ROW()-4))))</f>
        <v/>
      </c>
      <c r="D89">
        <f>IF(INDEX(L_Type,ROW()-4)="","",TRIM(UPPER(INDEX(L_Type,ROW()-4))))</f>
        <v/>
      </c>
      <c r="E89">
        <f>IF(INDEX(P_Status,ROW()-4)="","",TRIM(UPPER(INDEX(P_Status,ROW()-4))))</f>
        <v/>
      </c>
      <c r="G89">
        <f>IF(INDEX(L_Status,ROW()-4)="","",TRIM(UPPER(INDEX(L_Status,ROW()-4))))</f>
        <v/>
      </c>
      <c r="J89">
        <f>IF(INDEX(L_ID,ROW()-4)="","",IF(SUMPRODUCT((P_ID=INDEX(L_ID,ROW()-4))*(P_StatusN="INACTIVE"))&gt;0,1,0))</f>
        <v/>
      </c>
    </row>
    <row r="90">
      <c r="A90">
        <f>IF(INDEX(L_ID,ROW()-4)="","",IF(COUNTIF(P_ID,INDEX(L_ID,ROW()-4))&gt;0,1,0))</f>
        <v/>
      </c>
      <c r="B90">
        <f>IF(INDEX(P_Type,ROW()-4)="","",TRIM(UPPER(INDEX(P_Type,ROW()-4))))</f>
        <v/>
      </c>
      <c r="D90">
        <f>IF(INDEX(L_Type,ROW()-4)="","",TRIM(UPPER(INDEX(L_Type,ROW()-4))))</f>
        <v/>
      </c>
      <c r="E90">
        <f>IF(INDEX(P_Status,ROW()-4)="","",TRIM(UPPER(INDEX(P_Status,ROW()-4))))</f>
        <v/>
      </c>
      <c r="G90">
        <f>IF(INDEX(L_Status,ROW()-4)="","",TRIM(UPPER(INDEX(L_Status,ROW()-4))))</f>
        <v/>
      </c>
      <c r="J90">
        <f>IF(INDEX(L_ID,ROW()-4)="","",IF(SUMPRODUCT((P_ID=INDEX(L_ID,ROW()-4))*(P_StatusN="INACTIVE"))&gt;0,1,0))</f>
        <v/>
      </c>
    </row>
    <row r="91">
      <c r="A91">
        <f>IF(INDEX(L_ID,ROW()-4)="","",IF(COUNTIF(P_ID,INDEX(L_ID,ROW()-4))&gt;0,1,0))</f>
        <v/>
      </c>
      <c r="B91">
        <f>IF(INDEX(P_Type,ROW()-4)="","",TRIM(UPPER(INDEX(P_Type,ROW()-4))))</f>
        <v/>
      </c>
      <c r="D91">
        <f>IF(INDEX(L_Type,ROW()-4)="","",TRIM(UPPER(INDEX(L_Type,ROW()-4))))</f>
        <v/>
      </c>
      <c r="E91">
        <f>IF(INDEX(P_Status,ROW()-4)="","",TRIM(UPPER(INDEX(P_Status,ROW()-4))))</f>
        <v/>
      </c>
      <c r="G91">
        <f>IF(INDEX(L_Status,ROW()-4)="","",TRIM(UPPER(INDEX(L_Status,ROW()-4))))</f>
        <v/>
      </c>
      <c r="J91">
        <f>IF(INDEX(L_ID,ROW()-4)="","",IF(SUMPRODUCT((P_ID=INDEX(L_ID,ROW()-4))*(P_StatusN="INACTIVE"))&gt;0,1,0))</f>
        <v/>
      </c>
    </row>
    <row r="92">
      <c r="A92">
        <f>IF(INDEX(L_ID,ROW()-4)="","",IF(COUNTIF(P_ID,INDEX(L_ID,ROW()-4))&gt;0,1,0))</f>
        <v/>
      </c>
      <c r="B92">
        <f>IF(INDEX(P_Type,ROW()-4)="","",TRIM(UPPER(INDEX(P_Type,ROW()-4))))</f>
        <v/>
      </c>
      <c r="D92">
        <f>IF(INDEX(L_Type,ROW()-4)="","",TRIM(UPPER(INDEX(L_Type,ROW()-4))))</f>
        <v/>
      </c>
      <c r="E92">
        <f>IF(INDEX(P_Status,ROW()-4)="","",TRIM(UPPER(INDEX(P_Status,ROW()-4))))</f>
        <v/>
      </c>
      <c r="G92">
        <f>IF(INDEX(L_Status,ROW()-4)="","",TRIM(UPPER(INDEX(L_Status,ROW()-4))))</f>
        <v/>
      </c>
      <c r="J92">
        <f>IF(INDEX(L_ID,ROW()-4)="","",IF(SUMPRODUCT((P_ID=INDEX(L_ID,ROW()-4))*(P_StatusN="INACTIVE"))&gt;0,1,0))</f>
        <v/>
      </c>
    </row>
    <row r="93">
      <c r="A93">
        <f>IF(INDEX(L_ID,ROW()-4)="","",IF(COUNTIF(P_ID,INDEX(L_ID,ROW()-4))&gt;0,1,0))</f>
        <v/>
      </c>
      <c r="B93">
        <f>IF(INDEX(P_Type,ROW()-4)="","",TRIM(UPPER(INDEX(P_Type,ROW()-4))))</f>
        <v/>
      </c>
      <c r="D93">
        <f>IF(INDEX(L_Type,ROW()-4)="","",TRIM(UPPER(INDEX(L_Type,ROW()-4))))</f>
        <v/>
      </c>
      <c r="E93">
        <f>IF(INDEX(P_Status,ROW()-4)="","",TRIM(UPPER(INDEX(P_Status,ROW()-4))))</f>
        <v/>
      </c>
      <c r="G93">
        <f>IF(INDEX(L_Status,ROW()-4)="","",TRIM(UPPER(INDEX(L_Status,ROW()-4))))</f>
        <v/>
      </c>
      <c r="J93">
        <f>IF(INDEX(L_ID,ROW()-4)="","",IF(SUMPRODUCT((P_ID=INDEX(L_ID,ROW()-4))*(P_StatusN="INACTIVE"))&gt;0,1,0))</f>
        <v/>
      </c>
    </row>
    <row r="94">
      <c r="A94">
        <f>IF(INDEX(L_ID,ROW()-4)="","",IF(COUNTIF(P_ID,INDEX(L_ID,ROW()-4))&gt;0,1,0))</f>
        <v/>
      </c>
      <c r="B94">
        <f>IF(INDEX(P_Type,ROW()-4)="","",TRIM(UPPER(INDEX(P_Type,ROW()-4))))</f>
        <v/>
      </c>
      <c r="D94">
        <f>IF(INDEX(L_Type,ROW()-4)="","",TRIM(UPPER(INDEX(L_Type,ROW()-4))))</f>
        <v/>
      </c>
      <c r="E94">
        <f>IF(INDEX(P_Status,ROW()-4)="","",TRIM(UPPER(INDEX(P_Status,ROW()-4))))</f>
        <v/>
      </c>
      <c r="G94">
        <f>IF(INDEX(L_Status,ROW()-4)="","",TRIM(UPPER(INDEX(L_Status,ROW()-4))))</f>
        <v/>
      </c>
      <c r="J94">
        <f>IF(INDEX(L_ID,ROW()-4)="","",IF(SUMPRODUCT((P_ID=INDEX(L_ID,ROW()-4))*(P_StatusN="INACTIVE"))&gt;0,1,0))</f>
        <v/>
      </c>
    </row>
    <row r="95">
      <c r="A95">
        <f>IF(INDEX(L_ID,ROW()-4)="","",IF(COUNTIF(P_ID,INDEX(L_ID,ROW()-4))&gt;0,1,0))</f>
        <v/>
      </c>
      <c r="B95">
        <f>IF(INDEX(P_Type,ROW()-4)="","",TRIM(UPPER(INDEX(P_Type,ROW()-4))))</f>
        <v/>
      </c>
      <c r="D95">
        <f>IF(INDEX(L_Type,ROW()-4)="","",TRIM(UPPER(INDEX(L_Type,ROW()-4))))</f>
        <v/>
      </c>
      <c r="E95">
        <f>IF(INDEX(P_Status,ROW()-4)="","",TRIM(UPPER(INDEX(P_Status,ROW()-4))))</f>
        <v/>
      </c>
      <c r="G95">
        <f>IF(INDEX(L_Status,ROW()-4)="","",TRIM(UPPER(INDEX(L_Status,ROW()-4))))</f>
        <v/>
      </c>
      <c r="J95">
        <f>IF(INDEX(L_ID,ROW()-4)="","",IF(SUMPRODUCT((P_ID=INDEX(L_ID,ROW()-4))*(P_StatusN="INACTIVE"))&gt;0,1,0))</f>
        <v/>
      </c>
    </row>
    <row r="96">
      <c r="A96">
        <f>IF(INDEX(L_ID,ROW()-4)="","",IF(COUNTIF(P_ID,INDEX(L_ID,ROW()-4))&gt;0,1,0))</f>
        <v/>
      </c>
      <c r="B96">
        <f>IF(INDEX(P_Type,ROW()-4)="","",TRIM(UPPER(INDEX(P_Type,ROW()-4))))</f>
        <v/>
      </c>
      <c r="D96">
        <f>IF(INDEX(L_Type,ROW()-4)="","",TRIM(UPPER(INDEX(L_Type,ROW()-4))))</f>
        <v/>
      </c>
      <c r="E96">
        <f>IF(INDEX(P_Status,ROW()-4)="","",TRIM(UPPER(INDEX(P_Status,ROW()-4))))</f>
        <v/>
      </c>
      <c r="G96">
        <f>IF(INDEX(L_Status,ROW()-4)="","",TRIM(UPPER(INDEX(L_Status,ROW()-4))))</f>
        <v/>
      </c>
      <c r="J96">
        <f>IF(INDEX(L_ID,ROW()-4)="","",IF(SUMPRODUCT((P_ID=INDEX(L_ID,ROW()-4))*(P_StatusN="INACTIVE"))&gt;0,1,0))</f>
        <v/>
      </c>
    </row>
    <row r="97">
      <c r="A97">
        <f>IF(INDEX(L_ID,ROW()-4)="","",IF(COUNTIF(P_ID,INDEX(L_ID,ROW()-4))&gt;0,1,0))</f>
        <v/>
      </c>
      <c r="B97">
        <f>IF(INDEX(P_Type,ROW()-4)="","",TRIM(UPPER(INDEX(P_Type,ROW()-4))))</f>
        <v/>
      </c>
      <c r="D97">
        <f>IF(INDEX(L_Type,ROW()-4)="","",TRIM(UPPER(INDEX(L_Type,ROW()-4))))</f>
        <v/>
      </c>
      <c r="E97">
        <f>IF(INDEX(P_Status,ROW()-4)="","",TRIM(UPPER(INDEX(P_Status,ROW()-4))))</f>
        <v/>
      </c>
      <c r="G97">
        <f>IF(INDEX(L_Status,ROW()-4)="","",TRIM(UPPER(INDEX(L_Status,ROW()-4))))</f>
        <v/>
      </c>
      <c r="J97">
        <f>IF(INDEX(L_ID,ROW()-4)="","",IF(SUMPRODUCT((P_ID=INDEX(L_ID,ROW()-4))*(P_StatusN="INACTIVE"))&gt;0,1,0))</f>
        <v/>
      </c>
    </row>
    <row r="98">
      <c r="A98">
        <f>IF(INDEX(L_ID,ROW()-4)="","",IF(COUNTIF(P_ID,INDEX(L_ID,ROW()-4))&gt;0,1,0))</f>
        <v/>
      </c>
      <c r="B98">
        <f>IF(INDEX(P_Type,ROW()-4)="","",TRIM(UPPER(INDEX(P_Type,ROW()-4))))</f>
        <v/>
      </c>
      <c r="D98">
        <f>IF(INDEX(L_Type,ROW()-4)="","",TRIM(UPPER(INDEX(L_Type,ROW()-4))))</f>
        <v/>
      </c>
      <c r="E98">
        <f>IF(INDEX(P_Status,ROW()-4)="","",TRIM(UPPER(INDEX(P_Status,ROW()-4))))</f>
        <v/>
      </c>
      <c r="G98">
        <f>IF(INDEX(L_Status,ROW()-4)="","",TRIM(UPPER(INDEX(L_Status,ROW()-4))))</f>
        <v/>
      </c>
      <c r="J98">
        <f>IF(INDEX(L_ID,ROW()-4)="","",IF(SUMPRODUCT((P_ID=INDEX(L_ID,ROW()-4))*(P_StatusN="INACTIVE"))&gt;0,1,0))</f>
        <v/>
      </c>
    </row>
    <row r="99">
      <c r="A99">
        <f>IF(INDEX(L_ID,ROW()-4)="","",IF(COUNTIF(P_ID,INDEX(L_ID,ROW()-4))&gt;0,1,0))</f>
        <v/>
      </c>
      <c r="B99">
        <f>IF(INDEX(P_Type,ROW()-4)="","",TRIM(UPPER(INDEX(P_Type,ROW()-4))))</f>
        <v/>
      </c>
      <c r="D99">
        <f>IF(INDEX(L_Type,ROW()-4)="","",TRIM(UPPER(INDEX(L_Type,ROW()-4))))</f>
        <v/>
      </c>
      <c r="E99">
        <f>IF(INDEX(P_Status,ROW()-4)="","",TRIM(UPPER(INDEX(P_Status,ROW()-4))))</f>
        <v/>
      </c>
      <c r="G99">
        <f>IF(INDEX(L_Status,ROW()-4)="","",TRIM(UPPER(INDEX(L_Status,ROW()-4))))</f>
        <v/>
      </c>
      <c r="J99">
        <f>IF(INDEX(L_ID,ROW()-4)="","",IF(SUMPRODUCT((P_ID=INDEX(L_ID,ROW()-4))*(P_StatusN="INACTIVE"))&gt;0,1,0))</f>
        <v/>
      </c>
    </row>
    <row r="100">
      <c r="A100">
        <f>IF(INDEX(L_ID,ROW()-4)="","",IF(COUNTIF(P_ID,INDEX(L_ID,ROW()-4))&gt;0,1,0))</f>
        <v/>
      </c>
      <c r="B100">
        <f>IF(INDEX(P_Type,ROW()-4)="","",TRIM(UPPER(INDEX(P_Type,ROW()-4))))</f>
        <v/>
      </c>
      <c r="D100">
        <f>IF(INDEX(L_Type,ROW()-4)="","",TRIM(UPPER(INDEX(L_Type,ROW()-4))))</f>
        <v/>
      </c>
      <c r="E100">
        <f>IF(INDEX(P_Status,ROW()-4)="","",TRIM(UPPER(INDEX(P_Status,ROW()-4))))</f>
        <v/>
      </c>
      <c r="G100">
        <f>IF(INDEX(L_Status,ROW()-4)="","",TRIM(UPPER(INDEX(L_Status,ROW()-4))))</f>
        <v/>
      </c>
      <c r="J100">
        <f>IF(INDEX(L_ID,ROW()-4)="","",IF(SUMPRODUCT((P_ID=INDEX(L_ID,ROW()-4))*(P_StatusN="INACTIVE"))&gt;0,1,0))</f>
        <v/>
      </c>
    </row>
    <row r="101">
      <c r="A101">
        <f>IF(INDEX(L_ID,ROW()-4)="","",IF(COUNTIF(P_ID,INDEX(L_ID,ROW()-4))&gt;0,1,0))</f>
        <v/>
      </c>
      <c r="B101">
        <f>IF(INDEX(P_Type,ROW()-4)="","",TRIM(UPPER(INDEX(P_Type,ROW()-4))))</f>
        <v/>
      </c>
      <c r="D101">
        <f>IF(INDEX(L_Type,ROW()-4)="","",TRIM(UPPER(INDEX(L_Type,ROW()-4))))</f>
        <v/>
      </c>
      <c r="E101">
        <f>IF(INDEX(P_Status,ROW()-4)="","",TRIM(UPPER(INDEX(P_Status,ROW()-4))))</f>
        <v/>
      </c>
      <c r="G101">
        <f>IF(INDEX(L_Status,ROW()-4)="","",TRIM(UPPER(INDEX(L_Status,ROW()-4))))</f>
        <v/>
      </c>
      <c r="J101">
        <f>IF(INDEX(L_ID,ROW()-4)="","",IF(SUMPRODUCT((P_ID=INDEX(L_ID,ROW()-4))*(P_StatusN="INACTIVE"))&gt;0,1,0))</f>
        <v/>
      </c>
    </row>
    <row r="102">
      <c r="A102">
        <f>IF(INDEX(L_ID,ROW()-4)="","",IF(COUNTIF(P_ID,INDEX(L_ID,ROW()-4))&gt;0,1,0))</f>
        <v/>
      </c>
      <c r="B102">
        <f>IF(INDEX(P_Type,ROW()-4)="","",TRIM(UPPER(INDEX(P_Type,ROW()-4))))</f>
        <v/>
      </c>
      <c r="D102">
        <f>IF(INDEX(L_Type,ROW()-4)="","",TRIM(UPPER(INDEX(L_Type,ROW()-4))))</f>
        <v/>
      </c>
      <c r="E102">
        <f>IF(INDEX(P_Status,ROW()-4)="","",TRIM(UPPER(INDEX(P_Status,ROW()-4))))</f>
        <v/>
      </c>
      <c r="G102">
        <f>IF(INDEX(L_Status,ROW()-4)="","",TRIM(UPPER(INDEX(L_Status,ROW()-4))))</f>
        <v/>
      </c>
      <c r="J102">
        <f>IF(INDEX(L_ID,ROW()-4)="","",IF(SUMPRODUCT((P_ID=INDEX(L_ID,ROW()-4))*(P_StatusN="INACTIVE"))&gt;0,1,0))</f>
        <v/>
      </c>
    </row>
    <row r="103">
      <c r="A103">
        <f>IF(INDEX(L_ID,ROW()-4)="","",IF(COUNTIF(P_ID,INDEX(L_ID,ROW()-4))&gt;0,1,0))</f>
        <v/>
      </c>
      <c r="B103">
        <f>IF(INDEX(P_Type,ROW()-4)="","",TRIM(UPPER(INDEX(P_Type,ROW()-4))))</f>
        <v/>
      </c>
      <c r="D103">
        <f>IF(INDEX(L_Type,ROW()-4)="","",TRIM(UPPER(INDEX(L_Type,ROW()-4))))</f>
        <v/>
      </c>
      <c r="E103">
        <f>IF(INDEX(P_Status,ROW()-4)="","",TRIM(UPPER(INDEX(P_Status,ROW()-4))))</f>
        <v/>
      </c>
      <c r="G103">
        <f>IF(INDEX(L_Status,ROW()-4)="","",TRIM(UPPER(INDEX(L_Status,ROW()-4))))</f>
        <v/>
      </c>
      <c r="J103">
        <f>IF(INDEX(L_ID,ROW()-4)="","",IF(SUMPRODUCT((P_ID=INDEX(L_ID,ROW()-4))*(P_StatusN="INACTIVE"))&gt;0,1,0))</f>
        <v/>
      </c>
    </row>
    <row r="104">
      <c r="A104">
        <f>IF(INDEX(L_ID,ROW()-4)="","",IF(COUNTIF(P_ID,INDEX(L_ID,ROW()-4))&gt;0,1,0))</f>
        <v/>
      </c>
      <c r="B104">
        <f>IF(INDEX(P_Type,ROW()-4)="","",TRIM(UPPER(INDEX(P_Type,ROW()-4))))</f>
        <v/>
      </c>
      <c r="D104">
        <f>IF(INDEX(L_Type,ROW()-4)="","",TRIM(UPPER(INDEX(L_Type,ROW()-4))))</f>
        <v/>
      </c>
      <c r="E104">
        <f>IF(INDEX(P_Status,ROW()-4)="","",TRIM(UPPER(INDEX(P_Status,ROW()-4))))</f>
        <v/>
      </c>
      <c r="G104">
        <f>IF(INDEX(L_Status,ROW()-4)="","",TRIM(UPPER(INDEX(L_Status,ROW()-4))))</f>
        <v/>
      </c>
      <c r="J104">
        <f>IF(INDEX(L_ID,ROW()-4)="","",IF(SUMPRODUCT((P_ID=INDEX(L_ID,ROW()-4))*(P_StatusN="INACTIVE"))&gt;0,1,0))</f>
        <v/>
      </c>
    </row>
    <row r="105">
      <c r="A105">
        <f>IF(INDEX(L_ID,ROW()-4)="","",IF(COUNTIF(P_ID,INDEX(L_ID,ROW()-4))&gt;0,1,0))</f>
        <v/>
      </c>
      <c r="B105">
        <f>IF(INDEX(P_Type,ROW()-4)="","",TRIM(UPPER(INDEX(P_Type,ROW()-4))))</f>
        <v/>
      </c>
      <c r="D105">
        <f>IF(INDEX(L_Type,ROW()-4)="","",TRIM(UPPER(INDEX(L_Type,ROW()-4))))</f>
        <v/>
      </c>
      <c r="E105">
        <f>IF(INDEX(P_Status,ROW()-4)="","",TRIM(UPPER(INDEX(P_Status,ROW()-4))))</f>
        <v/>
      </c>
      <c r="G105">
        <f>IF(INDEX(L_Status,ROW()-4)="","",TRIM(UPPER(INDEX(L_Status,ROW()-4))))</f>
        <v/>
      </c>
      <c r="J105">
        <f>IF(INDEX(L_ID,ROW()-4)="","",IF(SUMPRODUCT((P_ID=INDEX(L_ID,ROW()-4))*(P_StatusN="INACTIVE"))&gt;0,1,0))</f>
        <v/>
      </c>
    </row>
    <row r="106">
      <c r="A106">
        <f>IF(INDEX(L_ID,ROW()-4)="","",IF(COUNTIF(P_ID,INDEX(L_ID,ROW()-4))&gt;0,1,0))</f>
        <v/>
      </c>
      <c r="B106">
        <f>IF(INDEX(P_Type,ROW()-4)="","",TRIM(UPPER(INDEX(P_Type,ROW()-4))))</f>
        <v/>
      </c>
      <c r="D106">
        <f>IF(INDEX(L_Type,ROW()-4)="","",TRIM(UPPER(INDEX(L_Type,ROW()-4))))</f>
        <v/>
      </c>
      <c r="E106">
        <f>IF(INDEX(P_Status,ROW()-4)="","",TRIM(UPPER(INDEX(P_Status,ROW()-4))))</f>
        <v/>
      </c>
      <c r="G106">
        <f>IF(INDEX(L_Status,ROW()-4)="","",TRIM(UPPER(INDEX(L_Status,ROW()-4))))</f>
        <v/>
      </c>
      <c r="J106">
        <f>IF(INDEX(L_ID,ROW()-4)="","",IF(SUMPRODUCT((P_ID=INDEX(L_ID,ROW()-4))*(P_StatusN="INACTIVE"))&gt;0,1,0))</f>
        <v/>
      </c>
    </row>
    <row r="107">
      <c r="A107">
        <f>IF(INDEX(L_ID,ROW()-4)="","",IF(COUNTIF(P_ID,INDEX(L_ID,ROW()-4))&gt;0,1,0))</f>
        <v/>
      </c>
      <c r="B107">
        <f>IF(INDEX(P_Type,ROW()-4)="","",TRIM(UPPER(INDEX(P_Type,ROW()-4))))</f>
        <v/>
      </c>
      <c r="D107">
        <f>IF(INDEX(L_Type,ROW()-4)="","",TRIM(UPPER(INDEX(L_Type,ROW()-4))))</f>
        <v/>
      </c>
      <c r="E107">
        <f>IF(INDEX(P_Status,ROW()-4)="","",TRIM(UPPER(INDEX(P_Status,ROW()-4))))</f>
        <v/>
      </c>
      <c r="G107">
        <f>IF(INDEX(L_Status,ROW()-4)="","",TRIM(UPPER(INDEX(L_Status,ROW()-4))))</f>
        <v/>
      </c>
      <c r="J107">
        <f>IF(INDEX(L_ID,ROW()-4)="","",IF(SUMPRODUCT((P_ID=INDEX(L_ID,ROW()-4))*(P_StatusN="INACTIVE"))&gt;0,1,0))</f>
        <v/>
      </c>
    </row>
    <row r="108">
      <c r="A108">
        <f>IF(INDEX(L_ID,ROW()-4)="","",IF(COUNTIF(P_ID,INDEX(L_ID,ROW()-4))&gt;0,1,0))</f>
        <v/>
      </c>
      <c r="B108">
        <f>IF(INDEX(P_Type,ROW()-4)="","",TRIM(UPPER(INDEX(P_Type,ROW()-4))))</f>
        <v/>
      </c>
      <c r="D108">
        <f>IF(INDEX(L_Type,ROW()-4)="","",TRIM(UPPER(INDEX(L_Type,ROW()-4))))</f>
        <v/>
      </c>
      <c r="E108">
        <f>IF(INDEX(P_Status,ROW()-4)="","",TRIM(UPPER(INDEX(P_Status,ROW()-4))))</f>
        <v/>
      </c>
      <c r="G108">
        <f>IF(INDEX(L_Status,ROW()-4)="","",TRIM(UPPER(INDEX(L_Status,ROW()-4))))</f>
        <v/>
      </c>
      <c r="J108">
        <f>IF(INDEX(L_ID,ROW()-4)="","",IF(SUMPRODUCT((P_ID=INDEX(L_ID,ROW()-4))*(P_StatusN="INACTIVE"))&gt;0,1,0))</f>
        <v/>
      </c>
    </row>
    <row r="109">
      <c r="A109">
        <f>IF(INDEX(L_ID,ROW()-4)="","",IF(COUNTIF(P_ID,INDEX(L_ID,ROW()-4))&gt;0,1,0))</f>
        <v/>
      </c>
      <c r="B109">
        <f>IF(INDEX(P_Type,ROW()-4)="","",TRIM(UPPER(INDEX(P_Type,ROW()-4))))</f>
        <v/>
      </c>
      <c r="D109">
        <f>IF(INDEX(L_Type,ROW()-4)="","",TRIM(UPPER(INDEX(L_Type,ROW()-4))))</f>
        <v/>
      </c>
      <c r="E109">
        <f>IF(INDEX(P_Status,ROW()-4)="","",TRIM(UPPER(INDEX(P_Status,ROW()-4))))</f>
        <v/>
      </c>
      <c r="G109">
        <f>IF(INDEX(L_Status,ROW()-4)="","",TRIM(UPPER(INDEX(L_Status,ROW()-4))))</f>
        <v/>
      </c>
      <c r="J109">
        <f>IF(INDEX(L_ID,ROW()-4)="","",IF(SUMPRODUCT((P_ID=INDEX(L_ID,ROW()-4))*(P_StatusN="INACTIVE"))&gt;0,1,0))</f>
        <v/>
      </c>
    </row>
    <row r="110">
      <c r="A110">
        <f>IF(INDEX(L_ID,ROW()-4)="","",IF(COUNTIF(P_ID,INDEX(L_ID,ROW()-4))&gt;0,1,0))</f>
        <v/>
      </c>
      <c r="B110">
        <f>IF(INDEX(P_Type,ROW()-4)="","",TRIM(UPPER(INDEX(P_Type,ROW()-4))))</f>
        <v/>
      </c>
      <c r="D110">
        <f>IF(INDEX(L_Type,ROW()-4)="","",TRIM(UPPER(INDEX(L_Type,ROW()-4))))</f>
        <v/>
      </c>
      <c r="E110">
        <f>IF(INDEX(P_Status,ROW()-4)="","",TRIM(UPPER(INDEX(P_Status,ROW()-4))))</f>
        <v/>
      </c>
      <c r="G110">
        <f>IF(INDEX(L_Status,ROW()-4)="","",TRIM(UPPER(INDEX(L_Status,ROW()-4))))</f>
        <v/>
      </c>
      <c r="J110">
        <f>IF(INDEX(L_ID,ROW()-4)="","",IF(SUMPRODUCT((P_ID=INDEX(L_ID,ROW()-4))*(P_StatusN="INACTIVE"))&gt;0,1,0))</f>
        <v/>
      </c>
    </row>
    <row r="111">
      <c r="A111">
        <f>IF(INDEX(L_ID,ROW()-4)="","",IF(COUNTIF(P_ID,INDEX(L_ID,ROW()-4))&gt;0,1,0))</f>
        <v/>
      </c>
      <c r="B111">
        <f>IF(INDEX(P_Type,ROW()-4)="","",TRIM(UPPER(INDEX(P_Type,ROW()-4))))</f>
        <v/>
      </c>
      <c r="D111">
        <f>IF(INDEX(L_Type,ROW()-4)="","",TRIM(UPPER(INDEX(L_Type,ROW()-4))))</f>
        <v/>
      </c>
      <c r="E111">
        <f>IF(INDEX(P_Status,ROW()-4)="","",TRIM(UPPER(INDEX(P_Status,ROW()-4))))</f>
        <v/>
      </c>
      <c r="G111">
        <f>IF(INDEX(L_Status,ROW()-4)="","",TRIM(UPPER(INDEX(L_Status,ROW()-4))))</f>
        <v/>
      </c>
      <c r="J111">
        <f>IF(INDEX(L_ID,ROW()-4)="","",IF(SUMPRODUCT((P_ID=INDEX(L_ID,ROW()-4))*(P_StatusN="INACTIVE"))&gt;0,1,0))</f>
        <v/>
      </c>
    </row>
    <row r="112">
      <c r="A112">
        <f>IF(INDEX(L_ID,ROW()-4)="","",IF(COUNTIF(P_ID,INDEX(L_ID,ROW()-4))&gt;0,1,0))</f>
        <v/>
      </c>
      <c r="B112">
        <f>IF(INDEX(P_Type,ROW()-4)="","",TRIM(UPPER(INDEX(P_Type,ROW()-4))))</f>
        <v/>
      </c>
      <c r="D112">
        <f>IF(INDEX(L_Type,ROW()-4)="","",TRIM(UPPER(INDEX(L_Type,ROW()-4))))</f>
        <v/>
      </c>
      <c r="E112">
        <f>IF(INDEX(P_Status,ROW()-4)="","",TRIM(UPPER(INDEX(P_Status,ROW()-4))))</f>
        <v/>
      </c>
      <c r="G112">
        <f>IF(INDEX(L_Status,ROW()-4)="","",TRIM(UPPER(INDEX(L_Status,ROW()-4))))</f>
        <v/>
      </c>
      <c r="J112">
        <f>IF(INDEX(L_ID,ROW()-4)="","",IF(SUMPRODUCT((P_ID=INDEX(L_ID,ROW()-4))*(P_StatusN="INACTIVE"))&gt;0,1,0))</f>
        <v/>
      </c>
    </row>
    <row r="113">
      <c r="A113">
        <f>IF(INDEX(L_ID,ROW()-4)="","",IF(COUNTIF(P_ID,INDEX(L_ID,ROW()-4))&gt;0,1,0))</f>
        <v/>
      </c>
      <c r="B113">
        <f>IF(INDEX(P_Type,ROW()-4)="","",TRIM(UPPER(INDEX(P_Type,ROW()-4))))</f>
        <v/>
      </c>
      <c r="D113">
        <f>IF(INDEX(L_Type,ROW()-4)="","",TRIM(UPPER(INDEX(L_Type,ROW()-4))))</f>
        <v/>
      </c>
      <c r="E113">
        <f>IF(INDEX(P_Status,ROW()-4)="","",TRIM(UPPER(INDEX(P_Status,ROW()-4))))</f>
        <v/>
      </c>
      <c r="G113">
        <f>IF(INDEX(L_Status,ROW()-4)="","",TRIM(UPPER(INDEX(L_Status,ROW()-4))))</f>
        <v/>
      </c>
      <c r="J113">
        <f>IF(INDEX(L_ID,ROW()-4)="","",IF(SUMPRODUCT((P_ID=INDEX(L_ID,ROW()-4))*(P_StatusN="INACTIVE"))&gt;0,1,0))</f>
        <v/>
      </c>
    </row>
    <row r="114">
      <c r="A114">
        <f>IF(INDEX(L_ID,ROW()-4)="","",IF(COUNTIF(P_ID,INDEX(L_ID,ROW()-4))&gt;0,1,0))</f>
        <v/>
      </c>
      <c r="B114">
        <f>IF(INDEX(P_Type,ROW()-4)="","",TRIM(UPPER(INDEX(P_Type,ROW()-4))))</f>
        <v/>
      </c>
      <c r="D114">
        <f>IF(INDEX(L_Type,ROW()-4)="","",TRIM(UPPER(INDEX(L_Type,ROW()-4))))</f>
        <v/>
      </c>
      <c r="E114">
        <f>IF(INDEX(P_Status,ROW()-4)="","",TRIM(UPPER(INDEX(P_Status,ROW()-4))))</f>
        <v/>
      </c>
      <c r="G114">
        <f>IF(INDEX(L_Status,ROW()-4)="","",TRIM(UPPER(INDEX(L_Status,ROW()-4))))</f>
        <v/>
      </c>
      <c r="J114">
        <f>IF(INDEX(L_ID,ROW()-4)="","",IF(SUMPRODUCT((P_ID=INDEX(L_ID,ROW()-4))*(P_StatusN="INACTIVE"))&gt;0,1,0))</f>
        <v/>
      </c>
    </row>
    <row r="115">
      <c r="A115">
        <f>IF(INDEX(L_ID,ROW()-4)="","",IF(COUNTIF(P_ID,INDEX(L_ID,ROW()-4))&gt;0,1,0))</f>
        <v/>
      </c>
      <c r="B115">
        <f>IF(INDEX(P_Type,ROW()-4)="","",TRIM(UPPER(INDEX(P_Type,ROW()-4))))</f>
        <v/>
      </c>
      <c r="D115">
        <f>IF(INDEX(L_Type,ROW()-4)="","",TRIM(UPPER(INDEX(L_Type,ROW()-4))))</f>
        <v/>
      </c>
      <c r="E115">
        <f>IF(INDEX(P_Status,ROW()-4)="","",TRIM(UPPER(INDEX(P_Status,ROW()-4))))</f>
        <v/>
      </c>
      <c r="G115">
        <f>IF(INDEX(L_Status,ROW()-4)="","",TRIM(UPPER(INDEX(L_Status,ROW()-4))))</f>
        <v/>
      </c>
      <c r="J115">
        <f>IF(INDEX(L_ID,ROW()-4)="","",IF(SUMPRODUCT((P_ID=INDEX(L_ID,ROW()-4))*(P_StatusN="INACTIVE"))&gt;0,1,0))</f>
        <v/>
      </c>
    </row>
    <row r="116">
      <c r="A116">
        <f>IF(INDEX(L_ID,ROW()-4)="","",IF(COUNTIF(P_ID,INDEX(L_ID,ROW()-4))&gt;0,1,0))</f>
        <v/>
      </c>
      <c r="B116">
        <f>IF(INDEX(P_Type,ROW()-4)="","",TRIM(UPPER(INDEX(P_Type,ROW()-4))))</f>
        <v/>
      </c>
      <c r="D116">
        <f>IF(INDEX(L_Type,ROW()-4)="","",TRIM(UPPER(INDEX(L_Type,ROW()-4))))</f>
        <v/>
      </c>
      <c r="E116">
        <f>IF(INDEX(P_Status,ROW()-4)="","",TRIM(UPPER(INDEX(P_Status,ROW()-4))))</f>
        <v/>
      </c>
      <c r="G116">
        <f>IF(INDEX(L_Status,ROW()-4)="","",TRIM(UPPER(INDEX(L_Status,ROW()-4))))</f>
        <v/>
      </c>
      <c r="J116">
        <f>IF(INDEX(L_ID,ROW()-4)="","",IF(SUMPRODUCT((P_ID=INDEX(L_ID,ROW()-4))*(P_StatusN="INACTIVE"))&gt;0,1,0))</f>
        <v/>
      </c>
    </row>
    <row r="117">
      <c r="A117">
        <f>IF(INDEX(L_ID,ROW()-4)="","",IF(COUNTIF(P_ID,INDEX(L_ID,ROW()-4))&gt;0,1,0))</f>
        <v/>
      </c>
      <c r="B117">
        <f>IF(INDEX(P_Type,ROW()-4)="","",TRIM(UPPER(INDEX(P_Type,ROW()-4))))</f>
        <v/>
      </c>
      <c r="D117">
        <f>IF(INDEX(L_Type,ROW()-4)="","",TRIM(UPPER(INDEX(L_Type,ROW()-4))))</f>
        <v/>
      </c>
      <c r="E117">
        <f>IF(INDEX(P_Status,ROW()-4)="","",TRIM(UPPER(INDEX(P_Status,ROW()-4))))</f>
        <v/>
      </c>
      <c r="G117">
        <f>IF(INDEX(L_Status,ROW()-4)="","",TRIM(UPPER(INDEX(L_Status,ROW()-4))))</f>
        <v/>
      </c>
      <c r="J117">
        <f>IF(INDEX(L_ID,ROW()-4)="","",IF(SUMPRODUCT((P_ID=INDEX(L_ID,ROW()-4))*(P_StatusN="INACTIVE"))&gt;0,1,0))</f>
        <v/>
      </c>
    </row>
    <row r="118">
      <c r="A118">
        <f>IF(INDEX(L_ID,ROW()-4)="","",IF(COUNTIF(P_ID,INDEX(L_ID,ROW()-4))&gt;0,1,0))</f>
        <v/>
      </c>
      <c r="B118">
        <f>IF(INDEX(P_Type,ROW()-4)="","",TRIM(UPPER(INDEX(P_Type,ROW()-4))))</f>
        <v/>
      </c>
      <c r="D118">
        <f>IF(INDEX(L_Type,ROW()-4)="","",TRIM(UPPER(INDEX(L_Type,ROW()-4))))</f>
        <v/>
      </c>
      <c r="E118">
        <f>IF(INDEX(P_Status,ROW()-4)="","",TRIM(UPPER(INDEX(P_Status,ROW()-4))))</f>
        <v/>
      </c>
      <c r="G118">
        <f>IF(INDEX(L_Status,ROW()-4)="","",TRIM(UPPER(INDEX(L_Status,ROW()-4))))</f>
        <v/>
      </c>
      <c r="J118">
        <f>IF(INDEX(L_ID,ROW()-4)="","",IF(SUMPRODUCT((P_ID=INDEX(L_ID,ROW()-4))*(P_StatusN="INACTIVE"))&gt;0,1,0))</f>
        <v/>
      </c>
    </row>
    <row r="119">
      <c r="A119">
        <f>IF(INDEX(L_ID,ROW()-4)="","",IF(COUNTIF(P_ID,INDEX(L_ID,ROW()-4))&gt;0,1,0))</f>
        <v/>
      </c>
      <c r="B119">
        <f>IF(INDEX(P_Type,ROW()-4)="","",TRIM(UPPER(INDEX(P_Type,ROW()-4))))</f>
        <v/>
      </c>
      <c r="D119">
        <f>IF(INDEX(L_Type,ROW()-4)="","",TRIM(UPPER(INDEX(L_Type,ROW()-4))))</f>
        <v/>
      </c>
      <c r="E119">
        <f>IF(INDEX(P_Status,ROW()-4)="","",TRIM(UPPER(INDEX(P_Status,ROW()-4))))</f>
        <v/>
      </c>
      <c r="G119">
        <f>IF(INDEX(L_Status,ROW()-4)="","",TRIM(UPPER(INDEX(L_Status,ROW()-4))))</f>
        <v/>
      </c>
      <c r="J119">
        <f>IF(INDEX(L_ID,ROW()-4)="","",IF(SUMPRODUCT((P_ID=INDEX(L_ID,ROW()-4))*(P_StatusN="INACTIVE"))&gt;0,1,0))</f>
        <v/>
      </c>
    </row>
    <row r="120">
      <c r="A120">
        <f>IF(INDEX(L_ID,ROW()-4)="","",IF(COUNTIF(P_ID,INDEX(L_ID,ROW()-4))&gt;0,1,0))</f>
        <v/>
      </c>
      <c r="B120">
        <f>IF(INDEX(P_Type,ROW()-4)="","",TRIM(UPPER(INDEX(P_Type,ROW()-4))))</f>
        <v/>
      </c>
      <c r="D120">
        <f>IF(INDEX(L_Type,ROW()-4)="","",TRIM(UPPER(INDEX(L_Type,ROW()-4))))</f>
        <v/>
      </c>
      <c r="E120">
        <f>IF(INDEX(P_Status,ROW()-4)="","",TRIM(UPPER(INDEX(P_Status,ROW()-4))))</f>
        <v/>
      </c>
      <c r="G120">
        <f>IF(INDEX(L_Status,ROW()-4)="","",TRIM(UPPER(INDEX(L_Status,ROW()-4))))</f>
        <v/>
      </c>
      <c r="J120">
        <f>IF(INDEX(L_ID,ROW()-4)="","",IF(SUMPRODUCT((P_ID=INDEX(L_ID,ROW()-4))*(P_StatusN="INACTIVE"))&gt;0,1,0))</f>
        <v/>
      </c>
    </row>
    <row r="121">
      <c r="A121">
        <f>IF(INDEX(L_ID,ROW()-4)="","",IF(COUNTIF(P_ID,INDEX(L_ID,ROW()-4))&gt;0,1,0))</f>
        <v/>
      </c>
      <c r="B121">
        <f>IF(INDEX(P_Type,ROW()-4)="","",TRIM(UPPER(INDEX(P_Type,ROW()-4))))</f>
        <v/>
      </c>
      <c r="D121">
        <f>IF(INDEX(L_Type,ROW()-4)="","",TRIM(UPPER(INDEX(L_Type,ROW()-4))))</f>
        <v/>
      </c>
      <c r="E121">
        <f>IF(INDEX(P_Status,ROW()-4)="","",TRIM(UPPER(INDEX(P_Status,ROW()-4))))</f>
        <v/>
      </c>
      <c r="G121">
        <f>IF(INDEX(L_Status,ROW()-4)="","",TRIM(UPPER(INDEX(L_Status,ROW()-4))))</f>
        <v/>
      </c>
      <c r="J121">
        <f>IF(INDEX(L_ID,ROW()-4)="","",IF(SUMPRODUCT((P_ID=INDEX(L_ID,ROW()-4))*(P_StatusN="INACTIVE"))&gt;0,1,0))</f>
        <v/>
      </c>
    </row>
    <row r="122">
      <c r="A122">
        <f>IF(INDEX(L_ID,ROW()-4)="","",IF(COUNTIF(P_ID,INDEX(L_ID,ROW()-4))&gt;0,1,0))</f>
        <v/>
      </c>
      <c r="B122">
        <f>IF(INDEX(P_Type,ROW()-4)="","",TRIM(UPPER(INDEX(P_Type,ROW()-4))))</f>
        <v/>
      </c>
      <c r="D122">
        <f>IF(INDEX(L_Type,ROW()-4)="","",TRIM(UPPER(INDEX(L_Type,ROW()-4))))</f>
        <v/>
      </c>
      <c r="E122">
        <f>IF(INDEX(P_Status,ROW()-4)="","",TRIM(UPPER(INDEX(P_Status,ROW()-4))))</f>
        <v/>
      </c>
      <c r="G122">
        <f>IF(INDEX(L_Status,ROW()-4)="","",TRIM(UPPER(INDEX(L_Status,ROW()-4))))</f>
        <v/>
      </c>
      <c r="J122">
        <f>IF(INDEX(L_ID,ROW()-4)="","",IF(SUMPRODUCT((P_ID=INDEX(L_ID,ROW()-4))*(P_StatusN="INACTIVE"))&gt;0,1,0))</f>
        <v/>
      </c>
    </row>
    <row r="123">
      <c r="A123">
        <f>IF(INDEX(L_ID,ROW()-4)="","",IF(COUNTIF(P_ID,INDEX(L_ID,ROW()-4))&gt;0,1,0))</f>
        <v/>
      </c>
      <c r="B123">
        <f>IF(INDEX(P_Type,ROW()-4)="","",TRIM(UPPER(INDEX(P_Type,ROW()-4))))</f>
        <v/>
      </c>
      <c r="D123">
        <f>IF(INDEX(L_Type,ROW()-4)="","",TRIM(UPPER(INDEX(L_Type,ROW()-4))))</f>
        <v/>
      </c>
      <c r="E123">
        <f>IF(INDEX(P_Status,ROW()-4)="","",TRIM(UPPER(INDEX(P_Status,ROW()-4))))</f>
        <v/>
      </c>
      <c r="G123">
        <f>IF(INDEX(L_Status,ROW()-4)="","",TRIM(UPPER(INDEX(L_Status,ROW()-4))))</f>
        <v/>
      </c>
      <c r="J123">
        <f>IF(INDEX(L_ID,ROW()-4)="","",IF(SUMPRODUCT((P_ID=INDEX(L_ID,ROW()-4))*(P_StatusN="INACTIVE"))&gt;0,1,0))</f>
        <v/>
      </c>
    </row>
    <row r="124">
      <c r="A124">
        <f>IF(INDEX(L_ID,ROW()-4)="","",IF(COUNTIF(P_ID,INDEX(L_ID,ROW()-4))&gt;0,1,0))</f>
        <v/>
      </c>
      <c r="B124">
        <f>IF(INDEX(P_Type,ROW()-4)="","",TRIM(UPPER(INDEX(P_Type,ROW()-4))))</f>
        <v/>
      </c>
      <c r="D124">
        <f>IF(INDEX(L_Type,ROW()-4)="","",TRIM(UPPER(INDEX(L_Type,ROW()-4))))</f>
        <v/>
      </c>
      <c r="E124">
        <f>IF(INDEX(P_Status,ROW()-4)="","",TRIM(UPPER(INDEX(P_Status,ROW()-4))))</f>
        <v/>
      </c>
      <c r="G124">
        <f>IF(INDEX(L_Status,ROW()-4)="","",TRIM(UPPER(INDEX(L_Status,ROW()-4))))</f>
        <v/>
      </c>
      <c r="J124">
        <f>IF(INDEX(L_ID,ROW()-4)="","",IF(SUMPRODUCT((P_ID=INDEX(L_ID,ROW()-4))*(P_StatusN="INACTIVE"))&gt;0,1,0))</f>
        <v/>
      </c>
    </row>
    <row r="125">
      <c r="A125">
        <f>IF(INDEX(L_ID,ROW()-4)="","",IF(COUNTIF(P_ID,INDEX(L_ID,ROW()-4))&gt;0,1,0))</f>
        <v/>
      </c>
      <c r="B125">
        <f>IF(INDEX(P_Type,ROW()-4)="","",TRIM(UPPER(INDEX(P_Type,ROW()-4))))</f>
        <v/>
      </c>
      <c r="D125">
        <f>IF(INDEX(L_Type,ROW()-4)="","",TRIM(UPPER(INDEX(L_Type,ROW()-4))))</f>
        <v/>
      </c>
      <c r="E125">
        <f>IF(INDEX(P_Status,ROW()-4)="","",TRIM(UPPER(INDEX(P_Status,ROW()-4))))</f>
        <v/>
      </c>
      <c r="G125">
        <f>IF(INDEX(L_Status,ROW()-4)="","",TRIM(UPPER(INDEX(L_Status,ROW()-4))))</f>
        <v/>
      </c>
      <c r="J125">
        <f>IF(INDEX(L_ID,ROW()-4)="","",IF(SUMPRODUCT((P_ID=INDEX(L_ID,ROW()-4))*(P_StatusN="INACTIVE"))&gt;0,1,0))</f>
        <v/>
      </c>
    </row>
    <row r="126">
      <c r="A126">
        <f>IF(INDEX(L_ID,ROW()-4)="","",IF(COUNTIF(P_ID,INDEX(L_ID,ROW()-4))&gt;0,1,0))</f>
        <v/>
      </c>
      <c r="B126">
        <f>IF(INDEX(P_Type,ROW()-4)="","",TRIM(UPPER(INDEX(P_Type,ROW()-4))))</f>
        <v/>
      </c>
      <c r="D126">
        <f>IF(INDEX(L_Type,ROW()-4)="","",TRIM(UPPER(INDEX(L_Type,ROW()-4))))</f>
        <v/>
      </c>
      <c r="E126">
        <f>IF(INDEX(P_Status,ROW()-4)="","",TRIM(UPPER(INDEX(P_Status,ROW()-4))))</f>
        <v/>
      </c>
      <c r="G126">
        <f>IF(INDEX(L_Status,ROW()-4)="","",TRIM(UPPER(INDEX(L_Status,ROW()-4))))</f>
        <v/>
      </c>
      <c r="J126">
        <f>IF(INDEX(L_ID,ROW()-4)="","",IF(SUMPRODUCT((P_ID=INDEX(L_ID,ROW()-4))*(P_StatusN="INACTIVE"))&gt;0,1,0))</f>
        <v/>
      </c>
    </row>
    <row r="127">
      <c r="A127">
        <f>IF(INDEX(L_ID,ROW()-4)="","",IF(COUNTIF(P_ID,INDEX(L_ID,ROW()-4))&gt;0,1,0))</f>
        <v/>
      </c>
      <c r="B127">
        <f>IF(INDEX(P_Type,ROW()-4)="","",TRIM(UPPER(INDEX(P_Type,ROW()-4))))</f>
        <v/>
      </c>
      <c r="D127">
        <f>IF(INDEX(L_Type,ROW()-4)="","",TRIM(UPPER(INDEX(L_Type,ROW()-4))))</f>
        <v/>
      </c>
      <c r="E127">
        <f>IF(INDEX(P_Status,ROW()-4)="","",TRIM(UPPER(INDEX(P_Status,ROW()-4))))</f>
        <v/>
      </c>
      <c r="G127">
        <f>IF(INDEX(L_Status,ROW()-4)="","",TRIM(UPPER(INDEX(L_Status,ROW()-4))))</f>
        <v/>
      </c>
      <c r="J127">
        <f>IF(INDEX(L_ID,ROW()-4)="","",IF(SUMPRODUCT((P_ID=INDEX(L_ID,ROW()-4))*(P_StatusN="INACTIVE"))&gt;0,1,0))</f>
        <v/>
      </c>
    </row>
    <row r="128">
      <c r="A128">
        <f>IF(INDEX(L_ID,ROW()-4)="","",IF(COUNTIF(P_ID,INDEX(L_ID,ROW()-4))&gt;0,1,0))</f>
        <v/>
      </c>
      <c r="B128">
        <f>IF(INDEX(P_Type,ROW()-4)="","",TRIM(UPPER(INDEX(P_Type,ROW()-4))))</f>
        <v/>
      </c>
      <c r="D128">
        <f>IF(INDEX(L_Type,ROW()-4)="","",TRIM(UPPER(INDEX(L_Type,ROW()-4))))</f>
        <v/>
      </c>
      <c r="E128">
        <f>IF(INDEX(P_Status,ROW()-4)="","",TRIM(UPPER(INDEX(P_Status,ROW()-4))))</f>
        <v/>
      </c>
      <c r="G128">
        <f>IF(INDEX(L_Status,ROW()-4)="","",TRIM(UPPER(INDEX(L_Status,ROW()-4))))</f>
        <v/>
      </c>
      <c r="J128">
        <f>IF(INDEX(L_ID,ROW()-4)="","",IF(SUMPRODUCT((P_ID=INDEX(L_ID,ROW()-4))*(P_StatusN="INACTIVE"))&gt;0,1,0))</f>
        <v/>
      </c>
    </row>
    <row r="129">
      <c r="A129">
        <f>IF(INDEX(L_ID,ROW()-4)="","",IF(COUNTIF(P_ID,INDEX(L_ID,ROW()-4))&gt;0,1,0))</f>
        <v/>
      </c>
      <c r="B129">
        <f>IF(INDEX(P_Type,ROW()-4)="","",TRIM(UPPER(INDEX(P_Type,ROW()-4))))</f>
        <v/>
      </c>
      <c r="D129">
        <f>IF(INDEX(L_Type,ROW()-4)="","",TRIM(UPPER(INDEX(L_Type,ROW()-4))))</f>
        <v/>
      </c>
      <c r="E129">
        <f>IF(INDEX(P_Status,ROW()-4)="","",TRIM(UPPER(INDEX(P_Status,ROW()-4))))</f>
        <v/>
      </c>
      <c r="G129">
        <f>IF(INDEX(L_Status,ROW()-4)="","",TRIM(UPPER(INDEX(L_Status,ROW()-4))))</f>
        <v/>
      </c>
      <c r="J129">
        <f>IF(INDEX(L_ID,ROW()-4)="","",IF(SUMPRODUCT((P_ID=INDEX(L_ID,ROW()-4))*(P_StatusN="INACTIVE"))&gt;0,1,0))</f>
        <v/>
      </c>
    </row>
    <row r="130">
      <c r="A130">
        <f>IF(INDEX(L_ID,ROW()-4)="","",IF(COUNTIF(P_ID,INDEX(L_ID,ROW()-4))&gt;0,1,0))</f>
        <v/>
      </c>
      <c r="B130">
        <f>IF(INDEX(P_Type,ROW()-4)="","",TRIM(UPPER(INDEX(P_Type,ROW()-4))))</f>
        <v/>
      </c>
      <c r="D130">
        <f>IF(INDEX(L_Type,ROW()-4)="","",TRIM(UPPER(INDEX(L_Type,ROW()-4))))</f>
        <v/>
      </c>
      <c r="E130">
        <f>IF(INDEX(P_Status,ROW()-4)="","",TRIM(UPPER(INDEX(P_Status,ROW()-4))))</f>
        <v/>
      </c>
      <c r="G130">
        <f>IF(INDEX(L_Status,ROW()-4)="","",TRIM(UPPER(INDEX(L_Status,ROW()-4))))</f>
        <v/>
      </c>
      <c r="J130">
        <f>IF(INDEX(L_ID,ROW()-4)="","",IF(SUMPRODUCT((P_ID=INDEX(L_ID,ROW()-4))*(P_StatusN="INACTIVE"))&gt;0,1,0))</f>
        <v/>
      </c>
    </row>
    <row r="131">
      <c r="A131">
        <f>IF(INDEX(L_ID,ROW()-4)="","",IF(COUNTIF(P_ID,INDEX(L_ID,ROW()-4))&gt;0,1,0))</f>
        <v/>
      </c>
      <c r="B131">
        <f>IF(INDEX(P_Type,ROW()-4)="","",TRIM(UPPER(INDEX(P_Type,ROW()-4))))</f>
        <v/>
      </c>
      <c r="D131">
        <f>IF(INDEX(L_Type,ROW()-4)="","",TRIM(UPPER(INDEX(L_Type,ROW()-4))))</f>
        <v/>
      </c>
      <c r="E131">
        <f>IF(INDEX(P_Status,ROW()-4)="","",TRIM(UPPER(INDEX(P_Status,ROW()-4))))</f>
        <v/>
      </c>
      <c r="G131">
        <f>IF(INDEX(L_Status,ROW()-4)="","",TRIM(UPPER(INDEX(L_Status,ROW()-4))))</f>
        <v/>
      </c>
      <c r="J131">
        <f>IF(INDEX(L_ID,ROW()-4)="","",IF(SUMPRODUCT((P_ID=INDEX(L_ID,ROW()-4))*(P_StatusN="INACTIVE"))&gt;0,1,0))</f>
        <v/>
      </c>
    </row>
    <row r="132">
      <c r="A132">
        <f>IF(INDEX(L_ID,ROW()-4)="","",IF(COUNTIF(P_ID,INDEX(L_ID,ROW()-4))&gt;0,1,0))</f>
        <v/>
      </c>
      <c r="B132">
        <f>IF(INDEX(P_Type,ROW()-4)="","",TRIM(UPPER(INDEX(P_Type,ROW()-4))))</f>
        <v/>
      </c>
      <c r="D132">
        <f>IF(INDEX(L_Type,ROW()-4)="","",TRIM(UPPER(INDEX(L_Type,ROW()-4))))</f>
        <v/>
      </c>
      <c r="E132">
        <f>IF(INDEX(P_Status,ROW()-4)="","",TRIM(UPPER(INDEX(P_Status,ROW()-4))))</f>
        <v/>
      </c>
      <c r="G132">
        <f>IF(INDEX(L_Status,ROW()-4)="","",TRIM(UPPER(INDEX(L_Status,ROW()-4))))</f>
        <v/>
      </c>
      <c r="J132">
        <f>IF(INDEX(L_ID,ROW()-4)="","",IF(SUMPRODUCT((P_ID=INDEX(L_ID,ROW()-4))*(P_StatusN="INACTIVE"))&gt;0,1,0))</f>
        <v/>
      </c>
    </row>
    <row r="133">
      <c r="A133">
        <f>IF(INDEX(L_ID,ROW()-4)="","",IF(COUNTIF(P_ID,INDEX(L_ID,ROW()-4))&gt;0,1,0))</f>
        <v/>
      </c>
      <c r="B133">
        <f>IF(INDEX(P_Type,ROW()-4)="","",TRIM(UPPER(INDEX(P_Type,ROW()-4))))</f>
        <v/>
      </c>
      <c r="D133">
        <f>IF(INDEX(L_Type,ROW()-4)="","",TRIM(UPPER(INDEX(L_Type,ROW()-4))))</f>
        <v/>
      </c>
      <c r="E133">
        <f>IF(INDEX(P_Status,ROW()-4)="","",TRIM(UPPER(INDEX(P_Status,ROW()-4))))</f>
        <v/>
      </c>
      <c r="G133">
        <f>IF(INDEX(L_Status,ROW()-4)="","",TRIM(UPPER(INDEX(L_Status,ROW()-4))))</f>
        <v/>
      </c>
      <c r="J133">
        <f>IF(INDEX(L_ID,ROW()-4)="","",IF(SUMPRODUCT((P_ID=INDEX(L_ID,ROW()-4))*(P_StatusN="INACTIVE"))&gt;0,1,0))</f>
        <v/>
      </c>
    </row>
    <row r="134">
      <c r="A134">
        <f>IF(INDEX(L_ID,ROW()-4)="","",IF(COUNTIF(P_ID,INDEX(L_ID,ROW()-4))&gt;0,1,0))</f>
        <v/>
      </c>
      <c r="B134">
        <f>IF(INDEX(P_Type,ROW()-4)="","",TRIM(UPPER(INDEX(P_Type,ROW()-4))))</f>
        <v/>
      </c>
      <c r="D134">
        <f>IF(INDEX(L_Type,ROW()-4)="","",TRIM(UPPER(INDEX(L_Type,ROW()-4))))</f>
        <v/>
      </c>
      <c r="E134">
        <f>IF(INDEX(P_Status,ROW()-4)="","",TRIM(UPPER(INDEX(P_Status,ROW()-4))))</f>
        <v/>
      </c>
      <c r="G134">
        <f>IF(INDEX(L_Status,ROW()-4)="","",TRIM(UPPER(INDEX(L_Status,ROW()-4))))</f>
        <v/>
      </c>
      <c r="J134">
        <f>IF(INDEX(L_ID,ROW()-4)="","",IF(SUMPRODUCT((P_ID=INDEX(L_ID,ROW()-4))*(P_StatusN="INACTIVE"))&gt;0,1,0))</f>
        <v/>
      </c>
    </row>
    <row r="135">
      <c r="A135">
        <f>IF(INDEX(L_ID,ROW()-4)="","",IF(COUNTIF(P_ID,INDEX(L_ID,ROW()-4))&gt;0,1,0))</f>
        <v/>
      </c>
      <c r="B135">
        <f>IF(INDEX(P_Type,ROW()-4)="","",TRIM(UPPER(INDEX(P_Type,ROW()-4))))</f>
        <v/>
      </c>
      <c r="D135">
        <f>IF(INDEX(L_Type,ROW()-4)="","",TRIM(UPPER(INDEX(L_Type,ROW()-4))))</f>
        <v/>
      </c>
      <c r="E135">
        <f>IF(INDEX(P_Status,ROW()-4)="","",TRIM(UPPER(INDEX(P_Status,ROW()-4))))</f>
        <v/>
      </c>
      <c r="G135">
        <f>IF(INDEX(L_Status,ROW()-4)="","",TRIM(UPPER(INDEX(L_Status,ROW()-4))))</f>
        <v/>
      </c>
      <c r="J135">
        <f>IF(INDEX(L_ID,ROW()-4)="","",IF(SUMPRODUCT((P_ID=INDEX(L_ID,ROW()-4))*(P_StatusN="INACTIVE"))&gt;0,1,0))</f>
        <v/>
      </c>
    </row>
    <row r="136">
      <c r="A136">
        <f>IF(INDEX(L_ID,ROW()-4)="","",IF(COUNTIF(P_ID,INDEX(L_ID,ROW()-4))&gt;0,1,0))</f>
        <v/>
      </c>
      <c r="B136">
        <f>IF(INDEX(P_Type,ROW()-4)="","",TRIM(UPPER(INDEX(P_Type,ROW()-4))))</f>
        <v/>
      </c>
      <c r="D136">
        <f>IF(INDEX(L_Type,ROW()-4)="","",TRIM(UPPER(INDEX(L_Type,ROW()-4))))</f>
        <v/>
      </c>
      <c r="E136">
        <f>IF(INDEX(P_Status,ROW()-4)="","",TRIM(UPPER(INDEX(P_Status,ROW()-4))))</f>
        <v/>
      </c>
      <c r="G136">
        <f>IF(INDEX(L_Status,ROW()-4)="","",TRIM(UPPER(INDEX(L_Status,ROW()-4))))</f>
        <v/>
      </c>
      <c r="J136">
        <f>IF(INDEX(L_ID,ROW()-4)="","",IF(SUMPRODUCT((P_ID=INDEX(L_ID,ROW()-4))*(P_StatusN="INACTIVE"))&gt;0,1,0))</f>
        <v/>
      </c>
    </row>
    <row r="137">
      <c r="A137">
        <f>IF(INDEX(L_ID,ROW()-4)="","",IF(COUNTIF(P_ID,INDEX(L_ID,ROW()-4))&gt;0,1,0))</f>
        <v/>
      </c>
      <c r="B137">
        <f>IF(INDEX(P_Type,ROW()-4)="","",TRIM(UPPER(INDEX(P_Type,ROW()-4))))</f>
        <v/>
      </c>
      <c r="D137">
        <f>IF(INDEX(L_Type,ROW()-4)="","",TRIM(UPPER(INDEX(L_Type,ROW()-4))))</f>
        <v/>
      </c>
      <c r="E137">
        <f>IF(INDEX(P_Status,ROW()-4)="","",TRIM(UPPER(INDEX(P_Status,ROW()-4))))</f>
        <v/>
      </c>
      <c r="G137">
        <f>IF(INDEX(L_Status,ROW()-4)="","",TRIM(UPPER(INDEX(L_Status,ROW()-4))))</f>
        <v/>
      </c>
      <c r="J137">
        <f>IF(INDEX(L_ID,ROW()-4)="","",IF(SUMPRODUCT((P_ID=INDEX(L_ID,ROW()-4))*(P_StatusN="INACTIVE"))&gt;0,1,0))</f>
        <v/>
      </c>
    </row>
    <row r="138">
      <c r="A138">
        <f>IF(INDEX(L_ID,ROW()-4)="","",IF(COUNTIF(P_ID,INDEX(L_ID,ROW()-4))&gt;0,1,0))</f>
        <v/>
      </c>
      <c r="B138">
        <f>IF(INDEX(P_Type,ROW()-4)="","",TRIM(UPPER(INDEX(P_Type,ROW()-4))))</f>
        <v/>
      </c>
      <c r="D138">
        <f>IF(INDEX(L_Type,ROW()-4)="","",TRIM(UPPER(INDEX(L_Type,ROW()-4))))</f>
        <v/>
      </c>
      <c r="E138">
        <f>IF(INDEX(P_Status,ROW()-4)="","",TRIM(UPPER(INDEX(P_Status,ROW()-4))))</f>
        <v/>
      </c>
      <c r="G138">
        <f>IF(INDEX(L_Status,ROW()-4)="","",TRIM(UPPER(INDEX(L_Status,ROW()-4))))</f>
        <v/>
      </c>
      <c r="J138">
        <f>IF(INDEX(L_ID,ROW()-4)="","",IF(SUMPRODUCT((P_ID=INDEX(L_ID,ROW()-4))*(P_StatusN="INACTIVE"))&gt;0,1,0))</f>
        <v/>
      </c>
    </row>
    <row r="139">
      <c r="A139">
        <f>IF(INDEX(L_ID,ROW()-4)="","",IF(COUNTIF(P_ID,INDEX(L_ID,ROW()-4))&gt;0,1,0))</f>
        <v/>
      </c>
      <c r="B139">
        <f>IF(INDEX(P_Type,ROW()-4)="","",TRIM(UPPER(INDEX(P_Type,ROW()-4))))</f>
        <v/>
      </c>
      <c r="D139">
        <f>IF(INDEX(L_Type,ROW()-4)="","",TRIM(UPPER(INDEX(L_Type,ROW()-4))))</f>
        <v/>
      </c>
      <c r="E139">
        <f>IF(INDEX(P_Status,ROW()-4)="","",TRIM(UPPER(INDEX(P_Status,ROW()-4))))</f>
        <v/>
      </c>
      <c r="G139">
        <f>IF(INDEX(L_Status,ROW()-4)="","",TRIM(UPPER(INDEX(L_Status,ROW()-4))))</f>
        <v/>
      </c>
      <c r="J139">
        <f>IF(INDEX(L_ID,ROW()-4)="","",IF(SUMPRODUCT((P_ID=INDEX(L_ID,ROW()-4))*(P_StatusN="INACTIVE"))&gt;0,1,0))</f>
        <v/>
      </c>
    </row>
    <row r="140">
      <c r="A140">
        <f>IF(INDEX(L_ID,ROW()-4)="","",IF(COUNTIF(P_ID,INDEX(L_ID,ROW()-4))&gt;0,1,0))</f>
        <v/>
      </c>
      <c r="B140">
        <f>IF(INDEX(P_Type,ROW()-4)="","",TRIM(UPPER(INDEX(P_Type,ROW()-4))))</f>
        <v/>
      </c>
      <c r="D140">
        <f>IF(INDEX(L_Type,ROW()-4)="","",TRIM(UPPER(INDEX(L_Type,ROW()-4))))</f>
        <v/>
      </c>
      <c r="E140">
        <f>IF(INDEX(P_Status,ROW()-4)="","",TRIM(UPPER(INDEX(P_Status,ROW()-4))))</f>
        <v/>
      </c>
      <c r="G140">
        <f>IF(INDEX(L_Status,ROW()-4)="","",TRIM(UPPER(INDEX(L_Status,ROW()-4))))</f>
        <v/>
      </c>
      <c r="J140">
        <f>IF(INDEX(L_ID,ROW()-4)="","",IF(SUMPRODUCT((P_ID=INDEX(L_ID,ROW()-4))*(P_StatusN="INACTIVE"))&gt;0,1,0))</f>
        <v/>
      </c>
    </row>
    <row r="141">
      <c r="A141">
        <f>IF(INDEX(L_ID,ROW()-4)="","",IF(COUNTIF(P_ID,INDEX(L_ID,ROW()-4))&gt;0,1,0))</f>
        <v/>
      </c>
      <c r="B141">
        <f>IF(INDEX(P_Type,ROW()-4)="","",TRIM(UPPER(INDEX(P_Type,ROW()-4))))</f>
        <v/>
      </c>
      <c r="D141">
        <f>IF(INDEX(L_Type,ROW()-4)="","",TRIM(UPPER(INDEX(L_Type,ROW()-4))))</f>
        <v/>
      </c>
      <c r="E141">
        <f>IF(INDEX(P_Status,ROW()-4)="","",TRIM(UPPER(INDEX(P_Status,ROW()-4))))</f>
        <v/>
      </c>
      <c r="G141">
        <f>IF(INDEX(L_Status,ROW()-4)="","",TRIM(UPPER(INDEX(L_Status,ROW()-4))))</f>
        <v/>
      </c>
      <c r="J141">
        <f>IF(INDEX(L_ID,ROW()-4)="","",IF(SUMPRODUCT((P_ID=INDEX(L_ID,ROW()-4))*(P_StatusN="INACTIVE"))&gt;0,1,0))</f>
        <v/>
      </c>
    </row>
    <row r="142">
      <c r="A142">
        <f>IF(INDEX(L_ID,ROW()-4)="","",IF(COUNTIF(P_ID,INDEX(L_ID,ROW()-4))&gt;0,1,0))</f>
        <v/>
      </c>
      <c r="B142">
        <f>IF(INDEX(P_Type,ROW()-4)="","",TRIM(UPPER(INDEX(P_Type,ROW()-4))))</f>
        <v/>
      </c>
      <c r="D142">
        <f>IF(INDEX(L_Type,ROW()-4)="","",TRIM(UPPER(INDEX(L_Type,ROW()-4))))</f>
        <v/>
      </c>
      <c r="E142">
        <f>IF(INDEX(P_Status,ROW()-4)="","",TRIM(UPPER(INDEX(P_Status,ROW()-4))))</f>
        <v/>
      </c>
      <c r="G142">
        <f>IF(INDEX(L_Status,ROW()-4)="","",TRIM(UPPER(INDEX(L_Status,ROW()-4))))</f>
        <v/>
      </c>
      <c r="J142">
        <f>IF(INDEX(L_ID,ROW()-4)="","",IF(SUMPRODUCT((P_ID=INDEX(L_ID,ROW()-4))*(P_StatusN="INACTIVE"))&gt;0,1,0))</f>
        <v/>
      </c>
    </row>
    <row r="143">
      <c r="A143">
        <f>IF(INDEX(L_ID,ROW()-4)="","",IF(COUNTIF(P_ID,INDEX(L_ID,ROW()-4))&gt;0,1,0))</f>
        <v/>
      </c>
      <c r="B143">
        <f>IF(INDEX(P_Type,ROW()-4)="","",TRIM(UPPER(INDEX(P_Type,ROW()-4))))</f>
        <v/>
      </c>
      <c r="D143">
        <f>IF(INDEX(L_Type,ROW()-4)="","",TRIM(UPPER(INDEX(L_Type,ROW()-4))))</f>
        <v/>
      </c>
      <c r="E143">
        <f>IF(INDEX(P_Status,ROW()-4)="","",TRIM(UPPER(INDEX(P_Status,ROW()-4))))</f>
        <v/>
      </c>
      <c r="G143">
        <f>IF(INDEX(L_Status,ROW()-4)="","",TRIM(UPPER(INDEX(L_Status,ROW()-4))))</f>
        <v/>
      </c>
      <c r="J143">
        <f>IF(INDEX(L_ID,ROW()-4)="","",IF(SUMPRODUCT((P_ID=INDEX(L_ID,ROW()-4))*(P_StatusN="INACTIVE"))&gt;0,1,0))</f>
        <v/>
      </c>
    </row>
    <row r="144">
      <c r="A144">
        <f>IF(INDEX(L_ID,ROW()-4)="","",IF(COUNTIF(P_ID,INDEX(L_ID,ROW()-4))&gt;0,1,0))</f>
        <v/>
      </c>
      <c r="B144">
        <f>IF(INDEX(P_Type,ROW()-4)="","",TRIM(UPPER(INDEX(P_Type,ROW()-4))))</f>
        <v/>
      </c>
      <c r="D144">
        <f>IF(INDEX(L_Type,ROW()-4)="","",TRIM(UPPER(INDEX(L_Type,ROW()-4))))</f>
        <v/>
      </c>
      <c r="E144">
        <f>IF(INDEX(P_Status,ROW()-4)="","",TRIM(UPPER(INDEX(P_Status,ROW()-4))))</f>
        <v/>
      </c>
      <c r="G144">
        <f>IF(INDEX(L_Status,ROW()-4)="","",TRIM(UPPER(INDEX(L_Status,ROW()-4))))</f>
        <v/>
      </c>
      <c r="J144">
        <f>IF(INDEX(L_ID,ROW()-4)="","",IF(SUMPRODUCT((P_ID=INDEX(L_ID,ROW()-4))*(P_StatusN="INACTIVE"))&gt;0,1,0))</f>
        <v/>
      </c>
    </row>
    <row r="145">
      <c r="A145">
        <f>IF(INDEX(L_ID,ROW()-4)="","",IF(COUNTIF(P_ID,INDEX(L_ID,ROW()-4))&gt;0,1,0))</f>
        <v/>
      </c>
      <c r="B145">
        <f>IF(INDEX(P_Type,ROW()-4)="","",TRIM(UPPER(INDEX(P_Type,ROW()-4))))</f>
        <v/>
      </c>
      <c r="D145">
        <f>IF(INDEX(L_Type,ROW()-4)="","",TRIM(UPPER(INDEX(L_Type,ROW()-4))))</f>
        <v/>
      </c>
      <c r="E145">
        <f>IF(INDEX(P_Status,ROW()-4)="","",TRIM(UPPER(INDEX(P_Status,ROW()-4))))</f>
        <v/>
      </c>
      <c r="G145">
        <f>IF(INDEX(L_Status,ROW()-4)="","",TRIM(UPPER(INDEX(L_Status,ROW()-4))))</f>
        <v/>
      </c>
      <c r="J145">
        <f>IF(INDEX(L_ID,ROW()-4)="","",IF(SUMPRODUCT((P_ID=INDEX(L_ID,ROW()-4))*(P_StatusN="INACTIVE"))&gt;0,1,0))</f>
        <v/>
      </c>
    </row>
    <row r="146">
      <c r="A146">
        <f>IF(INDEX(L_ID,ROW()-4)="","",IF(COUNTIF(P_ID,INDEX(L_ID,ROW()-4))&gt;0,1,0))</f>
        <v/>
      </c>
      <c r="B146">
        <f>IF(INDEX(P_Type,ROW()-4)="","",TRIM(UPPER(INDEX(P_Type,ROW()-4))))</f>
        <v/>
      </c>
      <c r="D146">
        <f>IF(INDEX(L_Type,ROW()-4)="","",TRIM(UPPER(INDEX(L_Type,ROW()-4))))</f>
        <v/>
      </c>
      <c r="E146">
        <f>IF(INDEX(P_Status,ROW()-4)="","",TRIM(UPPER(INDEX(P_Status,ROW()-4))))</f>
        <v/>
      </c>
      <c r="G146">
        <f>IF(INDEX(L_Status,ROW()-4)="","",TRIM(UPPER(INDEX(L_Status,ROW()-4))))</f>
        <v/>
      </c>
      <c r="J146">
        <f>IF(INDEX(L_ID,ROW()-4)="","",IF(SUMPRODUCT((P_ID=INDEX(L_ID,ROW()-4))*(P_StatusN="INACTIVE"))&gt;0,1,0))</f>
        <v/>
      </c>
    </row>
    <row r="147">
      <c r="A147">
        <f>IF(INDEX(L_ID,ROW()-4)="","",IF(COUNTIF(P_ID,INDEX(L_ID,ROW()-4))&gt;0,1,0))</f>
        <v/>
      </c>
      <c r="B147">
        <f>IF(INDEX(P_Type,ROW()-4)="","",TRIM(UPPER(INDEX(P_Type,ROW()-4))))</f>
        <v/>
      </c>
      <c r="D147">
        <f>IF(INDEX(L_Type,ROW()-4)="","",TRIM(UPPER(INDEX(L_Type,ROW()-4))))</f>
        <v/>
      </c>
      <c r="E147">
        <f>IF(INDEX(P_Status,ROW()-4)="","",TRIM(UPPER(INDEX(P_Status,ROW()-4))))</f>
        <v/>
      </c>
      <c r="G147">
        <f>IF(INDEX(L_Status,ROW()-4)="","",TRIM(UPPER(INDEX(L_Status,ROW()-4))))</f>
        <v/>
      </c>
      <c r="J147">
        <f>IF(INDEX(L_ID,ROW()-4)="","",IF(SUMPRODUCT((P_ID=INDEX(L_ID,ROW()-4))*(P_StatusN="INACTIVE"))&gt;0,1,0))</f>
        <v/>
      </c>
    </row>
    <row r="148">
      <c r="A148">
        <f>IF(INDEX(L_ID,ROW()-4)="","",IF(COUNTIF(P_ID,INDEX(L_ID,ROW()-4))&gt;0,1,0))</f>
        <v/>
      </c>
      <c r="B148">
        <f>IF(INDEX(P_Type,ROW()-4)="","",TRIM(UPPER(INDEX(P_Type,ROW()-4))))</f>
        <v/>
      </c>
      <c r="D148">
        <f>IF(INDEX(L_Type,ROW()-4)="","",TRIM(UPPER(INDEX(L_Type,ROW()-4))))</f>
        <v/>
      </c>
      <c r="E148">
        <f>IF(INDEX(P_Status,ROW()-4)="","",TRIM(UPPER(INDEX(P_Status,ROW()-4))))</f>
        <v/>
      </c>
      <c r="G148">
        <f>IF(INDEX(L_Status,ROW()-4)="","",TRIM(UPPER(INDEX(L_Status,ROW()-4))))</f>
        <v/>
      </c>
      <c r="J148">
        <f>IF(INDEX(L_ID,ROW()-4)="","",IF(SUMPRODUCT((P_ID=INDEX(L_ID,ROW()-4))*(P_StatusN="INACTIVE"))&gt;0,1,0))</f>
        <v/>
      </c>
    </row>
    <row r="149">
      <c r="A149">
        <f>IF(INDEX(L_ID,ROW()-4)="","",IF(COUNTIF(P_ID,INDEX(L_ID,ROW()-4))&gt;0,1,0))</f>
        <v/>
      </c>
      <c r="B149">
        <f>IF(INDEX(P_Type,ROW()-4)="","",TRIM(UPPER(INDEX(P_Type,ROW()-4))))</f>
        <v/>
      </c>
      <c r="D149">
        <f>IF(INDEX(L_Type,ROW()-4)="","",TRIM(UPPER(INDEX(L_Type,ROW()-4))))</f>
        <v/>
      </c>
      <c r="E149">
        <f>IF(INDEX(P_Status,ROW()-4)="","",TRIM(UPPER(INDEX(P_Status,ROW()-4))))</f>
        <v/>
      </c>
      <c r="G149">
        <f>IF(INDEX(L_Status,ROW()-4)="","",TRIM(UPPER(INDEX(L_Status,ROW()-4))))</f>
        <v/>
      </c>
      <c r="J149">
        <f>IF(INDEX(L_ID,ROW()-4)="","",IF(SUMPRODUCT((P_ID=INDEX(L_ID,ROW()-4))*(P_StatusN="INACTIVE"))&gt;0,1,0))</f>
        <v/>
      </c>
    </row>
    <row r="150">
      <c r="A150">
        <f>IF(INDEX(L_ID,ROW()-4)="","",IF(COUNTIF(P_ID,INDEX(L_ID,ROW()-4))&gt;0,1,0))</f>
        <v/>
      </c>
      <c r="B150">
        <f>IF(INDEX(P_Type,ROW()-4)="","",TRIM(UPPER(INDEX(P_Type,ROW()-4))))</f>
        <v/>
      </c>
      <c r="D150">
        <f>IF(INDEX(L_Type,ROW()-4)="","",TRIM(UPPER(INDEX(L_Type,ROW()-4))))</f>
        <v/>
      </c>
      <c r="E150">
        <f>IF(INDEX(P_Status,ROW()-4)="","",TRIM(UPPER(INDEX(P_Status,ROW()-4))))</f>
        <v/>
      </c>
      <c r="G150">
        <f>IF(INDEX(L_Status,ROW()-4)="","",TRIM(UPPER(INDEX(L_Status,ROW()-4))))</f>
        <v/>
      </c>
      <c r="J150">
        <f>IF(INDEX(L_ID,ROW()-4)="","",IF(SUMPRODUCT((P_ID=INDEX(L_ID,ROW()-4))*(P_StatusN="INACTIVE"))&gt;0,1,0))</f>
        <v/>
      </c>
    </row>
    <row r="151">
      <c r="A151">
        <f>IF(INDEX(L_ID,ROW()-4)="","",IF(COUNTIF(P_ID,INDEX(L_ID,ROW()-4))&gt;0,1,0))</f>
        <v/>
      </c>
      <c r="B151">
        <f>IF(INDEX(P_Type,ROW()-4)="","",TRIM(UPPER(INDEX(P_Type,ROW()-4))))</f>
        <v/>
      </c>
      <c r="D151">
        <f>IF(INDEX(L_Type,ROW()-4)="","",TRIM(UPPER(INDEX(L_Type,ROW()-4))))</f>
        <v/>
      </c>
      <c r="E151">
        <f>IF(INDEX(P_Status,ROW()-4)="","",TRIM(UPPER(INDEX(P_Status,ROW()-4))))</f>
        <v/>
      </c>
      <c r="G151">
        <f>IF(INDEX(L_Status,ROW()-4)="","",TRIM(UPPER(INDEX(L_Status,ROW()-4))))</f>
        <v/>
      </c>
      <c r="J151">
        <f>IF(INDEX(L_ID,ROW()-4)="","",IF(SUMPRODUCT((P_ID=INDEX(L_ID,ROW()-4))*(P_StatusN="INACTIVE"))&gt;0,1,0))</f>
        <v/>
      </c>
    </row>
    <row r="152">
      <c r="A152">
        <f>IF(INDEX(L_ID,ROW()-4)="","",IF(COUNTIF(P_ID,INDEX(L_ID,ROW()-4))&gt;0,1,0))</f>
        <v/>
      </c>
      <c r="B152">
        <f>IF(INDEX(P_Type,ROW()-4)="","",TRIM(UPPER(INDEX(P_Type,ROW()-4))))</f>
        <v/>
      </c>
      <c r="D152">
        <f>IF(INDEX(L_Type,ROW()-4)="","",TRIM(UPPER(INDEX(L_Type,ROW()-4))))</f>
        <v/>
      </c>
      <c r="E152">
        <f>IF(INDEX(P_Status,ROW()-4)="","",TRIM(UPPER(INDEX(P_Status,ROW()-4))))</f>
        <v/>
      </c>
      <c r="G152">
        <f>IF(INDEX(L_Status,ROW()-4)="","",TRIM(UPPER(INDEX(L_Status,ROW()-4))))</f>
        <v/>
      </c>
      <c r="J152">
        <f>IF(INDEX(L_ID,ROW()-4)="","",IF(SUMPRODUCT((P_ID=INDEX(L_ID,ROW()-4))*(P_StatusN="INACTIVE"))&gt;0,1,0))</f>
        <v/>
      </c>
    </row>
    <row r="153">
      <c r="A153">
        <f>IF(INDEX(L_ID,ROW()-4)="","",IF(COUNTIF(P_ID,INDEX(L_ID,ROW()-4))&gt;0,1,0))</f>
        <v/>
      </c>
      <c r="B153">
        <f>IF(INDEX(P_Type,ROW()-4)="","",TRIM(UPPER(INDEX(P_Type,ROW()-4))))</f>
        <v/>
      </c>
      <c r="D153">
        <f>IF(INDEX(L_Type,ROW()-4)="","",TRIM(UPPER(INDEX(L_Type,ROW()-4))))</f>
        <v/>
      </c>
      <c r="E153">
        <f>IF(INDEX(P_Status,ROW()-4)="","",TRIM(UPPER(INDEX(P_Status,ROW()-4))))</f>
        <v/>
      </c>
      <c r="G153">
        <f>IF(INDEX(L_Status,ROW()-4)="","",TRIM(UPPER(INDEX(L_Status,ROW()-4))))</f>
        <v/>
      </c>
      <c r="J153">
        <f>IF(INDEX(L_ID,ROW()-4)="","",IF(SUMPRODUCT((P_ID=INDEX(L_ID,ROW()-4))*(P_StatusN="INACTIVE"))&gt;0,1,0))</f>
        <v/>
      </c>
    </row>
    <row r="154">
      <c r="A154">
        <f>IF(INDEX(L_ID,ROW()-4)="","",IF(COUNTIF(P_ID,INDEX(L_ID,ROW()-4))&gt;0,1,0))</f>
        <v/>
      </c>
      <c r="B154">
        <f>IF(INDEX(P_Type,ROW()-4)="","",TRIM(UPPER(INDEX(P_Type,ROW()-4))))</f>
        <v/>
      </c>
      <c r="D154">
        <f>IF(INDEX(L_Type,ROW()-4)="","",TRIM(UPPER(INDEX(L_Type,ROW()-4))))</f>
        <v/>
      </c>
      <c r="E154">
        <f>IF(INDEX(P_Status,ROW()-4)="","",TRIM(UPPER(INDEX(P_Status,ROW()-4))))</f>
        <v/>
      </c>
      <c r="G154">
        <f>IF(INDEX(L_Status,ROW()-4)="","",TRIM(UPPER(INDEX(L_Status,ROW()-4))))</f>
        <v/>
      </c>
      <c r="J154">
        <f>IF(INDEX(L_ID,ROW()-4)="","",IF(SUMPRODUCT((P_ID=INDEX(L_ID,ROW()-4))*(P_StatusN="INACTIVE"))&gt;0,1,0))</f>
        <v/>
      </c>
    </row>
    <row r="155">
      <c r="A155">
        <f>IF(INDEX(L_ID,ROW()-4)="","",IF(COUNTIF(P_ID,INDEX(L_ID,ROW()-4))&gt;0,1,0))</f>
        <v/>
      </c>
      <c r="B155">
        <f>IF(INDEX(P_Type,ROW()-4)="","",TRIM(UPPER(INDEX(P_Type,ROW()-4))))</f>
        <v/>
      </c>
      <c r="D155">
        <f>IF(INDEX(L_Type,ROW()-4)="","",TRIM(UPPER(INDEX(L_Type,ROW()-4))))</f>
        <v/>
      </c>
      <c r="E155">
        <f>IF(INDEX(P_Status,ROW()-4)="","",TRIM(UPPER(INDEX(P_Status,ROW()-4))))</f>
        <v/>
      </c>
      <c r="G155">
        <f>IF(INDEX(L_Status,ROW()-4)="","",TRIM(UPPER(INDEX(L_Status,ROW()-4))))</f>
        <v/>
      </c>
      <c r="J155">
        <f>IF(INDEX(L_ID,ROW()-4)="","",IF(SUMPRODUCT((P_ID=INDEX(L_ID,ROW()-4))*(P_StatusN="INACTIVE"))&gt;0,1,0))</f>
        <v/>
      </c>
    </row>
    <row r="156">
      <c r="A156">
        <f>IF(INDEX(L_ID,ROW()-4)="","",IF(COUNTIF(P_ID,INDEX(L_ID,ROW()-4))&gt;0,1,0))</f>
        <v/>
      </c>
      <c r="B156">
        <f>IF(INDEX(P_Type,ROW()-4)="","",TRIM(UPPER(INDEX(P_Type,ROW()-4))))</f>
        <v/>
      </c>
      <c r="D156">
        <f>IF(INDEX(L_Type,ROW()-4)="","",TRIM(UPPER(INDEX(L_Type,ROW()-4))))</f>
        <v/>
      </c>
      <c r="E156">
        <f>IF(INDEX(P_Status,ROW()-4)="","",TRIM(UPPER(INDEX(P_Status,ROW()-4))))</f>
        <v/>
      </c>
      <c r="G156">
        <f>IF(INDEX(L_Status,ROW()-4)="","",TRIM(UPPER(INDEX(L_Status,ROW()-4))))</f>
        <v/>
      </c>
      <c r="J156">
        <f>IF(INDEX(L_ID,ROW()-4)="","",IF(SUMPRODUCT((P_ID=INDEX(L_ID,ROW()-4))*(P_StatusN="INACTIVE"))&gt;0,1,0))</f>
        <v/>
      </c>
    </row>
    <row r="157">
      <c r="A157">
        <f>IF(INDEX(L_ID,ROW()-4)="","",IF(COUNTIF(P_ID,INDEX(L_ID,ROW()-4))&gt;0,1,0))</f>
        <v/>
      </c>
      <c r="B157">
        <f>IF(INDEX(P_Type,ROW()-4)="","",TRIM(UPPER(INDEX(P_Type,ROW()-4))))</f>
        <v/>
      </c>
      <c r="D157">
        <f>IF(INDEX(L_Type,ROW()-4)="","",TRIM(UPPER(INDEX(L_Type,ROW()-4))))</f>
        <v/>
      </c>
      <c r="E157">
        <f>IF(INDEX(P_Status,ROW()-4)="","",TRIM(UPPER(INDEX(P_Status,ROW()-4))))</f>
        <v/>
      </c>
      <c r="G157">
        <f>IF(INDEX(L_Status,ROW()-4)="","",TRIM(UPPER(INDEX(L_Status,ROW()-4))))</f>
        <v/>
      </c>
      <c r="J157">
        <f>IF(INDEX(L_ID,ROW()-4)="","",IF(SUMPRODUCT((P_ID=INDEX(L_ID,ROW()-4))*(P_StatusN="INACTIVE"))&gt;0,1,0))</f>
        <v/>
      </c>
    </row>
    <row r="158">
      <c r="A158">
        <f>IF(INDEX(L_ID,ROW()-4)="","",IF(COUNTIF(P_ID,INDEX(L_ID,ROW()-4))&gt;0,1,0))</f>
        <v/>
      </c>
      <c r="B158">
        <f>IF(INDEX(P_Type,ROW()-4)="","",TRIM(UPPER(INDEX(P_Type,ROW()-4))))</f>
        <v/>
      </c>
      <c r="D158">
        <f>IF(INDEX(L_Type,ROW()-4)="","",TRIM(UPPER(INDEX(L_Type,ROW()-4))))</f>
        <v/>
      </c>
      <c r="E158">
        <f>IF(INDEX(P_Status,ROW()-4)="","",TRIM(UPPER(INDEX(P_Status,ROW()-4))))</f>
        <v/>
      </c>
      <c r="G158">
        <f>IF(INDEX(L_Status,ROW()-4)="","",TRIM(UPPER(INDEX(L_Status,ROW()-4))))</f>
        <v/>
      </c>
      <c r="J158">
        <f>IF(INDEX(L_ID,ROW()-4)="","",IF(SUMPRODUCT((P_ID=INDEX(L_ID,ROW()-4))*(P_StatusN="INACTIVE"))&gt;0,1,0))</f>
        <v/>
      </c>
    </row>
    <row r="159">
      <c r="A159">
        <f>IF(INDEX(L_ID,ROW()-4)="","",IF(COUNTIF(P_ID,INDEX(L_ID,ROW()-4))&gt;0,1,0))</f>
        <v/>
      </c>
      <c r="B159">
        <f>IF(INDEX(P_Type,ROW()-4)="","",TRIM(UPPER(INDEX(P_Type,ROW()-4))))</f>
        <v/>
      </c>
      <c r="D159">
        <f>IF(INDEX(L_Type,ROW()-4)="","",TRIM(UPPER(INDEX(L_Type,ROW()-4))))</f>
        <v/>
      </c>
      <c r="E159">
        <f>IF(INDEX(P_Status,ROW()-4)="","",TRIM(UPPER(INDEX(P_Status,ROW()-4))))</f>
        <v/>
      </c>
      <c r="G159">
        <f>IF(INDEX(L_Status,ROW()-4)="","",TRIM(UPPER(INDEX(L_Status,ROW()-4))))</f>
        <v/>
      </c>
      <c r="J159">
        <f>IF(INDEX(L_ID,ROW()-4)="","",IF(SUMPRODUCT((P_ID=INDEX(L_ID,ROW()-4))*(P_StatusN="INACTIVE"))&gt;0,1,0))</f>
        <v/>
      </c>
    </row>
    <row r="160">
      <c r="A160">
        <f>IF(INDEX(L_ID,ROW()-4)="","",IF(COUNTIF(P_ID,INDEX(L_ID,ROW()-4))&gt;0,1,0))</f>
        <v/>
      </c>
      <c r="B160">
        <f>IF(INDEX(P_Type,ROW()-4)="","",TRIM(UPPER(INDEX(P_Type,ROW()-4))))</f>
        <v/>
      </c>
      <c r="D160">
        <f>IF(INDEX(L_Type,ROW()-4)="","",TRIM(UPPER(INDEX(L_Type,ROW()-4))))</f>
        <v/>
      </c>
      <c r="E160">
        <f>IF(INDEX(P_Status,ROW()-4)="","",TRIM(UPPER(INDEX(P_Status,ROW()-4))))</f>
        <v/>
      </c>
      <c r="G160">
        <f>IF(INDEX(L_Status,ROW()-4)="","",TRIM(UPPER(INDEX(L_Status,ROW()-4))))</f>
        <v/>
      </c>
      <c r="J160">
        <f>IF(INDEX(L_ID,ROW()-4)="","",IF(SUMPRODUCT((P_ID=INDEX(L_ID,ROW()-4))*(P_StatusN="INACTIVE"))&gt;0,1,0))</f>
        <v/>
      </c>
    </row>
    <row r="161">
      <c r="A161">
        <f>IF(INDEX(L_ID,ROW()-4)="","",IF(COUNTIF(P_ID,INDEX(L_ID,ROW()-4))&gt;0,1,0))</f>
        <v/>
      </c>
      <c r="B161">
        <f>IF(INDEX(P_Type,ROW()-4)="","",TRIM(UPPER(INDEX(P_Type,ROW()-4))))</f>
        <v/>
      </c>
      <c r="D161">
        <f>IF(INDEX(L_Type,ROW()-4)="","",TRIM(UPPER(INDEX(L_Type,ROW()-4))))</f>
        <v/>
      </c>
      <c r="E161">
        <f>IF(INDEX(P_Status,ROW()-4)="","",TRIM(UPPER(INDEX(P_Status,ROW()-4))))</f>
        <v/>
      </c>
      <c r="G161">
        <f>IF(INDEX(L_Status,ROW()-4)="","",TRIM(UPPER(INDEX(L_Status,ROW()-4))))</f>
        <v/>
      </c>
      <c r="J161">
        <f>IF(INDEX(L_ID,ROW()-4)="","",IF(SUMPRODUCT((P_ID=INDEX(L_ID,ROW()-4))*(P_StatusN="INACTIVE"))&gt;0,1,0))</f>
        <v/>
      </c>
    </row>
    <row r="162">
      <c r="A162">
        <f>IF(INDEX(L_ID,ROW()-4)="","",IF(COUNTIF(P_ID,INDEX(L_ID,ROW()-4))&gt;0,1,0))</f>
        <v/>
      </c>
      <c r="B162">
        <f>IF(INDEX(P_Type,ROW()-4)="","",TRIM(UPPER(INDEX(P_Type,ROW()-4))))</f>
        <v/>
      </c>
      <c r="D162">
        <f>IF(INDEX(L_Type,ROW()-4)="","",TRIM(UPPER(INDEX(L_Type,ROW()-4))))</f>
        <v/>
      </c>
      <c r="E162">
        <f>IF(INDEX(P_Status,ROW()-4)="","",TRIM(UPPER(INDEX(P_Status,ROW()-4))))</f>
        <v/>
      </c>
      <c r="G162">
        <f>IF(INDEX(L_Status,ROW()-4)="","",TRIM(UPPER(INDEX(L_Status,ROW()-4))))</f>
        <v/>
      </c>
      <c r="J162">
        <f>IF(INDEX(L_ID,ROW()-4)="","",IF(SUMPRODUCT((P_ID=INDEX(L_ID,ROW()-4))*(P_StatusN="INACTIVE"))&gt;0,1,0))</f>
        <v/>
      </c>
    </row>
    <row r="163">
      <c r="A163">
        <f>IF(INDEX(L_ID,ROW()-4)="","",IF(COUNTIF(P_ID,INDEX(L_ID,ROW()-4))&gt;0,1,0))</f>
        <v/>
      </c>
      <c r="B163">
        <f>IF(INDEX(P_Type,ROW()-4)="","",TRIM(UPPER(INDEX(P_Type,ROW()-4))))</f>
        <v/>
      </c>
      <c r="D163">
        <f>IF(INDEX(L_Type,ROW()-4)="","",TRIM(UPPER(INDEX(L_Type,ROW()-4))))</f>
        <v/>
      </c>
      <c r="E163">
        <f>IF(INDEX(P_Status,ROW()-4)="","",TRIM(UPPER(INDEX(P_Status,ROW()-4))))</f>
        <v/>
      </c>
      <c r="G163">
        <f>IF(INDEX(L_Status,ROW()-4)="","",TRIM(UPPER(INDEX(L_Status,ROW()-4))))</f>
        <v/>
      </c>
      <c r="J163">
        <f>IF(INDEX(L_ID,ROW()-4)="","",IF(SUMPRODUCT((P_ID=INDEX(L_ID,ROW()-4))*(P_StatusN="INACTIVE"))&gt;0,1,0))</f>
        <v/>
      </c>
    </row>
    <row r="164">
      <c r="A164">
        <f>IF(INDEX(L_ID,ROW()-4)="","",IF(COUNTIF(P_ID,INDEX(L_ID,ROW()-4))&gt;0,1,0))</f>
        <v/>
      </c>
      <c r="B164">
        <f>IF(INDEX(P_Type,ROW()-4)="","",TRIM(UPPER(INDEX(P_Type,ROW()-4))))</f>
        <v/>
      </c>
      <c r="D164">
        <f>IF(INDEX(L_Type,ROW()-4)="","",TRIM(UPPER(INDEX(L_Type,ROW()-4))))</f>
        <v/>
      </c>
      <c r="E164">
        <f>IF(INDEX(P_Status,ROW()-4)="","",TRIM(UPPER(INDEX(P_Status,ROW()-4))))</f>
        <v/>
      </c>
      <c r="G164">
        <f>IF(INDEX(L_Status,ROW()-4)="","",TRIM(UPPER(INDEX(L_Status,ROW()-4))))</f>
        <v/>
      </c>
      <c r="J164">
        <f>IF(INDEX(L_ID,ROW()-4)="","",IF(SUMPRODUCT((P_ID=INDEX(L_ID,ROW()-4))*(P_StatusN="INACTIVE"))&gt;0,1,0))</f>
        <v/>
      </c>
    </row>
    <row r="165">
      <c r="A165">
        <f>IF(INDEX(L_ID,ROW()-4)="","",IF(COUNTIF(P_ID,INDEX(L_ID,ROW()-4))&gt;0,1,0))</f>
        <v/>
      </c>
      <c r="B165">
        <f>IF(INDEX(P_Type,ROW()-4)="","",TRIM(UPPER(INDEX(P_Type,ROW()-4))))</f>
        <v/>
      </c>
      <c r="D165">
        <f>IF(INDEX(L_Type,ROW()-4)="","",TRIM(UPPER(INDEX(L_Type,ROW()-4))))</f>
        <v/>
      </c>
      <c r="E165">
        <f>IF(INDEX(P_Status,ROW()-4)="","",TRIM(UPPER(INDEX(P_Status,ROW()-4))))</f>
        <v/>
      </c>
      <c r="G165">
        <f>IF(INDEX(L_Status,ROW()-4)="","",TRIM(UPPER(INDEX(L_Status,ROW()-4))))</f>
        <v/>
      </c>
      <c r="J165">
        <f>IF(INDEX(L_ID,ROW()-4)="","",IF(SUMPRODUCT((P_ID=INDEX(L_ID,ROW()-4))*(P_StatusN="INACTIVE"))&gt;0,1,0))</f>
        <v/>
      </c>
    </row>
    <row r="166">
      <c r="A166">
        <f>IF(INDEX(L_ID,ROW()-4)="","",IF(COUNTIF(P_ID,INDEX(L_ID,ROW()-4))&gt;0,1,0))</f>
        <v/>
      </c>
      <c r="B166">
        <f>IF(INDEX(P_Type,ROW()-4)="","",TRIM(UPPER(INDEX(P_Type,ROW()-4))))</f>
        <v/>
      </c>
      <c r="D166">
        <f>IF(INDEX(L_Type,ROW()-4)="","",TRIM(UPPER(INDEX(L_Type,ROW()-4))))</f>
        <v/>
      </c>
      <c r="E166">
        <f>IF(INDEX(P_Status,ROW()-4)="","",TRIM(UPPER(INDEX(P_Status,ROW()-4))))</f>
        <v/>
      </c>
      <c r="G166">
        <f>IF(INDEX(L_Status,ROW()-4)="","",TRIM(UPPER(INDEX(L_Status,ROW()-4))))</f>
        <v/>
      </c>
      <c r="J166">
        <f>IF(INDEX(L_ID,ROW()-4)="","",IF(SUMPRODUCT((P_ID=INDEX(L_ID,ROW()-4))*(P_StatusN="INACTIVE"))&gt;0,1,0))</f>
        <v/>
      </c>
    </row>
    <row r="167">
      <c r="A167">
        <f>IF(INDEX(L_ID,ROW()-4)="","",IF(COUNTIF(P_ID,INDEX(L_ID,ROW()-4))&gt;0,1,0))</f>
        <v/>
      </c>
      <c r="B167">
        <f>IF(INDEX(P_Type,ROW()-4)="","",TRIM(UPPER(INDEX(P_Type,ROW()-4))))</f>
        <v/>
      </c>
      <c r="D167">
        <f>IF(INDEX(L_Type,ROW()-4)="","",TRIM(UPPER(INDEX(L_Type,ROW()-4))))</f>
        <v/>
      </c>
      <c r="E167">
        <f>IF(INDEX(P_Status,ROW()-4)="","",TRIM(UPPER(INDEX(P_Status,ROW()-4))))</f>
        <v/>
      </c>
      <c r="G167">
        <f>IF(INDEX(L_Status,ROW()-4)="","",TRIM(UPPER(INDEX(L_Status,ROW()-4))))</f>
        <v/>
      </c>
      <c r="J167">
        <f>IF(INDEX(L_ID,ROW()-4)="","",IF(SUMPRODUCT((P_ID=INDEX(L_ID,ROW()-4))*(P_StatusN="INACTIVE"))&gt;0,1,0))</f>
        <v/>
      </c>
    </row>
    <row r="168">
      <c r="A168">
        <f>IF(INDEX(L_ID,ROW()-4)="","",IF(COUNTIF(P_ID,INDEX(L_ID,ROW()-4))&gt;0,1,0))</f>
        <v/>
      </c>
      <c r="B168">
        <f>IF(INDEX(P_Type,ROW()-4)="","",TRIM(UPPER(INDEX(P_Type,ROW()-4))))</f>
        <v/>
      </c>
      <c r="D168">
        <f>IF(INDEX(L_Type,ROW()-4)="","",TRIM(UPPER(INDEX(L_Type,ROW()-4))))</f>
        <v/>
      </c>
      <c r="E168">
        <f>IF(INDEX(P_Status,ROW()-4)="","",TRIM(UPPER(INDEX(P_Status,ROW()-4))))</f>
        <v/>
      </c>
      <c r="G168">
        <f>IF(INDEX(L_Status,ROW()-4)="","",TRIM(UPPER(INDEX(L_Status,ROW()-4))))</f>
        <v/>
      </c>
      <c r="J168">
        <f>IF(INDEX(L_ID,ROW()-4)="","",IF(SUMPRODUCT((P_ID=INDEX(L_ID,ROW()-4))*(P_StatusN="INACTIVE"))&gt;0,1,0))</f>
        <v/>
      </c>
    </row>
    <row r="169">
      <c r="A169">
        <f>IF(INDEX(L_ID,ROW()-4)="","",IF(COUNTIF(P_ID,INDEX(L_ID,ROW()-4))&gt;0,1,0))</f>
        <v/>
      </c>
      <c r="B169">
        <f>IF(INDEX(P_Type,ROW()-4)="","",TRIM(UPPER(INDEX(P_Type,ROW()-4))))</f>
        <v/>
      </c>
      <c r="D169">
        <f>IF(INDEX(L_Type,ROW()-4)="","",TRIM(UPPER(INDEX(L_Type,ROW()-4))))</f>
        <v/>
      </c>
      <c r="E169">
        <f>IF(INDEX(P_Status,ROW()-4)="","",TRIM(UPPER(INDEX(P_Status,ROW()-4))))</f>
        <v/>
      </c>
      <c r="G169">
        <f>IF(INDEX(L_Status,ROW()-4)="","",TRIM(UPPER(INDEX(L_Status,ROW()-4))))</f>
        <v/>
      </c>
      <c r="J169">
        <f>IF(INDEX(L_ID,ROW()-4)="","",IF(SUMPRODUCT((P_ID=INDEX(L_ID,ROW()-4))*(P_StatusN="INACTIVE"))&gt;0,1,0))</f>
        <v/>
      </c>
    </row>
    <row r="170">
      <c r="A170">
        <f>IF(INDEX(L_ID,ROW()-4)="","",IF(COUNTIF(P_ID,INDEX(L_ID,ROW()-4))&gt;0,1,0))</f>
        <v/>
      </c>
      <c r="B170">
        <f>IF(INDEX(P_Type,ROW()-4)="","",TRIM(UPPER(INDEX(P_Type,ROW()-4))))</f>
        <v/>
      </c>
      <c r="D170">
        <f>IF(INDEX(L_Type,ROW()-4)="","",TRIM(UPPER(INDEX(L_Type,ROW()-4))))</f>
        <v/>
      </c>
      <c r="E170">
        <f>IF(INDEX(P_Status,ROW()-4)="","",TRIM(UPPER(INDEX(P_Status,ROW()-4))))</f>
        <v/>
      </c>
      <c r="G170">
        <f>IF(INDEX(L_Status,ROW()-4)="","",TRIM(UPPER(INDEX(L_Status,ROW()-4))))</f>
        <v/>
      </c>
      <c r="J170">
        <f>IF(INDEX(L_ID,ROW()-4)="","",IF(SUMPRODUCT((P_ID=INDEX(L_ID,ROW()-4))*(P_StatusN="INACTIVE"))&gt;0,1,0))</f>
        <v/>
      </c>
    </row>
    <row r="171">
      <c r="A171">
        <f>IF(INDEX(L_ID,ROW()-4)="","",IF(COUNTIF(P_ID,INDEX(L_ID,ROW()-4))&gt;0,1,0))</f>
        <v/>
      </c>
      <c r="B171">
        <f>IF(INDEX(P_Type,ROW()-4)="","",TRIM(UPPER(INDEX(P_Type,ROW()-4))))</f>
        <v/>
      </c>
      <c r="D171">
        <f>IF(INDEX(L_Type,ROW()-4)="","",TRIM(UPPER(INDEX(L_Type,ROW()-4))))</f>
        <v/>
      </c>
      <c r="E171">
        <f>IF(INDEX(P_Status,ROW()-4)="","",TRIM(UPPER(INDEX(P_Status,ROW()-4))))</f>
        <v/>
      </c>
      <c r="G171">
        <f>IF(INDEX(L_Status,ROW()-4)="","",TRIM(UPPER(INDEX(L_Status,ROW()-4))))</f>
        <v/>
      </c>
      <c r="J171">
        <f>IF(INDEX(L_ID,ROW()-4)="","",IF(SUMPRODUCT((P_ID=INDEX(L_ID,ROW()-4))*(P_StatusN="INACTIVE"))&gt;0,1,0))</f>
        <v/>
      </c>
    </row>
    <row r="172">
      <c r="A172">
        <f>IF(INDEX(L_ID,ROW()-4)="","",IF(COUNTIF(P_ID,INDEX(L_ID,ROW()-4))&gt;0,1,0))</f>
        <v/>
      </c>
      <c r="B172">
        <f>IF(INDEX(P_Type,ROW()-4)="","",TRIM(UPPER(INDEX(P_Type,ROW()-4))))</f>
        <v/>
      </c>
      <c r="D172">
        <f>IF(INDEX(L_Type,ROW()-4)="","",TRIM(UPPER(INDEX(L_Type,ROW()-4))))</f>
        <v/>
      </c>
      <c r="E172">
        <f>IF(INDEX(P_Status,ROW()-4)="","",TRIM(UPPER(INDEX(P_Status,ROW()-4))))</f>
        <v/>
      </c>
      <c r="G172">
        <f>IF(INDEX(L_Status,ROW()-4)="","",TRIM(UPPER(INDEX(L_Status,ROW()-4))))</f>
        <v/>
      </c>
      <c r="J172">
        <f>IF(INDEX(L_ID,ROW()-4)="","",IF(SUMPRODUCT((P_ID=INDEX(L_ID,ROW()-4))*(P_StatusN="INACTIVE"))&gt;0,1,0))</f>
        <v/>
      </c>
    </row>
    <row r="173">
      <c r="A173">
        <f>IF(INDEX(L_ID,ROW()-4)="","",IF(COUNTIF(P_ID,INDEX(L_ID,ROW()-4))&gt;0,1,0))</f>
        <v/>
      </c>
      <c r="B173">
        <f>IF(INDEX(P_Type,ROW()-4)="","",TRIM(UPPER(INDEX(P_Type,ROW()-4))))</f>
        <v/>
      </c>
      <c r="D173">
        <f>IF(INDEX(L_Type,ROW()-4)="","",TRIM(UPPER(INDEX(L_Type,ROW()-4))))</f>
        <v/>
      </c>
      <c r="E173">
        <f>IF(INDEX(P_Status,ROW()-4)="","",TRIM(UPPER(INDEX(P_Status,ROW()-4))))</f>
        <v/>
      </c>
      <c r="G173">
        <f>IF(INDEX(L_Status,ROW()-4)="","",TRIM(UPPER(INDEX(L_Status,ROW()-4))))</f>
        <v/>
      </c>
      <c r="J173">
        <f>IF(INDEX(L_ID,ROW()-4)="","",IF(SUMPRODUCT((P_ID=INDEX(L_ID,ROW()-4))*(P_StatusN="INACTIVE"))&gt;0,1,0))</f>
        <v/>
      </c>
    </row>
    <row r="174">
      <c r="A174">
        <f>IF(INDEX(L_ID,ROW()-4)="","",IF(COUNTIF(P_ID,INDEX(L_ID,ROW()-4))&gt;0,1,0))</f>
        <v/>
      </c>
      <c r="B174">
        <f>IF(INDEX(P_Type,ROW()-4)="","",TRIM(UPPER(INDEX(P_Type,ROW()-4))))</f>
        <v/>
      </c>
      <c r="D174">
        <f>IF(INDEX(L_Type,ROW()-4)="","",TRIM(UPPER(INDEX(L_Type,ROW()-4))))</f>
        <v/>
      </c>
      <c r="E174">
        <f>IF(INDEX(P_Status,ROW()-4)="","",TRIM(UPPER(INDEX(P_Status,ROW()-4))))</f>
        <v/>
      </c>
      <c r="G174">
        <f>IF(INDEX(L_Status,ROW()-4)="","",TRIM(UPPER(INDEX(L_Status,ROW()-4))))</f>
        <v/>
      </c>
      <c r="J174">
        <f>IF(INDEX(L_ID,ROW()-4)="","",IF(SUMPRODUCT((P_ID=INDEX(L_ID,ROW()-4))*(P_StatusN="INACTIVE"))&gt;0,1,0))</f>
        <v/>
      </c>
    </row>
    <row r="175">
      <c r="A175">
        <f>IF(INDEX(L_ID,ROW()-4)="","",IF(COUNTIF(P_ID,INDEX(L_ID,ROW()-4))&gt;0,1,0))</f>
        <v/>
      </c>
      <c r="B175">
        <f>IF(INDEX(P_Type,ROW()-4)="","",TRIM(UPPER(INDEX(P_Type,ROW()-4))))</f>
        <v/>
      </c>
      <c r="D175">
        <f>IF(INDEX(L_Type,ROW()-4)="","",TRIM(UPPER(INDEX(L_Type,ROW()-4))))</f>
        <v/>
      </c>
      <c r="E175">
        <f>IF(INDEX(P_Status,ROW()-4)="","",TRIM(UPPER(INDEX(P_Status,ROW()-4))))</f>
        <v/>
      </c>
      <c r="G175">
        <f>IF(INDEX(L_Status,ROW()-4)="","",TRIM(UPPER(INDEX(L_Status,ROW()-4))))</f>
        <v/>
      </c>
      <c r="J175">
        <f>IF(INDEX(L_ID,ROW()-4)="","",IF(SUMPRODUCT((P_ID=INDEX(L_ID,ROW()-4))*(P_StatusN="INACTIVE"))&gt;0,1,0))</f>
        <v/>
      </c>
    </row>
    <row r="176">
      <c r="A176">
        <f>IF(INDEX(L_ID,ROW()-4)="","",IF(COUNTIF(P_ID,INDEX(L_ID,ROW()-4))&gt;0,1,0))</f>
        <v/>
      </c>
      <c r="B176">
        <f>IF(INDEX(P_Type,ROW()-4)="","",TRIM(UPPER(INDEX(P_Type,ROW()-4))))</f>
        <v/>
      </c>
      <c r="D176">
        <f>IF(INDEX(L_Type,ROW()-4)="","",TRIM(UPPER(INDEX(L_Type,ROW()-4))))</f>
        <v/>
      </c>
      <c r="E176">
        <f>IF(INDEX(P_Status,ROW()-4)="","",TRIM(UPPER(INDEX(P_Status,ROW()-4))))</f>
        <v/>
      </c>
      <c r="G176">
        <f>IF(INDEX(L_Status,ROW()-4)="","",TRIM(UPPER(INDEX(L_Status,ROW()-4))))</f>
        <v/>
      </c>
      <c r="J176">
        <f>IF(INDEX(L_ID,ROW()-4)="","",IF(SUMPRODUCT((P_ID=INDEX(L_ID,ROW()-4))*(P_StatusN="INACTIVE"))&gt;0,1,0))</f>
        <v/>
      </c>
    </row>
    <row r="177">
      <c r="A177">
        <f>IF(INDEX(L_ID,ROW()-4)="","",IF(COUNTIF(P_ID,INDEX(L_ID,ROW()-4))&gt;0,1,0))</f>
        <v/>
      </c>
      <c r="B177">
        <f>IF(INDEX(P_Type,ROW()-4)="","",TRIM(UPPER(INDEX(P_Type,ROW()-4))))</f>
        <v/>
      </c>
      <c r="D177">
        <f>IF(INDEX(L_Type,ROW()-4)="","",TRIM(UPPER(INDEX(L_Type,ROW()-4))))</f>
        <v/>
      </c>
      <c r="E177">
        <f>IF(INDEX(P_Status,ROW()-4)="","",TRIM(UPPER(INDEX(P_Status,ROW()-4))))</f>
        <v/>
      </c>
      <c r="G177">
        <f>IF(INDEX(L_Status,ROW()-4)="","",TRIM(UPPER(INDEX(L_Status,ROW()-4))))</f>
        <v/>
      </c>
      <c r="J177">
        <f>IF(INDEX(L_ID,ROW()-4)="","",IF(SUMPRODUCT((P_ID=INDEX(L_ID,ROW()-4))*(P_StatusN="INACTIVE"))&gt;0,1,0))</f>
        <v/>
      </c>
    </row>
    <row r="178">
      <c r="A178">
        <f>IF(INDEX(L_ID,ROW()-4)="","",IF(COUNTIF(P_ID,INDEX(L_ID,ROW()-4))&gt;0,1,0))</f>
        <v/>
      </c>
      <c r="B178">
        <f>IF(INDEX(P_Type,ROW()-4)="","",TRIM(UPPER(INDEX(P_Type,ROW()-4))))</f>
        <v/>
      </c>
      <c r="D178">
        <f>IF(INDEX(L_Type,ROW()-4)="","",TRIM(UPPER(INDEX(L_Type,ROW()-4))))</f>
        <v/>
      </c>
      <c r="E178">
        <f>IF(INDEX(P_Status,ROW()-4)="","",TRIM(UPPER(INDEX(P_Status,ROW()-4))))</f>
        <v/>
      </c>
      <c r="G178">
        <f>IF(INDEX(L_Status,ROW()-4)="","",TRIM(UPPER(INDEX(L_Status,ROW()-4))))</f>
        <v/>
      </c>
      <c r="J178">
        <f>IF(INDEX(L_ID,ROW()-4)="","",IF(SUMPRODUCT((P_ID=INDEX(L_ID,ROW()-4))*(P_StatusN="INACTIVE"))&gt;0,1,0))</f>
        <v/>
      </c>
    </row>
    <row r="179">
      <c r="A179">
        <f>IF(INDEX(L_ID,ROW()-4)="","",IF(COUNTIF(P_ID,INDEX(L_ID,ROW()-4))&gt;0,1,0))</f>
        <v/>
      </c>
      <c r="B179">
        <f>IF(INDEX(P_Type,ROW()-4)="","",TRIM(UPPER(INDEX(P_Type,ROW()-4))))</f>
        <v/>
      </c>
      <c r="D179">
        <f>IF(INDEX(L_Type,ROW()-4)="","",TRIM(UPPER(INDEX(L_Type,ROW()-4))))</f>
        <v/>
      </c>
      <c r="E179">
        <f>IF(INDEX(P_Status,ROW()-4)="","",TRIM(UPPER(INDEX(P_Status,ROW()-4))))</f>
        <v/>
      </c>
      <c r="G179">
        <f>IF(INDEX(L_Status,ROW()-4)="","",TRIM(UPPER(INDEX(L_Status,ROW()-4))))</f>
        <v/>
      </c>
      <c r="J179">
        <f>IF(INDEX(L_ID,ROW()-4)="","",IF(SUMPRODUCT((P_ID=INDEX(L_ID,ROW()-4))*(P_StatusN="INACTIVE"))&gt;0,1,0))</f>
        <v/>
      </c>
    </row>
    <row r="180">
      <c r="A180">
        <f>IF(INDEX(L_ID,ROW()-4)="","",IF(COUNTIF(P_ID,INDEX(L_ID,ROW()-4))&gt;0,1,0))</f>
        <v/>
      </c>
      <c r="B180">
        <f>IF(INDEX(P_Type,ROW()-4)="","",TRIM(UPPER(INDEX(P_Type,ROW()-4))))</f>
        <v/>
      </c>
      <c r="D180">
        <f>IF(INDEX(L_Type,ROW()-4)="","",TRIM(UPPER(INDEX(L_Type,ROW()-4))))</f>
        <v/>
      </c>
      <c r="E180">
        <f>IF(INDEX(P_Status,ROW()-4)="","",TRIM(UPPER(INDEX(P_Status,ROW()-4))))</f>
        <v/>
      </c>
      <c r="G180">
        <f>IF(INDEX(L_Status,ROW()-4)="","",TRIM(UPPER(INDEX(L_Status,ROW()-4))))</f>
        <v/>
      </c>
      <c r="J180">
        <f>IF(INDEX(L_ID,ROW()-4)="","",IF(SUMPRODUCT((P_ID=INDEX(L_ID,ROW()-4))*(P_StatusN="INACTIVE"))&gt;0,1,0))</f>
        <v/>
      </c>
    </row>
    <row r="181">
      <c r="A181">
        <f>IF(INDEX(L_ID,ROW()-4)="","",IF(COUNTIF(P_ID,INDEX(L_ID,ROW()-4))&gt;0,1,0))</f>
        <v/>
      </c>
      <c r="B181">
        <f>IF(INDEX(P_Type,ROW()-4)="","",TRIM(UPPER(INDEX(P_Type,ROW()-4))))</f>
        <v/>
      </c>
      <c r="D181">
        <f>IF(INDEX(L_Type,ROW()-4)="","",TRIM(UPPER(INDEX(L_Type,ROW()-4))))</f>
        <v/>
      </c>
      <c r="E181">
        <f>IF(INDEX(P_Status,ROW()-4)="","",TRIM(UPPER(INDEX(P_Status,ROW()-4))))</f>
        <v/>
      </c>
      <c r="G181">
        <f>IF(INDEX(L_Status,ROW()-4)="","",TRIM(UPPER(INDEX(L_Status,ROW()-4))))</f>
        <v/>
      </c>
      <c r="J181">
        <f>IF(INDEX(L_ID,ROW()-4)="","",IF(SUMPRODUCT((P_ID=INDEX(L_ID,ROW()-4))*(P_StatusN="INACTIVE"))&gt;0,1,0))</f>
        <v/>
      </c>
    </row>
    <row r="182">
      <c r="A182">
        <f>IF(INDEX(L_ID,ROW()-4)="","",IF(COUNTIF(P_ID,INDEX(L_ID,ROW()-4))&gt;0,1,0))</f>
        <v/>
      </c>
      <c r="B182">
        <f>IF(INDEX(P_Type,ROW()-4)="","",TRIM(UPPER(INDEX(P_Type,ROW()-4))))</f>
        <v/>
      </c>
      <c r="D182">
        <f>IF(INDEX(L_Type,ROW()-4)="","",TRIM(UPPER(INDEX(L_Type,ROW()-4))))</f>
        <v/>
      </c>
      <c r="E182">
        <f>IF(INDEX(P_Status,ROW()-4)="","",TRIM(UPPER(INDEX(P_Status,ROW()-4))))</f>
        <v/>
      </c>
      <c r="G182">
        <f>IF(INDEX(L_Status,ROW()-4)="","",TRIM(UPPER(INDEX(L_Status,ROW()-4))))</f>
        <v/>
      </c>
      <c r="J182">
        <f>IF(INDEX(L_ID,ROW()-4)="","",IF(SUMPRODUCT((P_ID=INDEX(L_ID,ROW()-4))*(P_StatusN="INACTIVE"))&gt;0,1,0))</f>
        <v/>
      </c>
    </row>
    <row r="183">
      <c r="A183">
        <f>IF(INDEX(L_ID,ROW()-4)="","",IF(COUNTIF(P_ID,INDEX(L_ID,ROW()-4))&gt;0,1,0))</f>
        <v/>
      </c>
      <c r="B183">
        <f>IF(INDEX(P_Type,ROW()-4)="","",TRIM(UPPER(INDEX(P_Type,ROW()-4))))</f>
        <v/>
      </c>
      <c r="D183">
        <f>IF(INDEX(L_Type,ROW()-4)="","",TRIM(UPPER(INDEX(L_Type,ROW()-4))))</f>
        <v/>
      </c>
      <c r="E183">
        <f>IF(INDEX(P_Status,ROW()-4)="","",TRIM(UPPER(INDEX(P_Status,ROW()-4))))</f>
        <v/>
      </c>
      <c r="G183">
        <f>IF(INDEX(L_Status,ROW()-4)="","",TRIM(UPPER(INDEX(L_Status,ROW()-4))))</f>
        <v/>
      </c>
      <c r="J183">
        <f>IF(INDEX(L_ID,ROW()-4)="","",IF(SUMPRODUCT((P_ID=INDEX(L_ID,ROW()-4))*(P_StatusN="INACTIVE"))&gt;0,1,0))</f>
        <v/>
      </c>
    </row>
    <row r="184">
      <c r="A184">
        <f>IF(INDEX(L_ID,ROW()-4)="","",IF(COUNTIF(P_ID,INDEX(L_ID,ROW()-4))&gt;0,1,0))</f>
        <v/>
      </c>
      <c r="B184">
        <f>IF(INDEX(P_Type,ROW()-4)="","",TRIM(UPPER(INDEX(P_Type,ROW()-4))))</f>
        <v/>
      </c>
      <c r="D184">
        <f>IF(INDEX(L_Type,ROW()-4)="","",TRIM(UPPER(INDEX(L_Type,ROW()-4))))</f>
        <v/>
      </c>
      <c r="E184">
        <f>IF(INDEX(P_Status,ROW()-4)="","",TRIM(UPPER(INDEX(P_Status,ROW()-4))))</f>
        <v/>
      </c>
      <c r="G184">
        <f>IF(INDEX(L_Status,ROW()-4)="","",TRIM(UPPER(INDEX(L_Status,ROW()-4))))</f>
        <v/>
      </c>
      <c r="J184">
        <f>IF(INDEX(L_ID,ROW()-4)="","",IF(SUMPRODUCT((P_ID=INDEX(L_ID,ROW()-4))*(P_StatusN="INACTIVE"))&gt;0,1,0))</f>
        <v/>
      </c>
    </row>
    <row r="185">
      <c r="A185">
        <f>IF(INDEX(L_ID,ROW()-4)="","",IF(COUNTIF(P_ID,INDEX(L_ID,ROW()-4))&gt;0,1,0))</f>
        <v/>
      </c>
      <c r="B185">
        <f>IF(INDEX(P_Type,ROW()-4)="","",TRIM(UPPER(INDEX(P_Type,ROW()-4))))</f>
        <v/>
      </c>
      <c r="D185">
        <f>IF(INDEX(L_Type,ROW()-4)="","",TRIM(UPPER(INDEX(L_Type,ROW()-4))))</f>
        <v/>
      </c>
      <c r="E185">
        <f>IF(INDEX(P_Status,ROW()-4)="","",TRIM(UPPER(INDEX(P_Status,ROW()-4))))</f>
        <v/>
      </c>
      <c r="G185">
        <f>IF(INDEX(L_Status,ROW()-4)="","",TRIM(UPPER(INDEX(L_Status,ROW()-4))))</f>
        <v/>
      </c>
      <c r="J185">
        <f>IF(INDEX(L_ID,ROW()-4)="","",IF(SUMPRODUCT((P_ID=INDEX(L_ID,ROW()-4))*(P_StatusN="INACTIVE"))&gt;0,1,0))</f>
        <v/>
      </c>
    </row>
    <row r="186">
      <c r="A186">
        <f>IF(INDEX(L_ID,ROW()-4)="","",IF(COUNTIF(P_ID,INDEX(L_ID,ROW()-4))&gt;0,1,0))</f>
        <v/>
      </c>
      <c r="B186">
        <f>IF(INDEX(P_Type,ROW()-4)="","",TRIM(UPPER(INDEX(P_Type,ROW()-4))))</f>
        <v/>
      </c>
      <c r="D186">
        <f>IF(INDEX(L_Type,ROW()-4)="","",TRIM(UPPER(INDEX(L_Type,ROW()-4))))</f>
        <v/>
      </c>
      <c r="E186">
        <f>IF(INDEX(P_Status,ROW()-4)="","",TRIM(UPPER(INDEX(P_Status,ROW()-4))))</f>
        <v/>
      </c>
      <c r="G186">
        <f>IF(INDEX(L_Status,ROW()-4)="","",TRIM(UPPER(INDEX(L_Status,ROW()-4))))</f>
        <v/>
      </c>
      <c r="J186">
        <f>IF(INDEX(L_ID,ROW()-4)="","",IF(SUMPRODUCT((P_ID=INDEX(L_ID,ROW()-4))*(P_StatusN="INACTIVE"))&gt;0,1,0))</f>
        <v/>
      </c>
    </row>
    <row r="187">
      <c r="A187">
        <f>IF(INDEX(L_ID,ROW()-4)="","",IF(COUNTIF(P_ID,INDEX(L_ID,ROW()-4))&gt;0,1,0))</f>
        <v/>
      </c>
      <c r="B187">
        <f>IF(INDEX(P_Type,ROW()-4)="","",TRIM(UPPER(INDEX(P_Type,ROW()-4))))</f>
        <v/>
      </c>
      <c r="D187">
        <f>IF(INDEX(L_Type,ROW()-4)="","",TRIM(UPPER(INDEX(L_Type,ROW()-4))))</f>
        <v/>
      </c>
      <c r="E187">
        <f>IF(INDEX(P_Status,ROW()-4)="","",TRIM(UPPER(INDEX(P_Status,ROW()-4))))</f>
        <v/>
      </c>
      <c r="G187">
        <f>IF(INDEX(L_Status,ROW()-4)="","",TRIM(UPPER(INDEX(L_Status,ROW()-4))))</f>
        <v/>
      </c>
      <c r="J187">
        <f>IF(INDEX(L_ID,ROW()-4)="","",IF(SUMPRODUCT((P_ID=INDEX(L_ID,ROW()-4))*(P_StatusN="INACTIVE"))&gt;0,1,0))</f>
        <v/>
      </c>
    </row>
    <row r="188">
      <c r="A188">
        <f>IF(INDEX(L_ID,ROW()-4)="","",IF(COUNTIF(P_ID,INDEX(L_ID,ROW()-4))&gt;0,1,0))</f>
        <v/>
      </c>
      <c r="B188">
        <f>IF(INDEX(P_Type,ROW()-4)="","",TRIM(UPPER(INDEX(P_Type,ROW()-4))))</f>
        <v/>
      </c>
      <c r="D188">
        <f>IF(INDEX(L_Type,ROW()-4)="","",TRIM(UPPER(INDEX(L_Type,ROW()-4))))</f>
        <v/>
      </c>
      <c r="E188">
        <f>IF(INDEX(P_Status,ROW()-4)="","",TRIM(UPPER(INDEX(P_Status,ROW()-4))))</f>
        <v/>
      </c>
      <c r="G188">
        <f>IF(INDEX(L_Status,ROW()-4)="","",TRIM(UPPER(INDEX(L_Status,ROW()-4))))</f>
        <v/>
      </c>
      <c r="J188">
        <f>IF(INDEX(L_ID,ROW()-4)="","",IF(SUMPRODUCT((P_ID=INDEX(L_ID,ROW()-4))*(P_StatusN="INACTIVE"))&gt;0,1,0))</f>
        <v/>
      </c>
    </row>
    <row r="189">
      <c r="A189">
        <f>IF(INDEX(L_ID,ROW()-4)="","",IF(COUNTIF(P_ID,INDEX(L_ID,ROW()-4))&gt;0,1,0))</f>
        <v/>
      </c>
      <c r="B189">
        <f>IF(INDEX(P_Type,ROW()-4)="","",TRIM(UPPER(INDEX(P_Type,ROW()-4))))</f>
        <v/>
      </c>
      <c r="D189">
        <f>IF(INDEX(L_Type,ROW()-4)="","",TRIM(UPPER(INDEX(L_Type,ROW()-4))))</f>
        <v/>
      </c>
      <c r="E189">
        <f>IF(INDEX(P_Status,ROW()-4)="","",TRIM(UPPER(INDEX(P_Status,ROW()-4))))</f>
        <v/>
      </c>
      <c r="G189">
        <f>IF(INDEX(L_Status,ROW()-4)="","",TRIM(UPPER(INDEX(L_Status,ROW()-4))))</f>
        <v/>
      </c>
      <c r="J189">
        <f>IF(INDEX(L_ID,ROW()-4)="","",IF(SUMPRODUCT((P_ID=INDEX(L_ID,ROW()-4))*(P_StatusN="INACTIVE"))&gt;0,1,0))</f>
        <v/>
      </c>
    </row>
    <row r="190">
      <c r="A190">
        <f>IF(INDEX(L_ID,ROW()-4)="","",IF(COUNTIF(P_ID,INDEX(L_ID,ROW()-4))&gt;0,1,0))</f>
        <v/>
      </c>
      <c r="B190">
        <f>IF(INDEX(P_Type,ROW()-4)="","",TRIM(UPPER(INDEX(P_Type,ROW()-4))))</f>
        <v/>
      </c>
      <c r="D190">
        <f>IF(INDEX(L_Type,ROW()-4)="","",TRIM(UPPER(INDEX(L_Type,ROW()-4))))</f>
        <v/>
      </c>
      <c r="E190">
        <f>IF(INDEX(P_Status,ROW()-4)="","",TRIM(UPPER(INDEX(P_Status,ROW()-4))))</f>
        <v/>
      </c>
      <c r="G190">
        <f>IF(INDEX(L_Status,ROW()-4)="","",TRIM(UPPER(INDEX(L_Status,ROW()-4))))</f>
        <v/>
      </c>
      <c r="J190">
        <f>IF(INDEX(L_ID,ROW()-4)="","",IF(SUMPRODUCT((P_ID=INDEX(L_ID,ROW()-4))*(P_StatusN="INACTIVE"))&gt;0,1,0))</f>
        <v/>
      </c>
    </row>
    <row r="191">
      <c r="A191">
        <f>IF(INDEX(L_ID,ROW()-4)="","",IF(COUNTIF(P_ID,INDEX(L_ID,ROW()-4))&gt;0,1,0))</f>
        <v/>
      </c>
      <c r="B191">
        <f>IF(INDEX(P_Type,ROW()-4)="","",TRIM(UPPER(INDEX(P_Type,ROW()-4))))</f>
        <v/>
      </c>
      <c r="D191">
        <f>IF(INDEX(L_Type,ROW()-4)="","",TRIM(UPPER(INDEX(L_Type,ROW()-4))))</f>
        <v/>
      </c>
      <c r="E191">
        <f>IF(INDEX(P_Status,ROW()-4)="","",TRIM(UPPER(INDEX(P_Status,ROW()-4))))</f>
        <v/>
      </c>
      <c r="G191">
        <f>IF(INDEX(L_Status,ROW()-4)="","",TRIM(UPPER(INDEX(L_Status,ROW()-4))))</f>
        <v/>
      </c>
      <c r="J191">
        <f>IF(INDEX(L_ID,ROW()-4)="","",IF(SUMPRODUCT((P_ID=INDEX(L_ID,ROW()-4))*(P_StatusN="INACTIVE"))&gt;0,1,0))</f>
        <v/>
      </c>
    </row>
    <row r="192">
      <c r="A192">
        <f>IF(INDEX(L_ID,ROW()-4)="","",IF(COUNTIF(P_ID,INDEX(L_ID,ROW()-4))&gt;0,1,0))</f>
        <v/>
      </c>
      <c r="B192">
        <f>IF(INDEX(P_Type,ROW()-4)="","",TRIM(UPPER(INDEX(P_Type,ROW()-4))))</f>
        <v/>
      </c>
      <c r="D192">
        <f>IF(INDEX(L_Type,ROW()-4)="","",TRIM(UPPER(INDEX(L_Type,ROW()-4))))</f>
        <v/>
      </c>
      <c r="E192">
        <f>IF(INDEX(P_Status,ROW()-4)="","",TRIM(UPPER(INDEX(P_Status,ROW()-4))))</f>
        <v/>
      </c>
      <c r="G192">
        <f>IF(INDEX(L_Status,ROW()-4)="","",TRIM(UPPER(INDEX(L_Status,ROW()-4))))</f>
        <v/>
      </c>
      <c r="J192">
        <f>IF(INDEX(L_ID,ROW()-4)="","",IF(SUMPRODUCT((P_ID=INDEX(L_ID,ROW()-4))*(P_StatusN="INACTIVE"))&gt;0,1,0))</f>
        <v/>
      </c>
    </row>
    <row r="193">
      <c r="A193">
        <f>IF(INDEX(L_ID,ROW()-4)="","",IF(COUNTIF(P_ID,INDEX(L_ID,ROW()-4))&gt;0,1,0))</f>
        <v/>
      </c>
      <c r="B193">
        <f>IF(INDEX(P_Type,ROW()-4)="","",TRIM(UPPER(INDEX(P_Type,ROW()-4))))</f>
        <v/>
      </c>
      <c r="D193">
        <f>IF(INDEX(L_Type,ROW()-4)="","",TRIM(UPPER(INDEX(L_Type,ROW()-4))))</f>
        <v/>
      </c>
      <c r="E193">
        <f>IF(INDEX(P_Status,ROW()-4)="","",TRIM(UPPER(INDEX(P_Status,ROW()-4))))</f>
        <v/>
      </c>
      <c r="G193">
        <f>IF(INDEX(L_Status,ROW()-4)="","",TRIM(UPPER(INDEX(L_Status,ROW()-4))))</f>
        <v/>
      </c>
      <c r="J193">
        <f>IF(INDEX(L_ID,ROW()-4)="","",IF(SUMPRODUCT((P_ID=INDEX(L_ID,ROW()-4))*(P_StatusN="INACTIVE"))&gt;0,1,0))</f>
        <v/>
      </c>
    </row>
    <row r="194">
      <c r="A194">
        <f>IF(INDEX(L_ID,ROW()-4)="","",IF(COUNTIF(P_ID,INDEX(L_ID,ROW()-4))&gt;0,1,0))</f>
        <v/>
      </c>
      <c r="B194">
        <f>IF(INDEX(P_Type,ROW()-4)="","",TRIM(UPPER(INDEX(P_Type,ROW()-4))))</f>
        <v/>
      </c>
      <c r="D194">
        <f>IF(INDEX(L_Type,ROW()-4)="","",TRIM(UPPER(INDEX(L_Type,ROW()-4))))</f>
        <v/>
      </c>
      <c r="E194">
        <f>IF(INDEX(P_Status,ROW()-4)="","",TRIM(UPPER(INDEX(P_Status,ROW()-4))))</f>
        <v/>
      </c>
      <c r="G194">
        <f>IF(INDEX(L_Status,ROW()-4)="","",TRIM(UPPER(INDEX(L_Status,ROW()-4))))</f>
        <v/>
      </c>
      <c r="J194">
        <f>IF(INDEX(L_ID,ROW()-4)="","",IF(SUMPRODUCT((P_ID=INDEX(L_ID,ROW()-4))*(P_StatusN="INACTIVE"))&gt;0,1,0))</f>
        <v/>
      </c>
    </row>
    <row r="195">
      <c r="A195">
        <f>IF(INDEX(L_ID,ROW()-4)="","",IF(COUNTIF(P_ID,INDEX(L_ID,ROW()-4))&gt;0,1,0))</f>
        <v/>
      </c>
      <c r="B195">
        <f>IF(INDEX(P_Type,ROW()-4)="","",TRIM(UPPER(INDEX(P_Type,ROW()-4))))</f>
        <v/>
      </c>
      <c r="D195">
        <f>IF(INDEX(L_Type,ROW()-4)="","",TRIM(UPPER(INDEX(L_Type,ROW()-4))))</f>
        <v/>
      </c>
      <c r="E195">
        <f>IF(INDEX(P_Status,ROW()-4)="","",TRIM(UPPER(INDEX(P_Status,ROW()-4))))</f>
        <v/>
      </c>
      <c r="G195">
        <f>IF(INDEX(L_Status,ROW()-4)="","",TRIM(UPPER(INDEX(L_Status,ROW()-4))))</f>
        <v/>
      </c>
      <c r="J195">
        <f>IF(INDEX(L_ID,ROW()-4)="","",IF(SUMPRODUCT((P_ID=INDEX(L_ID,ROW()-4))*(P_StatusN="INACTIVE"))&gt;0,1,0))</f>
        <v/>
      </c>
    </row>
    <row r="196">
      <c r="A196">
        <f>IF(INDEX(L_ID,ROW()-4)="","",IF(COUNTIF(P_ID,INDEX(L_ID,ROW()-4))&gt;0,1,0))</f>
        <v/>
      </c>
      <c r="B196">
        <f>IF(INDEX(P_Type,ROW()-4)="","",TRIM(UPPER(INDEX(P_Type,ROW()-4))))</f>
        <v/>
      </c>
      <c r="D196">
        <f>IF(INDEX(L_Type,ROW()-4)="","",TRIM(UPPER(INDEX(L_Type,ROW()-4))))</f>
        <v/>
      </c>
      <c r="E196">
        <f>IF(INDEX(P_Status,ROW()-4)="","",TRIM(UPPER(INDEX(P_Status,ROW()-4))))</f>
        <v/>
      </c>
      <c r="G196">
        <f>IF(INDEX(L_Status,ROW()-4)="","",TRIM(UPPER(INDEX(L_Status,ROW()-4))))</f>
        <v/>
      </c>
      <c r="J196">
        <f>IF(INDEX(L_ID,ROW()-4)="","",IF(SUMPRODUCT((P_ID=INDEX(L_ID,ROW()-4))*(P_StatusN="INACTIVE"))&gt;0,1,0))</f>
        <v/>
      </c>
    </row>
    <row r="197">
      <c r="A197">
        <f>IF(INDEX(L_ID,ROW()-4)="","",IF(COUNTIF(P_ID,INDEX(L_ID,ROW()-4))&gt;0,1,0))</f>
        <v/>
      </c>
      <c r="B197">
        <f>IF(INDEX(P_Type,ROW()-4)="","",TRIM(UPPER(INDEX(P_Type,ROW()-4))))</f>
        <v/>
      </c>
      <c r="D197">
        <f>IF(INDEX(L_Type,ROW()-4)="","",TRIM(UPPER(INDEX(L_Type,ROW()-4))))</f>
        <v/>
      </c>
      <c r="E197">
        <f>IF(INDEX(P_Status,ROW()-4)="","",TRIM(UPPER(INDEX(P_Status,ROW()-4))))</f>
        <v/>
      </c>
      <c r="G197">
        <f>IF(INDEX(L_Status,ROW()-4)="","",TRIM(UPPER(INDEX(L_Status,ROW()-4))))</f>
        <v/>
      </c>
      <c r="J197">
        <f>IF(INDEX(L_ID,ROW()-4)="","",IF(SUMPRODUCT((P_ID=INDEX(L_ID,ROW()-4))*(P_StatusN="INACTIVE"))&gt;0,1,0))</f>
        <v/>
      </c>
    </row>
    <row r="198">
      <c r="A198">
        <f>IF(INDEX(L_ID,ROW()-4)="","",IF(COUNTIF(P_ID,INDEX(L_ID,ROW()-4))&gt;0,1,0))</f>
        <v/>
      </c>
      <c r="B198">
        <f>IF(INDEX(P_Type,ROW()-4)="","",TRIM(UPPER(INDEX(P_Type,ROW()-4))))</f>
        <v/>
      </c>
      <c r="D198">
        <f>IF(INDEX(L_Type,ROW()-4)="","",TRIM(UPPER(INDEX(L_Type,ROW()-4))))</f>
        <v/>
      </c>
      <c r="E198">
        <f>IF(INDEX(P_Status,ROW()-4)="","",TRIM(UPPER(INDEX(P_Status,ROW()-4))))</f>
        <v/>
      </c>
      <c r="G198">
        <f>IF(INDEX(L_Status,ROW()-4)="","",TRIM(UPPER(INDEX(L_Status,ROW()-4))))</f>
        <v/>
      </c>
      <c r="J198">
        <f>IF(INDEX(L_ID,ROW()-4)="","",IF(SUMPRODUCT((P_ID=INDEX(L_ID,ROW()-4))*(P_StatusN="INACTIVE"))&gt;0,1,0))</f>
        <v/>
      </c>
    </row>
    <row r="199">
      <c r="A199">
        <f>IF(INDEX(L_ID,ROW()-4)="","",IF(COUNTIF(P_ID,INDEX(L_ID,ROW()-4))&gt;0,1,0))</f>
        <v/>
      </c>
      <c r="B199">
        <f>IF(INDEX(P_Type,ROW()-4)="","",TRIM(UPPER(INDEX(P_Type,ROW()-4))))</f>
        <v/>
      </c>
      <c r="D199">
        <f>IF(INDEX(L_Type,ROW()-4)="","",TRIM(UPPER(INDEX(L_Type,ROW()-4))))</f>
        <v/>
      </c>
      <c r="E199">
        <f>IF(INDEX(P_Status,ROW()-4)="","",TRIM(UPPER(INDEX(P_Status,ROW()-4))))</f>
        <v/>
      </c>
      <c r="G199">
        <f>IF(INDEX(L_Status,ROW()-4)="","",TRIM(UPPER(INDEX(L_Status,ROW()-4))))</f>
        <v/>
      </c>
      <c r="J199">
        <f>IF(INDEX(L_ID,ROW()-4)="","",IF(SUMPRODUCT((P_ID=INDEX(L_ID,ROW()-4))*(P_StatusN="INACTIVE"))&gt;0,1,0))</f>
        <v/>
      </c>
    </row>
    <row r="200">
      <c r="A200">
        <f>IF(INDEX(L_ID,ROW()-4)="","",IF(COUNTIF(P_ID,INDEX(L_ID,ROW()-4))&gt;0,1,0))</f>
        <v/>
      </c>
      <c r="B200">
        <f>IF(INDEX(P_Type,ROW()-4)="","",TRIM(UPPER(INDEX(P_Type,ROW()-4))))</f>
        <v/>
      </c>
      <c r="D200">
        <f>IF(INDEX(L_Type,ROW()-4)="","",TRIM(UPPER(INDEX(L_Type,ROW()-4))))</f>
        <v/>
      </c>
      <c r="E200">
        <f>IF(INDEX(P_Status,ROW()-4)="","",TRIM(UPPER(INDEX(P_Status,ROW()-4))))</f>
        <v/>
      </c>
      <c r="G200">
        <f>IF(INDEX(L_Status,ROW()-4)="","",TRIM(UPPER(INDEX(L_Status,ROW()-4))))</f>
        <v/>
      </c>
      <c r="J200">
        <f>IF(INDEX(L_ID,ROW()-4)="","",IF(SUMPRODUCT((P_ID=INDEX(L_ID,ROW()-4))*(P_StatusN="INACTIVE"))&gt;0,1,0))</f>
        <v/>
      </c>
    </row>
    <row r="201">
      <c r="A201">
        <f>IF(INDEX(L_ID,ROW()-4)="","",IF(COUNTIF(P_ID,INDEX(L_ID,ROW()-4))&gt;0,1,0))</f>
        <v/>
      </c>
      <c r="B201">
        <f>IF(INDEX(P_Type,ROW()-4)="","",TRIM(UPPER(INDEX(P_Type,ROW()-4))))</f>
        <v/>
      </c>
      <c r="D201">
        <f>IF(INDEX(L_Type,ROW()-4)="","",TRIM(UPPER(INDEX(L_Type,ROW()-4))))</f>
        <v/>
      </c>
      <c r="E201">
        <f>IF(INDEX(P_Status,ROW()-4)="","",TRIM(UPPER(INDEX(P_Status,ROW()-4))))</f>
        <v/>
      </c>
      <c r="G201">
        <f>IF(INDEX(L_Status,ROW()-4)="","",TRIM(UPPER(INDEX(L_Status,ROW()-4))))</f>
        <v/>
      </c>
      <c r="J201">
        <f>IF(INDEX(L_ID,ROW()-4)="","",IF(SUMPRODUCT((P_ID=INDEX(L_ID,ROW()-4))*(P_StatusN="INACTIVE"))&gt;0,1,0))</f>
        <v/>
      </c>
    </row>
    <row r="202">
      <c r="A202">
        <f>IF(INDEX(L_ID,ROW()-4)="","",IF(COUNTIF(P_ID,INDEX(L_ID,ROW()-4))&gt;0,1,0))</f>
        <v/>
      </c>
      <c r="B202">
        <f>IF(INDEX(P_Type,ROW()-4)="","",TRIM(UPPER(INDEX(P_Type,ROW()-4))))</f>
        <v/>
      </c>
      <c r="D202">
        <f>IF(INDEX(L_Type,ROW()-4)="","",TRIM(UPPER(INDEX(L_Type,ROW()-4))))</f>
        <v/>
      </c>
      <c r="E202">
        <f>IF(INDEX(P_Status,ROW()-4)="","",TRIM(UPPER(INDEX(P_Status,ROW()-4))))</f>
        <v/>
      </c>
      <c r="G202">
        <f>IF(INDEX(L_Status,ROW()-4)="","",TRIM(UPPER(INDEX(L_Status,ROW()-4))))</f>
        <v/>
      </c>
      <c r="J202">
        <f>IF(INDEX(L_ID,ROW()-4)="","",IF(SUMPRODUCT((P_ID=INDEX(L_ID,ROW()-4))*(P_StatusN="INACTIVE"))&gt;0,1,0))</f>
        <v/>
      </c>
    </row>
    <row r="203">
      <c r="A203">
        <f>IF(INDEX(L_ID,ROW()-4)="","",IF(COUNTIF(P_ID,INDEX(L_ID,ROW()-4))&gt;0,1,0))</f>
        <v/>
      </c>
      <c r="B203">
        <f>IF(INDEX(P_Type,ROW()-4)="","",TRIM(UPPER(INDEX(P_Type,ROW()-4))))</f>
        <v/>
      </c>
      <c r="D203">
        <f>IF(INDEX(L_Type,ROW()-4)="","",TRIM(UPPER(INDEX(L_Type,ROW()-4))))</f>
        <v/>
      </c>
      <c r="E203">
        <f>IF(INDEX(P_Status,ROW()-4)="","",TRIM(UPPER(INDEX(P_Status,ROW()-4))))</f>
        <v/>
      </c>
      <c r="G203">
        <f>IF(INDEX(L_Status,ROW()-4)="","",TRIM(UPPER(INDEX(L_Status,ROW()-4))))</f>
        <v/>
      </c>
      <c r="J203">
        <f>IF(INDEX(L_ID,ROW()-4)="","",IF(SUMPRODUCT((P_ID=INDEX(L_ID,ROW()-4))*(P_StatusN="INACTIVE"))&gt;0,1,0))</f>
        <v/>
      </c>
    </row>
    <row r="204">
      <c r="A204">
        <f>IF(INDEX(L_ID,ROW()-4)="","",IF(COUNTIF(P_ID,INDEX(L_ID,ROW()-4))&gt;0,1,0))</f>
        <v/>
      </c>
      <c r="B204">
        <f>IF(INDEX(P_Type,ROW()-4)="","",TRIM(UPPER(INDEX(P_Type,ROW()-4))))</f>
        <v/>
      </c>
      <c r="D204">
        <f>IF(INDEX(L_Type,ROW()-4)="","",TRIM(UPPER(INDEX(L_Type,ROW()-4))))</f>
        <v/>
      </c>
      <c r="E204">
        <f>IF(INDEX(P_Status,ROW()-4)="","",TRIM(UPPER(INDEX(P_Status,ROW()-4))))</f>
        <v/>
      </c>
      <c r="G204">
        <f>IF(INDEX(L_Status,ROW()-4)="","",TRIM(UPPER(INDEX(L_Status,ROW()-4))))</f>
        <v/>
      </c>
      <c r="J204">
        <f>IF(INDEX(L_ID,ROW()-4)="","",IF(SUMPRODUCT((P_ID=INDEX(L_ID,ROW()-4))*(P_StatusN="INACTIVE"))&gt;0,1,0))</f>
        <v/>
      </c>
    </row>
    <row r="205">
      <c r="A205">
        <f>IF(INDEX(L_ID,ROW()-4)="","",IF(COUNTIF(P_ID,INDEX(L_ID,ROW()-4))&gt;0,1,0))</f>
        <v/>
      </c>
      <c r="B205">
        <f>IF(INDEX(P_Type,ROW()-4)="","",TRIM(UPPER(INDEX(P_Type,ROW()-4))))</f>
        <v/>
      </c>
      <c r="D205">
        <f>IF(INDEX(L_Type,ROW()-4)="","",TRIM(UPPER(INDEX(L_Type,ROW()-4))))</f>
        <v/>
      </c>
      <c r="E205">
        <f>IF(INDEX(P_Status,ROW()-4)="","",TRIM(UPPER(INDEX(P_Status,ROW()-4))))</f>
        <v/>
      </c>
      <c r="G205">
        <f>IF(INDEX(L_Status,ROW()-4)="","",TRIM(UPPER(INDEX(L_Status,ROW()-4))))</f>
        <v/>
      </c>
      <c r="J205">
        <f>IF(INDEX(L_ID,ROW()-4)="","",IF(SUMPRODUCT((P_ID=INDEX(L_ID,ROW()-4))*(P_StatusN="INACTIVE"))&gt;0,1,0))</f>
        <v/>
      </c>
    </row>
    <row r="206">
      <c r="A206">
        <f>IF(INDEX(L_ID,ROW()-4)="","",IF(COUNTIF(P_ID,INDEX(L_ID,ROW()-4))&gt;0,1,0))</f>
        <v/>
      </c>
      <c r="B206">
        <f>IF(INDEX(P_Type,ROW()-4)="","",TRIM(UPPER(INDEX(P_Type,ROW()-4))))</f>
        <v/>
      </c>
      <c r="D206">
        <f>IF(INDEX(L_Type,ROW()-4)="","",TRIM(UPPER(INDEX(L_Type,ROW()-4))))</f>
        <v/>
      </c>
      <c r="E206">
        <f>IF(INDEX(P_Status,ROW()-4)="","",TRIM(UPPER(INDEX(P_Status,ROW()-4))))</f>
        <v/>
      </c>
      <c r="G206">
        <f>IF(INDEX(L_Status,ROW()-4)="","",TRIM(UPPER(INDEX(L_Status,ROW()-4))))</f>
        <v/>
      </c>
      <c r="J206">
        <f>IF(INDEX(L_ID,ROW()-4)="","",IF(SUMPRODUCT((P_ID=INDEX(L_ID,ROW()-4))*(P_StatusN="INACTIVE"))&gt;0,1,0))</f>
        <v/>
      </c>
    </row>
    <row r="207">
      <c r="A207">
        <f>IF(INDEX(L_ID,ROW()-4)="","",IF(COUNTIF(P_ID,INDEX(L_ID,ROW()-4))&gt;0,1,0))</f>
        <v/>
      </c>
      <c r="B207">
        <f>IF(INDEX(P_Type,ROW()-4)="","",TRIM(UPPER(INDEX(P_Type,ROW()-4))))</f>
        <v/>
      </c>
      <c r="D207">
        <f>IF(INDEX(L_Type,ROW()-4)="","",TRIM(UPPER(INDEX(L_Type,ROW()-4))))</f>
        <v/>
      </c>
      <c r="E207">
        <f>IF(INDEX(P_Status,ROW()-4)="","",TRIM(UPPER(INDEX(P_Status,ROW()-4))))</f>
        <v/>
      </c>
      <c r="G207">
        <f>IF(INDEX(L_Status,ROW()-4)="","",TRIM(UPPER(INDEX(L_Status,ROW()-4))))</f>
        <v/>
      </c>
      <c r="J207">
        <f>IF(INDEX(L_ID,ROW()-4)="","",IF(SUMPRODUCT((P_ID=INDEX(L_ID,ROW()-4))*(P_StatusN="INACTIVE"))&gt;0,1,0))</f>
        <v/>
      </c>
    </row>
    <row r="208">
      <c r="A208">
        <f>IF(INDEX(L_ID,ROW()-4)="","",IF(COUNTIF(P_ID,INDEX(L_ID,ROW()-4))&gt;0,1,0))</f>
        <v/>
      </c>
      <c r="B208">
        <f>IF(INDEX(P_Type,ROW()-4)="","",TRIM(UPPER(INDEX(P_Type,ROW()-4))))</f>
        <v/>
      </c>
      <c r="D208">
        <f>IF(INDEX(L_Type,ROW()-4)="","",TRIM(UPPER(INDEX(L_Type,ROW()-4))))</f>
        <v/>
      </c>
      <c r="E208">
        <f>IF(INDEX(P_Status,ROW()-4)="","",TRIM(UPPER(INDEX(P_Status,ROW()-4))))</f>
        <v/>
      </c>
      <c r="G208">
        <f>IF(INDEX(L_Status,ROW()-4)="","",TRIM(UPPER(INDEX(L_Status,ROW()-4))))</f>
        <v/>
      </c>
      <c r="J208">
        <f>IF(INDEX(L_ID,ROW()-4)="","",IF(SUMPRODUCT((P_ID=INDEX(L_ID,ROW()-4))*(P_StatusN="INACTIVE"))&gt;0,1,0))</f>
        <v/>
      </c>
    </row>
    <row r="209">
      <c r="A209">
        <f>IF(INDEX(L_ID,ROW()-4)="","",IF(COUNTIF(P_ID,INDEX(L_ID,ROW()-4))&gt;0,1,0))</f>
        <v/>
      </c>
      <c r="B209">
        <f>IF(INDEX(P_Type,ROW()-4)="","",TRIM(UPPER(INDEX(P_Type,ROW()-4))))</f>
        <v/>
      </c>
      <c r="D209">
        <f>IF(INDEX(L_Type,ROW()-4)="","",TRIM(UPPER(INDEX(L_Type,ROW()-4))))</f>
        <v/>
      </c>
      <c r="E209">
        <f>IF(INDEX(P_Status,ROW()-4)="","",TRIM(UPPER(INDEX(P_Status,ROW()-4))))</f>
        <v/>
      </c>
      <c r="G209">
        <f>IF(INDEX(L_Status,ROW()-4)="","",TRIM(UPPER(INDEX(L_Status,ROW()-4))))</f>
        <v/>
      </c>
      <c r="J209">
        <f>IF(INDEX(L_ID,ROW()-4)="","",IF(SUMPRODUCT((P_ID=INDEX(L_ID,ROW()-4))*(P_StatusN="INACTIVE"))&gt;0,1,0))</f>
        <v/>
      </c>
    </row>
    <row r="210">
      <c r="A210">
        <f>IF(INDEX(L_ID,ROW()-4)="","",IF(COUNTIF(P_ID,INDEX(L_ID,ROW()-4))&gt;0,1,0))</f>
        <v/>
      </c>
      <c r="B210">
        <f>IF(INDEX(P_Type,ROW()-4)="","",TRIM(UPPER(INDEX(P_Type,ROW()-4))))</f>
        <v/>
      </c>
      <c r="D210">
        <f>IF(INDEX(L_Type,ROW()-4)="","",TRIM(UPPER(INDEX(L_Type,ROW()-4))))</f>
        <v/>
      </c>
      <c r="E210">
        <f>IF(INDEX(P_Status,ROW()-4)="","",TRIM(UPPER(INDEX(P_Status,ROW()-4))))</f>
        <v/>
      </c>
      <c r="G210">
        <f>IF(INDEX(L_Status,ROW()-4)="","",TRIM(UPPER(INDEX(L_Status,ROW()-4))))</f>
        <v/>
      </c>
      <c r="J210">
        <f>IF(INDEX(L_ID,ROW()-4)="","",IF(SUMPRODUCT((P_ID=INDEX(L_ID,ROW()-4))*(P_StatusN="INACTIVE"))&gt;0,1,0))</f>
        <v/>
      </c>
    </row>
    <row r="211">
      <c r="A211">
        <f>IF(INDEX(L_ID,ROW()-4)="","",IF(COUNTIF(P_ID,INDEX(L_ID,ROW()-4))&gt;0,1,0))</f>
        <v/>
      </c>
      <c r="B211">
        <f>IF(INDEX(P_Type,ROW()-4)="","",TRIM(UPPER(INDEX(P_Type,ROW()-4))))</f>
        <v/>
      </c>
      <c r="D211">
        <f>IF(INDEX(L_Type,ROW()-4)="","",TRIM(UPPER(INDEX(L_Type,ROW()-4))))</f>
        <v/>
      </c>
      <c r="E211">
        <f>IF(INDEX(P_Status,ROW()-4)="","",TRIM(UPPER(INDEX(P_Status,ROW()-4))))</f>
        <v/>
      </c>
      <c r="G211">
        <f>IF(INDEX(L_Status,ROW()-4)="","",TRIM(UPPER(INDEX(L_Status,ROW()-4))))</f>
        <v/>
      </c>
      <c r="J211">
        <f>IF(INDEX(L_ID,ROW()-4)="","",IF(SUMPRODUCT((P_ID=INDEX(L_ID,ROW()-4))*(P_StatusN="INACTIVE"))&gt;0,1,0))</f>
        <v/>
      </c>
    </row>
    <row r="212">
      <c r="A212">
        <f>IF(INDEX(L_ID,ROW()-4)="","",IF(COUNTIF(P_ID,INDEX(L_ID,ROW()-4))&gt;0,1,0))</f>
        <v/>
      </c>
      <c r="B212">
        <f>IF(INDEX(P_Type,ROW()-4)="","",TRIM(UPPER(INDEX(P_Type,ROW()-4))))</f>
        <v/>
      </c>
      <c r="D212">
        <f>IF(INDEX(L_Type,ROW()-4)="","",TRIM(UPPER(INDEX(L_Type,ROW()-4))))</f>
        <v/>
      </c>
      <c r="E212">
        <f>IF(INDEX(P_Status,ROW()-4)="","",TRIM(UPPER(INDEX(P_Status,ROW()-4))))</f>
        <v/>
      </c>
      <c r="G212">
        <f>IF(INDEX(L_Status,ROW()-4)="","",TRIM(UPPER(INDEX(L_Status,ROW()-4))))</f>
        <v/>
      </c>
      <c r="J212">
        <f>IF(INDEX(L_ID,ROW()-4)="","",IF(SUMPRODUCT((P_ID=INDEX(L_ID,ROW()-4))*(P_StatusN="INACTIVE"))&gt;0,1,0))</f>
        <v/>
      </c>
    </row>
    <row r="213">
      <c r="A213">
        <f>IF(INDEX(L_ID,ROW()-4)="","",IF(COUNTIF(P_ID,INDEX(L_ID,ROW()-4))&gt;0,1,0))</f>
        <v/>
      </c>
      <c r="B213">
        <f>IF(INDEX(P_Type,ROW()-4)="","",TRIM(UPPER(INDEX(P_Type,ROW()-4))))</f>
        <v/>
      </c>
      <c r="D213">
        <f>IF(INDEX(L_Type,ROW()-4)="","",TRIM(UPPER(INDEX(L_Type,ROW()-4))))</f>
        <v/>
      </c>
      <c r="E213">
        <f>IF(INDEX(P_Status,ROW()-4)="","",TRIM(UPPER(INDEX(P_Status,ROW()-4))))</f>
        <v/>
      </c>
      <c r="G213">
        <f>IF(INDEX(L_Status,ROW()-4)="","",TRIM(UPPER(INDEX(L_Status,ROW()-4))))</f>
        <v/>
      </c>
      <c r="J213">
        <f>IF(INDEX(L_ID,ROW()-4)="","",IF(SUMPRODUCT((P_ID=INDEX(L_ID,ROW()-4))*(P_StatusN="INACTIVE"))&gt;0,1,0))</f>
        <v/>
      </c>
    </row>
    <row r="214">
      <c r="A214">
        <f>IF(INDEX(L_ID,ROW()-4)="","",IF(COUNTIF(P_ID,INDEX(L_ID,ROW()-4))&gt;0,1,0))</f>
        <v/>
      </c>
      <c r="B214">
        <f>IF(INDEX(P_Type,ROW()-4)="","",TRIM(UPPER(INDEX(P_Type,ROW()-4))))</f>
        <v/>
      </c>
      <c r="D214">
        <f>IF(INDEX(L_Type,ROW()-4)="","",TRIM(UPPER(INDEX(L_Type,ROW()-4))))</f>
        <v/>
      </c>
      <c r="E214">
        <f>IF(INDEX(P_Status,ROW()-4)="","",TRIM(UPPER(INDEX(P_Status,ROW()-4))))</f>
        <v/>
      </c>
      <c r="G214">
        <f>IF(INDEX(L_Status,ROW()-4)="","",TRIM(UPPER(INDEX(L_Status,ROW()-4))))</f>
        <v/>
      </c>
      <c r="J214">
        <f>IF(INDEX(L_ID,ROW()-4)="","",IF(SUMPRODUCT((P_ID=INDEX(L_ID,ROW()-4))*(P_StatusN="INACTIVE"))&gt;0,1,0))</f>
        <v/>
      </c>
    </row>
    <row r="215">
      <c r="A215">
        <f>IF(INDEX(L_ID,ROW()-4)="","",IF(COUNTIF(P_ID,INDEX(L_ID,ROW()-4))&gt;0,1,0))</f>
        <v/>
      </c>
      <c r="B215">
        <f>IF(INDEX(P_Type,ROW()-4)="","",TRIM(UPPER(INDEX(P_Type,ROW()-4))))</f>
        <v/>
      </c>
      <c r="D215">
        <f>IF(INDEX(L_Type,ROW()-4)="","",TRIM(UPPER(INDEX(L_Type,ROW()-4))))</f>
        <v/>
      </c>
      <c r="E215">
        <f>IF(INDEX(P_Status,ROW()-4)="","",TRIM(UPPER(INDEX(P_Status,ROW()-4))))</f>
        <v/>
      </c>
      <c r="G215">
        <f>IF(INDEX(L_Status,ROW()-4)="","",TRIM(UPPER(INDEX(L_Status,ROW()-4))))</f>
        <v/>
      </c>
      <c r="J215">
        <f>IF(INDEX(L_ID,ROW()-4)="","",IF(SUMPRODUCT((P_ID=INDEX(L_ID,ROW()-4))*(P_StatusN="INACTIVE"))&gt;0,1,0))</f>
        <v/>
      </c>
    </row>
    <row r="216">
      <c r="A216">
        <f>IF(INDEX(L_ID,ROW()-4)="","",IF(COUNTIF(P_ID,INDEX(L_ID,ROW()-4))&gt;0,1,0))</f>
        <v/>
      </c>
      <c r="B216">
        <f>IF(INDEX(P_Type,ROW()-4)="","",TRIM(UPPER(INDEX(P_Type,ROW()-4))))</f>
        <v/>
      </c>
      <c r="D216">
        <f>IF(INDEX(L_Type,ROW()-4)="","",TRIM(UPPER(INDEX(L_Type,ROW()-4))))</f>
        <v/>
      </c>
      <c r="E216">
        <f>IF(INDEX(P_Status,ROW()-4)="","",TRIM(UPPER(INDEX(P_Status,ROW()-4))))</f>
        <v/>
      </c>
      <c r="G216">
        <f>IF(INDEX(L_Status,ROW()-4)="","",TRIM(UPPER(INDEX(L_Status,ROW()-4))))</f>
        <v/>
      </c>
      <c r="J216">
        <f>IF(INDEX(L_ID,ROW()-4)="","",IF(SUMPRODUCT((P_ID=INDEX(L_ID,ROW()-4))*(P_StatusN="INACTIVE"))&gt;0,1,0))</f>
        <v/>
      </c>
    </row>
    <row r="217">
      <c r="A217">
        <f>IF(INDEX(L_ID,ROW()-4)="","",IF(COUNTIF(P_ID,INDEX(L_ID,ROW()-4))&gt;0,1,0))</f>
        <v/>
      </c>
      <c r="B217">
        <f>IF(INDEX(P_Type,ROW()-4)="","",TRIM(UPPER(INDEX(P_Type,ROW()-4))))</f>
        <v/>
      </c>
      <c r="D217">
        <f>IF(INDEX(L_Type,ROW()-4)="","",TRIM(UPPER(INDEX(L_Type,ROW()-4))))</f>
        <v/>
      </c>
      <c r="E217">
        <f>IF(INDEX(P_Status,ROW()-4)="","",TRIM(UPPER(INDEX(P_Status,ROW()-4))))</f>
        <v/>
      </c>
      <c r="G217">
        <f>IF(INDEX(L_Status,ROW()-4)="","",TRIM(UPPER(INDEX(L_Status,ROW()-4))))</f>
        <v/>
      </c>
      <c r="J217">
        <f>IF(INDEX(L_ID,ROW()-4)="","",IF(SUMPRODUCT((P_ID=INDEX(L_ID,ROW()-4))*(P_StatusN="INACTIVE"))&gt;0,1,0))</f>
        <v/>
      </c>
    </row>
    <row r="218">
      <c r="A218">
        <f>IF(INDEX(L_ID,ROW()-4)="","",IF(COUNTIF(P_ID,INDEX(L_ID,ROW()-4))&gt;0,1,0))</f>
        <v/>
      </c>
      <c r="B218">
        <f>IF(INDEX(P_Type,ROW()-4)="","",TRIM(UPPER(INDEX(P_Type,ROW()-4))))</f>
        <v/>
      </c>
      <c r="D218">
        <f>IF(INDEX(L_Type,ROW()-4)="","",TRIM(UPPER(INDEX(L_Type,ROW()-4))))</f>
        <v/>
      </c>
      <c r="E218">
        <f>IF(INDEX(P_Status,ROW()-4)="","",TRIM(UPPER(INDEX(P_Status,ROW()-4))))</f>
        <v/>
      </c>
      <c r="G218">
        <f>IF(INDEX(L_Status,ROW()-4)="","",TRIM(UPPER(INDEX(L_Status,ROW()-4))))</f>
        <v/>
      </c>
      <c r="J218">
        <f>IF(INDEX(L_ID,ROW()-4)="","",IF(SUMPRODUCT((P_ID=INDEX(L_ID,ROW()-4))*(P_StatusN="INACTIVE"))&gt;0,1,0))</f>
        <v/>
      </c>
    </row>
    <row r="219">
      <c r="A219">
        <f>IF(INDEX(L_ID,ROW()-4)="","",IF(COUNTIF(P_ID,INDEX(L_ID,ROW()-4))&gt;0,1,0))</f>
        <v/>
      </c>
      <c r="B219">
        <f>IF(INDEX(P_Type,ROW()-4)="","",TRIM(UPPER(INDEX(P_Type,ROW()-4))))</f>
        <v/>
      </c>
      <c r="D219">
        <f>IF(INDEX(L_Type,ROW()-4)="","",TRIM(UPPER(INDEX(L_Type,ROW()-4))))</f>
        <v/>
      </c>
      <c r="E219">
        <f>IF(INDEX(P_Status,ROW()-4)="","",TRIM(UPPER(INDEX(P_Status,ROW()-4))))</f>
        <v/>
      </c>
      <c r="G219">
        <f>IF(INDEX(L_Status,ROW()-4)="","",TRIM(UPPER(INDEX(L_Status,ROW()-4))))</f>
        <v/>
      </c>
      <c r="J219">
        <f>IF(INDEX(L_ID,ROW()-4)="","",IF(SUMPRODUCT((P_ID=INDEX(L_ID,ROW()-4))*(P_StatusN="INACTIVE"))&gt;0,1,0))</f>
        <v/>
      </c>
    </row>
    <row r="220">
      <c r="A220">
        <f>IF(INDEX(L_ID,ROW()-4)="","",IF(COUNTIF(P_ID,INDEX(L_ID,ROW()-4))&gt;0,1,0))</f>
        <v/>
      </c>
      <c r="B220">
        <f>IF(INDEX(P_Type,ROW()-4)="","",TRIM(UPPER(INDEX(P_Type,ROW()-4))))</f>
        <v/>
      </c>
      <c r="D220">
        <f>IF(INDEX(L_Type,ROW()-4)="","",TRIM(UPPER(INDEX(L_Type,ROW()-4))))</f>
        <v/>
      </c>
      <c r="E220">
        <f>IF(INDEX(P_Status,ROW()-4)="","",TRIM(UPPER(INDEX(P_Status,ROW()-4))))</f>
        <v/>
      </c>
      <c r="G220">
        <f>IF(INDEX(L_Status,ROW()-4)="","",TRIM(UPPER(INDEX(L_Status,ROW()-4))))</f>
        <v/>
      </c>
      <c r="J220">
        <f>IF(INDEX(L_ID,ROW()-4)="","",IF(SUMPRODUCT((P_ID=INDEX(L_ID,ROW()-4))*(P_StatusN="INACTIVE"))&gt;0,1,0))</f>
        <v/>
      </c>
    </row>
    <row r="221">
      <c r="A221">
        <f>IF(INDEX(L_ID,ROW()-4)="","",IF(COUNTIF(P_ID,INDEX(L_ID,ROW()-4))&gt;0,1,0))</f>
        <v/>
      </c>
      <c r="B221">
        <f>IF(INDEX(P_Type,ROW()-4)="","",TRIM(UPPER(INDEX(P_Type,ROW()-4))))</f>
        <v/>
      </c>
      <c r="D221">
        <f>IF(INDEX(L_Type,ROW()-4)="","",TRIM(UPPER(INDEX(L_Type,ROW()-4))))</f>
        <v/>
      </c>
      <c r="E221">
        <f>IF(INDEX(P_Status,ROW()-4)="","",TRIM(UPPER(INDEX(P_Status,ROW()-4))))</f>
        <v/>
      </c>
      <c r="G221">
        <f>IF(INDEX(L_Status,ROW()-4)="","",TRIM(UPPER(INDEX(L_Status,ROW()-4))))</f>
        <v/>
      </c>
      <c r="J221">
        <f>IF(INDEX(L_ID,ROW()-4)="","",IF(SUMPRODUCT((P_ID=INDEX(L_ID,ROW()-4))*(P_StatusN="INACTIVE"))&gt;0,1,0))</f>
        <v/>
      </c>
    </row>
    <row r="222">
      <c r="A222">
        <f>IF(INDEX(L_ID,ROW()-4)="","",IF(COUNTIF(P_ID,INDEX(L_ID,ROW()-4))&gt;0,1,0))</f>
        <v/>
      </c>
      <c r="B222">
        <f>IF(INDEX(P_Type,ROW()-4)="","",TRIM(UPPER(INDEX(P_Type,ROW()-4))))</f>
        <v/>
      </c>
      <c r="D222">
        <f>IF(INDEX(L_Type,ROW()-4)="","",TRIM(UPPER(INDEX(L_Type,ROW()-4))))</f>
        <v/>
      </c>
      <c r="E222">
        <f>IF(INDEX(P_Status,ROW()-4)="","",TRIM(UPPER(INDEX(P_Status,ROW()-4))))</f>
        <v/>
      </c>
      <c r="G222">
        <f>IF(INDEX(L_Status,ROW()-4)="","",TRIM(UPPER(INDEX(L_Status,ROW()-4))))</f>
        <v/>
      </c>
      <c r="J222">
        <f>IF(INDEX(L_ID,ROW()-4)="","",IF(SUMPRODUCT((P_ID=INDEX(L_ID,ROW()-4))*(P_StatusN="INACTIVE"))&gt;0,1,0))</f>
        <v/>
      </c>
    </row>
    <row r="223">
      <c r="A223">
        <f>IF(INDEX(L_ID,ROW()-4)="","",IF(COUNTIF(P_ID,INDEX(L_ID,ROW()-4))&gt;0,1,0))</f>
        <v/>
      </c>
      <c r="B223">
        <f>IF(INDEX(P_Type,ROW()-4)="","",TRIM(UPPER(INDEX(P_Type,ROW()-4))))</f>
        <v/>
      </c>
      <c r="D223">
        <f>IF(INDEX(L_Type,ROW()-4)="","",TRIM(UPPER(INDEX(L_Type,ROW()-4))))</f>
        <v/>
      </c>
      <c r="E223">
        <f>IF(INDEX(P_Status,ROW()-4)="","",TRIM(UPPER(INDEX(P_Status,ROW()-4))))</f>
        <v/>
      </c>
      <c r="G223">
        <f>IF(INDEX(L_Status,ROW()-4)="","",TRIM(UPPER(INDEX(L_Status,ROW()-4))))</f>
        <v/>
      </c>
      <c r="J223">
        <f>IF(INDEX(L_ID,ROW()-4)="","",IF(SUMPRODUCT((P_ID=INDEX(L_ID,ROW()-4))*(P_StatusN="INACTIVE"))&gt;0,1,0))</f>
        <v/>
      </c>
    </row>
    <row r="224">
      <c r="A224">
        <f>IF(INDEX(L_ID,ROW()-4)="","",IF(COUNTIF(P_ID,INDEX(L_ID,ROW()-4))&gt;0,1,0))</f>
        <v/>
      </c>
      <c r="B224">
        <f>IF(INDEX(P_Type,ROW()-4)="","",TRIM(UPPER(INDEX(P_Type,ROW()-4))))</f>
        <v/>
      </c>
      <c r="D224">
        <f>IF(INDEX(L_Type,ROW()-4)="","",TRIM(UPPER(INDEX(L_Type,ROW()-4))))</f>
        <v/>
      </c>
      <c r="E224">
        <f>IF(INDEX(P_Status,ROW()-4)="","",TRIM(UPPER(INDEX(P_Status,ROW()-4))))</f>
        <v/>
      </c>
      <c r="G224">
        <f>IF(INDEX(L_Status,ROW()-4)="","",TRIM(UPPER(INDEX(L_Status,ROW()-4))))</f>
        <v/>
      </c>
      <c r="J224">
        <f>IF(INDEX(L_ID,ROW()-4)="","",IF(SUMPRODUCT((P_ID=INDEX(L_ID,ROW()-4))*(P_StatusN="INACTIVE"))&gt;0,1,0))</f>
        <v/>
      </c>
    </row>
    <row r="225">
      <c r="A225">
        <f>IF(INDEX(L_ID,ROW()-4)="","",IF(COUNTIF(P_ID,INDEX(L_ID,ROW()-4))&gt;0,1,0))</f>
        <v/>
      </c>
      <c r="B225">
        <f>IF(INDEX(P_Type,ROW()-4)="","",TRIM(UPPER(INDEX(P_Type,ROW()-4))))</f>
        <v/>
      </c>
      <c r="D225">
        <f>IF(INDEX(L_Type,ROW()-4)="","",TRIM(UPPER(INDEX(L_Type,ROW()-4))))</f>
        <v/>
      </c>
      <c r="E225">
        <f>IF(INDEX(P_Status,ROW()-4)="","",TRIM(UPPER(INDEX(P_Status,ROW()-4))))</f>
        <v/>
      </c>
      <c r="G225">
        <f>IF(INDEX(L_Status,ROW()-4)="","",TRIM(UPPER(INDEX(L_Status,ROW()-4))))</f>
        <v/>
      </c>
      <c r="J225">
        <f>IF(INDEX(L_ID,ROW()-4)="","",IF(SUMPRODUCT((P_ID=INDEX(L_ID,ROW()-4))*(P_StatusN="INACTIVE"))&gt;0,1,0))</f>
        <v/>
      </c>
    </row>
    <row r="226">
      <c r="A226">
        <f>IF(INDEX(L_ID,ROW()-4)="","",IF(COUNTIF(P_ID,INDEX(L_ID,ROW()-4))&gt;0,1,0))</f>
        <v/>
      </c>
      <c r="B226">
        <f>IF(INDEX(P_Type,ROW()-4)="","",TRIM(UPPER(INDEX(P_Type,ROW()-4))))</f>
        <v/>
      </c>
      <c r="D226">
        <f>IF(INDEX(L_Type,ROW()-4)="","",TRIM(UPPER(INDEX(L_Type,ROW()-4))))</f>
        <v/>
      </c>
      <c r="E226">
        <f>IF(INDEX(P_Status,ROW()-4)="","",TRIM(UPPER(INDEX(P_Status,ROW()-4))))</f>
        <v/>
      </c>
      <c r="G226">
        <f>IF(INDEX(L_Status,ROW()-4)="","",TRIM(UPPER(INDEX(L_Status,ROW()-4))))</f>
        <v/>
      </c>
      <c r="J226">
        <f>IF(INDEX(L_ID,ROW()-4)="","",IF(SUMPRODUCT((P_ID=INDEX(L_ID,ROW()-4))*(P_StatusN="INACTIVE"))&gt;0,1,0))</f>
        <v/>
      </c>
    </row>
    <row r="227">
      <c r="A227">
        <f>IF(INDEX(L_ID,ROW()-4)="","",IF(COUNTIF(P_ID,INDEX(L_ID,ROW()-4))&gt;0,1,0))</f>
        <v/>
      </c>
      <c r="B227">
        <f>IF(INDEX(P_Type,ROW()-4)="","",TRIM(UPPER(INDEX(P_Type,ROW()-4))))</f>
        <v/>
      </c>
      <c r="D227">
        <f>IF(INDEX(L_Type,ROW()-4)="","",TRIM(UPPER(INDEX(L_Type,ROW()-4))))</f>
        <v/>
      </c>
      <c r="E227">
        <f>IF(INDEX(P_Status,ROW()-4)="","",TRIM(UPPER(INDEX(P_Status,ROW()-4))))</f>
        <v/>
      </c>
      <c r="G227">
        <f>IF(INDEX(L_Status,ROW()-4)="","",TRIM(UPPER(INDEX(L_Status,ROW()-4))))</f>
        <v/>
      </c>
      <c r="J227">
        <f>IF(INDEX(L_ID,ROW()-4)="","",IF(SUMPRODUCT((P_ID=INDEX(L_ID,ROW()-4))*(P_StatusN="INACTIVE"))&gt;0,1,0))</f>
        <v/>
      </c>
    </row>
    <row r="228">
      <c r="A228">
        <f>IF(INDEX(L_ID,ROW()-4)="","",IF(COUNTIF(P_ID,INDEX(L_ID,ROW()-4))&gt;0,1,0))</f>
        <v/>
      </c>
      <c r="B228">
        <f>IF(INDEX(P_Type,ROW()-4)="","",TRIM(UPPER(INDEX(P_Type,ROW()-4))))</f>
        <v/>
      </c>
      <c r="D228">
        <f>IF(INDEX(L_Type,ROW()-4)="","",TRIM(UPPER(INDEX(L_Type,ROW()-4))))</f>
        <v/>
      </c>
      <c r="E228">
        <f>IF(INDEX(P_Status,ROW()-4)="","",TRIM(UPPER(INDEX(P_Status,ROW()-4))))</f>
        <v/>
      </c>
      <c r="G228">
        <f>IF(INDEX(L_Status,ROW()-4)="","",TRIM(UPPER(INDEX(L_Status,ROW()-4))))</f>
        <v/>
      </c>
      <c r="J228">
        <f>IF(INDEX(L_ID,ROW()-4)="","",IF(SUMPRODUCT((P_ID=INDEX(L_ID,ROW()-4))*(P_StatusN="INACTIVE"))&gt;0,1,0))</f>
        <v/>
      </c>
    </row>
    <row r="229">
      <c r="A229">
        <f>IF(INDEX(L_ID,ROW()-4)="","",IF(COUNTIF(P_ID,INDEX(L_ID,ROW()-4))&gt;0,1,0))</f>
        <v/>
      </c>
      <c r="B229">
        <f>IF(INDEX(P_Type,ROW()-4)="","",TRIM(UPPER(INDEX(P_Type,ROW()-4))))</f>
        <v/>
      </c>
      <c r="D229">
        <f>IF(INDEX(L_Type,ROW()-4)="","",TRIM(UPPER(INDEX(L_Type,ROW()-4))))</f>
        <v/>
      </c>
      <c r="E229">
        <f>IF(INDEX(P_Status,ROW()-4)="","",TRIM(UPPER(INDEX(P_Status,ROW()-4))))</f>
        <v/>
      </c>
      <c r="G229">
        <f>IF(INDEX(L_Status,ROW()-4)="","",TRIM(UPPER(INDEX(L_Status,ROW()-4))))</f>
        <v/>
      </c>
      <c r="J229">
        <f>IF(INDEX(L_ID,ROW()-4)="","",IF(SUMPRODUCT((P_ID=INDEX(L_ID,ROW()-4))*(P_StatusN="INACTIVE"))&gt;0,1,0))</f>
        <v/>
      </c>
    </row>
    <row r="230">
      <c r="A230">
        <f>IF(INDEX(L_ID,ROW()-4)="","",IF(COUNTIF(P_ID,INDEX(L_ID,ROW()-4))&gt;0,1,0))</f>
        <v/>
      </c>
      <c r="B230">
        <f>IF(INDEX(P_Type,ROW()-4)="","",TRIM(UPPER(INDEX(P_Type,ROW()-4))))</f>
        <v/>
      </c>
      <c r="D230">
        <f>IF(INDEX(L_Type,ROW()-4)="","",TRIM(UPPER(INDEX(L_Type,ROW()-4))))</f>
        <v/>
      </c>
      <c r="E230">
        <f>IF(INDEX(P_Status,ROW()-4)="","",TRIM(UPPER(INDEX(P_Status,ROW()-4))))</f>
        <v/>
      </c>
      <c r="G230">
        <f>IF(INDEX(L_Status,ROW()-4)="","",TRIM(UPPER(INDEX(L_Status,ROW()-4))))</f>
        <v/>
      </c>
      <c r="J230">
        <f>IF(INDEX(L_ID,ROW()-4)="","",IF(SUMPRODUCT((P_ID=INDEX(L_ID,ROW()-4))*(P_StatusN="INACTIVE"))&gt;0,1,0))</f>
        <v/>
      </c>
    </row>
    <row r="231">
      <c r="A231">
        <f>IF(INDEX(L_ID,ROW()-4)="","",IF(COUNTIF(P_ID,INDEX(L_ID,ROW()-4))&gt;0,1,0))</f>
        <v/>
      </c>
      <c r="B231">
        <f>IF(INDEX(P_Type,ROW()-4)="","",TRIM(UPPER(INDEX(P_Type,ROW()-4))))</f>
        <v/>
      </c>
      <c r="D231">
        <f>IF(INDEX(L_Type,ROW()-4)="","",TRIM(UPPER(INDEX(L_Type,ROW()-4))))</f>
        <v/>
      </c>
      <c r="E231">
        <f>IF(INDEX(P_Status,ROW()-4)="","",TRIM(UPPER(INDEX(P_Status,ROW()-4))))</f>
        <v/>
      </c>
      <c r="G231">
        <f>IF(INDEX(L_Status,ROW()-4)="","",TRIM(UPPER(INDEX(L_Status,ROW()-4))))</f>
        <v/>
      </c>
      <c r="J231">
        <f>IF(INDEX(L_ID,ROW()-4)="","",IF(SUMPRODUCT((P_ID=INDEX(L_ID,ROW()-4))*(P_StatusN="INACTIVE"))&gt;0,1,0))</f>
        <v/>
      </c>
    </row>
    <row r="232">
      <c r="A232">
        <f>IF(INDEX(L_ID,ROW()-4)="","",IF(COUNTIF(P_ID,INDEX(L_ID,ROW()-4))&gt;0,1,0))</f>
        <v/>
      </c>
      <c r="B232">
        <f>IF(INDEX(P_Type,ROW()-4)="","",TRIM(UPPER(INDEX(P_Type,ROW()-4))))</f>
        <v/>
      </c>
      <c r="D232">
        <f>IF(INDEX(L_Type,ROW()-4)="","",TRIM(UPPER(INDEX(L_Type,ROW()-4))))</f>
        <v/>
      </c>
      <c r="E232">
        <f>IF(INDEX(P_Status,ROW()-4)="","",TRIM(UPPER(INDEX(P_Status,ROW()-4))))</f>
        <v/>
      </c>
      <c r="G232">
        <f>IF(INDEX(L_Status,ROW()-4)="","",TRIM(UPPER(INDEX(L_Status,ROW()-4))))</f>
        <v/>
      </c>
      <c r="J232">
        <f>IF(INDEX(L_ID,ROW()-4)="","",IF(SUMPRODUCT((P_ID=INDEX(L_ID,ROW()-4))*(P_StatusN="INACTIVE"))&gt;0,1,0))</f>
        <v/>
      </c>
    </row>
    <row r="233">
      <c r="A233">
        <f>IF(INDEX(L_ID,ROW()-4)="","",IF(COUNTIF(P_ID,INDEX(L_ID,ROW()-4))&gt;0,1,0))</f>
        <v/>
      </c>
      <c r="B233">
        <f>IF(INDEX(P_Type,ROW()-4)="","",TRIM(UPPER(INDEX(P_Type,ROW()-4))))</f>
        <v/>
      </c>
      <c r="D233">
        <f>IF(INDEX(L_Type,ROW()-4)="","",TRIM(UPPER(INDEX(L_Type,ROW()-4))))</f>
        <v/>
      </c>
      <c r="E233">
        <f>IF(INDEX(P_Status,ROW()-4)="","",TRIM(UPPER(INDEX(P_Status,ROW()-4))))</f>
        <v/>
      </c>
      <c r="G233">
        <f>IF(INDEX(L_Status,ROW()-4)="","",TRIM(UPPER(INDEX(L_Status,ROW()-4))))</f>
        <v/>
      </c>
      <c r="J233">
        <f>IF(INDEX(L_ID,ROW()-4)="","",IF(SUMPRODUCT((P_ID=INDEX(L_ID,ROW()-4))*(P_StatusN="INACTIVE"))&gt;0,1,0))</f>
        <v/>
      </c>
    </row>
    <row r="234">
      <c r="A234">
        <f>IF(INDEX(L_ID,ROW()-4)="","",IF(COUNTIF(P_ID,INDEX(L_ID,ROW()-4))&gt;0,1,0))</f>
        <v/>
      </c>
      <c r="B234">
        <f>IF(INDEX(P_Type,ROW()-4)="","",TRIM(UPPER(INDEX(P_Type,ROW()-4))))</f>
        <v/>
      </c>
      <c r="D234">
        <f>IF(INDEX(L_Type,ROW()-4)="","",TRIM(UPPER(INDEX(L_Type,ROW()-4))))</f>
        <v/>
      </c>
      <c r="E234">
        <f>IF(INDEX(P_Status,ROW()-4)="","",TRIM(UPPER(INDEX(P_Status,ROW()-4))))</f>
        <v/>
      </c>
      <c r="G234">
        <f>IF(INDEX(L_Status,ROW()-4)="","",TRIM(UPPER(INDEX(L_Status,ROW()-4))))</f>
        <v/>
      </c>
      <c r="J234">
        <f>IF(INDEX(L_ID,ROW()-4)="","",IF(SUMPRODUCT((P_ID=INDEX(L_ID,ROW()-4))*(P_StatusN="INACTIVE"))&gt;0,1,0))</f>
        <v/>
      </c>
    </row>
    <row r="235">
      <c r="A235">
        <f>IF(INDEX(L_ID,ROW()-4)="","",IF(COUNTIF(P_ID,INDEX(L_ID,ROW()-4))&gt;0,1,0))</f>
        <v/>
      </c>
      <c r="B235">
        <f>IF(INDEX(P_Type,ROW()-4)="","",TRIM(UPPER(INDEX(P_Type,ROW()-4))))</f>
        <v/>
      </c>
      <c r="D235">
        <f>IF(INDEX(L_Type,ROW()-4)="","",TRIM(UPPER(INDEX(L_Type,ROW()-4))))</f>
        <v/>
      </c>
      <c r="E235">
        <f>IF(INDEX(P_Status,ROW()-4)="","",TRIM(UPPER(INDEX(P_Status,ROW()-4))))</f>
        <v/>
      </c>
      <c r="G235">
        <f>IF(INDEX(L_Status,ROW()-4)="","",TRIM(UPPER(INDEX(L_Status,ROW()-4))))</f>
        <v/>
      </c>
      <c r="J235">
        <f>IF(INDEX(L_ID,ROW()-4)="","",IF(SUMPRODUCT((P_ID=INDEX(L_ID,ROW()-4))*(P_StatusN="INACTIVE"))&gt;0,1,0))</f>
        <v/>
      </c>
    </row>
    <row r="236">
      <c r="A236">
        <f>IF(INDEX(L_ID,ROW()-4)="","",IF(COUNTIF(P_ID,INDEX(L_ID,ROW()-4))&gt;0,1,0))</f>
        <v/>
      </c>
      <c r="B236">
        <f>IF(INDEX(P_Type,ROW()-4)="","",TRIM(UPPER(INDEX(P_Type,ROW()-4))))</f>
        <v/>
      </c>
      <c r="D236">
        <f>IF(INDEX(L_Type,ROW()-4)="","",TRIM(UPPER(INDEX(L_Type,ROW()-4))))</f>
        <v/>
      </c>
      <c r="E236">
        <f>IF(INDEX(P_Status,ROW()-4)="","",TRIM(UPPER(INDEX(P_Status,ROW()-4))))</f>
        <v/>
      </c>
      <c r="G236">
        <f>IF(INDEX(L_Status,ROW()-4)="","",TRIM(UPPER(INDEX(L_Status,ROW()-4))))</f>
        <v/>
      </c>
      <c r="J236">
        <f>IF(INDEX(L_ID,ROW()-4)="","",IF(SUMPRODUCT((P_ID=INDEX(L_ID,ROW()-4))*(P_StatusN="INACTIVE"))&gt;0,1,0))</f>
        <v/>
      </c>
    </row>
    <row r="237">
      <c r="A237">
        <f>IF(INDEX(L_ID,ROW()-4)="","",IF(COUNTIF(P_ID,INDEX(L_ID,ROW()-4))&gt;0,1,0))</f>
        <v/>
      </c>
      <c r="B237">
        <f>IF(INDEX(P_Type,ROW()-4)="","",TRIM(UPPER(INDEX(P_Type,ROW()-4))))</f>
        <v/>
      </c>
      <c r="D237">
        <f>IF(INDEX(L_Type,ROW()-4)="","",TRIM(UPPER(INDEX(L_Type,ROW()-4))))</f>
        <v/>
      </c>
      <c r="E237">
        <f>IF(INDEX(P_Status,ROW()-4)="","",TRIM(UPPER(INDEX(P_Status,ROW()-4))))</f>
        <v/>
      </c>
      <c r="G237">
        <f>IF(INDEX(L_Status,ROW()-4)="","",TRIM(UPPER(INDEX(L_Status,ROW()-4))))</f>
        <v/>
      </c>
      <c r="J237">
        <f>IF(INDEX(L_ID,ROW()-4)="","",IF(SUMPRODUCT((P_ID=INDEX(L_ID,ROW()-4))*(P_StatusN="INACTIVE"))&gt;0,1,0))</f>
        <v/>
      </c>
    </row>
    <row r="238">
      <c r="A238">
        <f>IF(INDEX(L_ID,ROW()-4)="","",IF(COUNTIF(P_ID,INDEX(L_ID,ROW()-4))&gt;0,1,0))</f>
        <v/>
      </c>
      <c r="B238">
        <f>IF(INDEX(P_Type,ROW()-4)="","",TRIM(UPPER(INDEX(P_Type,ROW()-4))))</f>
        <v/>
      </c>
      <c r="D238">
        <f>IF(INDEX(L_Type,ROW()-4)="","",TRIM(UPPER(INDEX(L_Type,ROW()-4))))</f>
        <v/>
      </c>
      <c r="E238">
        <f>IF(INDEX(P_Status,ROW()-4)="","",TRIM(UPPER(INDEX(P_Status,ROW()-4))))</f>
        <v/>
      </c>
      <c r="G238">
        <f>IF(INDEX(L_Status,ROW()-4)="","",TRIM(UPPER(INDEX(L_Status,ROW()-4))))</f>
        <v/>
      </c>
      <c r="J238">
        <f>IF(INDEX(L_ID,ROW()-4)="","",IF(SUMPRODUCT((P_ID=INDEX(L_ID,ROW()-4))*(P_StatusN="INACTIVE"))&gt;0,1,0))</f>
        <v/>
      </c>
    </row>
    <row r="239">
      <c r="A239">
        <f>IF(INDEX(L_ID,ROW()-4)="","",IF(COUNTIF(P_ID,INDEX(L_ID,ROW()-4))&gt;0,1,0))</f>
        <v/>
      </c>
      <c r="B239">
        <f>IF(INDEX(P_Type,ROW()-4)="","",TRIM(UPPER(INDEX(P_Type,ROW()-4))))</f>
        <v/>
      </c>
      <c r="D239">
        <f>IF(INDEX(L_Type,ROW()-4)="","",TRIM(UPPER(INDEX(L_Type,ROW()-4))))</f>
        <v/>
      </c>
      <c r="E239">
        <f>IF(INDEX(P_Status,ROW()-4)="","",TRIM(UPPER(INDEX(P_Status,ROW()-4))))</f>
        <v/>
      </c>
      <c r="G239">
        <f>IF(INDEX(L_Status,ROW()-4)="","",TRIM(UPPER(INDEX(L_Status,ROW()-4))))</f>
        <v/>
      </c>
      <c r="J239">
        <f>IF(INDEX(L_ID,ROW()-4)="","",IF(SUMPRODUCT((P_ID=INDEX(L_ID,ROW()-4))*(P_StatusN="INACTIVE"))&gt;0,1,0))</f>
        <v/>
      </c>
    </row>
    <row r="240">
      <c r="A240">
        <f>IF(INDEX(L_ID,ROW()-4)="","",IF(COUNTIF(P_ID,INDEX(L_ID,ROW()-4))&gt;0,1,0))</f>
        <v/>
      </c>
      <c r="B240">
        <f>IF(INDEX(P_Type,ROW()-4)="","",TRIM(UPPER(INDEX(P_Type,ROW()-4))))</f>
        <v/>
      </c>
      <c r="D240">
        <f>IF(INDEX(L_Type,ROW()-4)="","",TRIM(UPPER(INDEX(L_Type,ROW()-4))))</f>
        <v/>
      </c>
      <c r="E240">
        <f>IF(INDEX(P_Status,ROW()-4)="","",TRIM(UPPER(INDEX(P_Status,ROW()-4))))</f>
        <v/>
      </c>
      <c r="G240">
        <f>IF(INDEX(L_Status,ROW()-4)="","",TRIM(UPPER(INDEX(L_Status,ROW()-4))))</f>
        <v/>
      </c>
      <c r="J240">
        <f>IF(INDEX(L_ID,ROW()-4)="","",IF(SUMPRODUCT((P_ID=INDEX(L_ID,ROW()-4))*(P_StatusN="INACTIVE"))&gt;0,1,0))</f>
        <v/>
      </c>
    </row>
    <row r="241">
      <c r="A241">
        <f>IF(INDEX(L_ID,ROW()-4)="","",IF(COUNTIF(P_ID,INDEX(L_ID,ROW()-4))&gt;0,1,0))</f>
        <v/>
      </c>
      <c r="B241">
        <f>IF(INDEX(P_Type,ROW()-4)="","",TRIM(UPPER(INDEX(P_Type,ROW()-4))))</f>
        <v/>
      </c>
      <c r="D241">
        <f>IF(INDEX(L_Type,ROW()-4)="","",TRIM(UPPER(INDEX(L_Type,ROW()-4))))</f>
        <v/>
      </c>
      <c r="E241">
        <f>IF(INDEX(P_Status,ROW()-4)="","",TRIM(UPPER(INDEX(P_Status,ROW()-4))))</f>
        <v/>
      </c>
      <c r="G241">
        <f>IF(INDEX(L_Status,ROW()-4)="","",TRIM(UPPER(INDEX(L_Status,ROW()-4))))</f>
        <v/>
      </c>
      <c r="J241">
        <f>IF(INDEX(L_ID,ROW()-4)="","",IF(SUMPRODUCT((P_ID=INDEX(L_ID,ROW()-4))*(P_StatusN="INACTIVE"))&gt;0,1,0))</f>
        <v/>
      </c>
    </row>
    <row r="242">
      <c r="A242">
        <f>IF(INDEX(L_ID,ROW()-4)="","",IF(COUNTIF(P_ID,INDEX(L_ID,ROW()-4))&gt;0,1,0))</f>
        <v/>
      </c>
      <c r="B242">
        <f>IF(INDEX(P_Type,ROW()-4)="","",TRIM(UPPER(INDEX(P_Type,ROW()-4))))</f>
        <v/>
      </c>
      <c r="D242">
        <f>IF(INDEX(L_Type,ROW()-4)="","",TRIM(UPPER(INDEX(L_Type,ROW()-4))))</f>
        <v/>
      </c>
      <c r="E242">
        <f>IF(INDEX(P_Status,ROW()-4)="","",TRIM(UPPER(INDEX(P_Status,ROW()-4))))</f>
        <v/>
      </c>
      <c r="G242">
        <f>IF(INDEX(L_Status,ROW()-4)="","",TRIM(UPPER(INDEX(L_Status,ROW()-4))))</f>
        <v/>
      </c>
      <c r="J242">
        <f>IF(INDEX(L_ID,ROW()-4)="","",IF(SUMPRODUCT((P_ID=INDEX(L_ID,ROW()-4))*(P_StatusN="INACTIVE"))&gt;0,1,0))</f>
        <v/>
      </c>
    </row>
    <row r="243">
      <c r="A243">
        <f>IF(INDEX(L_ID,ROW()-4)="","",IF(COUNTIF(P_ID,INDEX(L_ID,ROW()-4))&gt;0,1,0))</f>
        <v/>
      </c>
      <c r="B243">
        <f>IF(INDEX(P_Type,ROW()-4)="","",TRIM(UPPER(INDEX(P_Type,ROW()-4))))</f>
        <v/>
      </c>
      <c r="D243">
        <f>IF(INDEX(L_Type,ROW()-4)="","",TRIM(UPPER(INDEX(L_Type,ROW()-4))))</f>
        <v/>
      </c>
      <c r="E243">
        <f>IF(INDEX(P_Status,ROW()-4)="","",TRIM(UPPER(INDEX(P_Status,ROW()-4))))</f>
        <v/>
      </c>
      <c r="G243">
        <f>IF(INDEX(L_Status,ROW()-4)="","",TRIM(UPPER(INDEX(L_Status,ROW()-4))))</f>
        <v/>
      </c>
      <c r="J243">
        <f>IF(INDEX(L_ID,ROW()-4)="","",IF(SUMPRODUCT((P_ID=INDEX(L_ID,ROW()-4))*(P_StatusN="INACTIVE"))&gt;0,1,0))</f>
        <v/>
      </c>
    </row>
    <row r="244">
      <c r="A244">
        <f>IF(INDEX(L_ID,ROW()-4)="","",IF(COUNTIF(P_ID,INDEX(L_ID,ROW()-4))&gt;0,1,0))</f>
        <v/>
      </c>
      <c r="B244">
        <f>IF(INDEX(P_Type,ROW()-4)="","",TRIM(UPPER(INDEX(P_Type,ROW()-4))))</f>
        <v/>
      </c>
      <c r="D244">
        <f>IF(INDEX(L_Type,ROW()-4)="","",TRIM(UPPER(INDEX(L_Type,ROW()-4))))</f>
        <v/>
      </c>
      <c r="E244">
        <f>IF(INDEX(P_Status,ROW()-4)="","",TRIM(UPPER(INDEX(P_Status,ROW()-4))))</f>
        <v/>
      </c>
      <c r="G244">
        <f>IF(INDEX(L_Status,ROW()-4)="","",TRIM(UPPER(INDEX(L_Status,ROW()-4))))</f>
        <v/>
      </c>
      <c r="J244">
        <f>IF(INDEX(L_ID,ROW()-4)="","",IF(SUMPRODUCT((P_ID=INDEX(L_ID,ROW()-4))*(P_StatusN="INACTIVE"))&gt;0,1,0))</f>
        <v/>
      </c>
    </row>
    <row r="245">
      <c r="A245">
        <f>IF(INDEX(L_ID,ROW()-4)="","",IF(COUNTIF(P_ID,INDEX(L_ID,ROW()-4))&gt;0,1,0))</f>
        <v/>
      </c>
      <c r="B245">
        <f>IF(INDEX(P_Type,ROW()-4)="","",TRIM(UPPER(INDEX(P_Type,ROW()-4))))</f>
        <v/>
      </c>
      <c r="D245">
        <f>IF(INDEX(L_Type,ROW()-4)="","",TRIM(UPPER(INDEX(L_Type,ROW()-4))))</f>
        <v/>
      </c>
      <c r="E245">
        <f>IF(INDEX(P_Status,ROW()-4)="","",TRIM(UPPER(INDEX(P_Status,ROW()-4))))</f>
        <v/>
      </c>
      <c r="G245">
        <f>IF(INDEX(L_Status,ROW()-4)="","",TRIM(UPPER(INDEX(L_Status,ROW()-4))))</f>
        <v/>
      </c>
      <c r="J245">
        <f>IF(INDEX(L_ID,ROW()-4)="","",IF(SUMPRODUCT((P_ID=INDEX(L_ID,ROW()-4))*(P_StatusN="INACTIVE"))&gt;0,1,0))</f>
        <v/>
      </c>
    </row>
    <row r="246">
      <c r="A246">
        <f>IF(INDEX(L_ID,ROW()-4)="","",IF(COUNTIF(P_ID,INDEX(L_ID,ROW()-4))&gt;0,1,0))</f>
        <v/>
      </c>
      <c r="B246">
        <f>IF(INDEX(P_Type,ROW()-4)="","",TRIM(UPPER(INDEX(P_Type,ROW()-4))))</f>
        <v/>
      </c>
      <c r="D246">
        <f>IF(INDEX(L_Type,ROW()-4)="","",TRIM(UPPER(INDEX(L_Type,ROW()-4))))</f>
        <v/>
      </c>
      <c r="E246">
        <f>IF(INDEX(P_Status,ROW()-4)="","",TRIM(UPPER(INDEX(P_Status,ROW()-4))))</f>
        <v/>
      </c>
      <c r="G246">
        <f>IF(INDEX(L_Status,ROW()-4)="","",TRIM(UPPER(INDEX(L_Status,ROW()-4))))</f>
        <v/>
      </c>
      <c r="J246">
        <f>IF(INDEX(L_ID,ROW()-4)="","",IF(SUMPRODUCT((P_ID=INDEX(L_ID,ROW()-4))*(P_StatusN="INACTIVE"))&gt;0,1,0))</f>
        <v/>
      </c>
    </row>
    <row r="247">
      <c r="A247">
        <f>IF(INDEX(L_ID,ROW()-4)="","",IF(COUNTIF(P_ID,INDEX(L_ID,ROW()-4))&gt;0,1,0))</f>
        <v/>
      </c>
      <c r="B247">
        <f>IF(INDEX(P_Type,ROW()-4)="","",TRIM(UPPER(INDEX(P_Type,ROW()-4))))</f>
        <v/>
      </c>
      <c r="D247">
        <f>IF(INDEX(L_Type,ROW()-4)="","",TRIM(UPPER(INDEX(L_Type,ROW()-4))))</f>
        <v/>
      </c>
      <c r="E247">
        <f>IF(INDEX(P_Status,ROW()-4)="","",TRIM(UPPER(INDEX(P_Status,ROW()-4))))</f>
        <v/>
      </c>
      <c r="G247">
        <f>IF(INDEX(L_Status,ROW()-4)="","",TRIM(UPPER(INDEX(L_Status,ROW()-4))))</f>
        <v/>
      </c>
      <c r="J247">
        <f>IF(INDEX(L_ID,ROW()-4)="","",IF(SUMPRODUCT((P_ID=INDEX(L_ID,ROW()-4))*(P_StatusN="INACTIVE"))&gt;0,1,0))</f>
        <v/>
      </c>
    </row>
    <row r="248">
      <c r="A248">
        <f>IF(INDEX(L_ID,ROW()-4)="","",IF(COUNTIF(P_ID,INDEX(L_ID,ROW()-4))&gt;0,1,0))</f>
        <v/>
      </c>
      <c r="B248">
        <f>IF(INDEX(P_Type,ROW()-4)="","",TRIM(UPPER(INDEX(P_Type,ROW()-4))))</f>
        <v/>
      </c>
      <c r="D248">
        <f>IF(INDEX(L_Type,ROW()-4)="","",TRIM(UPPER(INDEX(L_Type,ROW()-4))))</f>
        <v/>
      </c>
      <c r="E248">
        <f>IF(INDEX(P_Status,ROW()-4)="","",TRIM(UPPER(INDEX(P_Status,ROW()-4))))</f>
        <v/>
      </c>
      <c r="G248">
        <f>IF(INDEX(L_Status,ROW()-4)="","",TRIM(UPPER(INDEX(L_Status,ROW()-4))))</f>
        <v/>
      </c>
      <c r="J248">
        <f>IF(INDEX(L_ID,ROW()-4)="","",IF(SUMPRODUCT((P_ID=INDEX(L_ID,ROW()-4))*(P_StatusN="INACTIVE"))&gt;0,1,0))</f>
        <v/>
      </c>
    </row>
    <row r="249">
      <c r="A249">
        <f>IF(INDEX(L_ID,ROW()-4)="","",IF(COUNTIF(P_ID,INDEX(L_ID,ROW()-4))&gt;0,1,0))</f>
        <v/>
      </c>
      <c r="B249">
        <f>IF(INDEX(P_Type,ROW()-4)="","",TRIM(UPPER(INDEX(P_Type,ROW()-4))))</f>
        <v/>
      </c>
      <c r="D249">
        <f>IF(INDEX(L_Type,ROW()-4)="","",TRIM(UPPER(INDEX(L_Type,ROW()-4))))</f>
        <v/>
      </c>
      <c r="E249">
        <f>IF(INDEX(P_Status,ROW()-4)="","",TRIM(UPPER(INDEX(P_Status,ROW()-4))))</f>
        <v/>
      </c>
      <c r="G249">
        <f>IF(INDEX(L_Status,ROW()-4)="","",TRIM(UPPER(INDEX(L_Status,ROW()-4))))</f>
        <v/>
      </c>
      <c r="J249">
        <f>IF(INDEX(L_ID,ROW()-4)="","",IF(SUMPRODUCT((P_ID=INDEX(L_ID,ROW()-4))*(P_StatusN="INACTIVE"))&gt;0,1,0))</f>
        <v/>
      </c>
    </row>
    <row r="250">
      <c r="A250">
        <f>IF(INDEX(L_ID,ROW()-4)="","",IF(COUNTIF(P_ID,INDEX(L_ID,ROW()-4))&gt;0,1,0))</f>
        <v/>
      </c>
      <c r="B250">
        <f>IF(INDEX(P_Type,ROW()-4)="","",TRIM(UPPER(INDEX(P_Type,ROW()-4))))</f>
        <v/>
      </c>
      <c r="D250">
        <f>IF(INDEX(L_Type,ROW()-4)="","",TRIM(UPPER(INDEX(L_Type,ROW()-4))))</f>
        <v/>
      </c>
      <c r="E250">
        <f>IF(INDEX(P_Status,ROW()-4)="","",TRIM(UPPER(INDEX(P_Status,ROW()-4))))</f>
        <v/>
      </c>
      <c r="G250">
        <f>IF(INDEX(L_Status,ROW()-4)="","",TRIM(UPPER(INDEX(L_Status,ROW()-4))))</f>
        <v/>
      </c>
      <c r="J250">
        <f>IF(INDEX(L_ID,ROW()-4)="","",IF(SUMPRODUCT((P_ID=INDEX(L_ID,ROW()-4))*(P_StatusN="INACTIVE"))&gt;0,1,0))</f>
        <v/>
      </c>
    </row>
    <row r="251">
      <c r="A251">
        <f>IF(INDEX(L_ID,ROW()-4)="","",IF(COUNTIF(P_ID,INDEX(L_ID,ROW()-4))&gt;0,1,0))</f>
        <v/>
      </c>
      <c r="B251">
        <f>IF(INDEX(P_Type,ROW()-4)="","",TRIM(UPPER(INDEX(P_Type,ROW()-4))))</f>
        <v/>
      </c>
      <c r="D251">
        <f>IF(INDEX(L_Type,ROW()-4)="","",TRIM(UPPER(INDEX(L_Type,ROW()-4))))</f>
        <v/>
      </c>
      <c r="E251">
        <f>IF(INDEX(P_Status,ROW()-4)="","",TRIM(UPPER(INDEX(P_Status,ROW()-4))))</f>
        <v/>
      </c>
      <c r="G251">
        <f>IF(INDEX(L_Status,ROW()-4)="","",TRIM(UPPER(INDEX(L_Status,ROW()-4))))</f>
        <v/>
      </c>
      <c r="J251">
        <f>IF(INDEX(L_ID,ROW()-4)="","",IF(SUMPRODUCT((P_ID=INDEX(L_ID,ROW()-4))*(P_StatusN="INACTIVE"))&gt;0,1,0))</f>
        <v/>
      </c>
    </row>
    <row r="252">
      <c r="A252">
        <f>IF(INDEX(L_ID,ROW()-4)="","",IF(COUNTIF(P_ID,INDEX(L_ID,ROW()-4))&gt;0,1,0))</f>
        <v/>
      </c>
      <c r="B252">
        <f>IF(INDEX(P_Type,ROW()-4)="","",TRIM(UPPER(INDEX(P_Type,ROW()-4))))</f>
        <v/>
      </c>
      <c r="D252">
        <f>IF(INDEX(L_Type,ROW()-4)="","",TRIM(UPPER(INDEX(L_Type,ROW()-4))))</f>
        <v/>
      </c>
      <c r="E252">
        <f>IF(INDEX(P_Status,ROW()-4)="","",TRIM(UPPER(INDEX(P_Status,ROW()-4))))</f>
        <v/>
      </c>
      <c r="G252">
        <f>IF(INDEX(L_Status,ROW()-4)="","",TRIM(UPPER(INDEX(L_Status,ROW()-4))))</f>
        <v/>
      </c>
      <c r="J252">
        <f>IF(INDEX(L_ID,ROW()-4)="","",IF(SUMPRODUCT((P_ID=INDEX(L_ID,ROW()-4))*(P_StatusN="INACTIVE"))&gt;0,1,0))</f>
        <v/>
      </c>
    </row>
    <row r="253">
      <c r="A253">
        <f>IF(INDEX(L_ID,ROW()-4)="","",IF(COUNTIF(P_ID,INDEX(L_ID,ROW()-4))&gt;0,1,0))</f>
        <v/>
      </c>
      <c r="B253">
        <f>IF(INDEX(P_Type,ROW()-4)="","",TRIM(UPPER(INDEX(P_Type,ROW()-4))))</f>
        <v/>
      </c>
      <c r="D253">
        <f>IF(INDEX(L_Type,ROW()-4)="","",TRIM(UPPER(INDEX(L_Type,ROW()-4))))</f>
        <v/>
      </c>
      <c r="E253">
        <f>IF(INDEX(P_Status,ROW()-4)="","",TRIM(UPPER(INDEX(P_Status,ROW()-4))))</f>
        <v/>
      </c>
      <c r="G253">
        <f>IF(INDEX(L_Status,ROW()-4)="","",TRIM(UPPER(INDEX(L_Status,ROW()-4))))</f>
        <v/>
      </c>
      <c r="J253">
        <f>IF(INDEX(L_ID,ROW()-4)="","",IF(SUMPRODUCT((P_ID=INDEX(L_ID,ROW()-4))*(P_StatusN="INACTIVE"))&gt;0,1,0))</f>
        <v/>
      </c>
    </row>
    <row r="254">
      <c r="A254">
        <f>IF(INDEX(L_ID,ROW()-4)="","",IF(COUNTIF(P_ID,INDEX(L_ID,ROW()-4))&gt;0,1,0))</f>
        <v/>
      </c>
      <c r="B254">
        <f>IF(INDEX(P_Type,ROW()-4)="","",TRIM(UPPER(INDEX(P_Type,ROW()-4))))</f>
        <v/>
      </c>
      <c r="D254">
        <f>IF(INDEX(L_Type,ROW()-4)="","",TRIM(UPPER(INDEX(L_Type,ROW()-4))))</f>
        <v/>
      </c>
      <c r="E254">
        <f>IF(INDEX(P_Status,ROW()-4)="","",TRIM(UPPER(INDEX(P_Status,ROW()-4))))</f>
        <v/>
      </c>
      <c r="G254">
        <f>IF(INDEX(L_Status,ROW()-4)="","",TRIM(UPPER(INDEX(L_Status,ROW()-4))))</f>
        <v/>
      </c>
      <c r="J254">
        <f>IF(INDEX(L_ID,ROW()-4)="","",IF(SUMPRODUCT((P_ID=INDEX(L_ID,ROW()-4))*(P_StatusN="INACTIVE"))&gt;0,1,0))</f>
        <v/>
      </c>
    </row>
    <row r="255">
      <c r="A255">
        <f>IF(INDEX(L_ID,ROW()-4)="","",IF(COUNTIF(P_ID,INDEX(L_ID,ROW()-4))&gt;0,1,0))</f>
        <v/>
      </c>
      <c r="B255">
        <f>IF(INDEX(P_Type,ROW()-4)="","",TRIM(UPPER(INDEX(P_Type,ROW()-4))))</f>
        <v/>
      </c>
      <c r="D255">
        <f>IF(INDEX(L_Type,ROW()-4)="","",TRIM(UPPER(INDEX(L_Type,ROW()-4))))</f>
        <v/>
      </c>
      <c r="E255">
        <f>IF(INDEX(P_Status,ROW()-4)="","",TRIM(UPPER(INDEX(P_Status,ROW()-4))))</f>
        <v/>
      </c>
      <c r="G255">
        <f>IF(INDEX(L_Status,ROW()-4)="","",TRIM(UPPER(INDEX(L_Status,ROW()-4))))</f>
        <v/>
      </c>
      <c r="J255">
        <f>IF(INDEX(L_ID,ROW()-4)="","",IF(SUMPRODUCT((P_ID=INDEX(L_ID,ROW()-4))*(P_StatusN="INACTIVE"))&gt;0,1,0))</f>
        <v/>
      </c>
    </row>
    <row r="256">
      <c r="A256">
        <f>IF(INDEX(L_ID,ROW()-4)="","",IF(COUNTIF(P_ID,INDEX(L_ID,ROW()-4))&gt;0,1,0))</f>
        <v/>
      </c>
      <c r="B256">
        <f>IF(INDEX(P_Type,ROW()-4)="","",TRIM(UPPER(INDEX(P_Type,ROW()-4))))</f>
        <v/>
      </c>
      <c r="D256">
        <f>IF(INDEX(L_Type,ROW()-4)="","",TRIM(UPPER(INDEX(L_Type,ROW()-4))))</f>
        <v/>
      </c>
      <c r="E256">
        <f>IF(INDEX(P_Status,ROW()-4)="","",TRIM(UPPER(INDEX(P_Status,ROW()-4))))</f>
        <v/>
      </c>
      <c r="G256">
        <f>IF(INDEX(L_Status,ROW()-4)="","",TRIM(UPPER(INDEX(L_Status,ROW()-4))))</f>
        <v/>
      </c>
      <c r="J256">
        <f>IF(INDEX(L_ID,ROW()-4)="","",IF(SUMPRODUCT((P_ID=INDEX(L_ID,ROW()-4))*(P_StatusN="INACTIVE"))&gt;0,1,0))</f>
        <v/>
      </c>
    </row>
    <row r="257">
      <c r="A257">
        <f>IF(INDEX(L_ID,ROW()-4)="","",IF(COUNTIF(P_ID,INDEX(L_ID,ROW()-4))&gt;0,1,0))</f>
        <v/>
      </c>
      <c r="B257">
        <f>IF(INDEX(P_Type,ROW()-4)="","",TRIM(UPPER(INDEX(P_Type,ROW()-4))))</f>
        <v/>
      </c>
      <c r="D257">
        <f>IF(INDEX(L_Type,ROW()-4)="","",TRIM(UPPER(INDEX(L_Type,ROW()-4))))</f>
        <v/>
      </c>
      <c r="E257">
        <f>IF(INDEX(P_Status,ROW()-4)="","",TRIM(UPPER(INDEX(P_Status,ROW()-4))))</f>
        <v/>
      </c>
      <c r="G257">
        <f>IF(INDEX(L_Status,ROW()-4)="","",TRIM(UPPER(INDEX(L_Status,ROW()-4))))</f>
        <v/>
      </c>
      <c r="J257">
        <f>IF(INDEX(L_ID,ROW()-4)="","",IF(SUMPRODUCT((P_ID=INDEX(L_ID,ROW()-4))*(P_StatusN="INACTIVE"))&gt;0,1,0))</f>
        <v/>
      </c>
    </row>
    <row r="258">
      <c r="A258">
        <f>IF(INDEX(L_ID,ROW()-4)="","",IF(COUNTIF(P_ID,INDEX(L_ID,ROW()-4))&gt;0,1,0))</f>
        <v/>
      </c>
      <c r="B258">
        <f>IF(INDEX(P_Type,ROW()-4)="","",TRIM(UPPER(INDEX(P_Type,ROW()-4))))</f>
        <v/>
      </c>
      <c r="D258">
        <f>IF(INDEX(L_Type,ROW()-4)="","",TRIM(UPPER(INDEX(L_Type,ROW()-4))))</f>
        <v/>
      </c>
      <c r="E258">
        <f>IF(INDEX(P_Status,ROW()-4)="","",TRIM(UPPER(INDEX(P_Status,ROW()-4))))</f>
        <v/>
      </c>
      <c r="G258">
        <f>IF(INDEX(L_Status,ROW()-4)="","",TRIM(UPPER(INDEX(L_Status,ROW()-4))))</f>
        <v/>
      </c>
      <c r="J258">
        <f>IF(INDEX(L_ID,ROW()-4)="","",IF(SUMPRODUCT((P_ID=INDEX(L_ID,ROW()-4))*(P_StatusN="INACTIVE"))&gt;0,1,0))</f>
        <v/>
      </c>
    </row>
    <row r="259">
      <c r="A259">
        <f>IF(INDEX(L_ID,ROW()-4)="","",IF(COUNTIF(P_ID,INDEX(L_ID,ROW()-4))&gt;0,1,0))</f>
        <v/>
      </c>
      <c r="B259">
        <f>IF(INDEX(P_Type,ROW()-4)="","",TRIM(UPPER(INDEX(P_Type,ROW()-4))))</f>
        <v/>
      </c>
      <c r="D259">
        <f>IF(INDEX(L_Type,ROW()-4)="","",TRIM(UPPER(INDEX(L_Type,ROW()-4))))</f>
        <v/>
      </c>
      <c r="E259">
        <f>IF(INDEX(P_Status,ROW()-4)="","",TRIM(UPPER(INDEX(P_Status,ROW()-4))))</f>
        <v/>
      </c>
      <c r="G259">
        <f>IF(INDEX(L_Status,ROW()-4)="","",TRIM(UPPER(INDEX(L_Status,ROW()-4))))</f>
        <v/>
      </c>
      <c r="J259">
        <f>IF(INDEX(L_ID,ROW()-4)="","",IF(SUMPRODUCT((P_ID=INDEX(L_ID,ROW()-4))*(P_StatusN="INACTIVE"))&gt;0,1,0))</f>
        <v/>
      </c>
    </row>
    <row r="260">
      <c r="A260">
        <f>IF(INDEX(L_ID,ROW()-4)="","",IF(COUNTIF(P_ID,INDEX(L_ID,ROW()-4))&gt;0,1,0))</f>
        <v/>
      </c>
      <c r="B260">
        <f>IF(INDEX(P_Type,ROW()-4)="","",TRIM(UPPER(INDEX(P_Type,ROW()-4))))</f>
        <v/>
      </c>
      <c r="D260">
        <f>IF(INDEX(L_Type,ROW()-4)="","",TRIM(UPPER(INDEX(L_Type,ROW()-4))))</f>
        <v/>
      </c>
      <c r="E260">
        <f>IF(INDEX(P_Status,ROW()-4)="","",TRIM(UPPER(INDEX(P_Status,ROW()-4))))</f>
        <v/>
      </c>
      <c r="G260">
        <f>IF(INDEX(L_Status,ROW()-4)="","",TRIM(UPPER(INDEX(L_Status,ROW()-4))))</f>
        <v/>
      </c>
      <c r="J260">
        <f>IF(INDEX(L_ID,ROW()-4)="","",IF(SUMPRODUCT((P_ID=INDEX(L_ID,ROW()-4))*(P_StatusN="INACTIVE"))&gt;0,1,0))</f>
        <v/>
      </c>
    </row>
    <row r="261">
      <c r="A261">
        <f>IF(INDEX(L_ID,ROW()-4)="","",IF(COUNTIF(P_ID,INDEX(L_ID,ROW()-4))&gt;0,1,0))</f>
        <v/>
      </c>
      <c r="B261">
        <f>IF(INDEX(P_Type,ROW()-4)="","",TRIM(UPPER(INDEX(P_Type,ROW()-4))))</f>
        <v/>
      </c>
      <c r="D261">
        <f>IF(INDEX(L_Type,ROW()-4)="","",TRIM(UPPER(INDEX(L_Type,ROW()-4))))</f>
        <v/>
      </c>
      <c r="E261">
        <f>IF(INDEX(P_Status,ROW()-4)="","",TRIM(UPPER(INDEX(P_Status,ROW()-4))))</f>
        <v/>
      </c>
      <c r="G261">
        <f>IF(INDEX(L_Status,ROW()-4)="","",TRIM(UPPER(INDEX(L_Status,ROW()-4))))</f>
        <v/>
      </c>
      <c r="J261">
        <f>IF(INDEX(L_ID,ROW()-4)="","",IF(SUMPRODUCT((P_ID=INDEX(L_ID,ROW()-4))*(P_StatusN="INACTIVE"))&gt;0,1,0))</f>
        <v/>
      </c>
    </row>
    <row r="262">
      <c r="A262">
        <f>IF(INDEX(L_ID,ROW()-4)="","",IF(COUNTIF(P_ID,INDEX(L_ID,ROW()-4))&gt;0,1,0))</f>
        <v/>
      </c>
      <c r="B262">
        <f>IF(INDEX(P_Type,ROW()-4)="","",TRIM(UPPER(INDEX(P_Type,ROW()-4))))</f>
        <v/>
      </c>
      <c r="D262">
        <f>IF(INDEX(L_Type,ROW()-4)="","",TRIM(UPPER(INDEX(L_Type,ROW()-4))))</f>
        <v/>
      </c>
      <c r="E262">
        <f>IF(INDEX(P_Status,ROW()-4)="","",TRIM(UPPER(INDEX(P_Status,ROW()-4))))</f>
        <v/>
      </c>
      <c r="G262">
        <f>IF(INDEX(L_Status,ROW()-4)="","",TRIM(UPPER(INDEX(L_Status,ROW()-4))))</f>
        <v/>
      </c>
      <c r="J262">
        <f>IF(INDEX(L_ID,ROW()-4)="","",IF(SUMPRODUCT((P_ID=INDEX(L_ID,ROW()-4))*(P_StatusN="INACTIVE"))&gt;0,1,0))</f>
        <v/>
      </c>
    </row>
    <row r="263">
      <c r="A263">
        <f>IF(INDEX(L_ID,ROW()-4)="","",IF(COUNTIF(P_ID,INDEX(L_ID,ROW()-4))&gt;0,1,0))</f>
        <v/>
      </c>
      <c r="B263">
        <f>IF(INDEX(P_Type,ROW()-4)="","",TRIM(UPPER(INDEX(P_Type,ROW()-4))))</f>
        <v/>
      </c>
      <c r="D263">
        <f>IF(INDEX(L_Type,ROW()-4)="","",TRIM(UPPER(INDEX(L_Type,ROW()-4))))</f>
        <v/>
      </c>
      <c r="E263">
        <f>IF(INDEX(P_Status,ROW()-4)="","",TRIM(UPPER(INDEX(P_Status,ROW()-4))))</f>
        <v/>
      </c>
      <c r="G263">
        <f>IF(INDEX(L_Status,ROW()-4)="","",TRIM(UPPER(INDEX(L_Status,ROW()-4))))</f>
        <v/>
      </c>
      <c r="J263">
        <f>IF(INDEX(L_ID,ROW()-4)="","",IF(SUMPRODUCT((P_ID=INDEX(L_ID,ROW()-4))*(P_StatusN="INACTIVE"))&gt;0,1,0))</f>
        <v/>
      </c>
    </row>
    <row r="264">
      <c r="A264">
        <f>IF(INDEX(L_ID,ROW()-4)="","",IF(COUNTIF(P_ID,INDEX(L_ID,ROW()-4))&gt;0,1,0))</f>
        <v/>
      </c>
      <c r="B264">
        <f>IF(INDEX(P_Type,ROW()-4)="","",TRIM(UPPER(INDEX(P_Type,ROW()-4))))</f>
        <v/>
      </c>
      <c r="D264">
        <f>IF(INDEX(L_Type,ROW()-4)="","",TRIM(UPPER(INDEX(L_Type,ROW()-4))))</f>
        <v/>
      </c>
      <c r="E264">
        <f>IF(INDEX(P_Status,ROW()-4)="","",TRIM(UPPER(INDEX(P_Status,ROW()-4))))</f>
        <v/>
      </c>
      <c r="G264">
        <f>IF(INDEX(L_Status,ROW()-4)="","",TRIM(UPPER(INDEX(L_Status,ROW()-4))))</f>
        <v/>
      </c>
      <c r="J264">
        <f>IF(INDEX(L_ID,ROW()-4)="","",IF(SUMPRODUCT((P_ID=INDEX(L_ID,ROW()-4))*(P_StatusN="INACTIVE"))&gt;0,1,0))</f>
        <v/>
      </c>
    </row>
    <row r="265">
      <c r="A265">
        <f>IF(INDEX(L_ID,ROW()-4)="","",IF(COUNTIF(P_ID,INDEX(L_ID,ROW()-4))&gt;0,1,0))</f>
        <v/>
      </c>
      <c r="B265">
        <f>IF(INDEX(P_Type,ROW()-4)="","",TRIM(UPPER(INDEX(P_Type,ROW()-4))))</f>
        <v/>
      </c>
      <c r="D265">
        <f>IF(INDEX(L_Type,ROW()-4)="","",TRIM(UPPER(INDEX(L_Type,ROW()-4))))</f>
        <v/>
      </c>
      <c r="E265">
        <f>IF(INDEX(P_Status,ROW()-4)="","",TRIM(UPPER(INDEX(P_Status,ROW()-4))))</f>
        <v/>
      </c>
      <c r="G265">
        <f>IF(INDEX(L_Status,ROW()-4)="","",TRIM(UPPER(INDEX(L_Status,ROW()-4))))</f>
        <v/>
      </c>
      <c r="J265">
        <f>IF(INDEX(L_ID,ROW()-4)="","",IF(SUMPRODUCT((P_ID=INDEX(L_ID,ROW()-4))*(P_StatusN="INACTIVE"))&gt;0,1,0))</f>
        <v/>
      </c>
    </row>
    <row r="266">
      <c r="A266">
        <f>IF(INDEX(L_ID,ROW()-4)="","",IF(COUNTIF(P_ID,INDEX(L_ID,ROW()-4))&gt;0,1,0))</f>
        <v/>
      </c>
      <c r="B266">
        <f>IF(INDEX(P_Type,ROW()-4)="","",TRIM(UPPER(INDEX(P_Type,ROW()-4))))</f>
        <v/>
      </c>
      <c r="D266">
        <f>IF(INDEX(L_Type,ROW()-4)="","",TRIM(UPPER(INDEX(L_Type,ROW()-4))))</f>
        <v/>
      </c>
      <c r="E266">
        <f>IF(INDEX(P_Status,ROW()-4)="","",TRIM(UPPER(INDEX(P_Status,ROW()-4))))</f>
        <v/>
      </c>
      <c r="G266">
        <f>IF(INDEX(L_Status,ROW()-4)="","",TRIM(UPPER(INDEX(L_Status,ROW()-4))))</f>
        <v/>
      </c>
      <c r="J266">
        <f>IF(INDEX(L_ID,ROW()-4)="","",IF(SUMPRODUCT((P_ID=INDEX(L_ID,ROW()-4))*(P_StatusN="INACTIVE"))&gt;0,1,0))</f>
        <v/>
      </c>
    </row>
    <row r="267">
      <c r="A267">
        <f>IF(INDEX(L_ID,ROW()-4)="","",IF(COUNTIF(P_ID,INDEX(L_ID,ROW()-4))&gt;0,1,0))</f>
        <v/>
      </c>
      <c r="B267">
        <f>IF(INDEX(P_Type,ROW()-4)="","",TRIM(UPPER(INDEX(P_Type,ROW()-4))))</f>
        <v/>
      </c>
      <c r="D267">
        <f>IF(INDEX(L_Type,ROW()-4)="","",TRIM(UPPER(INDEX(L_Type,ROW()-4))))</f>
        <v/>
      </c>
      <c r="E267">
        <f>IF(INDEX(P_Status,ROW()-4)="","",TRIM(UPPER(INDEX(P_Status,ROW()-4))))</f>
        <v/>
      </c>
      <c r="G267">
        <f>IF(INDEX(L_Status,ROW()-4)="","",TRIM(UPPER(INDEX(L_Status,ROW()-4))))</f>
        <v/>
      </c>
      <c r="J267">
        <f>IF(INDEX(L_ID,ROW()-4)="","",IF(SUMPRODUCT((P_ID=INDEX(L_ID,ROW()-4))*(P_StatusN="INACTIVE"))&gt;0,1,0))</f>
        <v/>
      </c>
    </row>
    <row r="268">
      <c r="A268">
        <f>IF(INDEX(L_ID,ROW()-4)="","",IF(COUNTIF(P_ID,INDEX(L_ID,ROW()-4))&gt;0,1,0))</f>
        <v/>
      </c>
      <c r="B268">
        <f>IF(INDEX(P_Type,ROW()-4)="","",TRIM(UPPER(INDEX(P_Type,ROW()-4))))</f>
        <v/>
      </c>
      <c r="D268">
        <f>IF(INDEX(L_Type,ROW()-4)="","",TRIM(UPPER(INDEX(L_Type,ROW()-4))))</f>
        <v/>
      </c>
      <c r="E268">
        <f>IF(INDEX(P_Status,ROW()-4)="","",TRIM(UPPER(INDEX(P_Status,ROW()-4))))</f>
        <v/>
      </c>
      <c r="G268">
        <f>IF(INDEX(L_Status,ROW()-4)="","",TRIM(UPPER(INDEX(L_Status,ROW()-4))))</f>
        <v/>
      </c>
      <c r="J268">
        <f>IF(INDEX(L_ID,ROW()-4)="","",IF(SUMPRODUCT((P_ID=INDEX(L_ID,ROW()-4))*(P_StatusN="INACTIVE"))&gt;0,1,0))</f>
        <v/>
      </c>
    </row>
    <row r="269">
      <c r="A269">
        <f>IF(INDEX(L_ID,ROW()-4)="","",IF(COUNTIF(P_ID,INDEX(L_ID,ROW()-4))&gt;0,1,0))</f>
        <v/>
      </c>
      <c r="B269">
        <f>IF(INDEX(P_Type,ROW()-4)="","",TRIM(UPPER(INDEX(P_Type,ROW()-4))))</f>
        <v/>
      </c>
      <c r="D269">
        <f>IF(INDEX(L_Type,ROW()-4)="","",TRIM(UPPER(INDEX(L_Type,ROW()-4))))</f>
        <v/>
      </c>
      <c r="E269">
        <f>IF(INDEX(P_Status,ROW()-4)="","",TRIM(UPPER(INDEX(P_Status,ROW()-4))))</f>
        <v/>
      </c>
      <c r="G269">
        <f>IF(INDEX(L_Status,ROW()-4)="","",TRIM(UPPER(INDEX(L_Status,ROW()-4))))</f>
        <v/>
      </c>
      <c r="J269">
        <f>IF(INDEX(L_ID,ROW()-4)="","",IF(SUMPRODUCT((P_ID=INDEX(L_ID,ROW()-4))*(P_StatusN="INACTIVE"))&gt;0,1,0))</f>
        <v/>
      </c>
    </row>
    <row r="270">
      <c r="A270">
        <f>IF(INDEX(L_ID,ROW()-4)="","",IF(COUNTIF(P_ID,INDEX(L_ID,ROW()-4))&gt;0,1,0))</f>
        <v/>
      </c>
      <c r="B270">
        <f>IF(INDEX(P_Type,ROW()-4)="","",TRIM(UPPER(INDEX(P_Type,ROW()-4))))</f>
        <v/>
      </c>
      <c r="D270">
        <f>IF(INDEX(L_Type,ROW()-4)="","",TRIM(UPPER(INDEX(L_Type,ROW()-4))))</f>
        <v/>
      </c>
      <c r="E270">
        <f>IF(INDEX(P_Status,ROW()-4)="","",TRIM(UPPER(INDEX(P_Status,ROW()-4))))</f>
        <v/>
      </c>
      <c r="G270">
        <f>IF(INDEX(L_Status,ROW()-4)="","",TRIM(UPPER(INDEX(L_Status,ROW()-4))))</f>
        <v/>
      </c>
      <c r="J270">
        <f>IF(INDEX(L_ID,ROW()-4)="","",IF(SUMPRODUCT((P_ID=INDEX(L_ID,ROW()-4))*(P_StatusN="INACTIVE"))&gt;0,1,0))</f>
        <v/>
      </c>
    </row>
    <row r="271">
      <c r="A271">
        <f>IF(INDEX(L_ID,ROW()-4)="","",IF(COUNTIF(P_ID,INDEX(L_ID,ROW()-4))&gt;0,1,0))</f>
        <v/>
      </c>
      <c r="B271">
        <f>IF(INDEX(P_Type,ROW()-4)="","",TRIM(UPPER(INDEX(P_Type,ROW()-4))))</f>
        <v/>
      </c>
      <c r="D271">
        <f>IF(INDEX(L_Type,ROW()-4)="","",TRIM(UPPER(INDEX(L_Type,ROW()-4))))</f>
        <v/>
      </c>
      <c r="E271">
        <f>IF(INDEX(P_Status,ROW()-4)="","",TRIM(UPPER(INDEX(P_Status,ROW()-4))))</f>
        <v/>
      </c>
      <c r="G271">
        <f>IF(INDEX(L_Status,ROW()-4)="","",TRIM(UPPER(INDEX(L_Status,ROW()-4))))</f>
        <v/>
      </c>
      <c r="J271">
        <f>IF(INDEX(L_ID,ROW()-4)="","",IF(SUMPRODUCT((P_ID=INDEX(L_ID,ROW()-4))*(P_StatusN="INACTIVE"))&gt;0,1,0))</f>
        <v/>
      </c>
    </row>
    <row r="272">
      <c r="A272">
        <f>IF(INDEX(L_ID,ROW()-4)="","",IF(COUNTIF(P_ID,INDEX(L_ID,ROW()-4))&gt;0,1,0))</f>
        <v/>
      </c>
      <c r="B272">
        <f>IF(INDEX(P_Type,ROW()-4)="","",TRIM(UPPER(INDEX(P_Type,ROW()-4))))</f>
        <v/>
      </c>
      <c r="D272">
        <f>IF(INDEX(L_Type,ROW()-4)="","",TRIM(UPPER(INDEX(L_Type,ROW()-4))))</f>
        <v/>
      </c>
      <c r="E272">
        <f>IF(INDEX(P_Status,ROW()-4)="","",TRIM(UPPER(INDEX(P_Status,ROW()-4))))</f>
        <v/>
      </c>
      <c r="G272">
        <f>IF(INDEX(L_Status,ROW()-4)="","",TRIM(UPPER(INDEX(L_Status,ROW()-4))))</f>
        <v/>
      </c>
      <c r="J272">
        <f>IF(INDEX(L_ID,ROW()-4)="","",IF(SUMPRODUCT((P_ID=INDEX(L_ID,ROW()-4))*(P_StatusN="INACTIVE"))&gt;0,1,0))</f>
        <v/>
      </c>
    </row>
    <row r="273">
      <c r="A273">
        <f>IF(INDEX(L_ID,ROW()-4)="","",IF(COUNTIF(P_ID,INDEX(L_ID,ROW()-4))&gt;0,1,0))</f>
        <v/>
      </c>
      <c r="B273">
        <f>IF(INDEX(P_Type,ROW()-4)="","",TRIM(UPPER(INDEX(P_Type,ROW()-4))))</f>
        <v/>
      </c>
      <c r="D273">
        <f>IF(INDEX(L_Type,ROW()-4)="","",TRIM(UPPER(INDEX(L_Type,ROW()-4))))</f>
        <v/>
      </c>
      <c r="E273">
        <f>IF(INDEX(P_Status,ROW()-4)="","",TRIM(UPPER(INDEX(P_Status,ROW()-4))))</f>
        <v/>
      </c>
      <c r="G273">
        <f>IF(INDEX(L_Status,ROW()-4)="","",TRIM(UPPER(INDEX(L_Status,ROW()-4))))</f>
        <v/>
      </c>
      <c r="J273">
        <f>IF(INDEX(L_ID,ROW()-4)="","",IF(SUMPRODUCT((P_ID=INDEX(L_ID,ROW()-4))*(P_StatusN="INACTIVE"))&gt;0,1,0))</f>
        <v/>
      </c>
    </row>
    <row r="274">
      <c r="A274">
        <f>IF(INDEX(L_ID,ROW()-4)="","",IF(COUNTIF(P_ID,INDEX(L_ID,ROW()-4))&gt;0,1,0))</f>
        <v/>
      </c>
      <c r="B274">
        <f>IF(INDEX(P_Type,ROW()-4)="","",TRIM(UPPER(INDEX(P_Type,ROW()-4))))</f>
        <v/>
      </c>
      <c r="D274">
        <f>IF(INDEX(L_Type,ROW()-4)="","",TRIM(UPPER(INDEX(L_Type,ROW()-4))))</f>
        <v/>
      </c>
      <c r="E274">
        <f>IF(INDEX(P_Status,ROW()-4)="","",TRIM(UPPER(INDEX(P_Status,ROW()-4))))</f>
        <v/>
      </c>
      <c r="G274">
        <f>IF(INDEX(L_Status,ROW()-4)="","",TRIM(UPPER(INDEX(L_Status,ROW()-4))))</f>
        <v/>
      </c>
      <c r="J274">
        <f>IF(INDEX(L_ID,ROW()-4)="","",IF(SUMPRODUCT((P_ID=INDEX(L_ID,ROW()-4))*(P_StatusN="INACTIVE"))&gt;0,1,0))</f>
        <v/>
      </c>
    </row>
    <row r="275">
      <c r="A275">
        <f>IF(INDEX(L_ID,ROW()-4)="","",IF(COUNTIF(P_ID,INDEX(L_ID,ROW()-4))&gt;0,1,0))</f>
        <v/>
      </c>
      <c r="B275">
        <f>IF(INDEX(P_Type,ROW()-4)="","",TRIM(UPPER(INDEX(P_Type,ROW()-4))))</f>
        <v/>
      </c>
      <c r="D275">
        <f>IF(INDEX(L_Type,ROW()-4)="","",TRIM(UPPER(INDEX(L_Type,ROW()-4))))</f>
        <v/>
      </c>
      <c r="E275">
        <f>IF(INDEX(P_Status,ROW()-4)="","",TRIM(UPPER(INDEX(P_Status,ROW()-4))))</f>
        <v/>
      </c>
      <c r="G275">
        <f>IF(INDEX(L_Status,ROW()-4)="","",TRIM(UPPER(INDEX(L_Status,ROW()-4))))</f>
        <v/>
      </c>
      <c r="J275">
        <f>IF(INDEX(L_ID,ROW()-4)="","",IF(SUMPRODUCT((P_ID=INDEX(L_ID,ROW()-4))*(P_StatusN="INACTIVE"))&gt;0,1,0))</f>
        <v/>
      </c>
    </row>
    <row r="276">
      <c r="A276">
        <f>IF(INDEX(L_ID,ROW()-4)="","",IF(COUNTIF(P_ID,INDEX(L_ID,ROW()-4))&gt;0,1,0))</f>
        <v/>
      </c>
      <c r="B276">
        <f>IF(INDEX(P_Type,ROW()-4)="","",TRIM(UPPER(INDEX(P_Type,ROW()-4))))</f>
        <v/>
      </c>
      <c r="D276">
        <f>IF(INDEX(L_Type,ROW()-4)="","",TRIM(UPPER(INDEX(L_Type,ROW()-4))))</f>
        <v/>
      </c>
      <c r="E276">
        <f>IF(INDEX(P_Status,ROW()-4)="","",TRIM(UPPER(INDEX(P_Status,ROW()-4))))</f>
        <v/>
      </c>
      <c r="G276">
        <f>IF(INDEX(L_Status,ROW()-4)="","",TRIM(UPPER(INDEX(L_Status,ROW()-4))))</f>
        <v/>
      </c>
      <c r="J276">
        <f>IF(INDEX(L_ID,ROW()-4)="","",IF(SUMPRODUCT((P_ID=INDEX(L_ID,ROW()-4))*(P_StatusN="INACTIVE"))&gt;0,1,0))</f>
        <v/>
      </c>
    </row>
    <row r="277">
      <c r="A277">
        <f>IF(INDEX(L_ID,ROW()-4)="","",IF(COUNTIF(P_ID,INDEX(L_ID,ROW()-4))&gt;0,1,0))</f>
        <v/>
      </c>
      <c r="B277">
        <f>IF(INDEX(P_Type,ROW()-4)="","",TRIM(UPPER(INDEX(P_Type,ROW()-4))))</f>
        <v/>
      </c>
      <c r="D277">
        <f>IF(INDEX(L_Type,ROW()-4)="","",TRIM(UPPER(INDEX(L_Type,ROW()-4))))</f>
        <v/>
      </c>
      <c r="E277">
        <f>IF(INDEX(P_Status,ROW()-4)="","",TRIM(UPPER(INDEX(P_Status,ROW()-4))))</f>
        <v/>
      </c>
      <c r="G277">
        <f>IF(INDEX(L_Status,ROW()-4)="","",TRIM(UPPER(INDEX(L_Status,ROW()-4))))</f>
        <v/>
      </c>
      <c r="J277">
        <f>IF(INDEX(L_ID,ROW()-4)="","",IF(SUMPRODUCT((P_ID=INDEX(L_ID,ROW()-4))*(P_StatusN="INACTIVE"))&gt;0,1,0))</f>
        <v/>
      </c>
    </row>
    <row r="278">
      <c r="A278">
        <f>IF(INDEX(L_ID,ROW()-4)="","",IF(COUNTIF(P_ID,INDEX(L_ID,ROW()-4))&gt;0,1,0))</f>
        <v/>
      </c>
      <c r="B278">
        <f>IF(INDEX(P_Type,ROW()-4)="","",TRIM(UPPER(INDEX(P_Type,ROW()-4))))</f>
        <v/>
      </c>
      <c r="D278">
        <f>IF(INDEX(L_Type,ROW()-4)="","",TRIM(UPPER(INDEX(L_Type,ROW()-4))))</f>
        <v/>
      </c>
      <c r="E278">
        <f>IF(INDEX(P_Status,ROW()-4)="","",TRIM(UPPER(INDEX(P_Status,ROW()-4))))</f>
        <v/>
      </c>
      <c r="G278">
        <f>IF(INDEX(L_Status,ROW()-4)="","",TRIM(UPPER(INDEX(L_Status,ROW()-4))))</f>
        <v/>
      </c>
      <c r="J278">
        <f>IF(INDEX(L_ID,ROW()-4)="","",IF(SUMPRODUCT((P_ID=INDEX(L_ID,ROW()-4))*(P_StatusN="INACTIVE"))&gt;0,1,0))</f>
        <v/>
      </c>
    </row>
    <row r="279">
      <c r="A279">
        <f>IF(INDEX(L_ID,ROW()-4)="","",IF(COUNTIF(P_ID,INDEX(L_ID,ROW()-4))&gt;0,1,0))</f>
        <v/>
      </c>
      <c r="B279">
        <f>IF(INDEX(P_Type,ROW()-4)="","",TRIM(UPPER(INDEX(P_Type,ROW()-4))))</f>
        <v/>
      </c>
      <c r="D279">
        <f>IF(INDEX(L_Type,ROW()-4)="","",TRIM(UPPER(INDEX(L_Type,ROW()-4))))</f>
        <v/>
      </c>
      <c r="E279">
        <f>IF(INDEX(P_Status,ROW()-4)="","",TRIM(UPPER(INDEX(P_Status,ROW()-4))))</f>
        <v/>
      </c>
      <c r="G279">
        <f>IF(INDEX(L_Status,ROW()-4)="","",TRIM(UPPER(INDEX(L_Status,ROW()-4))))</f>
        <v/>
      </c>
      <c r="J279">
        <f>IF(INDEX(L_ID,ROW()-4)="","",IF(SUMPRODUCT((P_ID=INDEX(L_ID,ROW()-4))*(P_StatusN="INACTIVE"))&gt;0,1,0))</f>
        <v/>
      </c>
    </row>
    <row r="280">
      <c r="A280">
        <f>IF(INDEX(L_ID,ROW()-4)="","",IF(COUNTIF(P_ID,INDEX(L_ID,ROW()-4))&gt;0,1,0))</f>
        <v/>
      </c>
      <c r="B280">
        <f>IF(INDEX(P_Type,ROW()-4)="","",TRIM(UPPER(INDEX(P_Type,ROW()-4))))</f>
        <v/>
      </c>
      <c r="D280">
        <f>IF(INDEX(L_Type,ROW()-4)="","",TRIM(UPPER(INDEX(L_Type,ROW()-4))))</f>
        <v/>
      </c>
      <c r="E280">
        <f>IF(INDEX(P_Status,ROW()-4)="","",TRIM(UPPER(INDEX(P_Status,ROW()-4))))</f>
        <v/>
      </c>
      <c r="G280">
        <f>IF(INDEX(L_Status,ROW()-4)="","",TRIM(UPPER(INDEX(L_Status,ROW()-4))))</f>
        <v/>
      </c>
      <c r="J280">
        <f>IF(INDEX(L_ID,ROW()-4)="","",IF(SUMPRODUCT((P_ID=INDEX(L_ID,ROW()-4))*(P_StatusN="INACTIVE"))&gt;0,1,0))</f>
        <v/>
      </c>
    </row>
    <row r="281">
      <c r="A281">
        <f>IF(INDEX(L_ID,ROW()-4)="","",IF(COUNTIF(P_ID,INDEX(L_ID,ROW()-4))&gt;0,1,0))</f>
        <v/>
      </c>
      <c r="B281">
        <f>IF(INDEX(P_Type,ROW()-4)="","",TRIM(UPPER(INDEX(P_Type,ROW()-4))))</f>
        <v/>
      </c>
      <c r="D281">
        <f>IF(INDEX(L_Type,ROW()-4)="","",TRIM(UPPER(INDEX(L_Type,ROW()-4))))</f>
        <v/>
      </c>
      <c r="E281">
        <f>IF(INDEX(P_Status,ROW()-4)="","",TRIM(UPPER(INDEX(P_Status,ROW()-4))))</f>
        <v/>
      </c>
      <c r="G281">
        <f>IF(INDEX(L_Status,ROW()-4)="","",TRIM(UPPER(INDEX(L_Status,ROW()-4))))</f>
        <v/>
      </c>
      <c r="J281">
        <f>IF(INDEX(L_ID,ROW()-4)="","",IF(SUMPRODUCT((P_ID=INDEX(L_ID,ROW()-4))*(P_StatusN="INACTIVE"))&gt;0,1,0))</f>
        <v/>
      </c>
    </row>
    <row r="282">
      <c r="A282">
        <f>IF(INDEX(L_ID,ROW()-4)="","",IF(COUNTIF(P_ID,INDEX(L_ID,ROW()-4))&gt;0,1,0))</f>
        <v/>
      </c>
      <c r="B282">
        <f>IF(INDEX(P_Type,ROW()-4)="","",TRIM(UPPER(INDEX(P_Type,ROW()-4))))</f>
        <v/>
      </c>
      <c r="D282">
        <f>IF(INDEX(L_Type,ROW()-4)="","",TRIM(UPPER(INDEX(L_Type,ROW()-4))))</f>
        <v/>
      </c>
      <c r="E282">
        <f>IF(INDEX(P_Status,ROW()-4)="","",TRIM(UPPER(INDEX(P_Status,ROW()-4))))</f>
        <v/>
      </c>
      <c r="G282">
        <f>IF(INDEX(L_Status,ROW()-4)="","",TRIM(UPPER(INDEX(L_Status,ROW()-4))))</f>
        <v/>
      </c>
      <c r="J282">
        <f>IF(INDEX(L_ID,ROW()-4)="","",IF(SUMPRODUCT((P_ID=INDEX(L_ID,ROW()-4))*(P_StatusN="INACTIVE"))&gt;0,1,0))</f>
        <v/>
      </c>
    </row>
    <row r="283">
      <c r="A283">
        <f>IF(INDEX(L_ID,ROW()-4)="","",IF(COUNTIF(P_ID,INDEX(L_ID,ROW()-4))&gt;0,1,0))</f>
        <v/>
      </c>
      <c r="B283">
        <f>IF(INDEX(P_Type,ROW()-4)="","",TRIM(UPPER(INDEX(P_Type,ROW()-4))))</f>
        <v/>
      </c>
      <c r="D283">
        <f>IF(INDEX(L_Type,ROW()-4)="","",TRIM(UPPER(INDEX(L_Type,ROW()-4))))</f>
        <v/>
      </c>
      <c r="E283">
        <f>IF(INDEX(P_Status,ROW()-4)="","",TRIM(UPPER(INDEX(P_Status,ROW()-4))))</f>
        <v/>
      </c>
      <c r="G283">
        <f>IF(INDEX(L_Status,ROW()-4)="","",TRIM(UPPER(INDEX(L_Status,ROW()-4))))</f>
        <v/>
      </c>
      <c r="J283">
        <f>IF(INDEX(L_ID,ROW()-4)="","",IF(SUMPRODUCT((P_ID=INDEX(L_ID,ROW()-4))*(P_StatusN="INACTIVE"))&gt;0,1,0))</f>
        <v/>
      </c>
    </row>
    <row r="284">
      <c r="A284">
        <f>IF(INDEX(L_ID,ROW()-4)="","",IF(COUNTIF(P_ID,INDEX(L_ID,ROW()-4))&gt;0,1,0))</f>
        <v/>
      </c>
      <c r="B284">
        <f>IF(INDEX(P_Type,ROW()-4)="","",TRIM(UPPER(INDEX(P_Type,ROW()-4))))</f>
        <v/>
      </c>
      <c r="D284">
        <f>IF(INDEX(L_Type,ROW()-4)="","",TRIM(UPPER(INDEX(L_Type,ROW()-4))))</f>
        <v/>
      </c>
      <c r="E284">
        <f>IF(INDEX(P_Status,ROW()-4)="","",TRIM(UPPER(INDEX(P_Status,ROW()-4))))</f>
        <v/>
      </c>
      <c r="G284">
        <f>IF(INDEX(L_Status,ROW()-4)="","",TRIM(UPPER(INDEX(L_Status,ROW()-4))))</f>
        <v/>
      </c>
      <c r="J284">
        <f>IF(INDEX(L_ID,ROW()-4)="","",IF(SUMPRODUCT((P_ID=INDEX(L_ID,ROW()-4))*(P_StatusN="INACTIVE"))&gt;0,1,0))</f>
        <v/>
      </c>
    </row>
    <row r="285">
      <c r="A285">
        <f>IF(INDEX(L_ID,ROW()-4)="","",IF(COUNTIF(P_ID,INDEX(L_ID,ROW()-4))&gt;0,1,0))</f>
        <v/>
      </c>
      <c r="B285">
        <f>IF(INDEX(P_Type,ROW()-4)="","",TRIM(UPPER(INDEX(P_Type,ROW()-4))))</f>
        <v/>
      </c>
      <c r="D285">
        <f>IF(INDEX(L_Type,ROW()-4)="","",TRIM(UPPER(INDEX(L_Type,ROW()-4))))</f>
        <v/>
      </c>
      <c r="E285">
        <f>IF(INDEX(P_Status,ROW()-4)="","",TRIM(UPPER(INDEX(P_Status,ROW()-4))))</f>
        <v/>
      </c>
      <c r="G285">
        <f>IF(INDEX(L_Status,ROW()-4)="","",TRIM(UPPER(INDEX(L_Status,ROW()-4))))</f>
        <v/>
      </c>
      <c r="J285">
        <f>IF(INDEX(L_ID,ROW()-4)="","",IF(SUMPRODUCT((P_ID=INDEX(L_ID,ROW()-4))*(P_StatusN="INACTIVE"))&gt;0,1,0))</f>
        <v/>
      </c>
    </row>
    <row r="286">
      <c r="A286">
        <f>IF(INDEX(L_ID,ROW()-4)="","",IF(COUNTIF(P_ID,INDEX(L_ID,ROW()-4))&gt;0,1,0))</f>
        <v/>
      </c>
      <c r="B286">
        <f>IF(INDEX(P_Type,ROW()-4)="","",TRIM(UPPER(INDEX(P_Type,ROW()-4))))</f>
        <v/>
      </c>
      <c r="D286">
        <f>IF(INDEX(L_Type,ROW()-4)="","",TRIM(UPPER(INDEX(L_Type,ROW()-4))))</f>
        <v/>
      </c>
      <c r="E286">
        <f>IF(INDEX(P_Status,ROW()-4)="","",TRIM(UPPER(INDEX(P_Status,ROW()-4))))</f>
        <v/>
      </c>
      <c r="G286">
        <f>IF(INDEX(L_Status,ROW()-4)="","",TRIM(UPPER(INDEX(L_Status,ROW()-4))))</f>
        <v/>
      </c>
      <c r="J286">
        <f>IF(INDEX(L_ID,ROW()-4)="","",IF(SUMPRODUCT((P_ID=INDEX(L_ID,ROW()-4))*(P_StatusN="INACTIVE"))&gt;0,1,0))</f>
        <v/>
      </c>
    </row>
    <row r="287">
      <c r="A287">
        <f>IF(INDEX(L_ID,ROW()-4)="","",IF(COUNTIF(P_ID,INDEX(L_ID,ROW()-4))&gt;0,1,0))</f>
        <v/>
      </c>
      <c r="B287">
        <f>IF(INDEX(P_Type,ROW()-4)="","",TRIM(UPPER(INDEX(P_Type,ROW()-4))))</f>
        <v/>
      </c>
      <c r="D287">
        <f>IF(INDEX(L_Type,ROW()-4)="","",TRIM(UPPER(INDEX(L_Type,ROW()-4))))</f>
        <v/>
      </c>
      <c r="E287">
        <f>IF(INDEX(P_Status,ROW()-4)="","",TRIM(UPPER(INDEX(P_Status,ROW()-4))))</f>
        <v/>
      </c>
      <c r="G287">
        <f>IF(INDEX(L_Status,ROW()-4)="","",TRIM(UPPER(INDEX(L_Status,ROW()-4))))</f>
        <v/>
      </c>
      <c r="J287">
        <f>IF(INDEX(L_ID,ROW()-4)="","",IF(SUMPRODUCT((P_ID=INDEX(L_ID,ROW()-4))*(P_StatusN="INACTIVE"))&gt;0,1,0))</f>
        <v/>
      </c>
    </row>
    <row r="288">
      <c r="A288">
        <f>IF(INDEX(L_ID,ROW()-4)="","",IF(COUNTIF(P_ID,INDEX(L_ID,ROW()-4))&gt;0,1,0))</f>
        <v/>
      </c>
      <c r="B288">
        <f>IF(INDEX(P_Type,ROW()-4)="","",TRIM(UPPER(INDEX(P_Type,ROW()-4))))</f>
        <v/>
      </c>
      <c r="D288">
        <f>IF(INDEX(L_Type,ROW()-4)="","",TRIM(UPPER(INDEX(L_Type,ROW()-4))))</f>
        <v/>
      </c>
      <c r="E288">
        <f>IF(INDEX(P_Status,ROW()-4)="","",TRIM(UPPER(INDEX(P_Status,ROW()-4))))</f>
        <v/>
      </c>
      <c r="G288">
        <f>IF(INDEX(L_Status,ROW()-4)="","",TRIM(UPPER(INDEX(L_Status,ROW()-4))))</f>
        <v/>
      </c>
      <c r="J288">
        <f>IF(INDEX(L_ID,ROW()-4)="","",IF(SUMPRODUCT((P_ID=INDEX(L_ID,ROW()-4))*(P_StatusN="INACTIVE"))&gt;0,1,0))</f>
        <v/>
      </c>
    </row>
    <row r="289">
      <c r="A289">
        <f>IF(INDEX(L_ID,ROW()-4)="","",IF(COUNTIF(P_ID,INDEX(L_ID,ROW()-4))&gt;0,1,0))</f>
        <v/>
      </c>
      <c r="B289">
        <f>IF(INDEX(P_Type,ROW()-4)="","",TRIM(UPPER(INDEX(P_Type,ROW()-4))))</f>
        <v/>
      </c>
      <c r="D289">
        <f>IF(INDEX(L_Type,ROW()-4)="","",TRIM(UPPER(INDEX(L_Type,ROW()-4))))</f>
        <v/>
      </c>
      <c r="E289">
        <f>IF(INDEX(P_Status,ROW()-4)="","",TRIM(UPPER(INDEX(P_Status,ROW()-4))))</f>
        <v/>
      </c>
      <c r="G289">
        <f>IF(INDEX(L_Status,ROW()-4)="","",TRIM(UPPER(INDEX(L_Status,ROW()-4))))</f>
        <v/>
      </c>
      <c r="J289">
        <f>IF(INDEX(L_ID,ROW()-4)="","",IF(SUMPRODUCT((P_ID=INDEX(L_ID,ROW()-4))*(P_StatusN="INACTIVE"))&gt;0,1,0))</f>
        <v/>
      </c>
    </row>
    <row r="290">
      <c r="A290">
        <f>IF(INDEX(L_ID,ROW()-4)="","",IF(COUNTIF(P_ID,INDEX(L_ID,ROW()-4))&gt;0,1,0))</f>
        <v/>
      </c>
      <c r="B290">
        <f>IF(INDEX(P_Type,ROW()-4)="","",TRIM(UPPER(INDEX(P_Type,ROW()-4))))</f>
        <v/>
      </c>
      <c r="D290">
        <f>IF(INDEX(L_Type,ROW()-4)="","",TRIM(UPPER(INDEX(L_Type,ROW()-4))))</f>
        <v/>
      </c>
      <c r="E290">
        <f>IF(INDEX(P_Status,ROW()-4)="","",TRIM(UPPER(INDEX(P_Status,ROW()-4))))</f>
        <v/>
      </c>
      <c r="G290">
        <f>IF(INDEX(L_Status,ROW()-4)="","",TRIM(UPPER(INDEX(L_Status,ROW()-4))))</f>
        <v/>
      </c>
      <c r="J290">
        <f>IF(INDEX(L_ID,ROW()-4)="","",IF(SUMPRODUCT((P_ID=INDEX(L_ID,ROW()-4))*(P_StatusN="INACTIVE"))&gt;0,1,0))</f>
        <v/>
      </c>
    </row>
    <row r="291">
      <c r="A291">
        <f>IF(INDEX(L_ID,ROW()-4)="","",IF(COUNTIF(P_ID,INDEX(L_ID,ROW()-4))&gt;0,1,0))</f>
        <v/>
      </c>
      <c r="B291">
        <f>IF(INDEX(P_Type,ROW()-4)="","",TRIM(UPPER(INDEX(P_Type,ROW()-4))))</f>
        <v/>
      </c>
      <c r="D291">
        <f>IF(INDEX(L_Type,ROW()-4)="","",TRIM(UPPER(INDEX(L_Type,ROW()-4))))</f>
        <v/>
      </c>
      <c r="E291">
        <f>IF(INDEX(P_Status,ROW()-4)="","",TRIM(UPPER(INDEX(P_Status,ROW()-4))))</f>
        <v/>
      </c>
      <c r="G291">
        <f>IF(INDEX(L_Status,ROW()-4)="","",TRIM(UPPER(INDEX(L_Status,ROW()-4))))</f>
        <v/>
      </c>
      <c r="J291">
        <f>IF(INDEX(L_ID,ROW()-4)="","",IF(SUMPRODUCT((P_ID=INDEX(L_ID,ROW()-4))*(P_StatusN="INACTIVE"))&gt;0,1,0))</f>
        <v/>
      </c>
    </row>
    <row r="292">
      <c r="A292">
        <f>IF(INDEX(L_ID,ROW()-4)="","",IF(COUNTIF(P_ID,INDEX(L_ID,ROW()-4))&gt;0,1,0))</f>
        <v/>
      </c>
      <c r="B292">
        <f>IF(INDEX(P_Type,ROW()-4)="","",TRIM(UPPER(INDEX(P_Type,ROW()-4))))</f>
        <v/>
      </c>
      <c r="D292">
        <f>IF(INDEX(L_Type,ROW()-4)="","",TRIM(UPPER(INDEX(L_Type,ROW()-4))))</f>
        <v/>
      </c>
      <c r="E292">
        <f>IF(INDEX(P_Status,ROW()-4)="","",TRIM(UPPER(INDEX(P_Status,ROW()-4))))</f>
        <v/>
      </c>
      <c r="G292">
        <f>IF(INDEX(L_Status,ROW()-4)="","",TRIM(UPPER(INDEX(L_Status,ROW()-4))))</f>
        <v/>
      </c>
      <c r="J292">
        <f>IF(INDEX(L_ID,ROW()-4)="","",IF(SUMPRODUCT((P_ID=INDEX(L_ID,ROW()-4))*(P_StatusN="INACTIVE"))&gt;0,1,0))</f>
        <v/>
      </c>
    </row>
    <row r="293">
      <c r="A293">
        <f>IF(INDEX(L_ID,ROW()-4)="","",IF(COUNTIF(P_ID,INDEX(L_ID,ROW()-4))&gt;0,1,0))</f>
        <v/>
      </c>
      <c r="B293">
        <f>IF(INDEX(P_Type,ROW()-4)="","",TRIM(UPPER(INDEX(P_Type,ROW()-4))))</f>
        <v/>
      </c>
      <c r="D293">
        <f>IF(INDEX(L_Type,ROW()-4)="","",TRIM(UPPER(INDEX(L_Type,ROW()-4))))</f>
        <v/>
      </c>
      <c r="E293">
        <f>IF(INDEX(P_Status,ROW()-4)="","",TRIM(UPPER(INDEX(P_Status,ROW()-4))))</f>
        <v/>
      </c>
      <c r="G293">
        <f>IF(INDEX(L_Status,ROW()-4)="","",TRIM(UPPER(INDEX(L_Status,ROW()-4))))</f>
        <v/>
      </c>
      <c r="J293">
        <f>IF(INDEX(L_ID,ROW()-4)="","",IF(SUMPRODUCT((P_ID=INDEX(L_ID,ROW()-4))*(P_StatusN="INACTIVE"))&gt;0,1,0))</f>
        <v/>
      </c>
    </row>
    <row r="294">
      <c r="A294">
        <f>IF(INDEX(L_ID,ROW()-4)="","",IF(COUNTIF(P_ID,INDEX(L_ID,ROW()-4))&gt;0,1,0))</f>
        <v/>
      </c>
      <c r="B294">
        <f>IF(INDEX(P_Type,ROW()-4)="","",TRIM(UPPER(INDEX(P_Type,ROW()-4))))</f>
        <v/>
      </c>
      <c r="D294">
        <f>IF(INDEX(L_Type,ROW()-4)="","",TRIM(UPPER(INDEX(L_Type,ROW()-4))))</f>
        <v/>
      </c>
      <c r="E294">
        <f>IF(INDEX(P_Status,ROW()-4)="","",TRIM(UPPER(INDEX(P_Status,ROW()-4))))</f>
        <v/>
      </c>
      <c r="G294">
        <f>IF(INDEX(L_Status,ROW()-4)="","",TRIM(UPPER(INDEX(L_Status,ROW()-4))))</f>
        <v/>
      </c>
      <c r="J294">
        <f>IF(INDEX(L_ID,ROW()-4)="","",IF(SUMPRODUCT((P_ID=INDEX(L_ID,ROW()-4))*(P_StatusN="INACTIVE"))&gt;0,1,0))</f>
        <v/>
      </c>
    </row>
    <row r="295">
      <c r="A295">
        <f>IF(INDEX(L_ID,ROW()-4)="","",IF(COUNTIF(P_ID,INDEX(L_ID,ROW()-4))&gt;0,1,0))</f>
        <v/>
      </c>
      <c r="B295">
        <f>IF(INDEX(P_Type,ROW()-4)="","",TRIM(UPPER(INDEX(P_Type,ROW()-4))))</f>
        <v/>
      </c>
      <c r="D295">
        <f>IF(INDEX(L_Type,ROW()-4)="","",TRIM(UPPER(INDEX(L_Type,ROW()-4))))</f>
        <v/>
      </c>
      <c r="E295">
        <f>IF(INDEX(P_Status,ROW()-4)="","",TRIM(UPPER(INDEX(P_Status,ROW()-4))))</f>
        <v/>
      </c>
      <c r="G295">
        <f>IF(INDEX(L_Status,ROW()-4)="","",TRIM(UPPER(INDEX(L_Status,ROW()-4))))</f>
        <v/>
      </c>
      <c r="J295">
        <f>IF(INDEX(L_ID,ROW()-4)="","",IF(SUMPRODUCT((P_ID=INDEX(L_ID,ROW()-4))*(P_StatusN="INACTIVE"))&gt;0,1,0))</f>
        <v/>
      </c>
    </row>
    <row r="296">
      <c r="A296">
        <f>IF(INDEX(L_ID,ROW()-4)="","",IF(COUNTIF(P_ID,INDEX(L_ID,ROW()-4))&gt;0,1,0))</f>
        <v/>
      </c>
      <c r="B296">
        <f>IF(INDEX(P_Type,ROW()-4)="","",TRIM(UPPER(INDEX(P_Type,ROW()-4))))</f>
        <v/>
      </c>
      <c r="D296">
        <f>IF(INDEX(L_Type,ROW()-4)="","",TRIM(UPPER(INDEX(L_Type,ROW()-4))))</f>
        <v/>
      </c>
      <c r="E296">
        <f>IF(INDEX(P_Status,ROW()-4)="","",TRIM(UPPER(INDEX(P_Status,ROW()-4))))</f>
        <v/>
      </c>
      <c r="G296">
        <f>IF(INDEX(L_Status,ROW()-4)="","",TRIM(UPPER(INDEX(L_Status,ROW()-4))))</f>
        <v/>
      </c>
      <c r="J296">
        <f>IF(INDEX(L_ID,ROW()-4)="","",IF(SUMPRODUCT((P_ID=INDEX(L_ID,ROW()-4))*(P_StatusN="INACTIVE"))&gt;0,1,0))</f>
        <v/>
      </c>
    </row>
    <row r="297">
      <c r="A297">
        <f>IF(INDEX(L_ID,ROW()-4)="","",IF(COUNTIF(P_ID,INDEX(L_ID,ROW()-4))&gt;0,1,0))</f>
        <v/>
      </c>
      <c r="B297">
        <f>IF(INDEX(P_Type,ROW()-4)="","",TRIM(UPPER(INDEX(P_Type,ROW()-4))))</f>
        <v/>
      </c>
      <c r="D297">
        <f>IF(INDEX(L_Type,ROW()-4)="","",TRIM(UPPER(INDEX(L_Type,ROW()-4))))</f>
        <v/>
      </c>
      <c r="E297">
        <f>IF(INDEX(P_Status,ROW()-4)="","",TRIM(UPPER(INDEX(P_Status,ROW()-4))))</f>
        <v/>
      </c>
      <c r="G297">
        <f>IF(INDEX(L_Status,ROW()-4)="","",TRIM(UPPER(INDEX(L_Status,ROW()-4))))</f>
        <v/>
      </c>
      <c r="J297">
        <f>IF(INDEX(L_ID,ROW()-4)="","",IF(SUMPRODUCT((P_ID=INDEX(L_ID,ROW()-4))*(P_StatusN="INACTIVE"))&gt;0,1,0))</f>
        <v/>
      </c>
    </row>
    <row r="298">
      <c r="A298">
        <f>IF(INDEX(L_ID,ROW()-4)="","",IF(COUNTIF(P_ID,INDEX(L_ID,ROW()-4))&gt;0,1,0))</f>
        <v/>
      </c>
      <c r="B298">
        <f>IF(INDEX(P_Type,ROW()-4)="","",TRIM(UPPER(INDEX(P_Type,ROW()-4))))</f>
        <v/>
      </c>
      <c r="D298">
        <f>IF(INDEX(L_Type,ROW()-4)="","",TRIM(UPPER(INDEX(L_Type,ROW()-4))))</f>
        <v/>
      </c>
      <c r="E298">
        <f>IF(INDEX(P_Status,ROW()-4)="","",TRIM(UPPER(INDEX(P_Status,ROW()-4))))</f>
        <v/>
      </c>
      <c r="G298">
        <f>IF(INDEX(L_Status,ROW()-4)="","",TRIM(UPPER(INDEX(L_Status,ROW()-4))))</f>
        <v/>
      </c>
      <c r="J298">
        <f>IF(INDEX(L_ID,ROW()-4)="","",IF(SUMPRODUCT((P_ID=INDEX(L_ID,ROW()-4))*(P_StatusN="INACTIVE"))&gt;0,1,0))</f>
        <v/>
      </c>
    </row>
    <row r="299">
      <c r="A299">
        <f>IF(INDEX(L_ID,ROW()-4)="","",IF(COUNTIF(P_ID,INDEX(L_ID,ROW()-4))&gt;0,1,0))</f>
        <v/>
      </c>
      <c r="B299">
        <f>IF(INDEX(P_Type,ROW()-4)="","",TRIM(UPPER(INDEX(P_Type,ROW()-4))))</f>
        <v/>
      </c>
      <c r="D299">
        <f>IF(INDEX(L_Type,ROW()-4)="","",TRIM(UPPER(INDEX(L_Type,ROW()-4))))</f>
        <v/>
      </c>
      <c r="E299">
        <f>IF(INDEX(P_Status,ROW()-4)="","",TRIM(UPPER(INDEX(P_Status,ROW()-4))))</f>
        <v/>
      </c>
      <c r="G299">
        <f>IF(INDEX(L_Status,ROW()-4)="","",TRIM(UPPER(INDEX(L_Status,ROW()-4))))</f>
        <v/>
      </c>
      <c r="J299">
        <f>IF(INDEX(L_ID,ROW()-4)="","",IF(SUMPRODUCT((P_ID=INDEX(L_ID,ROW()-4))*(P_StatusN="INACTIVE"))&gt;0,1,0))</f>
        <v/>
      </c>
    </row>
    <row r="300">
      <c r="A300">
        <f>IF(INDEX(L_ID,ROW()-4)="","",IF(COUNTIF(P_ID,INDEX(L_ID,ROW()-4))&gt;0,1,0))</f>
        <v/>
      </c>
      <c r="B300">
        <f>IF(INDEX(P_Type,ROW()-4)="","",TRIM(UPPER(INDEX(P_Type,ROW()-4))))</f>
        <v/>
      </c>
      <c r="D300">
        <f>IF(INDEX(L_Type,ROW()-4)="","",TRIM(UPPER(INDEX(L_Type,ROW()-4))))</f>
        <v/>
      </c>
      <c r="E300">
        <f>IF(INDEX(P_Status,ROW()-4)="","",TRIM(UPPER(INDEX(P_Status,ROW()-4))))</f>
        <v/>
      </c>
      <c r="G300">
        <f>IF(INDEX(L_Status,ROW()-4)="","",TRIM(UPPER(INDEX(L_Status,ROW()-4))))</f>
        <v/>
      </c>
      <c r="J300">
        <f>IF(INDEX(L_ID,ROW()-4)="","",IF(SUMPRODUCT((P_ID=INDEX(L_ID,ROW()-4))*(P_StatusN="INACTIVE"))&gt;0,1,0))</f>
        <v/>
      </c>
    </row>
    <row r="301">
      <c r="A301">
        <f>IF(INDEX(L_ID,ROW()-4)="","",IF(COUNTIF(P_ID,INDEX(L_ID,ROW()-4))&gt;0,1,0))</f>
        <v/>
      </c>
      <c r="B301">
        <f>IF(INDEX(P_Type,ROW()-4)="","",TRIM(UPPER(INDEX(P_Type,ROW()-4))))</f>
        <v/>
      </c>
      <c r="D301">
        <f>IF(INDEX(L_Type,ROW()-4)="","",TRIM(UPPER(INDEX(L_Type,ROW()-4))))</f>
        <v/>
      </c>
      <c r="E301">
        <f>IF(INDEX(P_Status,ROW()-4)="","",TRIM(UPPER(INDEX(P_Status,ROW()-4))))</f>
        <v/>
      </c>
      <c r="G301">
        <f>IF(INDEX(L_Status,ROW()-4)="","",TRIM(UPPER(INDEX(L_Status,ROW()-4))))</f>
        <v/>
      </c>
      <c r="J301">
        <f>IF(INDEX(L_ID,ROW()-4)="","",IF(SUMPRODUCT((P_ID=INDEX(L_ID,ROW()-4))*(P_StatusN="INACTIVE"))&gt;0,1,0))</f>
        <v/>
      </c>
    </row>
    <row r="302">
      <c r="A302">
        <f>IF(INDEX(L_ID,ROW()-4)="","",IF(COUNTIF(P_ID,INDEX(L_ID,ROW()-4))&gt;0,1,0))</f>
        <v/>
      </c>
      <c r="B302">
        <f>IF(INDEX(P_Type,ROW()-4)="","",TRIM(UPPER(INDEX(P_Type,ROW()-4))))</f>
        <v/>
      </c>
      <c r="D302">
        <f>IF(INDEX(L_Type,ROW()-4)="","",TRIM(UPPER(INDEX(L_Type,ROW()-4))))</f>
        <v/>
      </c>
      <c r="E302">
        <f>IF(INDEX(P_Status,ROW()-4)="","",TRIM(UPPER(INDEX(P_Status,ROW()-4))))</f>
        <v/>
      </c>
      <c r="G302">
        <f>IF(INDEX(L_Status,ROW()-4)="","",TRIM(UPPER(INDEX(L_Status,ROW()-4))))</f>
        <v/>
      </c>
      <c r="J302">
        <f>IF(INDEX(L_ID,ROW()-4)="","",IF(SUMPRODUCT((P_ID=INDEX(L_ID,ROW()-4))*(P_StatusN="INACTIVE"))&gt;0,1,0))</f>
        <v/>
      </c>
    </row>
    <row r="303">
      <c r="A303">
        <f>IF(INDEX(L_ID,ROW()-4)="","",IF(COUNTIF(P_ID,INDEX(L_ID,ROW()-4))&gt;0,1,0))</f>
        <v/>
      </c>
      <c r="B303">
        <f>IF(INDEX(P_Type,ROW()-4)="","",TRIM(UPPER(INDEX(P_Type,ROW()-4))))</f>
        <v/>
      </c>
      <c r="D303">
        <f>IF(INDEX(L_Type,ROW()-4)="","",TRIM(UPPER(INDEX(L_Type,ROW()-4))))</f>
        <v/>
      </c>
      <c r="E303">
        <f>IF(INDEX(P_Status,ROW()-4)="","",TRIM(UPPER(INDEX(P_Status,ROW()-4))))</f>
        <v/>
      </c>
      <c r="G303">
        <f>IF(INDEX(L_Status,ROW()-4)="","",TRIM(UPPER(INDEX(L_Status,ROW()-4))))</f>
        <v/>
      </c>
      <c r="J303">
        <f>IF(INDEX(L_ID,ROW()-4)="","",IF(SUMPRODUCT((P_ID=INDEX(L_ID,ROW()-4))*(P_StatusN="INACTIVE"))&gt;0,1,0))</f>
        <v/>
      </c>
    </row>
    <row r="304">
      <c r="A304">
        <f>IF(INDEX(L_ID,ROW()-4)="","",IF(COUNTIF(P_ID,INDEX(L_ID,ROW()-4))&gt;0,1,0))</f>
        <v/>
      </c>
      <c r="B304">
        <f>IF(INDEX(P_Type,ROW()-4)="","",TRIM(UPPER(INDEX(P_Type,ROW()-4))))</f>
        <v/>
      </c>
      <c r="D304">
        <f>IF(INDEX(L_Type,ROW()-4)="","",TRIM(UPPER(INDEX(L_Type,ROW()-4))))</f>
        <v/>
      </c>
      <c r="E304">
        <f>IF(INDEX(P_Status,ROW()-4)="","",TRIM(UPPER(INDEX(P_Status,ROW()-4))))</f>
        <v/>
      </c>
      <c r="G304">
        <f>IF(INDEX(L_Status,ROW()-4)="","",TRIM(UPPER(INDEX(L_Status,ROW()-4))))</f>
        <v/>
      </c>
      <c r="J304">
        <f>IF(INDEX(L_ID,ROW()-4)="","",IF(SUMPRODUCT((P_ID=INDEX(L_ID,ROW()-4))*(P_StatusN="INACTIVE"))&gt;0,1,0))</f>
        <v/>
      </c>
    </row>
    <row r="305">
      <c r="A305">
        <f>IF(INDEX(L_ID,ROW()-4)="","",IF(COUNTIF(P_ID,INDEX(L_ID,ROW()-4))&gt;0,1,0))</f>
        <v/>
      </c>
      <c r="B305">
        <f>IF(INDEX(P_Type,ROW()-4)="","",TRIM(UPPER(INDEX(P_Type,ROW()-4))))</f>
        <v/>
      </c>
      <c r="D305">
        <f>IF(INDEX(L_Type,ROW()-4)="","",TRIM(UPPER(INDEX(L_Type,ROW()-4))))</f>
        <v/>
      </c>
      <c r="E305">
        <f>IF(INDEX(P_Status,ROW()-4)="","",TRIM(UPPER(INDEX(P_Status,ROW()-4))))</f>
        <v/>
      </c>
      <c r="G305">
        <f>IF(INDEX(L_Status,ROW()-4)="","",TRIM(UPPER(INDEX(L_Status,ROW()-4))))</f>
        <v/>
      </c>
      <c r="J305">
        <f>IF(INDEX(L_ID,ROW()-4)="","",IF(SUMPRODUCT((P_ID=INDEX(L_ID,ROW()-4))*(P_StatusN="INACTIVE"))&gt;0,1,0))</f>
        <v/>
      </c>
    </row>
    <row r="306">
      <c r="A306">
        <f>IF(INDEX(L_ID,ROW()-4)="","",IF(COUNTIF(P_ID,INDEX(L_ID,ROW()-4))&gt;0,1,0))</f>
        <v/>
      </c>
      <c r="B306">
        <f>IF(INDEX(P_Type,ROW()-4)="","",TRIM(UPPER(INDEX(P_Type,ROW()-4))))</f>
        <v/>
      </c>
      <c r="D306">
        <f>IF(INDEX(L_Type,ROW()-4)="","",TRIM(UPPER(INDEX(L_Type,ROW()-4))))</f>
        <v/>
      </c>
      <c r="E306">
        <f>IF(INDEX(P_Status,ROW()-4)="","",TRIM(UPPER(INDEX(P_Status,ROW()-4))))</f>
        <v/>
      </c>
      <c r="G306">
        <f>IF(INDEX(L_Status,ROW()-4)="","",TRIM(UPPER(INDEX(L_Status,ROW()-4))))</f>
        <v/>
      </c>
      <c r="J306">
        <f>IF(INDEX(L_ID,ROW()-4)="","",IF(SUMPRODUCT((P_ID=INDEX(L_ID,ROW()-4))*(P_StatusN="INACTIVE"))&gt;0,1,0))</f>
        <v/>
      </c>
    </row>
    <row r="307">
      <c r="A307">
        <f>IF(INDEX(L_ID,ROW()-4)="","",IF(COUNTIF(P_ID,INDEX(L_ID,ROW()-4))&gt;0,1,0))</f>
        <v/>
      </c>
      <c r="B307">
        <f>IF(INDEX(P_Type,ROW()-4)="","",TRIM(UPPER(INDEX(P_Type,ROW()-4))))</f>
        <v/>
      </c>
      <c r="D307">
        <f>IF(INDEX(L_Type,ROW()-4)="","",TRIM(UPPER(INDEX(L_Type,ROW()-4))))</f>
        <v/>
      </c>
      <c r="E307">
        <f>IF(INDEX(P_Status,ROW()-4)="","",TRIM(UPPER(INDEX(P_Status,ROW()-4))))</f>
        <v/>
      </c>
      <c r="G307">
        <f>IF(INDEX(L_Status,ROW()-4)="","",TRIM(UPPER(INDEX(L_Status,ROW()-4))))</f>
        <v/>
      </c>
      <c r="J307">
        <f>IF(INDEX(L_ID,ROW()-4)="","",IF(SUMPRODUCT((P_ID=INDEX(L_ID,ROW()-4))*(P_StatusN="INACTIVE"))&gt;0,1,0))</f>
        <v/>
      </c>
    </row>
    <row r="308">
      <c r="A308">
        <f>IF(INDEX(L_ID,ROW()-4)="","",IF(COUNTIF(P_ID,INDEX(L_ID,ROW()-4))&gt;0,1,0))</f>
        <v/>
      </c>
      <c r="B308">
        <f>IF(INDEX(P_Type,ROW()-4)="","",TRIM(UPPER(INDEX(P_Type,ROW()-4))))</f>
        <v/>
      </c>
      <c r="D308">
        <f>IF(INDEX(L_Type,ROW()-4)="","",TRIM(UPPER(INDEX(L_Type,ROW()-4))))</f>
        <v/>
      </c>
      <c r="E308">
        <f>IF(INDEX(P_Status,ROW()-4)="","",TRIM(UPPER(INDEX(P_Status,ROW()-4))))</f>
        <v/>
      </c>
      <c r="G308">
        <f>IF(INDEX(L_Status,ROW()-4)="","",TRIM(UPPER(INDEX(L_Status,ROW()-4))))</f>
        <v/>
      </c>
      <c r="J308">
        <f>IF(INDEX(L_ID,ROW()-4)="","",IF(SUMPRODUCT((P_ID=INDEX(L_ID,ROW()-4))*(P_StatusN="INACTIVE"))&gt;0,1,0))</f>
        <v/>
      </c>
    </row>
    <row r="309">
      <c r="A309">
        <f>IF(INDEX(L_ID,ROW()-4)="","",IF(COUNTIF(P_ID,INDEX(L_ID,ROW()-4))&gt;0,1,0))</f>
        <v/>
      </c>
      <c r="B309">
        <f>IF(INDEX(P_Type,ROW()-4)="","",TRIM(UPPER(INDEX(P_Type,ROW()-4))))</f>
        <v/>
      </c>
      <c r="D309">
        <f>IF(INDEX(L_Type,ROW()-4)="","",TRIM(UPPER(INDEX(L_Type,ROW()-4))))</f>
        <v/>
      </c>
      <c r="E309">
        <f>IF(INDEX(P_Status,ROW()-4)="","",TRIM(UPPER(INDEX(P_Status,ROW()-4))))</f>
        <v/>
      </c>
      <c r="G309">
        <f>IF(INDEX(L_Status,ROW()-4)="","",TRIM(UPPER(INDEX(L_Status,ROW()-4))))</f>
        <v/>
      </c>
      <c r="J309">
        <f>IF(INDEX(L_ID,ROW()-4)="","",IF(SUMPRODUCT((P_ID=INDEX(L_ID,ROW()-4))*(P_StatusN="INACTIVE"))&gt;0,1,0))</f>
        <v/>
      </c>
    </row>
    <row r="310">
      <c r="A310">
        <f>IF(INDEX(L_ID,ROW()-4)="","",IF(COUNTIF(P_ID,INDEX(L_ID,ROW()-4))&gt;0,1,0))</f>
        <v/>
      </c>
      <c r="B310">
        <f>IF(INDEX(P_Type,ROW()-4)="","",TRIM(UPPER(INDEX(P_Type,ROW()-4))))</f>
        <v/>
      </c>
      <c r="D310">
        <f>IF(INDEX(L_Type,ROW()-4)="","",TRIM(UPPER(INDEX(L_Type,ROW()-4))))</f>
        <v/>
      </c>
      <c r="E310">
        <f>IF(INDEX(P_Status,ROW()-4)="","",TRIM(UPPER(INDEX(P_Status,ROW()-4))))</f>
        <v/>
      </c>
      <c r="G310">
        <f>IF(INDEX(L_Status,ROW()-4)="","",TRIM(UPPER(INDEX(L_Status,ROW()-4))))</f>
        <v/>
      </c>
      <c r="J310">
        <f>IF(INDEX(L_ID,ROW()-4)="","",IF(SUMPRODUCT((P_ID=INDEX(L_ID,ROW()-4))*(P_StatusN="INACTIVE"))&gt;0,1,0))</f>
        <v/>
      </c>
    </row>
    <row r="311">
      <c r="A311">
        <f>IF(INDEX(L_ID,ROW()-4)="","",IF(COUNTIF(P_ID,INDEX(L_ID,ROW()-4))&gt;0,1,0))</f>
        <v/>
      </c>
      <c r="B311">
        <f>IF(INDEX(P_Type,ROW()-4)="","",TRIM(UPPER(INDEX(P_Type,ROW()-4))))</f>
        <v/>
      </c>
      <c r="D311">
        <f>IF(INDEX(L_Type,ROW()-4)="","",TRIM(UPPER(INDEX(L_Type,ROW()-4))))</f>
        <v/>
      </c>
      <c r="E311">
        <f>IF(INDEX(P_Status,ROW()-4)="","",TRIM(UPPER(INDEX(P_Status,ROW()-4))))</f>
        <v/>
      </c>
      <c r="G311">
        <f>IF(INDEX(L_Status,ROW()-4)="","",TRIM(UPPER(INDEX(L_Status,ROW()-4))))</f>
        <v/>
      </c>
      <c r="J311">
        <f>IF(INDEX(L_ID,ROW()-4)="","",IF(SUMPRODUCT((P_ID=INDEX(L_ID,ROW()-4))*(P_StatusN="INACTIVE"))&gt;0,1,0))</f>
        <v/>
      </c>
    </row>
    <row r="312">
      <c r="A312">
        <f>IF(INDEX(L_ID,ROW()-4)="","",IF(COUNTIF(P_ID,INDEX(L_ID,ROW()-4))&gt;0,1,0))</f>
        <v/>
      </c>
      <c r="B312">
        <f>IF(INDEX(P_Type,ROW()-4)="","",TRIM(UPPER(INDEX(P_Type,ROW()-4))))</f>
        <v/>
      </c>
      <c r="D312">
        <f>IF(INDEX(L_Type,ROW()-4)="","",TRIM(UPPER(INDEX(L_Type,ROW()-4))))</f>
        <v/>
      </c>
      <c r="E312">
        <f>IF(INDEX(P_Status,ROW()-4)="","",TRIM(UPPER(INDEX(P_Status,ROW()-4))))</f>
        <v/>
      </c>
      <c r="G312">
        <f>IF(INDEX(L_Status,ROW()-4)="","",TRIM(UPPER(INDEX(L_Status,ROW()-4))))</f>
        <v/>
      </c>
      <c r="J312">
        <f>IF(INDEX(L_ID,ROW()-4)="","",IF(SUMPRODUCT((P_ID=INDEX(L_ID,ROW()-4))*(P_StatusN="INACTIVE"))&gt;0,1,0))</f>
        <v/>
      </c>
    </row>
    <row r="313">
      <c r="A313">
        <f>IF(INDEX(L_ID,ROW()-4)="","",IF(COUNTIF(P_ID,INDEX(L_ID,ROW()-4))&gt;0,1,0))</f>
        <v/>
      </c>
      <c r="B313">
        <f>IF(INDEX(P_Type,ROW()-4)="","",TRIM(UPPER(INDEX(P_Type,ROW()-4))))</f>
        <v/>
      </c>
      <c r="D313">
        <f>IF(INDEX(L_Type,ROW()-4)="","",TRIM(UPPER(INDEX(L_Type,ROW()-4))))</f>
        <v/>
      </c>
      <c r="E313">
        <f>IF(INDEX(P_Status,ROW()-4)="","",TRIM(UPPER(INDEX(P_Status,ROW()-4))))</f>
        <v/>
      </c>
      <c r="G313">
        <f>IF(INDEX(L_Status,ROW()-4)="","",TRIM(UPPER(INDEX(L_Status,ROW()-4))))</f>
        <v/>
      </c>
      <c r="J313">
        <f>IF(INDEX(L_ID,ROW()-4)="","",IF(SUMPRODUCT((P_ID=INDEX(L_ID,ROW()-4))*(P_StatusN="INACTIVE"))&gt;0,1,0))</f>
        <v/>
      </c>
    </row>
    <row r="314">
      <c r="A314">
        <f>IF(INDEX(L_ID,ROW()-4)="","",IF(COUNTIF(P_ID,INDEX(L_ID,ROW()-4))&gt;0,1,0))</f>
        <v/>
      </c>
      <c r="B314">
        <f>IF(INDEX(P_Type,ROW()-4)="","",TRIM(UPPER(INDEX(P_Type,ROW()-4))))</f>
        <v/>
      </c>
      <c r="D314">
        <f>IF(INDEX(L_Type,ROW()-4)="","",TRIM(UPPER(INDEX(L_Type,ROW()-4))))</f>
        <v/>
      </c>
      <c r="E314">
        <f>IF(INDEX(P_Status,ROW()-4)="","",TRIM(UPPER(INDEX(P_Status,ROW()-4))))</f>
        <v/>
      </c>
      <c r="G314">
        <f>IF(INDEX(L_Status,ROW()-4)="","",TRIM(UPPER(INDEX(L_Status,ROW()-4))))</f>
        <v/>
      </c>
      <c r="J314">
        <f>IF(INDEX(L_ID,ROW()-4)="","",IF(SUMPRODUCT((P_ID=INDEX(L_ID,ROW()-4))*(P_StatusN="INACTIVE"))&gt;0,1,0))</f>
        <v/>
      </c>
    </row>
    <row r="315">
      <c r="A315">
        <f>IF(INDEX(L_ID,ROW()-4)="","",IF(COUNTIF(P_ID,INDEX(L_ID,ROW()-4))&gt;0,1,0))</f>
        <v/>
      </c>
      <c r="B315">
        <f>IF(INDEX(P_Type,ROW()-4)="","",TRIM(UPPER(INDEX(P_Type,ROW()-4))))</f>
        <v/>
      </c>
      <c r="D315">
        <f>IF(INDEX(L_Type,ROW()-4)="","",TRIM(UPPER(INDEX(L_Type,ROW()-4))))</f>
        <v/>
      </c>
      <c r="E315">
        <f>IF(INDEX(P_Status,ROW()-4)="","",TRIM(UPPER(INDEX(P_Status,ROW()-4))))</f>
        <v/>
      </c>
      <c r="G315">
        <f>IF(INDEX(L_Status,ROW()-4)="","",TRIM(UPPER(INDEX(L_Status,ROW()-4))))</f>
        <v/>
      </c>
      <c r="J315">
        <f>IF(INDEX(L_ID,ROW()-4)="","",IF(SUMPRODUCT((P_ID=INDEX(L_ID,ROW()-4))*(P_StatusN="INACTIVE"))&gt;0,1,0))</f>
        <v/>
      </c>
    </row>
    <row r="316">
      <c r="A316">
        <f>IF(INDEX(L_ID,ROW()-4)="","",IF(COUNTIF(P_ID,INDEX(L_ID,ROW()-4))&gt;0,1,0))</f>
        <v/>
      </c>
      <c r="B316">
        <f>IF(INDEX(P_Type,ROW()-4)="","",TRIM(UPPER(INDEX(P_Type,ROW()-4))))</f>
        <v/>
      </c>
      <c r="D316">
        <f>IF(INDEX(L_Type,ROW()-4)="","",TRIM(UPPER(INDEX(L_Type,ROW()-4))))</f>
        <v/>
      </c>
      <c r="E316">
        <f>IF(INDEX(P_Status,ROW()-4)="","",TRIM(UPPER(INDEX(P_Status,ROW()-4))))</f>
        <v/>
      </c>
      <c r="G316">
        <f>IF(INDEX(L_Status,ROW()-4)="","",TRIM(UPPER(INDEX(L_Status,ROW()-4))))</f>
        <v/>
      </c>
      <c r="J316">
        <f>IF(INDEX(L_ID,ROW()-4)="","",IF(SUMPRODUCT((P_ID=INDEX(L_ID,ROW()-4))*(P_StatusN="INACTIVE"))&gt;0,1,0))</f>
        <v/>
      </c>
    </row>
    <row r="317">
      <c r="A317">
        <f>IF(INDEX(L_ID,ROW()-4)="","",IF(COUNTIF(P_ID,INDEX(L_ID,ROW()-4))&gt;0,1,0))</f>
        <v/>
      </c>
      <c r="B317">
        <f>IF(INDEX(P_Type,ROW()-4)="","",TRIM(UPPER(INDEX(P_Type,ROW()-4))))</f>
        <v/>
      </c>
      <c r="D317">
        <f>IF(INDEX(L_Type,ROW()-4)="","",TRIM(UPPER(INDEX(L_Type,ROW()-4))))</f>
        <v/>
      </c>
      <c r="E317">
        <f>IF(INDEX(P_Status,ROW()-4)="","",TRIM(UPPER(INDEX(P_Status,ROW()-4))))</f>
        <v/>
      </c>
      <c r="G317">
        <f>IF(INDEX(L_Status,ROW()-4)="","",TRIM(UPPER(INDEX(L_Status,ROW()-4))))</f>
        <v/>
      </c>
      <c r="J317">
        <f>IF(INDEX(L_ID,ROW()-4)="","",IF(SUMPRODUCT((P_ID=INDEX(L_ID,ROW()-4))*(P_StatusN="INACTIVE"))&gt;0,1,0))</f>
        <v/>
      </c>
    </row>
    <row r="318">
      <c r="A318">
        <f>IF(INDEX(L_ID,ROW()-4)="","",IF(COUNTIF(P_ID,INDEX(L_ID,ROW()-4))&gt;0,1,0))</f>
        <v/>
      </c>
      <c r="B318">
        <f>IF(INDEX(P_Type,ROW()-4)="","",TRIM(UPPER(INDEX(P_Type,ROW()-4))))</f>
        <v/>
      </c>
      <c r="D318">
        <f>IF(INDEX(L_Type,ROW()-4)="","",TRIM(UPPER(INDEX(L_Type,ROW()-4))))</f>
        <v/>
      </c>
      <c r="E318">
        <f>IF(INDEX(P_Status,ROW()-4)="","",TRIM(UPPER(INDEX(P_Status,ROW()-4))))</f>
        <v/>
      </c>
      <c r="G318">
        <f>IF(INDEX(L_Status,ROW()-4)="","",TRIM(UPPER(INDEX(L_Status,ROW()-4))))</f>
        <v/>
      </c>
      <c r="J318">
        <f>IF(INDEX(L_ID,ROW()-4)="","",IF(SUMPRODUCT((P_ID=INDEX(L_ID,ROW()-4))*(P_StatusN="INACTIVE"))&gt;0,1,0))</f>
        <v/>
      </c>
    </row>
    <row r="319">
      <c r="A319">
        <f>IF(INDEX(L_ID,ROW()-4)="","",IF(COUNTIF(P_ID,INDEX(L_ID,ROW()-4))&gt;0,1,0))</f>
        <v/>
      </c>
      <c r="B319">
        <f>IF(INDEX(P_Type,ROW()-4)="","",TRIM(UPPER(INDEX(P_Type,ROW()-4))))</f>
        <v/>
      </c>
      <c r="D319">
        <f>IF(INDEX(L_Type,ROW()-4)="","",TRIM(UPPER(INDEX(L_Type,ROW()-4))))</f>
        <v/>
      </c>
      <c r="E319">
        <f>IF(INDEX(P_Status,ROW()-4)="","",TRIM(UPPER(INDEX(P_Status,ROW()-4))))</f>
        <v/>
      </c>
      <c r="G319">
        <f>IF(INDEX(L_Status,ROW()-4)="","",TRIM(UPPER(INDEX(L_Status,ROW()-4))))</f>
        <v/>
      </c>
      <c r="J319">
        <f>IF(INDEX(L_ID,ROW()-4)="","",IF(SUMPRODUCT((P_ID=INDEX(L_ID,ROW()-4))*(P_StatusN="INACTIVE"))&gt;0,1,0))</f>
        <v/>
      </c>
    </row>
    <row r="320">
      <c r="A320">
        <f>IF(INDEX(L_ID,ROW()-4)="","",IF(COUNTIF(P_ID,INDEX(L_ID,ROW()-4))&gt;0,1,0))</f>
        <v/>
      </c>
      <c r="B320">
        <f>IF(INDEX(P_Type,ROW()-4)="","",TRIM(UPPER(INDEX(P_Type,ROW()-4))))</f>
        <v/>
      </c>
      <c r="D320">
        <f>IF(INDEX(L_Type,ROW()-4)="","",TRIM(UPPER(INDEX(L_Type,ROW()-4))))</f>
        <v/>
      </c>
      <c r="E320">
        <f>IF(INDEX(P_Status,ROW()-4)="","",TRIM(UPPER(INDEX(P_Status,ROW()-4))))</f>
        <v/>
      </c>
      <c r="G320">
        <f>IF(INDEX(L_Status,ROW()-4)="","",TRIM(UPPER(INDEX(L_Status,ROW()-4))))</f>
        <v/>
      </c>
      <c r="J320">
        <f>IF(INDEX(L_ID,ROW()-4)="","",IF(SUMPRODUCT((P_ID=INDEX(L_ID,ROW()-4))*(P_StatusN="INACTIVE"))&gt;0,1,0))</f>
        <v/>
      </c>
    </row>
    <row r="321">
      <c r="A321">
        <f>IF(INDEX(L_ID,ROW()-4)="","",IF(COUNTIF(P_ID,INDEX(L_ID,ROW()-4))&gt;0,1,0))</f>
        <v/>
      </c>
      <c r="B321">
        <f>IF(INDEX(P_Type,ROW()-4)="","",TRIM(UPPER(INDEX(P_Type,ROW()-4))))</f>
        <v/>
      </c>
      <c r="D321">
        <f>IF(INDEX(L_Type,ROW()-4)="","",TRIM(UPPER(INDEX(L_Type,ROW()-4))))</f>
        <v/>
      </c>
      <c r="E321">
        <f>IF(INDEX(P_Status,ROW()-4)="","",TRIM(UPPER(INDEX(P_Status,ROW()-4))))</f>
        <v/>
      </c>
      <c r="G321">
        <f>IF(INDEX(L_Status,ROW()-4)="","",TRIM(UPPER(INDEX(L_Status,ROW()-4))))</f>
        <v/>
      </c>
      <c r="J321">
        <f>IF(INDEX(L_ID,ROW()-4)="","",IF(SUMPRODUCT((P_ID=INDEX(L_ID,ROW()-4))*(P_StatusN="INACTIVE"))&gt;0,1,0))</f>
        <v/>
      </c>
    </row>
    <row r="322">
      <c r="A322">
        <f>IF(INDEX(L_ID,ROW()-4)="","",IF(COUNTIF(P_ID,INDEX(L_ID,ROW()-4))&gt;0,1,0))</f>
        <v/>
      </c>
      <c r="B322">
        <f>IF(INDEX(P_Type,ROW()-4)="","",TRIM(UPPER(INDEX(P_Type,ROW()-4))))</f>
        <v/>
      </c>
      <c r="D322">
        <f>IF(INDEX(L_Type,ROW()-4)="","",TRIM(UPPER(INDEX(L_Type,ROW()-4))))</f>
        <v/>
      </c>
      <c r="E322">
        <f>IF(INDEX(P_Status,ROW()-4)="","",TRIM(UPPER(INDEX(P_Status,ROW()-4))))</f>
        <v/>
      </c>
      <c r="G322">
        <f>IF(INDEX(L_Status,ROW()-4)="","",TRIM(UPPER(INDEX(L_Status,ROW()-4))))</f>
        <v/>
      </c>
      <c r="J322">
        <f>IF(INDEX(L_ID,ROW()-4)="","",IF(SUMPRODUCT((P_ID=INDEX(L_ID,ROW()-4))*(P_StatusN="INACTIVE"))&gt;0,1,0))</f>
        <v/>
      </c>
    </row>
    <row r="323">
      <c r="A323">
        <f>IF(INDEX(L_ID,ROW()-4)="","",IF(COUNTIF(P_ID,INDEX(L_ID,ROW()-4))&gt;0,1,0))</f>
        <v/>
      </c>
      <c r="B323">
        <f>IF(INDEX(P_Type,ROW()-4)="","",TRIM(UPPER(INDEX(P_Type,ROW()-4))))</f>
        <v/>
      </c>
      <c r="D323">
        <f>IF(INDEX(L_Type,ROW()-4)="","",TRIM(UPPER(INDEX(L_Type,ROW()-4))))</f>
        <v/>
      </c>
      <c r="E323">
        <f>IF(INDEX(P_Status,ROW()-4)="","",TRIM(UPPER(INDEX(P_Status,ROW()-4))))</f>
        <v/>
      </c>
      <c r="G323">
        <f>IF(INDEX(L_Status,ROW()-4)="","",TRIM(UPPER(INDEX(L_Status,ROW()-4))))</f>
        <v/>
      </c>
      <c r="J323">
        <f>IF(INDEX(L_ID,ROW()-4)="","",IF(SUMPRODUCT((P_ID=INDEX(L_ID,ROW()-4))*(P_StatusN="INACTIVE"))&gt;0,1,0))</f>
        <v/>
      </c>
    </row>
    <row r="324">
      <c r="A324">
        <f>IF(INDEX(L_ID,ROW()-4)="","",IF(COUNTIF(P_ID,INDEX(L_ID,ROW()-4))&gt;0,1,0))</f>
        <v/>
      </c>
      <c r="B324">
        <f>IF(INDEX(P_Type,ROW()-4)="","",TRIM(UPPER(INDEX(P_Type,ROW()-4))))</f>
        <v/>
      </c>
      <c r="D324">
        <f>IF(INDEX(L_Type,ROW()-4)="","",TRIM(UPPER(INDEX(L_Type,ROW()-4))))</f>
        <v/>
      </c>
      <c r="E324">
        <f>IF(INDEX(P_Status,ROW()-4)="","",TRIM(UPPER(INDEX(P_Status,ROW()-4))))</f>
        <v/>
      </c>
      <c r="G324">
        <f>IF(INDEX(L_Status,ROW()-4)="","",TRIM(UPPER(INDEX(L_Status,ROW()-4))))</f>
        <v/>
      </c>
      <c r="J324">
        <f>IF(INDEX(L_ID,ROW()-4)="","",IF(SUMPRODUCT((P_ID=INDEX(L_ID,ROW()-4))*(P_StatusN="INACTIVE"))&gt;0,1,0))</f>
        <v/>
      </c>
    </row>
    <row r="325">
      <c r="A325">
        <f>IF(INDEX(L_ID,ROW()-4)="","",IF(COUNTIF(P_ID,INDEX(L_ID,ROW()-4))&gt;0,1,0))</f>
        <v/>
      </c>
      <c r="B325">
        <f>IF(INDEX(P_Type,ROW()-4)="","",TRIM(UPPER(INDEX(P_Type,ROW()-4))))</f>
        <v/>
      </c>
      <c r="D325">
        <f>IF(INDEX(L_Type,ROW()-4)="","",TRIM(UPPER(INDEX(L_Type,ROW()-4))))</f>
        <v/>
      </c>
      <c r="E325">
        <f>IF(INDEX(P_Status,ROW()-4)="","",TRIM(UPPER(INDEX(P_Status,ROW()-4))))</f>
        <v/>
      </c>
      <c r="G325">
        <f>IF(INDEX(L_Status,ROW()-4)="","",TRIM(UPPER(INDEX(L_Status,ROW()-4))))</f>
        <v/>
      </c>
      <c r="J325">
        <f>IF(INDEX(L_ID,ROW()-4)="","",IF(SUMPRODUCT((P_ID=INDEX(L_ID,ROW()-4))*(P_StatusN="INACTIVE"))&gt;0,1,0))</f>
        <v/>
      </c>
    </row>
    <row r="326">
      <c r="A326">
        <f>IF(INDEX(L_ID,ROW()-4)="","",IF(COUNTIF(P_ID,INDEX(L_ID,ROW()-4))&gt;0,1,0))</f>
        <v/>
      </c>
      <c r="B326">
        <f>IF(INDEX(P_Type,ROW()-4)="","",TRIM(UPPER(INDEX(P_Type,ROW()-4))))</f>
        <v/>
      </c>
      <c r="D326">
        <f>IF(INDEX(L_Type,ROW()-4)="","",TRIM(UPPER(INDEX(L_Type,ROW()-4))))</f>
        <v/>
      </c>
      <c r="E326">
        <f>IF(INDEX(P_Status,ROW()-4)="","",TRIM(UPPER(INDEX(P_Status,ROW()-4))))</f>
        <v/>
      </c>
      <c r="G326">
        <f>IF(INDEX(L_Status,ROW()-4)="","",TRIM(UPPER(INDEX(L_Status,ROW()-4))))</f>
        <v/>
      </c>
      <c r="J326">
        <f>IF(INDEX(L_ID,ROW()-4)="","",IF(SUMPRODUCT((P_ID=INDEX(L_ID,ROW()-4))*(P_StatusN="INACTIVE"))&gt;0,1,0))</f>
        <v/>
      </c>
    </row>
    <row r="327">
      <c r="A327">
        <f>IF(INDEX(L_ID,ROW()-4)="","",IF(COUNTIF(P_ID,INDEX(L_ID,ROW()-4))&gt;0,1,0))</f>
        <v/>
      </c>
      <c r="B327">
        <f>IF(INDEX(P_Type,ROW()-4)="","",TRIM(UPPER(INDEX(P_Type,ROW()-4))))</f>
        <v/>
      </c>
      <c r="D327">
        <f>IF(INDEX(L_Type,ROW()-4)="","",TRIM(UPPER(INDEX(L_Type,ROW()-4))))</f>
        <v/>
      </c>
      <c r="E327">
        <f>IF(INDEX(P_Status,ROW()-4)="","",TRIM(UPPER(INDEX(P_Status,ROW()-4))))</f>
        <v/>
      </c>
      <c r="G327">
        <f>IF(INDEX(L_Status,ROW()-4)="","",TRIM(UPPER(INDEX(L_Status,ROW()-4))))</f>
        <v/>
      </c>
      <c r="J327">
        <f>IF(INDEX(L_ID,ROW()-4)="","",IF(SUMPRODUCT((P_ID=INDEX(L_ID,ROW()-4))*(P_StatusN="INACTIVE"))&gt;0,1,0))</f>
        <v/>
      </c>
    </row>
    <row r="328">
      <c r="A328">
        <f>IF(INDEX(L_ID,ROW()-4)="","",IF(COUNTIF(P_ID,INDEX(L_ID,ROW()-4))&gt;0,1,0))</f>
        <v/>
      </c>
      <c r="B328">
        <f>IF(INDEX(P_Type,ROW()-4)="","",TRIM(UPPER(INDEX(P_Type,ROW()-4))))</f>
        <v/>
      </c>
      <c r="D328">
        <f>IF(INDEX(L_Type,ROW()-4)="","",TRIM(UPPER(INDEX(L_Type,ROW()-4))))</f>
        <v/>
      </c>
      <c r="E328">
        <f>IF(INDEX(P_Status,ROW()-4)="","",TRIM(UPPER(INDEX(P_Status,ROW()-4))))</f>
        <v/>
      </c>
      <c r="G328">
        <f>IF(INDEX(L_Status,ROW()-4)="","",TRIM(UPPER(INDEX(L_Status,ROW()-4))))</f>
        <v/>
      </c>
      <c r="J328">
        <f>IF(INDEX(L_ID,ROW()-4)="","",IF(SUMPRODUCT((P_ID=INDEX(L_ID,ROW()-4))*(P_StatusN="INACTIVE"))&gt;0,1,0))</f>
        <v/>
      </c>
    </row>
    <row r="329">
      <c r="A329">
        <f>IF(INDEX(L_ID,ROW()-4)="","",IF(COUNTIF(P_ID,INDEX(L_ID,ROW()-4))&gt;0,1,0))</f>
        <v/>
      </c>
      <c r="B329">
        <f>IF(INDEX(P_Type,ROW()-4)="","",TRIM(UPPER(INDEX(P_Type,ROW()-4))))</f>
        <v/>
      </c>
      <c r="D329">
        <f>IF(INDEX(L_Type,ROW()-4)="","",TRIM(UPPER(INDEX(L_Type,ROW()-4))))</f>
        <v/>
      </c>
      <c r="E329">
        <f>IF(INDEX(P_Status,ROW()-4)="","",TRIM(UPPER(INDEX(P_Status,ROW()-4))))</f>
        <v/>
      </c>
      <c r="G329">
        <f>IF(INDEX(L_Status,ROW()-4)="","",TRIM(UPPER(INDEX(L_Status,ROW()-4))))</f>
        <v/>
      </c>
      <c r="J329">
        <f>IF(INDEX(L_ID,ROW()-4)="","",IF(SUMPRODUCT((P_ID=INDEX(L_ID,ROW()-4))*(P_StatusN="INACTIVE"))&gt;0,1,0))</f>
        <v/>
      </c>
    </row>
    <row r="330">
      <c r="A330">
        <f>IF(INDEX(L_ID,ROW()-4)="","",IF(COUNTIF(P_ID,INDEX(L_ID,ROW()-4))&gt;0,1,0))</f>
        <v/>
      </c>
      <c r="B330">
        <f>IF(INDEX(P_Type,ROW()-4)="","",TRIM(UPPER(INDEX(P_Type,ROW()-4))))</f>
        <v/>
      </c>
      <c r="D330">
        <f>IF(INDEX(L_Type,ROW()-4)="","",TRIM(UPPER(INDEX(L_Type,ROW()-4))))</f>
        <v/>
      </c>
      <c r="E330">
        <f>IF(INDEX(P_Status,ROW()-4)="","",TRIM(UPPER(INDEX(P_Status,ROW()-4))))</f>
        <v/>
      </c>
      <c r="G330">
        <f>IF(INDEX(L_Status,ROW()-4)="","",TRIM(UPPER(INDEX(L_Status,ROW()-4))))</f>
        <v/>
      </c>
      <c r="J330">
        <f>IF(INDEX(L_ID,ROW()-4)="","",IF(SUMPRODUCT((P_ID=INDEX(L_ID,ROW()-4))*(P_StatusN="INACTIVE"))&gt;0,1,0))</f>
        <v/>
      </c>
    </row>
    <row r="331">
      <c r="A331">
        <f>IF(INDEX(L_ID,ROW()-4)="","",IF(COUNTIF(P_ID,INDEX(L_ID,ROW()-4))&gt;0,1,0))</f>
        <v/>
      </c>
      <c r="B331">
        <f>IF(INDEX(P_Type,ROW()-4)="","",TRIM(UPPER(INDEX(P_Type,ROW()-4))))</f>
        <v/>
      </c>
      <c r="D331">
        <f>IF(INDEX(L_Type,ROW()-4)="","",TRIM(UPPER(INDEX(L_Type,ROW()-4))))</f>
        <v/>
      </c>
      <c r="E331">
        <f>IF(INDEX(P_Status,ROW()-4)="","",TRIM(UPPER(INDEX(P_Status,ROW()-4))))</f>
        <v/>
      </c>
      <c r="G331">
        <f>IF(INDEX(L_Status,ROW()-4)="","",TRIM(UPPER(INDEX(L_Status,ROW()-4))))</f>
        <v/>
      </c>
      <c r="J331">
        <f>IF(INDEX(L_ID,ROW()-4)="","",IF(SUMPRODUCT((P_ID=INDEX(L_ID,ROW()-4))*(P_StatusN="INACTIVE"))&gt;0,1,0))</f>
        <v/>
      </c>
    </row>
    <row r="332">
      <c r="A332">
        <f>IF(INDEX(L_ID,ROW()-4)="","",IF(COUNTIF(P_ID,INDEX(L_ID,ROW()-4))&gt;0,1,0))</f>
        <v/>
      </c>
      <c r="B332">
        <f>IF(INDEX(P_Type,ROW()-4)="","",TRIM(UPPER(INDEX(P_Type,ROW()-4))))</f>
        <v/>
      </c>
      <c r="D332">
        <f>IF(INDEX(L_Type,ROW()-4)="","",TRIM(UPPER(INDEX(L_Type,ROW()-4))))</f>
        <v/>
      </c>
      <c r="E332">
        <f>IF(INDEX(P_Status,ROW()-4)="","",TRIM(UPPER(INDEX(P_Status,ROW()-4))))</f>
        <v/>
      </c>
      <c r="G332">
        <f>IF(INDEX(L_Status,ROW()-4)="","",TRIM(UPPER(INDEX(L_Status,ROW()-4))))</f>
        <v/>
      </c>
      <c r="J332">
        <f>IF(INDEX(L_ID,ROW()-4)="","",IF(SUMPRODUCT((P_ID=INDEX(L_ID,ROW()-4))*(P_StatusN="INACTIVE"))&gt;0,1,0))</f>
        <v/>
      </c>
    </row>
    <row r="333">
      <c r="A333">
        <f>IF(INDEX(L_ID,ROW()-4)="","",IF(COUNTIF(P_ID,INDEX(L_ID,ROW()-4))&gt;0,1,0))</f>
        <v/>
      </c>
      <c r="B333">
        <f>IF(INDEX(P_Type,ROW()-4)="","",TRIM(UPPER(INDEX(P_Type,ROW()-4))))</f>
        <v/>
      </c>
      <c r="D333">
        <f>IF(INDEX(L_Type,ROW()-4)="","",TRIM(UPPER(INDEX(L_Type,ROW()-4))))</f>
        <v/>
      </c>
      <c r="E333">
        <f>IF(INDEX(P_Status,ROW()-4)="","",TRIM(UPPER(INDEX(P_Status,ROW()-4))))</f>
        <v/>
      </c>
      <c r="G333">
        <f>IF(INDEX(L_Status,ROW()-4)="","",TRIM(UPPER(INDEX(L_Status,ROW()-4))))</f>
        <v/>
      </c>
      <c r="J333">
        <f>IF(INDEX(L_ID,ROW()-4)="","",IF(SUMPRODUCT((P_ID=INDEX(L_ID,ROW()-4))*(P_StatusN="INACTIVE"))&gt;0,1,0))</f>
        <v/>
      </c>
    </row>
    <row r="334">
      <c r="A334">
        <f>IF(INDEX(L_ID,ROW()-4)="","",IF(COUNTIF(P_ID,INDEX(L_ID,ROW()-4))&gt;0,1,0))</f>
        <v/>
      </c>
      <c r="B334">
        <f>IF(INDEX(P_Type,ROW()-4)="","",TRIM(UPPER(INDEX(P_Type,ROW()-4))))</f>
        <v/>
      </c>
      <c r="D334">
        <f>IF(INDEX(L_Type,ROW()-4)="","",TRIM(UPPER(INDEX(L_Type,ROW()-4))))</f>
        <v/>
      </c>
      <c r="E334">
        <f>IF(INDEX(P_Status,ROW()-4)="","",TRIM(UPPER(INDEX(P_Status,ROW()-4))))</f>
        <v/>
      </c>
      <c r="G334">
        <f>IF(INDEX(L_Status,ROW()-4)="","",TRIM(UPPER(INDEX(L_Status,ROW()-4))))</f>
        <v/>
      </c>
      <c r="J334">
        <f>IF(INDEX(L_ID,ROW()-4)="","",IF(SUMPRODUCT((P_ID=INDEX(L_ID,ROW()-4))*(P_StatusN="INACTIVE"))&gt;0,1,0))</f>
        <v/>
      </c>
    </row>
    <row r="335">
      <c r="A335">
        <f>IF(INDEX(L_ID,ROW()-4)="","",IF(COUNTIF(P_ID,INDEX(L_ID,ROW()-4))&gt;0,1,0))</f>
        <v/>
      </c>
      <c r="B335">
        <f>IF(INDEX(P_Type,ROW()-4)="","",TRIM(UPPER(INDEX(P_Type,ROW()-4))))</f>
        <v/>
      </c>
      <c r="D335">
        <f>IF(INDEX(L_Type,ROW()-4)="","",TRIM(UPPER(INDEX(L_Type,ROW()-4))))</f>
        <v/>
      </c>
      <c r="E335">
        <f>IF(INDEX(P_Status,ROW()-4)="","",TRIM(UPPER(INDEX(P_Status,ROW()-4))))</f>
        <v/>
      </c>
      <c r="G335">
        <f>IF(INDEX(L_Status,ROW()-4)="","",TRIM(UPPER(INDEX(L_Status,ROW()-4))))</f>
        <v/>
      </c>
      <c r="J335">
        <f>IF(INDEX(L_ID,ROW()-4)="","",IF(SUMPRODUCT((P_ID=INDEX(L_ID,ROW()-4))*(P_StatusN="INACTIVE"))&gt;0,1,0))</f>
        <v/>
      </c>
    </row>
    <row r="336">
      <c r="A336">
        <f>IF(INDEX(L_ID,ROW()-4)="","",IF(COUNTIF(P_ID,INDEX(L_ID,ROW()-4))&gt;0,1,0))</f>
        <v/>
      </c>
      <c r="B336">
        <f>IF(INDEX(P_Type,ROW()-4)="","",TRIM(UPPER(INDEX(P_Type,ROW()-4))))</f>
        <v/>
      </c>
      <c r="D336">
        <f>IF(INDEX(L_Type,ROW()-4)="","",TRIM(UPPER(INDEX(L_Type,ROW()-4))))</f>
        <v/>
      </c>
      <c r="E336">
        <f>IF(INDEX(P_Status,ROW()-4)="","",TRIM(UPPER(INDEX(P_Status,ROW()-4))))</f>
        <v/>
      </c>
      <c r="G336">
        <f>IF(INDEX(L_Status,ROW()-4)="","",TRIM(UPPER(INDEX(L_Status,ROW()-4))))</f>
        <v/>
      </c>
      <c r="J336">
        <f>IF(INDEX(L_ID,ROW()-4)="","",IF(SUMPRODUCT((P_ID=INDEX(L_ID,ROW()-4))*(P_StatusN="INACTIVE"))&gt;0,1,0))</f>
        <v/>
      </c>
    </row>
    <row r="337">
      <c r="A337">
        <f>IF(INDEX(L_ID,ROW()-4)="","",IF(COUNTIF(P_ID,INDEX(L_ID,ROW()-4))&gt;0,1,0))</f>
        <v/>
      </c>
      <c r="B337">
        <f>IF(INDEX(P_Type,ROW()-4)="","",TRIM(UPPER(INDEX(P_Type,ROW()-4))))</f>
        <v/>
      </c>
      <c r="D337">
        <f>IF(INDEX(L_Type,ROW()-4)="","",TRIM(UPPER(INDEX(L_Type,ROW()-4))))</f>
        <v/>
      </c>
      <c r="E337">
        <f>IF(INDEX(P_Status,ROW()-4)="","",TRIM(UPPER(INDEX(P_Status,ROW()-4))))</f>
        <v/>
      </c>
      <c r="G337">
        <f>IF(INDEX(L_Status,ROW()-4)="","",TRIM(UPPER(INDEX(L_Status,ROW()-4))))</f>
        <v/>
      </c>
      <c r="J337">
        <f>IF(INDEX(L_ID,ROW()-4)="","",IF(SUMPRODUCT((P_ID=INDEX(L_ID,ROW()-4))*(P_StatusN="INACTIVE"))&gt;0,1,0))</f>
        <v/>
      </c>
    </row>
    <row r="338">
      <c r="A338">
        <f>IF(INDEX(L_ID,ROW()-4)="","",IF(COUNTIF(P_ID,INDEX(L_ID,ROW()-4))&gt;0,1,0))</f>
        <v/>
      </c>
      <c r="B338">
        <f>IF(INDEX(P_Type,ROW()-4)="","",TRIM(UPPER(INDEX(P_Type,ROW()-4))))</f>
        <v/>
      </c>
      <c r="D338">
        <f>IF(INDEX(L_Type,ROW()-4)="","",TRIM(UPPER(INDEX(L_Type,ROW()-4))))</f>
        <v/>
      </c>
      <c r="E338">
        <f>IF(INDEX(P_Status,ROW()-4)="","",TRIM(UPPER(INDEX(P_Status,ROW()-4))))</f>
        <v/>
      </c>
      <c r="G338">
        <f>IF(INDEX(L_Status,ROW()-4)="","",TRIM(UPPER(INDEX(L_Status,ROW()-4))))</f>
        <v/>
      </c>
      <c r="J338">
        <f>IF(INDEX(L_ID,ROW()-4)="","",IF(SUMPRODUCT((P_ID=INDEX(L_ID,ROW()-4))*(P_StatusN="INACTIVE"))&gt;0,1,0))</f>
        <v/>
      </c>
    </row>
    <row r="339">
      <c r="A339">
        <f>IF(INDEX(L_ID,ROW()-4)="","",IF(COUNTIF(P_ID,INDEX(L_ID,ROW()-4))&gt;0,1,0))</f>
        <v/>
      </c>
      <c r="B339">
        <f>IF(INDEX(P_Type,ROW()-4)="","",TRIM(UPPER(INDEX(P_Type,ROW()-4))))</f>
        <v/>
      </c>
      <c r="D339">
        <f>IF(INDEX(L_Type,ROW()-4)="","",TRIM(UPPER(INDEX(L_Type,ROW()-4))))</f>
        <v/>
      </c>
      <c r="E339">
        <f>IF(INDEX(P_Status,ROW()-4)="","",TRIM(UPPER(INDEX(P_Status,ROW()-4))))</f>
        <v/>
      </c>
      <c r="G339">
        <f>IF(INDEX(L_Status,ROW()-4)="","",TRIM(UPPER(INDEX(L_Status,ROW()-4))))</f>
        <v/>
      </c>
      <c r="J339">
        <f>IF(INDEX(L_ID,ROW()-4)="","",IF(SUMPRODUCT((P_ID=INDEX(L_ID,ROW()-4))*(P_StatusN="INACTIVE"))&gt;0,1,0))</f>
        <v/>
      </c>
    </row>
    <row r="340">
      <c r="A340">
        <f>IF(INDEX(L_ID,ROW()-4)="","",IF(COUNTIF(P_ID,INDEX(L_ID,ROW()-4))&gt;0,1,0))</f>
        <v/>
      </c>
      <c r="B340">
        <f>IF(INDEX(P_Type,ROW()-4)="","",TRIM(UPPER(INDEX(P_Type,ROW()-4))))</f>
        <v/>
      </c>
      <c r="D340">
        <f>IF(INDEX(L_Type,ROW()-4)="","",TRIM(UPPER(INDEX(L_Type,ROW()-4))))</f>
        <v/>
      </c>
      <c r="E340">
        <f>IF(INDEX(P_Status,ROW()-4)="","",TRIM(UPPER(INDEX(P_Status,ROW()-4))))</f>
        <v/>
      </c>
      <c r="G340">
        <f>IF(INDEX(L_Status,ROW()-4)="","",TRIM(UPPER(INDEX(L_Status,ROW()-4))))</f>
        <v/>
      </c>
      <c r="J340">
        <f>IF(INDEX(L_ID,ROW()-4)="","",IF(SUMPRODUCT((P_ID=INDEX(L_ID,ROW()-4))*(P_StatusN="INACTIVE"))&gt;0,1,0))</f>
        <v/>
      </c>
    </row>
    <row r="341">
      <c r="A341">
        <f>IF(INDEX(L_ID,ROW()-4)="","",IF(COUNTIF(P_ID,INDEX(L_ID,ROW()-4))&gt;0,1,0))</f>
        <v/>
      </c>
      <c r="B341">
        <f>IF(INDEX(P_Type,ROW()-4)="","",TRIM(UPPER(INDEX(P_Type,ROW()-4))))</f>
        <v/>
      </c>
      <c r="D341">
        <f>IF(INDEX(L_Type,ROW()-4)="","",TRIM(UPPER(INDEX(L_Type,ROW()-4))))</f>
        <v/>
      </c>
      <c r="E341">
        <f>IF(INDEX(P_Status,ROW()-4)="","",TRIM(UPPER(INDEX(P_Status,ROW()-4))))</f>
        <v/>
      </c>
      <c r="G341">
        <f>IF(INDEX(L_Status,ROW()-4)="","",TRIM(UPPER(INDEX(L_Status,ROW()-4))))</f>
        <v/>
      </c>
      <c r="J341">
        <f>IF(INDEX(L_ID,ROW()-4)="","",IF(SUMPRODUCT((P_ID=INDEX(L_ID,ROW()-4))*(P_StatusN="INACTIVE"))&gt;0,1,0))</f>
        <v/>
      </c>
    </row>
    <row r="342">
      <c r="A342">
        <f>IF(INDEX(L_ID,ROW()-4)="","",IF(COUNTIF(P_ID,INDEX(L_ID,ROW()-4))&gt;0,1,0))</f>
        <v/>
      </c>
      <c r="B342">
        <f>IF(INDEX(P_Type,ROW()-4)="","",TRIM(UPPER(INDEX(P_Type,ROW()-4))))</f>
        <v/>
      </c>
      <c r="D342">
        <f>IF(INDEX(L_Type,ROW()-4)="","",TRIM(UPPER(INDEX(L_Type,ROW()-4))))</f>
        <v/>
      </c>
      <c r="E342">
        <f>IF(INDEX(P_Status,ROW()-4)="","",TRIM(UPPER(INDEX(P_Status,ROW()-4))))</f>
        <v/>
      </c>
      <c r="G342">
        <f>IF(INDEX(L_Status,ROW()-4)="","",TRIM(UPPER(INDEX(L_Status,ROW()-4))))</f>
        <v/>
      </c>
      <c r="J342">
        <f>IF(INDEX(L_ID,ROW()-4)="","",IF(SUMPRODUCT((P_ID=INDEX(L_ID,ROW()-4))*(P_StatusN="INACTIVE"))&gt;0,1,0))</f>
        <v/>
      </c>
    </row>
    <row r="343">
      <c r="A343">
        <f>IF(INDEX(L_ID,ROW()-4)="","",IF(COUNTIF(P_ID,INDEX(L_ID,ROW()-4))&gt;0,1,0))</f>
        <v/>
      </c>
      <c r="B343">
        <f>IF(INDEX(P_Type,ROW()-4)="","",TRIM(UPPER(INDEX(P_Type,ROW()-4))))</f>
        <v/>
      </c>
      <c r="D343">
        <f>IF(INDEX(L_Type,ROW()-4)="","",TRIM(UPPER(INDEX(L_Type,ROW()-4))))</f>
        <v/>
      </c>
      <c r="E343">
        <f>IF(INDEX(P_Status,ROW()-4)="","",TRIM(UPPER(INDEX(P_Status,ROW()-4))))</f>
        <v/>
      </c>
      <c r="G343">
        <f>IF(INDEX(L_Status,ROW()-4)="","",TRIM(UPPER(INDEX(L_Status,ROW()-4))))</f>
        <v/>
      </c>
      <c r="J343">
        <f>IF(INDEX(L_ID,ROW()-4)="","",IF(SUMPRODUCT((P_ID=INDEX(L_ID,ROW()-4))*(P_StatusN="INACTIVE"))&gt;0,1,0))</f>
        <v/>
      </c>
    </row>
    <row r="344">
      <c r="A344">
        <f>IF(INDEX(L_ID,ROW()-4)="","",IF(COUNTIF(P_ID,INDEX(L_ID,ROW()-4))&gt;0,1,0))</f>
        <v/>
      </c>
      <c r="B344">
        <f>IF(INDEX(P_Type,ROW()-4)="","",TRIM(UPPER(INDEX(P_Type,ROW()-4))))</f>
        <v/>
      </c>
      <c r="D344">
        <f>IF(INDEX(L_Type,ROW()-4)="","",TRIM(UPPER(INDEX(L_Type,ROW()-4))))</f>
        <v/>
      </c>
      <c r="E344">
        <f>IF(INDEX(P_Status,ROW()-4)="","",TRIM(UPPER(INDEX(P_Status,ROW()-4))))</f>
        <v/>
      </c>
      <c r="G344">
        <f>IF(INDEX(L_Status,ROW()-4)="","",TRIM(UPPER(INDEX(L_Status,ROW()-4))))</f>
        <v/>
      </c>
      <c r="J344">
        <f>IF(INDEX(L_ID,ROW()-4)="","",IF(SUMPRODUCT((P_ID=INDEX(L_ID,ROW()-4))*(P_StatusN="INACTIVE"))&gt;0,1,0))</f>
        <v/>
      </c>
    </row>
    <row r="345">
      <c r="A345">
        <f>IF(INDEX(L_ID,ROW()-4)="","",IF(COUNTIF(P_ID,INDEX(L_ID,ROW()-4))&gt;0,1,0))</f>
        <v/>
      </c>
      <c r="B345">
        <f>IF(INDEX(P_Type,ROW()-4)="","",TRIM(UPPER(INDEX(P_Type,ROW()-4))))</f>
        <v/>
      </c>
      <c r="D345">
        <f>IF(INDEX(L_Type,ROW()-4)="","",TRIM(UPPER(INDEX(L_Type,ROW()-4))))</f>
        <v/>
      </c>
      <c r="E345">
        <f>IF(INDEX(P_Status,ROW()-4)="","",TRIM(UPPER(INDEX(P_Status,ROW()-4))))</f>
        <v/>
      </c>
      <c r="G345">
        <f>IF(INDEX(L_Status,ROW()-4)="","",TRIM(UPPER(INDEX(L_Status,ROW()-4))))</f>
        <v/>
      </c>
      <c r="J345">
        <f>IF(INDEX(L_ID,ROW()-4)="","",IF(SUMPRODUCT((P_ID=INDEX(L_ID,ROW()-4))*(P_StatusN="INACTIVE"))&gt;0,1,0))</f>
        <v/>
      </c>
    </row>
    <row r="346">
      <c r="A346">
        <f>IF(INDEX(L_ID,ROW()-4)="","",IF(COUNTIF(P_ID,INDEX(L_ID,ROW()-4))&gt;0,1,0))</f>
        <v/>
      </c>
      <c r="B346">
        <f>IF(INDEX(P_Type,ROW()-4)="","",TRIM(UPPER(INDEX(P_Type,ROW()-4))))</f>
        <v/>
      </c>
      <c r="D346">
        <f>IF(INDEX(L_Type,ROW()-4)="","",TRIM(UPPER(INDEX(L_Type,ROW()-4))))</f>
        <v/>
      </c>
      <c r="E346">
        <f>IF(INDEX(P_Status,ROW()-4)="","",TRIM(UPPER(INDEX(P_Status,ROW()-4))))</f>
        <v/>
      </c>
      <c r="G346">
        <f>IF(INDEX(L_Status,ROW()-4)="","",TRIM(UPPER(INDEX(L_Status,ROW()-4))))</f>
        <v/>
      </c>
      <c r="J346">
        <f>IF(INDEX(L_ID,ROW()-4)="","",IF(SUMPRODUCT((P_ID=INDEX(L_ID,ROW()-4))*(P_StatusN="INACTIVE"))&gt;0,1,0))</f>
        <v/>
      </c>
    </row>
    <row r="347">
      <c r="A347">
        <f>IF(INDEX(L_ID,ROW()-4)="","",IF(COUNTIF(P_ID,INDEX(L_ID,ROW()-4))&gt;0,1,0))</f>
        <v/>
      </c>
      <c r="B347">
        <f>IF(INDEX(P_Type,ROW()-4)="","",TRIM(UPPER(INDEX(P_Type,ROW()-4))))</f>
        <v/>
      </c>
      <c r="D347">
        <f>IF(INDEX(L_Type,ROW()-4)="","",TRIM(UPPER(INDEX(L_Type,ROW()-4))))</f>
        <v/>
      </c>
      <c r="E347">
        <f>IF(INDEX(P_Status,ROW()-4)="","",TRIM(UPPER(INDEX(P_Status,ROW()-4))))</f>
        <v/>
      </c>
      <c r="G347">
        <f>IF(INDEX(L_Status,ROW()-4)="","",TRIM(UPPER(INDEX(L_Status,ROW()-4))))</f>
        <v/>
      </c>
      <c r="J347">
        <f>IF(INDEX(L_ID,ROW()-4)="","",IF(SUMPRODUCT((P_ID=INDEX(L_ID,ROW()-4))*(P_StatusN="INACTIVE"))&gt;0,1,0))</f>
        <v/>
      </c>
    </row>
    <row r="348">
      <c r="A348">
        <f>IF(INDEX(L_ID,ROW()-4)="","",IF(COUNTIF(P_ID,INDEX(L_ID,ROW()-4))&gt;0,1,0))</f>
        <v/>
      </c>
      <c r="B348">
        <f>IF(INDEX(P_Type,ROW()-4)="","",TRIM(UPPER(INDEX(P_Type,ROW()-4))))</f>
        <v/>
      </c>
      <c r="D348">
        <f>IF(INDEX(L_Type,ROW()-4)="","",TRIM(UPPER(INDEX(L_Type,ROW()-4))))</f>
        <v/>
      </c>
      <c r="E348">
        <f>IF(INDEX(P_Status,ROW()-4)="","",TRIM(UPPER(INDEX(P_Status,ROW()-4))))</f>
        <v/>
      </c>
      <c r="G348">
        <f>IF(INDEX(L_Status,ROW()-4)="","",TRIM(UPPER(INDEX(L_Status,ROW()-4))))</f>
        <v/>
      </c>
      <c r="J348">
        <f>IF(INDEX(L_ID,ROW()-4)="","",IF(SUMPRODUCT((P_ID=INDEX(L_ID,ROW()-4))*(P_StatusN="INACTIVE"))&gt;0,1,0))</f>
        <v/>
      </c>
    </row>
    <row r="349">
      <c r="A349">
        <f>IF(INDEX(L_ID,ROW()-4)="","",IF(COUNTIF(P_ID,INDEX(L_ID,ROW()-4))&gt;0,1,0))</f>
        <v/>
      </c>
      <c r="B349">
        <f>IF(INDEX(P_Type,ROW()-4)="","",TRIM(UPPER(INDEX(P_Type,ROW()-4))))</f>
        <v/>
      </c>
      <c r="D349">
        <f>IF(INDEX(L_Type,ROW()-4)="","",TRIM(UPPER(INDEX(L_Type,ROW()-4))))</f>
        <v/>
      </c>
      <c r="E349">
        <f>IF(INDEX(P_Status,ROW()-4)="","",TRIM(UPPER(INDEX(P_Status,ROW()-4))))</f>
        <v/>
      </c>
      <c r="G349">
        <f>IF(INDEX(L_Status,ROW()-4)="","",TRIM(UPPER(INDEX(L_Status,ROW()-4))))</f>
        <v/>
      </c>
      <c r="J349">
        <f>IF(INDEX(L_ID,ROW()-4)="","",IF(SUMPRODUCT((P_ID=INDEX(L_ID,ROW()-4))*(P_StatusN="INACTIVE"))&gt;0,1,0))</f>
        <v/>
      </c>
    </row>
    <row r="350">
      <c r="A350">
        <f>IF(INDEX(L_ID,ROW()-4)="","",IF(COUNTIF(P_ID,INDEX(L_ID,ROW()-4))&gt;0,1,0))</f>
        <v/>
      </c>
      <c r="B350">
        <f>IF(INDEX(P_Type,ROW()-4)="","",TRIM(UPPER(INDEX(P_Type,ROW()-4))))</f>
        <v/>
      </c>
      <c r="D350">
        <f>IF(INDEX(L_Type,ROW()-4)="","",TRIM(UPPER(INDEX(L_Type,ROW()-4))))</f>
        <v/>
      </c>
      <c r="E350">
        <f>IF(INDEX(P_Status,ROW()-4)="","",TRIM(UPPER(INDEX(P_Status,ROW()-4))))</f>
        <v/>
      </c>
      <c r="G350">
        <f>IF(INDEX(L_Status,ROW()-4)="","",TRIM(UPPER(INDEX(L_Status,ROW()-4))))</f>
        <v/>
      </c>
      <c r="J350">
        <f>IF(INDEX(L_ID,ROW()-4)="","",IF(SUMPRODUCT((P_ID=INDEX(L_ID,ROW()-4))*(P_StatusN="INACTIVE"))&gt;0,1,0))</f>
        <v/>
      </c>
    </row>
    <row r="351">
      <c r="A351">
        <f>IF(INDEX(L_ID,ROW()-4)="","",IF(COUNTIF(P_ID,INDEX(L_ID,ROW()-4))&gt;0,1,0))</f>
        <v/>
      </c>
      <c r="B351">
        <f>IF(INDEX(P_Type,ROW()-4)="","",TRIM(UPPER(INDEX(P_Type,ROW()-4))))</f>
        <v/>
      </c>
      <c r="D351">
        <f>IF(INDEX(L_Type,ROW()-4)="","",TRIM(UPPER(INDEX(L_Type,ROW()-4))))</f>
        <v/>
      </c>
      <c r="E351">
        <f>IF(INDEX(P_Status,ROW()-4)="","",TRIM(UPPER(INDEX(P_Status,ROW()-4))))</f>
        <v/>
      </c>
      <c r="G351">
        <f>IF(INDEX(L_Status,ROW()-4)="","",TRIM(UPPER(INDEX(L_Status,ROW()-4))))</f>
        <v/>
      </c>
      <c r="J351">
        <f>IF(INDEX(L_ID,ROW()-4)="","",IF(SUMPRODUCT((P_ID=INDEX(L_ID,ROW()-4))*(P_StatusN="INACTIVE"))&gt;0,1,0))</f>
        <v/>
      </c>
    </row>
    <row r="352">
      <c r="A352">
        <f>IF(INDEX(L_ID,ROW()-4)="","",IF(COUNTIF(P_ID,INDEX(L_ID,ROW()-4))&gt;0,1,0))</f>
        <v/>
      </c>
      <c r="B352">
        <f>IF(INDEX(P_Type,ROW()-4)="","",TRIM(UPPER(INDEX(P_Type,ROW()-4))))</f>
        <v/>
      </c>
      <c r="D352">
        <f>IF(INDEX(L_Type,ROW()-4)="","",TRIM(UPPER(INDEX(L_Type,ROW()-4))))</f>
        <v/>
      </c>
      <c r="E352">
        <f>IF(INDEX(P_Status,ROW()-4)="","",TRIM(UPPER(INDEX(P_Status,ROW()-4))))</f>
        <v/>
      </c>
      <c r="G352">
        <f>IF(INDEX(L_Status,ROW()-4)="","",TRIM(UPPER(INDEX(L_Status,ROW()-4))))</f>
        <v/>
      </c>
      <c r="J352">
        <f>IF(INDEX(L_ID,ROW()-4)="","",IF(SUMPRODUCT((P_ID=INDEX(L_ID,ROW()-4))*(P_StatusN="INACTIVE"))&gt;0,1,0))</f>
        <v/>
      </c>
    </row>
    <row r="353">
      <c r="A353">
        <f>IF(INDEX(L_ID,ROW()-4)="","",IF(COUNTIF(P_ID,INDEX(L_ID,ROW()-4))&gt;0,1,0))</f>
        <v/>
      </c>
      <c r="B353">
        <f>IF(INDEX(P_Type,ROW()-4)="","",TRIM(UPPER(INDEX(P_Type,ROW()-4))))</f>
        <v/>
      </c>
      <c r="D353">
        <f>IF(INDEX(L_Type,ROW()-4)="","",TRIM(UPPER(INDEX(L_Type,ROW()-4))))</f>
        <v/>
      </c>
      <c r="E353">
        <f>IF(INDEX(P_Status,ROW()-4)="","",TRIM(UPPER(INDEX(P_Status,ROW()-4))))</f>
        <v/>
      </c>
      <c r="G353">
        <f>IF(INDEX(L_Status,ROW()-4)="","",TRIM(UPPER(INDEX(L_Status,ROW()-4))))</f>
        <v/>
      </c>
      <c r="J353">
        <f>IF(INDEX(L_ID,ROW()-4)="","",IF(SUMPRODUCT((P_ID=INDEX(L_ID,ROW()-4))*(P_StatusN="INACTIVE"))&gt;0,1,0))</f>
        <v/>
      </c>
    </row>
    <row r="354">
      <c r="A354">
        <f>IF(INDEX(L_ID,ROW()-4)="","",IF(COUNTIF(P_ID,INDEX(L_ID,ROW()-4))&gt;0,1,0))</f>
        <v/>
      </c>
      <c r="B354">
        <f>IF(INDEX(P_Type,ROW()-4)="","",TRIM(UPPER(INDEX(P_Type,ROW()-4))))</f>
        <v/>
      </c>
      <c r="D354">
        <f>IF(INDEX(L_Type,ROW()-4)="","",TRIM(UPPER(INDEX(L_Type,ROW()-4))))</f>
        <v/>
      </c>
      <c r="E354">
        <f>IF(INDEX(P_Status,ROW()-4)="","",TRIM(UPPER(INDEX(P_Status,ROW()-4))))</f>
        <v/>
      </c>
      <c r="G354">
        <f>IF(INDEX(L_Status,ROW()-4)="","",TRIM(UPPER(INDEX(L_Status,ROW()-4))))</f>
        <v/>
      </c>
      <c r="J354">
        <f>IF(INDEX(L_ID,ROW()-4)="","",IF(SUMPRODUCT((P_ID=INDEX(L_ID,ROW()-4))*(P_StatusN="INACTIVE"))&gt;0,1,0))</f>
        <v/>
      </c>
    </row>
    <row r="355">
      <c r="A355">
        <f>IF(INDEX(L_ID,ROW()-4)="","",IF(COUNTIF(P_ID,INDEX(L_ID,ROW()-4))&gt;0,1,0))</f>
        <v/>
      </c>
      <c r="B355">
        <f>IF(INDEX(P_Type,ROW()-4)="","",TRIM(UPPER(INDEX(P_Type,ROW()-4))))</f>
        <v/>
      </c>
      <c r="D355">
        <f>IF(INDEX(L_Type,ROW()-4)="","",TRIM(UPPER(INDEX(L_Type,ROW()-4))))</f>
        <v/>
      </c>
      <c r="E355">
        <f>IF(INDEX(P_Status,ROW()-4)="","",TRIM(UPPER(INDEX(P_Status,ROW()-4))))</f>
        <v/>
      </c>
      <c r="G355">
        <f>IF(INDEX(L_Status,ROW()-4)="","",TRIM(UPPER(INDEX(L_Status,ROW()-4))))</f>
        <v/>
      </c>
      <c r="J355">
        <f>IF(INDEX(L_ID,ROW()-4)="","",IF(SUMPRODUCT((P_ID=INDEX(L_ID,ROW()-4))*(P_StatusN="INACTIVE"))&gt;0,1,0))</f>
        <v/>
      </c>
    </row>
    <row r="356">
      <c r="A356">
        <f>IF(INDEX(L_ID,ROW()-4)="","",IF(COUNTIF(P_ID,INDEX(L_ID,ROW()-4))&gt;0,1,0))</f>
        <v/>
      </c>
      <c r="B356">
        <f>IF(INDEX(P_Type,ROW()-4)="","",TRIM(UPPER(INDEX(P_Type,ROW()-4))))</f>
        <v/>
      </c>
      <c r="D356">
        <f>IF(INDEX(L_Type,ROW()-4)="","",TRIM(UPPER(INDEX(L_Type,ROW()-4))))</f>
        <v/>
      </c>
      <c r="E356">
        <f>IF(INDEX(P_Status,ROW()-4)="","",TRIM(UPPER(INDEX(P_Status,ROW()-4))))</f>
        <v/>
      </c>
      <c r="G356">
        <f>IF(INDEX(L_Status,ROW()-4)="","",TRIM(UPPER(INDEX(L_Status,ROW()-4))))</f>
        <v/>
      </c>
      <c r="J356">
        <f>IF(INDEX(L_ID,ROW()-4)="","",IF(SUMPRODUCT((P_ID=INDEX(L_ID,ROW()-4))*(P_StatusN="INACTIVE"))&gt;0,1,0))</f>
        <v/>
      </c>
    </row>
    <row r="357">
      <c r="A357">
        <f>IF(INDEX(L_ID,ROW()-4)="","",IF(COUNTIF(P_ID,INDEX(L_ID,ROW()-4))&gt;0,1,0))</f>
        <v/>
      </c>
      <c r="B357">
        <f>IF(INDEX(P_Type,ROW()-4)="","",TRIM(UPPER(INDEX(P_Type,ROW()-4))))</f>
        <v/>
      </c>
      <c r="D357">
        <f>IF(INDEX(L_Type,ROW()-4)="","",TRIM(UPPER(INDEX(L_Type,ROW()-4))))</f>
        <v/>
      </c>
      <c r="E357">
        <f>IF(INDEX(P_Status,ROW()-4)="","",TRIM(UPPER(INDEX(P_Status,ROW()-4))))</f>
        <v/>
      </c>
      <c r="G357">
        <f>IF(INDEX(L_Status,ROW()-4)="","",TRIM(UPPER(INDEX(L_Status,ROW()-4))))</f>
        <v/>
      </c>
      <c r="J357">
        <f>IF(INDEX(L_ID,ROW()-4)="","",IF(SUMPRODUCT((P_ID=INDEX(L_ID,ROW()-4))*(P_StatusN="INACTIVE"))&gt;0,1,0))</f>
        <v/>
      </c>
    </row>
    <row r="358">
      <c r="A358">
        <f>IF(INDEX(L_ID,ROW()-4)="","",IF(COUNTIF(P_ID,INDEX(L_ID,ROW()-4))&gt;0,1,0))</f>
        <v/>
      </c>
      <c r="B358">
        <f>IF(INDEX(P_Type,ROW()-4)="","",TRIM(UPPER(INDEX(P_Type,ROW()-4))))</f>
        <v/>
      </c>
      <c r="D358">
        <f>IF(INDEX(L_Type,ROW()-4)="","",TRIM(UPPER(INDEX(L_Type,ROW()-4))))</f>
        <v/>
      </c>
      <c r="E358">
        <f>IF(INDEX(P_Status,ROW()-4)="","",TRIM(UPPER(INDEX(P_Status,ROW()-4))))</f>
        <v/>
      </c>
      <c r="G358">
        <f>IF(INDEX(L_Status,ROW()-4)="","",TRIM(UPPER(INDEX(L_Status,ROW()-4))))</f>
        <v/>
      </c>
      <c r="J358">
        <f>IF(INDEX(L_ID,ROW()-4)="","",IF(SUMPRODUCT((P_ID=INDEX(L_ID,ROW()-4))*(P_StatusN="INACTIVE"))&gt;0,1,0))</f>
        <v/>
      </c>
    </row>
    <row r="359">
      <c r="A359">
        <f>IF(INDEX(L_ID,ROW()-4)="","",IF(COUNTIF(P_ID,INDEX(L_ID,ROW()-4))&gt;0,1,0))</f>
        <v/>
      </c>
      <c r="B359">
        <f>IF(INDEX(P_Type,ROW()-4)="","",TRIM(UPPER(INDEX(P_Type,ROW()-4))))</f>
        <v/>
      </c>
      <c r="D359">
        <f>IF(INDEX(L_Type,ROW()-4)="","",TRIM(UPPER(INDEX(L_Type,ROW()-4))))</f>
        <v/>
      </c>
      <c r="E359">
        <f>IF(INDEX(P_Status,ROW()-4)="","",TRIM(UPPER(INDEX(P_Status,ROW()-4))))</f>
        <v/>
      </c>
      <c r="G359">
        <f>IF(INDEX(L_Status,ROW()-4)="","",TRIM(UPPER(INDEX(L_Status,ROW()-4))))</f>
        <v/>
      </c>
      <c r="J359">
        <f>IF(INDEX(L_ID,ROW()-4)="","",IF(SUMPRODUCT((P_ID=INDEX(L_ID,ROW()-4))*(P_StatusN="INACTIVE"))&gt;0,1,0))</f>
        <v/>
      </c>
    </row>
    <row r="360">
      <c r="A360">
        <f>IF(INDEX(L_ID,ROW()-4)="","",IF(COUNTIF(P_ID,INDEX(L_ID,ROW()-4))&gt;0,1,0))</f>
        <v/>
      </c>
      <c r="B360">
        <f>IF(INDEX(P_Type,ROW()-4)="","",TRIM(UPPER(INDEX(P_Type,ROW()-4))))</f>
        <v/>
      </c>
      <c r="D360">
        <f>IF(INDEX(L_Type,ROW()-4)="","",TRIM(UPPER(INDEX(L_Type,ROW()-4))))</f>
        <v/>
      </c>
      <c r="E360">
        <f>IF(INDEX(P_Status,ROW()-4)="","",TRIM(UPPER(INDEX(P_Status,ROW()-4))))</f>
        <v/>
      </c>
      <c r="G360">
        <f>IF(INDEX(L_Status,ROW()-4)="","",TRIM(UPPER(INDEX(L_Status,ROW()-4))))</f>
        <v/>
      </c>
      <c r="J360">
        <f>IF(INDEX(L_ID,ROW()-4)="","",IF(SUMPRODUCT((P_ID=INDEX(L_ID,ROW()-4))*(P_StatusN="INACTIVE"))&gt;0,1,0))</f>
        <v/>
      </c>
    </row>
    <row r="361">
      <c r="A361">
        <f>IF(INDEX(L_ID,ROW()-4)="","",IF(COUNTIF(P_ID,INDEX(L_ID,ROW()-4))&gt;0,1,0))</f>
        <v/>
      </c>
      <c r="B361">
        <f>IF(INDEX(P_Type,ROW()-4)="","",TRIM(UPPER(INDEX(P_Type,ROW()-4))))</f>
        <v/>
      </c>
      <c r="D361">
        <f>IF(INDEX(L_Type,ROW()-4)="","",TRIM(UPPER(INDEX(L_Type,ROW()-4))))</f>
        <v/>
      </c>
      <c r="E361">
        <f>IF(INDEX(P_Status,ROW()-4)="","",TRIM(UPPER(INDEX(P_Status,ROW()-4))))</f>
        <v/>
      </c>
      <c r="G361">
        <f>IF(INDEX(L_Status,ROW()-4)="","",TRIM(UPPER(INDEX(L_Status,ROW()-4))))</f>
        <v/>
      </c>
      <c r="J361">
        <f>IF(INDEX(L_ID,ROW()-4)="","",IF(SUMPRODUCT((P_ID=INDEX(L_ID,ROW()-4))*(P_StatusN="INACTIVE"))&gt;0,1,0))</f>
        <v/>
      </c>
    </row>
    <row r="362">
      <c r="A362">
        <f>IF(INDEX(L_ID,ROW()-4)="","",IF(COUNTIF(P_ID,INDEX(L_ID,ROW()-4))&gt;0,1,0))</f>
        <v/>
      </c>
      <c r="B362">
        <f>IF(INDEX(P_Type,ROW()-4)="","",TRIM(UPPER(INDEX(P_Type,ROW()-4))))</f>
        <v/>
      </c>
      <c r="D362">
        <f>IF(INDEX(L_Type,ROW()-4)="","",TRIM(UPPER(INDEX(L_Type,ROW()-4))))</f>
        <v/>
      </c>
      <c r="E362">
        <f>IF(INDEX(P_Status,ROW()-4)="","",TRIM(UPPER(INDEX(P_Status,ROW()-4))))</f>
        <v/>
      </c>
      <c r="G362">
        <f>IF(INDEX(L_Status,ROW()-4)="","",TRIM(UPPER(INDEX(L_Status,ROW()-4))))</f>
        <v/>
      </c>
      <c r="J362">
        <f>IF(INDEX(L_ID,ROW()-4)="","",IF(SUMPRODUCT((P_ID=INDEX(L_ID,ROW()-4))*(P_StatusN="INACTIVE"))&gt;0,1,0))</f>
        <v/>
      </c>
    </row>
    <row r="363">
      <c r="A363">
        <f>IF(INDEX(L_ID,ROW()-4)="","",IF(COUNTIF(P_ID,INDEX(L_ID,ROW()-4))&gt;0,1,0))</f>
        <v/>
      </c>
      <c r="B363">
        <f>IF(INDEX(P_Type,ROW()-4)="","",TRIM(UPPER(INDEX(P_Type,ROW()-4))))</f>
        <v/>
      </c>
      <c r="D363">
        <f>IF(INDEX(L_Type,ROW()-4)="","",TRIM(UPPER(INDEX(L_Type,ROW()-4))))</f>
        <v/>
      </c>
      <c r="E363">
        <f>IF(INDEX(P_Status,ROW()-4)="","",TRIM(UPPER(INDEX(P_Status,ROW()-4))))</f>
        <v/>
      </c>
      <c r="G363">
        <f>IF(INDEX(L_Status,ROW()-4)="","",TRIM(UPPER(INDEX(L_Status,ROW()-4))))</f>
        <v/>
      </c>
      <c r="J363">
        <f>IF(INDEX(L_ID,ROW()-4)="","",IF(SUMPRODUCT((P_ID=INDEX(L_ID,ROW()-4))*(P_StatusN="INACTIVE"))&gt;0,1,0))</f>
        <v/>
      </c>
    </row>
    <row r="364">
      <c r="A364">
        <f>IF(INDEX(L_ID,ROW()-4)="","",IF(COUNTIF(P_ID,INDEX(L_ID,ROW()-4))&gt;0,1,0))</f>
        <v/>
      </c>
      <c r="B364">
        <f>IF(INDEX(P_Type,ROW()-4)="","",TRIM(UPPER(INDEX(P_Type,ROW()-4))))</f>
        <v/>
      </c>
      <c r="D364">
        <f>IF(INDEX(L_Type,ROW()-4)="","",TRIM(UPPER(INDEX(L_Type,ROW()-4))))</f>
        <v/>
      </c>
      <c r="E364">
        <f>IF(INDEX(P_Status,ROW()-4)="","",TRIM(UPPER(INDEX(P_Status,ROW()-4))))</f>
        <v/>
      </c>
      <c r="G364">
        <f>IF(INDEX(L_Status,ROW()-4)="","",TRIM(UPPER(INDEX(L_Status,ROW()-4))))</f>
        <v/>
      </c>
      <c r="J364">
        <f>IF(INDEX(L_ID,ROW()-4)="","",IF(SUMPRODUCT((P_ID=INDEX(L_ID,ROW()-4))*(P_StatusN="INACTIVE"))&gt;0,1,0))</f>
        <v/>
      </c>
    </row>
    <row r="365">
      <c r="A365">
        <f>IF(INDEX(L_ID,ROW()-4)="","",IF(COUNTIF(P_ID,INDEX(L_ID,ROW()-4))&gt;0,1,0))</f>
        <v/>
      </c>
      <c r="B365">
        <f>IF(INDEX(P_Type,ROW()-4)="","",TRIM(UPPER(INDEX(P_Type,ROW()-4))))</f>
        <v/>
      </c>
      <c r="D365">
        <f>IF(INDEX(L_Type,ROW()-4)="","",TRIM(UPPER(INDEX(L_Type,ROW()-4))))</f>
        <v/>
      </c>
      <c r="E365">
        <f>IF(INDEX(P_Status,ROW()-4)="","",TRIM(UPPER(INDEX(P_Status,ROW()-4))))</f>
        <v/>
      </c>
      <c r="G365">
        <f>IF(INDEX(L_Status,ROW()-4)="","",TRIM(UPPER(INDEX(L_Status,ROW()-4))))</f>
        <v/>
      </c>
      <c r="J365">
        <f>IF(INDEX(L_ID,ROW()-4)="","",IF(SUMPRODUCT((P_ID=INDEX(L_ID,ROW()-4))*(P_StatusN="INACTIVE"))&gt;0,1,0))</f>
        <v/>
      </c>
    </row>
    <row r="366">
      <c r="A366">
        <f>IF(INDEX(L_ID,ROW()-4)="","",IF(COUNTIF(P_ID,INDEX(L_ID,ROW()-4))&gt;0,1,0))</f>
        <v/>
      </c>
      <c r="B366">
        <f>IF(INDEX(P_Type,ROW()-4)="","",TRIM(UPPER(INDEX(P_Type,ROW()-4))))</f>
        <v/>
      </c>
      <c r="D366">
        <f>IF(INDEX(L_Type,ROW()-4)="","",TRIM(UPPER(INDEX(L_Type,ROW()-4))))</f>
        <v/>
      </c>
      <c r="E366">
        <f>IF(INDEX(P_Status,ROW()-4)="","",TRIM(UPPER(INDEX(P_Status,ROW()-4))))</f>
        <v/>
      </c>
      <c r="G366">
        <f>IF(INDEX(L_Status,ROW()-4)="","",TRIM(UPPER(INDEX(L_Status,ROW()-4))))</f>
        <v/>
      </c>
      <c r="J366">
        <f>IF(INDEX(L_ID,ROW()-4)="","",IF(SUMPRODUCT((P_ID=INDEX(L_ID,ROW()-4))*(P_StatusN="INACTIVE"))&gt;0,1,0))</f>
        <v/>
      </c>
    </row>
    <row r="367">
      <c r="A367">
        <f>IF(INDEX(L_ID,ROW()-4)="","",IF(COUNTIF(P_ID,INDEX(L_ID,ROW()-4))&gt;0,1,0))</f>
        <v/>
      </c>
      <c r="B367">
        <f>IF(INDEX(P_Type,ROW()-4)="","",TRIM(UPPER(INDEX(P_Type,ROW()-4))))</f>
        <v/>
      </c>
      <c r="D367">
        <f>IF(INDEX(L_Type,ROW()-4)="","",TRIM(UPPER(INDEX(L_Type,ROW()-4))))</f>
        <v/>
      </c>
      <c r="E367">
        <f>IF(INDEX(P_Status,ROW()-4)="","",TRIM(UPPER(INDEX(P_Status,ROW()-4))))</f>
        <v/>
      </c>
      <c r="G367">
        <f>IF(INDEX(L_Status,ROW()-4)="","",TRIM(UPPER(INDEX(L_Status,ROW()-4))))</f>
        <v/>
      </c>
      <c r="J367">
        <f>IF(INDEX(L_ID,ROW()-4)="","",IF(SUMPRODUCT((P_ID=INDEX(L_ID,ROW()-4))*(P_StatusN="INACTIVE"))&gt;0,1,0))</f>
        <v/>
      </c>
    </row>
    <row r="368">
      <c r="A368">
        <f>IF(INDEX(L_ID,ROW()-4)="","",IF(COUNTIF(P_ID,INDEX(L_ID,ROW()-4))&gt;0,1,0))</f>
        <v/>
      </c>
      <c r="B368">
        <f>IF(INDEX(P_Type,ROW()-4)="","",TRIM(UPPER(INDEX(P_Type,ROW()-4))))</f>
        <v/>
      </c>
      <c r="D368">
        <f>IF(INDEX(L_Type,ROW()-4)="","",TRIM(UPPER(INDEX(L_Type,ROW()-4))))</f>
        <v/>
      </c>
      <c r="E368">
        <f>IF(INDEX(P_Status,ROW()-4)="","",TRIM(UPPER(INDEX(P_Status,ROW()-4))))</f>
        <v/>
      </c>
      <c r="G368">
        <f>IF(INDEX(L_Status,ROW()-4)="","",TRIM(UPPER(INDEX(L_Status,ROW()-4))))</f>
        <v/>
      </c>
      <c r="J368">
        <f>IF(INDEX(L_ID,ROW()-4)="","",IF(SUMPRODUCT((P_ID=INDEX(L_ID,ROW()-4))*(P_StatusN="INACTIVE"))&gt;0,1,0))</f>
        <v/>
      </c>
    </row>
    <row r="369">
      <c r="A369">
        <f>IF(INDEX(L_ID,ROW()-4)="","",IF(COUNTIF(P_ID,INDEX(L_ID,ROW()-4))&gt;0,1,0))</f>
        <v/>
      </c>
      <c r="B369">
        <f>IF(INDEX(P_Type,ROW()-4)="","",TRIM(UPPER(INDEX(P_Type,ROW()-4))))</f>
        <v/>
      </c>
      <c r="D369">
        <f>IF(INDEX(L_Type,ROW()-4)="","",TRIM(UPPER(INDEX(L_Type,ROW()-4))))</f>
        <v/>
      </c>
      <c r="E369">
        <f>IF(INDEX(P_Status,ROW()-4)="","",TRIM(UPPER(INDEX(P_Status,ROW()-4))))</f>
        <v/>
      </c>
      <c r="G369">
        <f>IF(INDEX(L_Status,ROW()-4)="","",TRIM(UPPER(INDEX(L_Status,ROW()-4))))</f>
        <v/>
      </c>
      <c r="J369">
        <f>IF(INDEX(L_ID,ROW()-4)="","",IF(SUMPRODUCT((P_ID=INDEX(L_ID,ROW()-4))*(P_StatusN="INACTIVE"))&gt;0,1,0))</f>
        <v/>
      </c>
    </row>
    <row r="370">
      <c r="A370">
        <f>IF(INDEX(L_ID,ROW()-4)="","",IF(COUNTIF(P_ID,INDEX(L_ID,ROW()-4))&gt;0,1,0))</f>
        <v/>
      </c>
      <c r="B370">
        <f>IF(INDEX(P_Type,ROW()-4)="","",TRIM(UPPER(INDEX(P_Type,ROW()-4))))</f>
        <v/>
      </c>
      <c r="D370">
        <f>IF(INDEX(L_Type,ROW()-4)="","",TRIM(UPPER(INDEX(L_Type,ROW()-4))))</f>
        <v/>
      </c>
      <c r="E370">
        <f>IF(INDEX(P_Status,ROW()-4)="","",TRIM(UPPER(INDEX(P_Status,ROW()-4))))</f>
        <v/>
      </c>
      <c r="G370">
        <f>IF(INDEX(L_Status,ROW()-4)="","",TRIM(UPPER(INDEX(L_Status,ROW()-4))))</f>
        <v/>
      </c>
      <c r="J370">
        <f>IF(INDEX(L_ID,ROW()-4)="","",IF(SUMPRODUCT((P_ID=INDEX(L_ID,ROW()-4))*(P_StatusN="INACTIVE"))&gt;0,1,0))</f>
        <v/>
      </c>
    </row>
    <row r="371">
      <c r="A371">
        <f>IF(INDEX(L_ID,ROW()-4)="","",IF(COUNTIF(P_ID,INDEX(L_ID,ROW()-4))&gt;0,1,0))</f>
        <v/>
      </c>
      <c r="B371">
        <f>IF(INDEX(P_Type,ROW()-4)="","",TRIM(UPPER(INDEX(P_Type,ROW()-4))))</f>
        <v/>
      </c>
      <c r="D371">
        <f>IF(INDEX(L_Type,ROW()-4)="","",TRIM(UPPER(INDEX(L_Type,ROW()-4))))</f>
        <v/>
      </c>
      <c r="E371">
        <f>IF(INDEX(P_Status,ROW()-4)="","",TRIM(UPPER(INDEX(P_Status,ROW()-4))))</f>
        <v/>
      </c>
      <c r="G371">
        <f>IF(INDEX(L_Status,ROW()-4)="","",TRIM(UPPER(INDEX(L_Status,ROW()-4))))</f>
        <v/>
      </c>
      <c r="J371">
        <f>IF(INDEX(L_ID,ROW()-4)="","",IF(SUMPRODUCT((P_ID=INDEX(L_ID,ROW()-4))*(P_StatusN="INACTIVE"))&gt;0,1,0))</f>
        <v/>
      </c>
    </row>
    <row r="372">
      <c r="A372">
        <f>IF(INDEX(L_ID,ROW()-4)="","",IF(COUNTIF(P_ID,INDEX(L_ID,ROW()-4))&gt;0,1,0))</f>
        <v/>
      </c>
      <c r="B372">
        <f>IF(INDEX(P_Type,ROW()-4)="","",TRIM(UPPER(INDEX(P_Type,ROW()-4))))</f>
        <v/>
      </c>
      <c r="D372">
        <f>IF(INDEX(L_Type,ROW()-4)="","",TRIM(UPPER(INDEX(L_Type,ROW()-4))))</f>
        <v/>
      </c>
      <c r="E372">
        <f>IF(INDEX(P_Status,ROW()-4)="","",TRIM(UPPER(INDEX(P_Status,ROW()-4))))</f>
        <v/>
      </c>
      <c r="G372">
        <f>IF(INDEX(L_Status,ROW()-4)="","",TRIM(UPPER(INDEX(L_Status,ROW()-4))))</f>
        <v/>
      </c>
      <c r="J372">
        <f>IF(INDEX(L_ID,ROW()-4)="","",IF(SUMPRODUCT((P_ID=INDEX(L_ID,ROW()-4))*(P_StatusN="INACTIVE"))&gt;0,1,0))</f>
        <v/>
      </c>
    </row>
    <row r="373">
      <c r="A373">
        <f>IF(INDEX(L_ID,ROW()-4)="","",IF(COUNTIF(P_ID,INDEX(L_ID,ROW()-4))&gt;0,1,0))</f>
        <v/>
      </c>
      <c r="B373">
        <f>IF(INDEX(P_Type,ROW()-4)="","",TRIM(UPPER(INDEX(P_Type,ROW()-4))))</f>
        <v/>
      </c>
      <c r="D373">
        <f>IF(INDEX(L_Type,ROW()-4)="","",TRIM(UPPER(INDEX(L_Type,ROW()-4))))</f>
        <v/>
      </c>
      <c r="E373">
        <f>IF(INDEX(P_Status,ROW()-4)="","",TRIM(UPPER(INDEX(P_Status,ROW()-4))))</f>
        <v/>
      </c>
      <c r="G373">
        <f>IF(INDEX(L_Status,ROW()-4)="","",TRIM(UPPER(INDEX(L_Status,ROW()-4))))</f>
        <v/>
      </c>
      <c r="J373">
        <f>IF(INDEX(L_ID,ROW()-4)="","",IF(SUMPRODUCT((P_ID=INDEX(L_ID,ROW()-4))*(P_StatusN="INACTIVE"))&gt;0,1,0))</f>
        <v/>
      </c>
    </row>
    <row r="374">
      <c r="A374">
        <f>IF(INDEX(L_ID,ROW()-4)="","",IF(COUNTIF(P_ID,INDEX(L_ID,ROW()-4))&gt;0,1,0))</f>
        <v/>
      </c>
      <c r="B374">
        <f>IF(INDEX(P_Type,ROW()-4)="","",TRIM(UPPER(INDEX(P_Type,ROW()-4))))</f>
        <v/>
      </c>
      <c r="D374">
        <f>IF(INDEX(L_Type,ROW()-4)="","",TRIM(UPPER(INDEX(L_Type,ROW()-4))))</f>
        <v/>
      </c>
      <c r="E374">
        <f>IF(INDEX(P_Status,ROW()-4)="","",TRIM(UPPER(INDEX(P_Status,ROW()-4))))</f>
        <v/>
      </c>
      <c r="G374">
        <f>IF(INDEX(L_Status,ROW()-4)="","",TRIM(UPPER(INDEX(L_Status,ROW()-4))))</f>
        <v/>
      </c>
      <c r="J374">
        <f>IF(INDEX(L_ID,ROW()-4)="","",IF(SUMPRODUCT((P_ID=INDEX(L_ID,ROW()-4))*(P_StatusN="INACTIVE"))&gt;0,1,0))</f>
        <v/>
      </c>
    </row>
    <row r="375">
      <c r="A375">
        <f>IF(INDEX(L_ID,ROW()-4)="","",IF(COUNTIF(P_ID,INDEX(L_ID,ROW()-4))&gt;0,1,0))</f>
        <v/>
      </c>
      <c r="B375">
        <f>IF(INDEX(P_Type,ROW()-4)="","",TRIM(UPPER(INDEX(P_Type,ROW()-4))))</f>
        <v/>
      </c>
      <c r="D375">
        <f>IF(INDEX(L_Type,ROW()-4)="","",TRIM(UPPER(INDEX(L_Type,ROW()-4))))</f>
        <v/>
      </c>
      <c r="E375">
        <f>IF(INDEX(P_Status,ROW()-4)="","",TRIM(UPPER(INDEX(P_Status,ROW()-4))))</f>
        <v/>
      </c>
      <c r="G375">
        <f>IF(INDEX(L_Status,ROW()-4)="","",TRIM(UPPER(INDEX(L_Status,ROW()-4))))</f>
        <v/>
      </c>
      <c r="J375">
        <f>IF(INDEX(L_ID,ROW()-4)="","",IF(SUMPRODUCT((P_ID=INDEX(L_ID,ROW()-4))*(P_StatusN="INACTIVE"))&gt;0,1,0))</f>
        <v/>
      </c>
    </row>
    <row r="376">
      <c r="A376">
        <f>IF(INDEX(L_ID,ROW()-4)="","",IF(COUNTIF(P_ID,INDEX(L_ID,ROW()-4))&gt;0,1,0))</f>
        <v/>
      </c>
      <c r="B376">
        <f>IF(INDEX(P_Type,ROW()-4)="","",TRIM(UPPER(INDEX(P_Type,ROW()-4))))</f>
        <v/>
      </c>
      <c r="D376">
        <f>IF(INDEX(L_Type,ROW()-4)="","",TRIM(UPPER(INDEX(L_Type,ROW()-4))))</f>
        <v/>
      </c>
      <c r="E376">
        <f>IF(INDEX(P_Status,ROW()-4)="","",TRIM(UPPER(INDEX(P_Status,ROW()-4))))</f>
        <v/>
      </c>
      <c r="G376">
        <f>IF(INDEX(L_Status,ROW()-4)="","",TRIM(UPPER(INDEX(L_Status,ROW()-4))))</f>
        <v/>
      </c>
      <c r="J376">
        <f>IF(INDEX(L_ID,ROW()-4)="","",IF(SUMPRODUCT((P_ID=INDEX(L_ID,ROW()-4))*(P_StatusN="INACTIVE"))&gt;0,1,0))</f>
        <v/>
      </c>
    </row>
    <row r="377">
      <c r="A377">
        <f>IF(INDEX(L_ID,ROW()-4)="","",IF(COUNTIF(P_ID,INDEX(L_ID,ROW()-4))&gt;0,1,0))</f>
        <v/>
      </c>
      <c r="B377">
        <f>IF(INDEX(P_Type,ROW()-4)="","",TRIM(UPPER(INDEX(P_Type,ROW()-4))))</f>
        <v/>
      </c>
      <c r="D377">
        <f>IF(INDEX(L_Type,ROW()-4)="","",TRIM(UPPER(INDEX(L_Type,ROW()-4))))</f>
        <v/>
      </c>
      <c r="E377">
        <f>IF(INDEX(P_Status,ROW()-4)="","",TRIM(UPPER(INDEX(P_Status,ROW()-4))))</f>
        <v/>
      </c>
      <c r="G377">
        <f>IF(INDEX(L_Status,ROW()-4)="","",TRIM(UPPER(INDEX(L_Status,ROW()-4))))</f>
        <v/>
      </c>
      <c r="J377">
        <f>IF(INDEX(L_ID,ROW()-4)="","",IF(SUMPRODUCT((P_ID=INDEX(L_ID,ROW()-4))*(P_StatusN="INACTIVE"))&gt;0,1,0))</f>
        <v/>
      </c>
    </row>
    <row r="378">
      <c r="A378">
        <f>IF(INDEX(L_ID,ROW()-4)="","",IF(COUNTIF(P_ID,INDEX(L_ID,ROW()-4))&gt;0,1,0))</f>
        <v/>
      </c>
      <c r="B378">
        <f>IF(INDEX(P_Type,ROW()-4)="","",TRIM(UPPER(INDEX(P_Type,ROW()-4))))</f>
        <v/>
      </c>
      <c r="D378">
        <f>IF(INDEX(L_Type,ROW()-4)="","",TRIM(UPPER(INDEX(L_Type,ROW()-4))))</f>
        <v/>
      </c>
      <c r="E378">
        <f>IF(INDEX(P_Status,ROW()-4)="","",TRIM(UPPER(INDEX(P_Status,ROW()-4))))</f>
        <v/>
      </c>
      <c r="G378">
        <f>IF(INDEX(L_Status,ROW()-4)="","",TRIM(UPPER(INDEX(L_Status,ROW()-4))))</f>
        <v/>
      </c>
      <c r="J378">
        <f>IF(INDEX(L_ID,ROW()-4)="","",IF(SUMPRODUCT((P_ID=INDEX(L_ID,ROW()-4))*(P_StatusN="INACTIVE"))&gt;0,1,0))</f>
        <v/>
      </c>
    </row>
    <row r="379">
      <c r="A379">
        <f>IF(INDEX(L_ID,ROW()-4)="","",IF(COUNTIF(P_ID,INDEX(L_ID,ROW()-4))&gt;0,1,0))</f>
        <v/>
      </c>
      <c r="B379">
        <f>IF(INDEX(P_Type,ROW()-4)="","",TRIM(UPPER(INDEX(P_Type,ROW()-4))))</f>
        <v/>
      </c>
      <c r="D379">
        <f>IF(INDEX(L_Type,ROW()-4)="","",TRIM(UPPER(INDEX(L_Type,ROW()-4))))</f>
        <v/>
      </c>
      <c r="E379">
        <f>IF(INDEX(P_Status,ROW()-4)="","",TRIM(UPPER(INDEX(P_Status,ROW()-4))))</f>
        <v/>
      </c>
      <c r="G379">
        <f>IF(INDEX(L_Status,ROW()-4)="","",TRIM(UPPER(INDEX(L_Status,ROW()-4))))</f>
        <v/>
      </c>
      <c r="J379">
        <f>IF(INDEX(L_ID,ROW()-4)="","",IF(SUMPRODUCT((P_ID=INDEX(L_ID,ROW()-4))*(P_StatusN="INACTIVE"))&gt;0,1,0))</f>
        <v/>
      </c>
    </row>
    <row r="380">
      <c r="A380">
        <f>IF(INDEX(L_ID,ROW()-4)="","",IF(COUNTIF(P_ID,INDEX(L_ID,ROW()-4))&gt;0,1,0))</f>
        <v/>
      </c>
      <c r="B380">
        <f>IF(INDEX(P_Type,ROW()-4)="","",TRIM(UPPER(INDEX(P_Type,ROW()-4))))</f>
        <v/>
      </c>
      <c r="D380">
        <f>IF(INDEX(L_Type,ROW()-4)="","",TRIM(UPPER(INDEX(L_Type,ROW()-4))))</f>
        <v/>
      </c>
      <c r="E380">
        <f>IF(INDEX(P_Status,ROW()-4)="","",TRIM(UPPER(INDEX(P_Status,ROW()-4))))</f>
        <v/>
      </c>
      <c r="G380">
        <f>IF(INDEX(L_Status,ROW()-4)="","",TRIM(UPPER(INDEX(L_Status,ROW()-4))))</f>
        <v/>
      </c>
      <c r="J380">
        <f>IF(INDEX(L_ID,ROW()-4)="","",IF(SUMPRODUCT((P_ID=INDEX(L_ID,ROW()-4))*(P_StatusN="INACTIVE"))&gt;0,1,0))</f>
        <v/>
      </c>
    </row>
    <row r="381">
      <c r="A381">
        <f>IF(INDEX(L_ID,ROW()-4)="","",IF(COUNTIF(P_ID,INDEX(L_ID,ROW()-4))&gt;0,1,0))</f>
        <v/>
      </c>
      <c r="B381">
        <f>IF(INDEX(P_Type,ROW()-4)="","",TRIM(UPPER(INDEX(P_Type,ROW()-4))))</f>
        <v/>
      </c>
      <c r="D381">
        <f>IF(INDEX(L_Type,ROW()-4)="","",TRIM(UPPER(INDEX(L_Type,ROW()-4))))</f>
        <v/>
      </c>
      <c r="E381">
        <f>IF(INDEX(P_Status,ROW()-4)="","",TRIM(UPPER(INDEX(P_Status,ROW()-4))))</f>
        <v/>
      </c>
      <c r="G381">
        <f>IF(INDEX(L_Status,ROW()-4)="","",TRIM(UPPER(INDEX(L_Status,ROW()-4))))</f>
        <v/>
      </c>
      <c r="J381">
        <f>IF(INDEX(L_ID,ROW()-4)="","",IF(SUMPRODUCT((P_ID=INDEX(L_ID,ROW()-4))*(P_StatusN="INACTIVE"))&gt;0,1,0))</f>
        <v/>
      </c>
    </row>
    <row r="382">
      <c r="A382">
        <f>IF(INDEX(L_ID,ROW()-4)="","",IF(COUNTIF(P_ID,INDEX(L_ID,ROW()-4))&gt;0,1,0))</f>
        <v/>
      </c>
      <c r="B382">
        <f>IF(INDEX(P_Type,ROW()-4)="","",TRIM(UPPER(INDEX(P_Type,ROW()-4))))</f>
        <v/>
      </c>
      <c r="D382">
        <f>IF(INDEX(L_Type,ROW()-4)="","",TRIM(UPPER(INDEX(L_Type,ROW()-4))))</f>
        <v/>
      </c>
      <c r="E382">
        <f>IF(INDEX(P_Status,ROW()-4)="","",TRIM(UPPER(INDEX(P_Status,ROW()-4))))</f>
        <v/>
      </c>
      <c r="G382">
        <f>IF(INDEX(L_Status,ROW()-4)="","",TRIM(UPPER(INDEX(L_Status,ROW()-4))))</f>
        <v/>
      </c>
      <c r="J382">
        <f>IF(INDEX(L_ID,ROW()-4)="","",IF(SUMPRODUCT((P_ID=INDEX(L_ID,ROW()-4))*(P_StatusN="INACTIVE"))&gt;0,1,0))</f>
        <v/>
      </c>
    </row>
    <row r="383">
      <c r="A383">
        <f>IF(INDEX(L_ID,ROW()-4)="","",IF(COUNTIF(P_ID,INDEX(L_ID,ROW()-4))&gt;0,1,0))</f>
        <v/>
      </c>
      <c r="B383">
        <f>IF(INDEX(P_Type,ROW()-4)="","",TRIM(UPPER(INDEX(P_Type,ROW()-4))))</f>
        <v/>
      </c>
      <c r="D383">
        <f>IF(INDEX(L_Type,ROW()-4)="","",TRIM(UPPER(INDEX(L_Type,ROW()-4))))</f>
        <v/>
      </c>
      <c r="E383">
        <f>IF(INDEX(P_Status,ROW()-4)="","",TRIM(UPPER(INDEX(P_Status,ROW()-4))))</f>
        <v/>
      </c>
      <c r="G383">
        <f>IF(INDEX(L_Status,ROW()-4)="","",TRIM(UPPER(INDEX(L_Status,ROW()-4))))</f>
        <v/>
      </c>
      <c r="J383">
        <f>IF(INDEX(L_ID,ROW()-4)="","",IF(SUMPRODUCT((P_ID=INDEX(L_ID,ROW()-4))*(P_StatusN="INACTIVE"))&gt;0,1,0))</f>
        <v/>
      </c>
    </row>
    <row r="384">
      <c r="A384">
        <f>IF(INDEX(L_ID,ROW()-4)="","",IF(COUNTIF(P_ID,INDEX(L_ID,ROW()-4))&gt;0,1,0))</f>
        <v/>
      </c>
      <c r="B384">
        <f>IF(INDEX(P_Type,ROW()-4)="","",TRIM(UPPER(INDEX(P_Type,ROW()-4))))</f>
        <v/>
      </c>
      <c r="D384">
        <f>IF(INDEX(L_Type,ROW()-4)="","",TRIM(UPPER(INDEX(L_Type,ROW()-4))))</f>
        <v/>
      </c>
      <c r="E384">
        <f>IF(INDEX(P_Status,ROW()-4)="","",TRIM(UPPER(INDEX(P_Status,ROW()-4))))</f>
        <v/>
      </c>
      <c r="G384">
        <f>IF(INDEX(L_Status,ROW()-4)="","",TRIM(UPPER(INDEX(L_Status,ROW()-4))))</f>
        <v/>
      </c>
      <c r="J384">
        <f>IF(INDEX(L_ID,ROW()-4)="","",IF(SUMPRODUCT((P_ID=INDEX(L_ID,ROW()-4))*(P_StatusN="INACTIVE"))&gt;0,1,0))</f>
        <v/>
      </c>
    </row>
    <row r="385">
      <c r="A385">
        <f>IF(INDEX(L_ID,ROW()-4)="","",IF(COUNTIF(P_ID,INDEX(L_ID,ROW()-4))&gt;0,1,0))</f>
        <v/>
      </c>
      <c r="B385">
        <f>IF(INDEX(P_Type,ROW()-4)="","",TRIM(UPPER(INDEX(P_Type,ROW()-4))))</f>
        <v/>
      </c>
      <c r="D385">
        <f>IF(INDEX(L_Type,ROW()-4)="","",TRIM(UPPER(INDEX(L_Type,ROW()-4))))</f>
        <v/>
      </c>
      <c r="E385">
        <f>IF(INDEX(P_Status,ROW()-4)="","",TRIM(UPPER(INDEX(P_Status,ROW()-4))))</f>
        <v/>
      </c>
      <c r="G385">
        <f>IF(INDEX(L_Status,ROW()-4)="","",TRIM(UPPER(INDEX(L_Status,ROW()-4))))</f>
        <v/>
      </c>
      <c r="J385">
        <f>IF(INDEX(L_ID,ROW()-4)="","",IF(SUMPRODUCT((P_ID=INDEX(L_ID,ROW()-4))*(P_StatusN="INACTIVE"))&gt;0,1,0))</f>
        <v/>
      </c>
    </row>
    <row r="386">
      <c r="A386">
        <f>IF(INDEX(L_ID,ROW()-4)="","",IF(COUNTIF(P_ID,INDEX(L_ID,ROW()-4))&gt;0,1,0))</f>
        <v/>
      </c>
      <c r="B386">
        <f>IF(INDEX(P_Type,ROW()-4)="","",TRIM(UPPER(INDEX(P_Type,ROW()-4))))</f>
        <v/>
      </c>
      <c r="D386">
        <f>IF(INDEX(L_Type,ROW()-4)="","",TRIM(UPPER(INDEX(L_Type,ROW()-4))))</f>
        <v/>
      </c>
      <c r="E386">
        <f>IF(INDEX(P_Status,ROW()-4)="","",TRIM(UPPER(INDEX(P_Status,ROW()-4))))</f>
        <v/>
      </c>
      <c r="G386">
        <f>IF(INDEX(L_Status,ROW()-4)="","",TRIM(UPPER(INDEX(L_Status,ROW()-4))))</f>
        <v/>
      </c>
      <c r="J386">
        <f>IF(INDEX(L_ID,ROW()-4)="","",IF(SUMPRODUCT((P_ID=INDEX(L_ID,ROW()-4))*(P_StatusN="INACTIVE"))&gt;0,1,0))</f>
        <v/>
      </c>
    </row>
    <row r="387">
      <c r="A387">
        <f>IF(INDEX(L_ID,ROW()-4)="","",IF(COUNTIF(P_ID,INDEX(L_ID,ROW()-4))&gt;0,1,0))</f>
        <v/>
      </c>
      <c r="B387">
        <f>IF(INDEX(P_Type,ROW()-4)="","",TRIM(UPPER(INDEX(P_Type,ROW()-4))))</f>
        <v/>
      </c>
      <c r="D387">
        <f>IF(INDEX(L_Type,ROW()-4)="","",TRIM(UPPER(INDEX(L_Type,ROW()-4))))</f>
        <v/>
      </c>
      <c r="E387">
        <f>IF(INDEX(P_Status,ROW()-4)="","",TRIM(UPPER(INDEX(P_Status,ROW()-4))))</f>
        <v/>
      </c>
      <c r="G387">
        <f>IF(INDEX(L_Status,ROW()-4)="","",TRIM(UPPER(INDEX(L_Status,ROW()-4))))</f>
        <v/>
      </c>
      <c r="J387">
        <f>IF(INDEX(L_ID,ROW()-4)="","",IF(SUMPRODUCT((P_ID=INDEX(L_ID,ROW()-4))*(P_StatusN="INACTIVE"))&gt;0,1,0))</f>
        <v/>
      </c>
    </row>
    <row r="388">
      <c r="A388">
        <f>IF(INDEX(L_ID,ROW()-4)="","",IF(COUNTIF(P_ID,INDEX(L_ID,ROW()-4))&gt;0,1,0))</f>
        <v/>
      </c>
      <c r="B388">
        <f>IF(INDEX(P_Type,ROW()-4)="","",TRIM(UPPER(INDEX(P_Type,ROW()-4))))</f>
        <v/>
      </c>
      <c r="D388">
        <f>IF(INDEX(L_Type,ROW()-4)="","",TRIM(UPPER(INDEX(L_Type,ROW()-4))))</f>
        <v/>
      </c>
      <c r="E388">
        <f>IF(INDEX(P_Status,ROW()-4)="","",TRIM(UPPER(INDEX(P_Status,ROW()-4))))</f>
        <v/>
      </c>
      <c r="G388">
        <f>IF(INDEX(L_Status,ROW()-4)="","",TRIM(UPPER(INDEX(L_Status,ROW()-4))))</f>
        <v/>
      </c>
      <c r="J388">
        <f>IF(INDEX(L_ID,ROW()-4)="","",IF(SUMPRODUCT((P_ID=INDEX(L_ID,ROW()-4))*(P_StatusN="INACTIVE"))&gt;0,1,0))</f>
        <v/>
      </c>
    </row>
    <row r="389">
      <c r="A389">
        <f>IF(INDEX(L_ID,ROW()-4)="","",IF(COUNTIF(P_ID,INDEX(L_ID,ROW()-4))&gt;0,1,0))</f>
        <v/>
      </c>
      <c r="B389">
        <f>IF(INDEX(P_Type,ROW()-4)="","",TRIM(UPPER(INDEX(P_Type,ROW()-4))))</f>
        <v/>
      </c>
      <c r="D389">
        <f>IF(INDEX(L_Type,ROW()-4)="","",TRIM(UPPER(INDEX(L_Type,ROW()-4))))</f>
        <v/>
      </c>
      <c r="E389">
        <f>IF(INDEX(P_Status,ROW()-4)="","",TRIM(UPPER(INDEX(P_Status,ROW()-4))))</f>
        <v/>
      </c>
      <c r="G389">
        <f>IF(INDEX(L_Status,ROW()-4)="","",TRIM(UPPER(INDEX(L_Status,ROW()-4))))</f>
        <v/>
      </c>
      <c r="J389">
        <f>IF(INDEX(L_ID,ROW()-4)="","",IF(SUMPRODUCT((P_ID=INDEX(L_ID,ROW()-4))*(P_StatusN="INACTIVE"))&gt;0,1,0))</f>
        <v/>
      </c>
    </row>
    <row r="390">
      <c r="A390">
        <f>IF(INDEX(L_ID,ROW()-4)="","",IF(COUNTIF(P_ID,INDEX(L_ID,ROW()-4))&gt;0,1,0))</f>
        <v/>
      </c>
      <c r="B390">
        <f>IF(INDEX(P_Type,ROW()-4)="","",TRIM(UPPER(INDEX(P_Type,ROW()-4))))</f>
        <v/>
      </c>
      <c r="D390">
        <f>IF(INDEX(L_Type,ROW()-4)="","",TRIM(UPPER(INDEX(L_Type,ROW()-4))))</f>
        <v/>
      </c>
      <c r="E390">
        <f>IF(INDEX(P_Status,ROW()-4)="","",TRIM(UPPER(INDEX(P_Status,ROW()-4))))</f>
        <v/>
      </c>
      <c r="G390">
        <f>IF(INDEX(L_Status,ROW()-4)="","",TRIM(UPPER(INDEX(L_Status,ROW()-4))))</f>
        <v/>
      </c>
      <c r="J390">
        <f>IF(INDEX(L_ID,ROW()-4)="","",IF(SUMPRODUCT((P_ID=INDEX(L_ID,ROW()-4))*(P_StatusN="INACTIVE"))&gt;0,1,0))</f>
        <v/>
      </c>
    </row>
    <row r="391">
      <c r="A391">
        <f>IF(INDEX(L_ID,ROW()-4)="","",IF(COUNTIF(P_ID,INDEX(L_ID,ROW()-4))&gt;0,1,0))</f>
        <v/>
      </c>
      <c r="B391">
        <f>IF(INDEX(P_Type,ROW()-4)="","",TRIM(UPPER(INDEX(P_Type,ROW()-4))))</f>
        <v/>
      </c>
      <c r="D391">
        <f>IF(INDEX(L_Type,ROW()-4)="","",TRIM(UPPER(INDEX(L_Type,ROW()-4))))</f>
        <v/>
      </c>
      <c r="E391">
        <f>IF(INDEX(P_Status,ROW()-4)="","",TRIM(UPPER(INDEX(P_Status,ROW()-4))))</f>
        <v/>
      </c>
      <c r="G391">
        <f>IF(INDEX(L_Status,ROW()-4)="","",TRIM(UPPER(INDEX(L_Status,ROW()-4))))</f>
        <v/>
      </c>
      <c r="J391">
        <f>IF(INDEX(L_ID,ROW()-4)="","",IF(SUMPRODUCT((P_ID=INDEX(L_ID,ROW()-4))*(P_StatusN="INACTIVE"))&gt;0,1,0))</f>
        <v/>
      </c>
    </row>
    <row r="392">
      <c r="A392">
        <f>IF(INDEX(L_ID,ROW()-4)="","",IF(COUNTIF(P_ID,INDEX(L_ID,ROW()-4))&gt;0,1,0))</f>
        <v/>
      </c>
      <c r="B392">
        <f>IF(INDEX(P_Type,ROW()-4)="","",TRIM(UPPER(INDEX(P_Type,ROW()-4))))</f>
        <v/>
      </c>
      <c r="D392">
        <f>IF(INDEX(L_Type,ROW()-4)="","",TRIM(UPPER(INDEX(L_Type,ROW()-4))))</f>
        <v/>
      </c>
      <c r="E392">
        <f>IF(INDEX(P_Status,ROW()-4)="","",TRIM(UPPER(INDEX(P_Status,ROW()-4))))</f>
        <v/>
      </c>
      <c r="G392">
        <f>IF(INDEX(L_Status,ROW()-4)="","",TRIM(UPPER(INDEX(L_Status,ROW()-4))))</f>
        <v/>
      </c>
      <c r="J392">
        <f>IF(INDEX(L_ID,ROW()-4)="","",IF(SUMPRODUCT((P_ID=INDEX(L_ID,ROW()-4))*(P_StatusN="INACTIVE"))&gt;0,1,0))</f>
        <v/>
      </c>
    </row>
    <row r="393">
      <c r="A393">
        <f>IF(INDEX(L_ID,ROW()-4)="","",IF(COUNTIF(P_ID,INDEX(L_ID,ROW()-4))&gt;0,1,0))</f>
        <v/>
      </c>
      <c r="B393">
        <f>IF(INDEX(P_Type,ROW()-4)="","",TRIM(UPPER(INDEX(P_Type,ROW()-4))))</f>
        <v/>
      </c>
      <c r="D393">
        <f>IF(INDEX(L_Type,ROW()-4)="","",TRIM(UPPER(INDEX(L_Type,ROW()-4))))</f>
        <v/>
      </c>
      <c r="E393">
        <f>IF(INDEX(P_Status,ROW()-4)="","",TRIM(UPPER(INDEX(P_Status,ROW()-4))))</f>
        <v/>
      </c>
      <c r="G393">
        <f>IF(INDEX(L_Status,ROW()-4)="","",TRIM(UPPER(INDEX(L_Status,ROW()-4))))</f>
        <v/>
      </c>
      <c r="J393">
        <f>IF(INDEX(L_ID,ROW()-4)="","",IF(SUMPRODUCT((P_ID=INDEX(L_ID,ROW()-4))*(P_StatusN="INACTIVE"))&gt;0,1,0))</f>
        <v/>
      </c>
    </row>
    <row r="394">
      <c r="A394">
        <f>IF(INDEX(L_ID,ROW()-4)="","",IF(COUNTIF(P_ID,INDEX(L_ID,ROW()-4))&gt;0,1,0))</f>
        <v/>
      </c>
      <c r="B394">
        <f>IF(INDEX(P_Type,ROW()-4)="","",TRIM(UPPER(INDEX(P_Type,ROW()-4))))</f>
        <v/>
      </c>
      <c r="D394">
        <f>IF(INDEX(L_Type,ROW()-4)="","",TRIM(UPPER(INDEX(L_Type,ROW()-4))))</f>
        <v/>
      </c>
      <c r="E394">
        <f>IF(INDEX(P_Status,ROW()-4)="","",TRIM(UPPER(INDEX(P_Status,ROW()-4))))</f>
        <v/>
      </c>
      <c r="G394">
        <f>IF(INDEX(L_Status,ROW()-4)="","",TRIM(UPPER(INDEX(L_Status,ROW()-4))))</f>
        <v/>
      </c>
      <c r="J394">
        <f>IF(INDEX(L_ID,ROW()-4)="","",IF(SUMPRODUCT((P_ID=INDEX(L_ID,ROW()-4))*(P_StatusN="INACTIVE"))&gt;0,1,0))</f>
        <v/>
      </c>
    </row>
    <row r="395">
      <c r="A395">
        <f>IF(INDEX(L_ID,ROW()-4)="","",IF(COUNTIF(P_ID,INDEX(L_ID,ROW()-4))&gt;0,1,0))</f>
        <v/>
      </c>
      <c r="B395">
        <f>IF(INDEX(P_Type,ROW()-4)="","",TRIM(UPPER(INDEX(P_Type,ROW()-4))))</f>
        <v/>
      </c>
      <c r="D395">
        <f>IF(INDEX(L_Type,ROW()-4)="","",TRIM(UPPER(INDEX(L_Type,ROW()-4))))</f>
        <v/>
      </c>
      <c r="E395">
        <f>IF(INDEX(P_Status,ROW()-4)="","",TRIM(UPPER(INDEX(P_Status,ROW()-4))))</f>
        <v/>
      </c>
      <c r="G395">
        <f>IF(INDEX(L_Status,ROW()-4)="","",TRIM(UPPER(INDEX(L_Status,ROW()-4))))</f>
        <v/>
      </c>
      <c r="J395">
        <f>IF(INDEX(L_ID,ROW()-4)="","",IF(SUMPRODUCT((P_ID=INDEX(L_ID,ROW()-4))*(P_StatusN="INACTIVE"))&gt;0,1,0))</f>
        <v/>
      </c>
    </row>
    <row r="396">
      <c r="A396">
        <f>IF(INDEX(L_ID,ROW()-4)="","",IF(COUNTIF(P_ID,INDEX(L_ID,ROW()-4))&gt;0,1,0))</f>
        <v/>
      </c>
      <c r="B396">
        <f>IF(INDEX(P_Type,ROW()-4)="","",TRIM(UPPER(INDEX(P_Type,ROW()-4))))</f>
        <v/>
      </c>
      <c r="D396">
        <f>IF(INDEX(L_Type,ROW()-4)="","",TRIM(UPPER(INDEX(L_Type,ROW()-4))))</f>
        <v/>
      </c>
      <c r="E396">
        <f>IF(INDEX(P_Status,ROW()-4)="","",TRIM(UPPER(INDEX(P_Status,ROW()-4))))</f>
        <v/>
      </c>
      <c r="G396">
        <f>IF(INDEX(L_Status,ROW()-4)="","",TRIM(UPPER(INDEX(L_Status,ROW()-4))))</f>
        <v/>
      </c>
      <c r="J396">
        <f>IF(INDEX(L_ID,ROW()-4)="","",IF(SUMPRODUCT((P_ID=INDEX(L_ID,ROW()-4))*(P_StatusN="INACTIVE"))&gt;0,1,0))</f>
        <v/>
      </c>
    </row>
    <row r="397">
      <c r="A397">
        <f>IF(INDEX(L_ID,ROW()-4)="","",IF(COUNTIF(P_ID,INDEX(L_ID,ROW()-4))&gt;0,1,0))</f>
        <v/>
      </c>
      <c r="B397">
        <f>IF(INDEX(P_Type,ROW()-4)="","",TRIM(UPPER(INDEX(P_Type,ROW()-4))))</f>
        <v/>
      </c>
      <c r="D397">
        <f>IF(INDEX(L_Type,ROW()-4)="","",TRIM(UPPER(INDEX(L_Type,ROW()-4))))</f>
        <v/>
      </c>
      <c r="E397">
        <f>IF(INDEX(P_Status,ROW()-4)="","",TRIM(UPPER(INDEX(P_Status,ROW()-4))))</f>
        <v/>
      </c>
      <c r="G397">
        <f>IF(INDEX(L_Status,ROW()-4)="","",TRIM(UPPER(INDEX(L_Status,ROW()-4))))</f>
        <v/>
      </c>
      <c r="J397">
        <f>IF(INDEX(L_ID,ROW()-4)="","",IF(SUMPRODUCT((P_ID=INDEX(L_ID,ROW()-4))*(P_StatusN="INACTIVE"))&gt;0,1,0))</f>
        <v/>
      </c>
    </row>
    <row r="398">
      <c r="A398">
        <f>IF(INDEX(L_ID,ROW()-4)="","",IF(COUNTIF(P_ID,INDEX(L_ID,ROW()-4))&gt;0,1,0))</f>
        <v/>
      </c>
      <c r="B398">
        <f>IF(INDEX(P_Type,ROW()-4)="","",TRIM(UPPER(INDEX(P_Type,ROW()-4))))</f>
        <v/>
      </c>
      <c r="D398">
        <f>IF(INDEX(L_Type,ROW()-4)="","",TRIM(UPPER(INDEX(L_Type,ROW()-4))))</f>
        <v/>
      </c>
      <c r="E398">
        <f>IF(INDEX(P_Status,ROW()-4)="","",TRIM(UPPER(INDEX(P_Status,ROW()-4))))</f>
        <v/>
      </c>
      <c r="G398">
        <f>IF(INDEX(L_Status,ROW()-4)="","",TRIM(UPPER(INDEX(L_Status,ROW()-4))))</f>
        <v/>
      </c>
      <c r="J398">
        <f>IF(INDEX(L_ID,ROW()-4)="","",IF(SUMPRODUCT((P_ID=INDEX(L_ID,ROW()-4))*(P_StatusN="INACTIVE"))&gt;0,1,0))</f>
        <v/>
      </c>
    </row>
    <row r="399">
      <c r="A399">
        <f>IF(INDEX(L_ID,ROW()-4)="","",IF(COUNTIF(P_ID,INDEX(L_ID,ROW()-4))&gt;0,1,0))</f>
        <v/>
      </c>
      <c r="B399">
        <f>IF(INDEX(P_Type,ROW()-4)="","",TRIM(UPPER(INDEX(P_Type,ROW()-4))))</f>
        <v/>
      </c>
      <c r="D399">
        <f>IF(INDEX(L_Type,ROW()-4)="","",TRIM(UPPER(INDEX(L_Type,ROW()-4))))</f>
        <v/>
      </c>
      <c r="E399">
        <f>IF(INDEX(P_Status,ROW()-4)="","",TRIM(UPPER(INDEX(P_Status,ROW()-4))))</f>
        <v/>
      </c>
      <c r="G399">
        <f>IF(INDEX(L_Status,ROW()-4)="","",TRIM(UPPER(INDEX(L_Status,ROW()-4))))</f>
        <v/>
      </c>
      <c r="J399">
        <f>IF(INDEX(L_ID,ROW()-4)="","",IF(SUMPRODUCT((P_ID=INDEX(L_ID,ROW()-4))*(P_StatusN="INACTIVE"))&gt;0,1,0))</f>
        <v/>
      </c>
    </row>
    <row r="400">
      <c r="A400">
        <f>IF(INDEX(L_ID,ROW()-4)="","",IF(COUNTIF(P_ID,INDEX(L_ID,ROW()-4))&gt;0,1,0))</f>
        <v/>
      </c>
      <c r="B400">
        <f>IF(INDEX(P_Type,ROW()-4)="","",TRIM(UPPER(INDEX(P_Type,ROW()-4))))</f>
        <v/>
      </c>
      <c r="D400">
        <f>IF(INDEX(L_Type,ROW()-4)="","",TRIM(UPPER(INDEX(L_Type,ROW()-4))))</f>
        <v/>
      </c>
      <c r="E400">
        <f>IF(INDEX(P_Status,ROW()-4)="","",TRIM(UPPER(INDEX(P_Status,ROW()-4))))</f>
        <v/>
      </c>
      <c r="G400">
        <f>IF(INDEX(L_Status,ROW()-4)="","",TRIM(UPPER(INDEX(L_Status,ROW()-4))))</f>
        <v/>
      </c>
      <c r="J400">
        <f>IF(INDEX(L_ID,ROW()-4)="","",IF(SUMPRODUCT((P_ID=INDEX(L_ID,ROW()-4))*(P_StatusN="INACTIVE"))&gt;0,1,0))</f>
        <v/>
      </c>
    </row>
    <row r="401">
      <c r="A401">
        <f>IF(INDEX(L_ID,ROW()-4)="","",IF(COUNTIF(P_ID,INDEX(L_ID,ROW()-4))&gt;0,1,0))</f>
        <v/>
      </c>
      <c r="B401">
        <f>IF(INDEX(P_Type,ROW()-4)="","",TRIM(UPPER(INDEX(P_Type,ROW()-4))))</f>
        <v/>
      </c>
      <c r="D401">
        <f>IF(INDEX(L_Type,ROW()-4)="","",TRIM(UPPER(INDEX(L_Type,ROW()-4))))</f>
        <v/>
      </c>
      <c r="E401">
        <f>IF(INDEX(P_Status,ROW()-4)="","",TRIM(UPPER(INDEX(P_Status,ROW()-4))))</f>
        <v/>
      </c>
      <c r="G401">
        <f>IF(INDEX(L_Status,ROW()-4)="","",TRIM(UPPER(INDEX(L_Status,ROW()-4))))</f>
        <v/>
      </c>
      <c r="J401">
        <f>IF(INDEX(L_ID,ROW()-4)="","",IF(SUMPRODUCT((P_ID=INDEX(L_ID,ROW()-4))*(P_StatusN="INACTIVE"))&gt;0,1,0))</f>
        <v/>
      </c>
    </row>
    <row r="402">
      <c r="A402">
        <f>IF(INDEX(L_ID,ROW()-4)="","",IF(COUNTIF(P_ID,INDEX(L_ID,ROW()-4))&gt;0,1,0))</f>
        <v/>
      </c>
      <c r="B402">
        <f>IF(INDEX(P_Type,ROW()-4)="","",TRIM(UPPER(INDEX(P_Type,ROW()-4))))</f>
        <v/>
      </c>
      <c r="D402">
        <f>IF(INDEX(L_Type,ROW()-4)="","",TRIM(UPPER(INDEX(L_Type,ROW()-4))))</f>
        <v/>
      </c>
      <c r="E402">
        <f>IF(INDEX(P_Status,ROW()-4)="","",TRIM(UPPER(INDEX(P_Status,ROW()-4))))</f>
        <v/>
      </c>
      <c r="G402">
        <f>IF(INDEX(L_Status,ROW()-4)="","",TRIM(UPPER(INDEX(L_Status,ROW()-4))))</f>
        <v/>
      </c>
      <c r="J402">
        <f>IF(INDEX(L_ID,ROW()-4)="","",IF(SUMPRODUCT((P_ID=INDEX(L_ID,ROW()-4))*(P_StatusN="INACTIVE"))&gt;0,1,0))</f>
        <v/>
      </c>
    </row>
    <row r="403">
      <c r="A403">
        <f>IF(INDEX(L_ID,ROW()-4)="","",IF(COUNTIF(P_ID,INDEX(L_ID,ROW()-4))&gt;0,1,0))</f>
        <v/>
      </c>
      <c r="B403">
        <f>IF(INDEX(P_Type,ROW()-4)="","",TRIM(UPPER(INDEX(P_Type,ROW()-4))))</f>
        <v/>
      </c>
      <c r="D403">
        <f>IF(INDEX(L_Type,ROW()-4)="","",TRIM(UPPER(INDEX(L_Type,ROW()-4))))</f>
        <v/>
      </c>
      <c r="E403">
        <f>IF(INDEX(P_Status,ROW()-4)="","",TRIM(UPPER(INDEX(P_Status,ROW()-4))))</f>
        <v/>
      </c>
      <c r="G403">
        <f>IF(INDEX(L_Status,ROW()-4)="","",TRIM(UPPER(INDEX(L_Status,ROW()-4))))</f>
        <v/>
      </c>
      <c r="J403">
        <f>IF(INDEX(L_ID,ROW()-4)="","",IF(SUMPRODUCT((P_ID=INDEX(L_ID,ROW()-4))*(P_StatusN="INACTIVE"))&gt;0,1,0))</f>
        <v/>
      </c>
    </row>
    <row r="404">
      <c r="A404">
        <f>IF(INDEX(L_ID,ROW()-4)="","",IF(COUNTIF(P_ID,INDEX(L_ID,ROW()-4))&gt;0,1,0))</f>
        <v/>
      </c>
      <c r="B404">
        <f>IF(INDEX(P_Type,ROW()-4)="","",TRIM(UPPER(INDEX(P_Type,ROW()-4))))</f>
        <v/>
      </c>
      <c r="D404">
        <f>IF(INDEX(L_Type,ROW()-4)="","",TRIM(UPPER(INDEX(L_Type,ROW()-4))))</f>
        <v/>
      </c>
      <c r="E404">
        <f>IF(INDEX(P_Status,ROW()-4)="","",TRIM(UPPER(INDEX(P_Status,ROW()-4))))</f>
        <v/>
      </c>
      <c r="G404">
        <f>IF(INDEX(L_Status,ROW()-4)="","",TRIM(UPPER(INDEX(L_Status,ROW()-4))))</f>
        <v/>
      </c>
      <c r="J404">
        <f>IF(INDEX(L_ID,ROW()-4)="","",IF(SUMPRODUCT((P_ID=INDEX(L_ID,ROW()-4))*(P_StatusN="INACTIVE"))&gt;0,1,0))</f>
        <v/>
      </c>
    </row>
    <row r="405">
      <c r="A405">
        <f>IF(INDEX(L_ID,ROW()-4)="","",IF(COUNTIF(P_ID,INDEX(L_ID,ROW()-4))&gt;0,1,0))</f>
        <v/>
      </c>
      <c r="B405">
        <f>IF(INDEX(P_Type,ROW()-4)="","",TRIM(UPPER(INDEX(P_Type,ROW()-4))))</f>
        <v/>
      </c>
      <c r="D405">
        <f>IF(INDEX(L_Type,ROW()-4)="","",TRIM(UPPER(INDEX(L_Type,ROW()-4))))</f>
        <v/>
      </c>
      <c r="E405">
        <f>IF(INDEX(P_Status,ROW()-4)="","",TRIM(UPPER(INDEX(P_Status,ROW()-4))))</f>
        <v/>
      </c>
      <c r="G405">
        <f>IF(INDEX(L_Status,ROW()-4)="","",TRIM(UPPER(INDEX(L_Status,ROW()-4))))</f>
        <v/>
      </c>
      <c r="J405">
        <f>IF(INDEX(L_ID,ROW()-4)="","",IF(SUMPRODUCT((P_ID=INDEX(L_ID,ROW()-4))*(P_StatusN="INACTIVE"))&gt;0,1,0))</f>
        <v/>
      </c>
    </row>
    <row r="406">
      <c r="A406">
        <f>IF(INDEX(L_ID,ROW()-4)="","",IF(COUNTIF(P_ID,INDEX(L_ID,ROW()-4))&gt;0,1,0))</f>
        <v/>
      </c>
      <c r="B406">
        <f>IF(INDEX(P_Type,ROW()-4)="","",TRIM(UPPER(INDEX(P_Type,ROW()-4))))</f>
        <v/>
      </c>
      <c r="D406">
        <f>IF(INDEX(L_Type,ROW()-4)="","",TRIM(UPPER(INDEX(L_Type,ROW()-4))))</f>
        <v/>
      </c>
      <c r="E406">
        <f>IF(INDEX(P_Status,ROW()-4)="","",TRIM(UPPER(INDEX(P_Status,ROW()-4))))</f>
        <v/>
      </c>
      <c r="G406">
        <f>IF(INDEX(L_Status,ROW()-4)="","",TRIM(UPPER(INDEX(L_Status,ROW()-4))))</f>
        <v/>
      </c>
      <c r="J406">
        <f>IF(INDEX(L_ID,ROW()-4)="","",IF(SUMPRODUCT((P_ID=INDEX(L_ID,ROW()-4))*(P_StatusN="INACTIVE"))&gt;0,1,0))</f>
        <v/>
      </c>
    </row>
    <row r="407">
      <c r="A407">
        <f>IF(INDEX(L_ID,ROW()-4)="","",IF(COUNTIF(P_ID,INDEX(L_ID,ROW()-4))&gt;0,1,0))</f>
        <v/>
      </c>
      <c r="B407">
        <f>IF(INDEX(P_Type,ROW()-4)="","",TRIM(UPPER(INDEX(P_Type,ROW()-4))))</f>
        <v/>
      </c>
      <c r="D407">
        <f>IF(INDEX(L_Type,ROW()-4)="","",TRIM(UPPER(INDEX(L_Type,ROW()-4))))</f>
        <v/>
      </c>
      <c r="E407">
        <f>IF(INDEX(P_Status,ROW()-4)="","",TRIM(UPPER(INDEX(P_Status,ROW()-4))))</f>
        <v/>
      </c>
      <c r="G407">
        <f>IF(INDEX(L_Status,ROW()-4)="","",TRIM(UPPER(INDEX(L_Status,ROW()-4))))</f>
        <v/>
      </c>
      <c r="J407">
        <f>IF(INDEX(L_ID,ROW()-4)="","",IF(SUMPRODUCT((P_ID=INDEX(L_ID,ROW()-4))*(P_StatusN="INACTIVE"))&gt;0,1,0))</f>
        <v/>
      </c>
    </row>
    <row r="408">
      <c r="A408">
        <f>IF(INDEX(L_ID,ROW()-4)="","",IF(COUNTIF(P_ID,INDEX(L_ID,ROW()-4))&gt;0,1,0))</f>
        <v/>
      </c>
      <c r="B408">
        <f>IF(INDEX(P_Type,ROW()-4)="","",TRIM(UPPER(INDEX(P_Type,ROW()-4))))</f>
        <v/>
      </c>
      <c r="D408">
        <f>IF(INDEX(L_Type,ROW()-4)="","",TRIM(UPPER(INDEX(L_Type,ROW()-4))))</f>
        <v/>
      </c>
      <c r="E408">
        <f>IF(INDEX(P_Status,ROW()-4)="","",TRIM(UPPER(INDEX(P_Status,ROW()-4))))</f>
        <v/>
      </c>
      <c r="G408">
        <f>IF(INDEX(L_Status,ROW()-4)="","",TRIM(UPPER(INDEX(L_Status,ROW()-4))))</f>
        <v/>
      </c>
      <c r="J408">
        <f>IF(INDEX(L_ID,ROW()-4)="","",IF(SUMPRODUCT((P_ID=INDEX(L_ID,ROW()-4))*(P_StatusN="INACTIVE"))&gt;0,1,0))</f>
        <v/>
      </c>
    </row>
    <row r="409">
      <c r="A409">
        <f>IF(INDEX(L_ID,ROW()-4)="","",IF(COUNTIF(P_ID,INDEX(L_ID,ROW()-4))&gt;0,1,0))</f>
        <v/>
      </c>
      <c r="B409">
        <f>IF(INDEX(P_Type,ROW()-4)="","",TRIM(UPPER(INDEX(P_Type,ROW()-4))))</f>
        <v/>
      </c>
      <c r="D409">
        <f>IF(INDEX(L_Type,ROW()-4)="","",TRIM(UPPER(INDEX(L_Type,ROW()-4))))</f>
        <v/>
      </c>
      <c r="E409">
        <f>IF(INDEX(P_Status,ROW()-4)="","",TRIM(UPPER(INDEX(P_Status,ROW()-4))))</f>
        <v/>
      </c>
      <c r="G409">
        <f>IF(INDEX(L_Status,ROW()-4)="","",TRIM(UPPER(INDEX(L_Status,ROW()-4))))</f>
        <v/>
      </c>
      <c r="J409">
        <f>IF(INDEX(L_ID,ROW()-4)="","",IF(SUMPRODUCT((P_ID=INDEX(L_ID,ROW()-4))*(P_StatusN="INACTIVE"))&gt;0,1,0))</f>
        <v/>
      </c>
    </row>
    <row r="410">
      <c r="A410">
        <f>IF(INDEX(L_ID,ROW()-4)="","",IF(COUNTIF(P_ID,INDEX(L_ID,ROW()-4))&gt;0,1,0))</f>
        <v/>
      </c>
      <c r="B410">
        <f>IF(INDEX(P_Type,ROW()-4)="","",TRIM(UPPER(INDEX(P_Type,ROW()-4))))</f>
        <v/>
      </c>
      <c r="D410">
        <f>IF(INDEX(L_Type,ROW()-4)="","",TRIM(UPPER(INDEX(L_Type,ROW()-4))))</f>
        <v/>
      </c>
      <c r="E410">
        <f>IF(INDEX(P_Status,ROW()-4)="","",TRIM(UPPER(INDEX(P_Status,ROW()-4))))</f>
        <v/>
      </c>
      <c r="G410">
        <f>IF(INDEX(L_Status,ROW()-4)="","",TRIM(UPPER(INDEX(L_Status,ROW()-4))))</f>
        <v/>
      </c>
      <c r="J410">
        <f>IF(INDEX(L_ID,ROW()-4)="","",IF(SUMPRODUCT((P_ID=INDEX(L_ID,ROW()-4))*(P_StatusN="INACTIVE"))&gt;0,1,0))</f>
        <v/>
      </c>
    </row>
    <row r="411">
      <c r="A411">
        <f>IF(INDEX(L_ID,ROW()-4)="","",IF(COUNTIF(P_ID,INDEX(L_ID,ROW()-4))&gt;0,1,0))</f>
        <v/>
      </c>
      <c r="B411">
        <f>IF(INDEX(P_Type,ROW()-4)="","",TRIM(UPPER(INDEX(P_Type,ROW()-4))))</f>
        <v/>
      </c>
      <c r="D411">
        <f>IF(INDEX(L_Type,ROW()-4)="","",TRIM(UPPER(INDEX(L_Type,ROW()-4))))</f>
        <v/>
      </c>
      <c r="E411">
        <f>IF(INDEX(P_Status,ROW()-4)="","",TRIM(UPPER(INDEX(P_Status,ROW()-4))))</f>
        <v/>
      </c>
      <c r="G411">
        <f>IF(INDEX(L_Status,ROW()-4)="","",TRIM(UPPER(INDEX(L_Status,ROW()-4))))</f>
        <v/>
      </c>
      <c r="J411">
        <f>IF(INDEX(L_ID,ROW()-4)="","",IF(SUMPRODUCT((P_ID=INDEX(L_ID,ROW()-4))*(P_StatusN="INACTIVE"))&gt;0,1,0))</f>
        <v/>
      </c>
    </row>
    <row r="412">
      <c r="A412">
        <f>IF(INDEX(L_ID,ROW()-4)="","",IF(COUNTIF(P_ID,INDEX(L_ID,ROW()-4))&gt;0,1,0))</f>
        <v/>
      </c>
      <c r="B412">
        <f>IF(INDEX(P_Type,ROW()-4)="","",TRIM(UPPER(INDEX(P_Type,ROW()-4))))</f>
        <v/>
      </c>
      <c r="D412">
        <f>IF(INDEX(L_Type,ROW()-4)="","",TRIM(UPPER(INDEX(L_Type,ROW()-4))))</f>
        <v/>
      </c>
      <c r="E412">
        <f>IF(INDEX(P_Status,ROW()-4)="","",TRIM(UPPER(INDEX(P_Status,ROW()-4))))</f>
        <v/>
      </c>
      <c r="G412">
        <f>IF(INDEX(L_Status,ROW()-4)="","",TRIM(UPPER(INDEX(L_Status,ROW()-4))))</f>
        <v/>
      </c>
      <c r="J412">
        <f>IF(INDEX(L_ID,ROW()-4)="","",IF(SUMPRODUCT((P_ID=INDEX(L_ID,ROW()-4))*(P_StatusN="INACTIVE"))&gt;0,1,0))</f>
        <v/>
      </c>
    </row>
    <row r="413">
      <c r="A413">
        <f>IF(INDEX(L_ID,ROW()-4)="","",IF(COUNTIF(P_ID,INDEX(L_ID,ROW()-4))&gt;0,1,0))</f>
        <v/>
      </c>
      <c r="B413">
        <f>IF(INDEX(P_Type,ROW()-4)="","",TRIM(UPPER(INDEX(P_Type,ROW()-4))))</f>
        <v/>
      </c>
      <c r="D413">
        <f>IF(INDEX(L_Type,ROW()-4)="","",TRIM(UPPER(INDEX(L_Type,ROW()-4))))</f>
        <v/>
      </c>
      <c r="E413">
        <f>IF(INDEX(P_Status,ROW()-4)="","",TRIM(UPPER(INDEX(P_Status,ROW()-4))))</f>
        <v/>
      </c>
      <c r="G413">
        <f>IF(INDEX(L_Status,ROW()-4)="","",TRIM(UPPER(INDEX(L_Status,ROW()-4))))</f>
        <v/>
      </c>
      <c r="J413">
        <f>IF(INDEX(L_ID,ROW()-4)="","",IF(SUMPRODUCT((P_ID=INDEX(L_ID,ROW()-4))*(P_StatusN="INACTIVE"))&gt;0,1,0))</f>
        <v/>
      </c>
    </row>
    <row r="414">
      <c r="A414">
        <f>IF(INDEX(L_ID,ROW()-4)="","",IF(COUNTIF(P_ID,INDEX(L_ID,ROW()-4))&gt;0,1,0))</f>
        <v/>
      </c>
      <c r="B414">
        <f>IF(INDEX(P_Type,ROW()-4)="","",TRIM(UPPER(INDEX(P_Type,ROW()-4))))</f>
        <v/>
      </c>
      <c r="D414">
        <f>IF(INDEX(L_Type,ROW()-4)="","",TRIM(UPPER(INDEX(L_Type,ROW()-4))))</f>
        <v/>
      </c>
      <c r="E414">
        <f>IF(INDEX(P_Status,ROW()-4)="","",TRIM(UPPER(INDEX(P_Status,ROW()-4))))</f>
        <v/>
      </c>
      <c r="G414">
        <f>IF(INDEX(L_Status,ROW()-4)="","",TRIM(UPPER(INDEX(L_Status,ROW()-4))))</f>
        <v/>
      </c>
      <c r="J414">
        <f>IF(INDEX(L_ID,ROW()-4)="","",IF(SUMPRODUCT((P_ID=INDEX(L_ID,ROW()-4))*(P_StatusN="INACTIVE"))&gt;0,1,0))</f>
        <v/>
      </c>
    </row>
    <row r="415">
      <c r="A415">
        <f>IF(INDEX(L_ID,ROW()-4)="","",IF(COUNTIF(P_ID,INDEX(L_ID,ROW()-4))&gt;0,1,0))</f>
        <v/>
      </c>
      <c r="B415">
        <f>IF(INDEX(P_Type,ROW()-4)="","",TRIM(UPPER(INDEX(P_Type,ROW()-4))))</f>
        <v/>
      </c>
      <c r="D415">
        <f>IF(INDEX(L_Type,ROW()-4)="","",TRIM(UPPER(INDEX(L_Type,ROW()-4))))</f>
        <v/>
      </c>
      <c r="E415">
        <f>IF(INDEX(P_Status,ROW()-4)="","",TRIM(UPPER(INDEX(P_Status,ROW()-4))))</f>
        <v/>
      </c>
      <c r="G415">
        <f>IF(INDEX(L_Status,ROW()-4)="","",TRIM(UPPER(INDEX(L_Status,ROW()-4))))</f>
        <v/>
      </c>
      <c r="J415">
        <f>IF(INDEX(L_ID,ROW()-4)="","",IF(SUMPRODUCT((P_ID=INDEX(L_ID,ROW()-4))*(P_StatusN="INACTIVE"))&gt;0,1,0))</f>
        <v/>
      </c>
    </row>
    <row r="416">
      <c r="A416">
        <f>IF(INDEX(L_ID,ROW()-4)="","",IF(COUNTIF(P_ID,INDEX(L_ID,ROW()-4))&gt;0,1,0))</f>
        <v/>
      </c>
      <c r="B416">
        <f>IF(INDEX(P_Type,ROW()-4)="","",TRIM(UPPER(INDEX(P_Type,ROW()-4))))</f>
        <v/>
      </c>
      <c r="D416">
        <f>IF(INDEX(L_Type,ROW()-4)="","",TRIM(UPPER(INDEX(L_Type,ROW()-4))))</f>
        <v/>
      </c>
      <c r="E416">
        <f>IF(INDEX(P_Status,ROW()-4)="","",TRIM(UPPER(INDEX(P_Status,ROW()-4))))</f>
        <v/>
      </c>
      <c r="G416">
        <f>IF(INDEX(L_Status,ROW()-4)="","",TRIM(UPPER(INDEX(L_Status,ROW()-4))))</f>
        <v/>
      </c>
      <c r="J416">
        <f>IF(INDEX(L_ID,ROW()-4)="","",IF(SUMPRODUCT((P_ID=INDEX(L_ID,ROW()-4))*(P_StatusN="INACTIVE"))&gt;0,1,0))</f>
        <v/>
      </c>
    </row>
    <row r="417">
      <c r="A417">
        <f>IF(INDEX(L_ID,ROW()-4)="","",IF(COUNTIF(P_ID,INDEX(L_ID,ROW()-4))&gt;0,1,0))</f>
        <v/>
      </c>
      <c r="B417">
        <f>IF(INDEX(P_Type,ROW()-4)="","",TRIM(UPPER(INDEX(P_Type,ROW()-4))))</f>
        <v/>
      </c>
      <c r="D417">
        <f>IF(INDEX(L_Type,ROW()-4)="","",TRIM(UPPER(INDEX(L_Type,ROW()-4))))</f>
        <v/>
      </c>
      <c r="E417">
        <f>IF(INDEX(P_Status,ROW()-4)="","",TRIM(UPPER(INDEX(P_Status,ROW()-4))))</f>
        <v/>
      </c>
      <c r="G417">
        <f>IF(INDEX(L_Status,ROW()-4)="","",TRIM(UPPER(INDEX(L_Status,ROW()-4))))</f>
        <v/>
      </c>
      <c r="J417">
        <f>IF(INDEX(L_ID,ROW()-4)="","",IF(SUMPRODUCT((P_ID=INDEX(L_ID,ROW()-4))*(P_StatusN="INACTIVE"))&gt;0,1,0))</f>
        <v/>
      </c>
    </row>
    <row r="418">
      <c r="A418">
        <f>IF(INDEX(L_ID,ROW()-4)="","",IF(COUNTIF(P_ID,INDEX(L_ID,ROW()-4))&gt;0,1,0))</f>
        <v/>
      </c>
      <c r="B418">
        <f>IF(INDEX(P_Type,ROW()-4)="","",TRIM(UPPER(INDEX(P_Type,ROW()-4))))</f>
        <v/>
      </c>
      <c r="D418">
        <f>IF(INDEX(L_Type,ROW()-4)="","",TRIM(UPPER(INDEX(L_Type,ROW()-4))))</f>
        <v/>
      </c>
      <c r="E418">
        <f>IF(INDEX(P_Status,ROW()-4)="","",TRIM(UPPER(INDEX(P_Status,ROW()-4))))</f>
        <v/>
      </c>
      <c r="G418">
        <f>IF(INDEX(L_Status,ROW()-4)="","",TRIM(UPPER(INDEX(L_Status,ROW()-4))))</f>
        <v/>
      </c>
      <c r="J418">
        <f>IF(INDEX(L_ID,ROW()-4)="","",IF(SUMPRODUCT((P_ID=INDEX(L_ID,ROW()-4))*(P_StatusN="INACTIVE"))&gt;0,1,0))</f>
        <v/>
      </c>
    </row>
    <row r="419">
      <c r="A419">
        <f>IF(INDEX(L_ID,ROW()-4)="","",IF(COUNTIF(P_ID,INDEX(L_ID,ROW()-4))&gt;0,1,0))</f>
        <v/>
      </c>
      <c r="B419">
        <f>IF(INDEX(P_Type,ROW()-4)="","",TRIM(UPPER(INDEX(P_Type,ROW()-4))))</f>
        <v/>
      </c>
      <c r="D419">
        <f>IF(INDEX(L_Type,ROW()-4)="","",TRIM(UPPER(INDEX(L_Type,ROW()-4))))</f>
        <v/>
      </c>
      <c r="E419">
        <f>IF(INDEX(P_Status,ROW()-4)="","",TRIM(UPPER(INDEX(P_Status,ROW()-4))))</f>
        <v/>
      </c>
      <c r="G419">
        <f>IF(INDEX(L_Status,ROW()-4)="","",TRIM(UPPER(INDEX(L_Status,ROW()-4))))</f>
        <v/>
      </c>
      <c r="J419">
        <f>IF(INDEX(L_ID,ROW()-4)="","",IF(SUMPRODUCT((P_ID=INDEX(L_ID,ROW()-4))*(P_StatusN="INACTIVE"))&gt;0,1,0))</f>
        <v/>
      </c>
    </row>
    <row r="420">
      <c r="A420">
        <f>IF(INDEX(L_ID,ROW()-4)="","",IF(COUNTIF(P_ID,INDEX(L_ID,ROW()-4))&gt;0,1,0))</f>
        <v/>
      </c>
      <c r="B420">
        <f>IF(INDEX(P_Type,ROW()-4)="","",TRIM(UPPER(INDEX(P_Type,ROW()-4))))</f>
        <v/>
      </c>
      <c r="D420">
        <f>IF(INDEX(L_Type,ROW()-4)="","",TRIM(UPPER(INDEX(L_Type,ROW()-4))))</f>
        <v/>
      </c>
      <c r="E420">
        <f>IF(INDEX(P_Status,ROW()-4)="","",TRIM(UPPER(INDEX(P_Status,ROW()-4))))</f>
        <v/>
      </c>
      <c r="G420">
        <f>IF(INDEX(L_Status,ROW()-4)="","",TRIM(UPPER(INDEX(L_Status,ROW()-4))))</f>
        <v/>
      </c>
      <c r="J420">
        <f>IF(INDEX(L_ID,ROW()-4)="","",IF(SUMPRODUCT((P_ID=INDEX(L_ID,ROW()-4))*(P_StatusN="INACTIVE"))&gt;0,1,0))</f>
        <v/>
      </c>
    </row>
    <row r="421">
      <c r="A421">
        <f>IF(INDEX(L_ID,ROW()-4)="","",IF(COUNTIF(P_ID,INDEX(L_ID,ROW()-4))&gt;0,1,0))</f>
        <v/>
      </c>
      <c r="B421">
        <f>IF(INDEX(P_Type,ROW()-4)="","",TRIM(UPPER(INDEX(P_Type,ROW()-4))))</f>
        <v/>
      </c>
      <c r="D421">
        <f>IF(INDEX(L_Type,ROW()-4)="","",TRIM(UPPER(INDEX(L_Type,ROW()-4))))</f>
        <v/>
      </c>
      <c r="E421">
        <f>IF(INDEX(P_Status,ROW()-4)="","",TRIM(UPPER(INDEX(P_Status,ROW()-4))))</f>
        <v/>
      </c>
      <c r="G421">
        <f>IF(INDEX(L_Status,ROW()-4)="","",TRIM(UPPER(INDEX(L_Status,ROW()-4))))</f>
        <v/>
      </c>
      <c r="J421">
        <f>IF(INDEX(L_ID,ROW()-4)="","",IF(SUMPRODUCT((P_ID=INDEX(L_ID,ROW()-4))*(P_StatusN="INACTIVE"))&gt;0,1,0))</f>
        <v/>
      </c>
    </row>
    <row r="422">
      <c r="A422">
        <f>IF(INDEX(L_ID,ROW()-4)="","",IF(COUNTIF(P_ID,INDEX(L_ID,ROW()-4))&gt;0,1,0))</f>
        <v/>
      </c>
      <c r="B422">
        <f>IF(INDEX(P_Type,ROW()-4)="","",TRIM(UPPER(INDEX(P_Type,ROW()-4))))</f>
        <v/>
      </c>
      <c r="D422">
        <f>IF(INDEX(L_Type,ROW()-4)="","",TRIM(UPPER(INDEX(L_Type,ROW()-4))))</f>
        <v/>
      </c>
      <c r="E422">
        <f>IF(INDEX(P_Status,ROW()-4)="","",TRIM(UPPER(INDEX(P_Status,ROW()-4))))</f>
        <v/>
      </c>
      <c r="G422">
        <f>IF(INDEX(L_Status,ROW()-4)="","",TRIM(UPPER(INDEX(L_Status,ROW()-4))))</f>
        <v/>
      </c>
      <c r="J422">
        <f>IF(INDEX(L_ID,ROW()-4)="","",IF(SUMPRODUCT((P_ID=INDEX(L_ID,ROW()-4))*(P_StatusN="INACTIVE"))&gt;0,1,0))</f>
        <v/>
      </c>
    </row>
    <row r="423">
      <c r="A423">
        <f>IF(INDEX(L_ID,ROW()-4)="","",IF(COUNTIF(P_ID,INDEX(L_ID,ROW()-4))&gt;0,1,0))</f>
        <v/>
      </c>
      <c r="B423">
        <f>IF(INDEX(P_Type,ROW()-4)="","",TRIM(UPPER(INDEX(P_Type,ROW()-4))))</f>
        <v/>
      </c>
      <c r="D423">
        <f>IF(INDEX(L_Type,ROW()-4)="","",TRIM(UPPER(INDEX(L_Type,ROW()-4))))</f>
        <v/>
      </c>
      <c r="E423">
        <f>IF(INDEX(P_Status,ROW()-4)="","",TRIM(UPPER(INDEX(P_Status,ROW()-4))))</f>
        <v/>
      </c>
      <c r="G423">
        <f>IF(INDEX(L_Status,ROW()-4)="","",TRIM(UPPER(INDEX(L_Status,ROW()-4))))</f>
        <v/>
      </c>
      <c r="J423">
        <f>IF(INDEX(L_ID,ROW()-4)="","",IF(SUMPRODUCT((P_ID=INDEX(L_ID,ROW()-4))*(P_StatusN="INACTIVE"))&gt;0,1,0))</f>
        <v/>
      </c>
    </row>
    <row r="424">
      <c r="A424">
        <f>IF(INDEX(L_ID,ROW()-4)="","",IF(COUNTIF(P_ID,INDEX(L_ID,ROW()-4))&gt;0,1,0))</f>
        <v/>
      </c>
      <c r="B424">
        <f>IF(INDEX(P_Type,ROW()-4)="","",TRIM(UPPER(INDEX(P_Type,ROW()-4))))</f>
        <v/>
      </c>
      <c r="D424">
        <f>IF(INDEX(L_Type,ROW()-4)="","",TRIM(UPPER(INDEX(L_Type,ROW()-4))))</f>
        <v/>
      </c>
      <c r="E424">
        <f>IF(INDEX(P_Status,ROW()-4)="","",TRIM(UPPER(INDEX(P_Status,ROW()-4))))</f>
        <v/>
      </c>
      <c r="G424">
        <f>IF(INDEX(L_Status,ROW()-4)="","",TRIM(UPPER(INDEX(L_Status,ROW()-4))))</f>
        <v/>
      </c>
      <c r="J424">
        <f>IF(INDEX(L_ID,ROW()-4)="","",IF(SUMPRODUCT((P_ID=INDEX(L_ID,ROW()-4))*(P_StatusN="INACTIVE"))&gt;0,1,0))</f>
        <v/>
      </c>
    </row>
    <row r="425">
      <c r="A425">
        <f>IF(INDEX(L_ID,ROW()-4)="","",IF(COUNTIF(P_ID,INDEX(L_ID,ROW()-4))&gt;0,1,0))</f>
        <v/>
      </c>
      <c r="B425">
        <f>IF(INDEX(P_Type,ROW()-4)="","",TRIM(UPPER(INDEX(P_Type,ROW()-4))))</f>
        <v/>
      </c>
      <c r="D425">
        <f>IF(INDEX(L_Type,ROW()-4)="","",TRIM(UPPER(INDEX(L_Type,ROW()-4))))</f>
        <v/>
      </c>
      <c r="E425">
        <f>IF(INDEX(P_Status,ROW()-4)="","",TRIM(UPPER(INDEX(P_Status,ROW()-4))))</f>
        <v/>
      </c>
      <c r="G425">
        <f>IF(INDEX(L_Status,ROW()-4)="","",TRIM(UPPER(INDEX(L_Status,ROW()-4))))</f>
        <v/>
      </c>
      <c r="J425">
        <f>IF(INDEX(L_ID,ROW()-4)="","",IF(SUMPRODUCT((P_ID=INDEX(L_ID,ROW()-4))*(P_StatusN="INACTIVE"))&gt;0,1,0))</f>
        <v/>
      </c>
    </row>
    <row r="426">
      <c r="A426">
        <f>IF(INDEX(L_ID,ROW()-4)="","",IF(COUNTIF(P_ID,INDEX(L_ID,ROW()-4))&gt;0,1,0))</f>
        <v/>
      </c>
      <c r="B426">
        <f>IF(INDEX(P_Type,ROW()-4)="","",TRIM(UPPER(INDEX(P_Type,ROW()-4))))</f>
        <v/>
      </c>
      <c r="D426">
        <f>IF(INDEX(L_Type,ROW()-4)="","",TRIM(UPPER(INDEX(L_Type,ROW()-4))))</f>
        <v/>
      </c>
      <c r="E426">
        <f>IF(INDEX(P_Status,ROW()-4)="","",TRIM(UPPER(INDEX(P_Status,ROW()-4))))</f>
        <v/>
      </c>
      <c r="G426">
        <f>IF(INDEX(L_Status,ROW()-4)="","",TRIM(UPPER(INDEX(L_Status,ROW()-4))))</f>
        <v/>
      </c>
      <c r="J426">
        <f>IF(INDEX(L_ID,ROW()-4)="","",IF(SUMPRODUCT((P_ID=INDEX(L_ID,ROW()-4))*(P_StatusN="INACTIVE"))&gt;0,1,0))</f>
        <v/>
      </c>
    </row>
    <row r="427">
      <c r="A427">
        <f>IF(INDEX(L_ID,ROW()-4)="","",IF(COUNTIF(P_ID,INDEX(L_ID,ROW()-4))&gt;0,1,0))</f>
        <v/>
      </c>
      <c r="B427">
        <f>IF(INDEX(P_Type,ROW()-4)="","",TRIM(UPPER(INDEX(P_Type,ROW()-4))))</f>
        <v/>
      </c>
      <c r="D427">
        <f>IF(INDEX(L_Type,ROW()-4)="","",TRIM(UPPER(INDEX(L_Type,ROW()-4))))</f>
        <v/>
      </c>
      <c r="E427">
        <f>IF(INDEX(P_Status,ROW()-4)="","",TRIM(UPPER(INDEX(P_Status,ROW()-4))))</f>
        <v/>
      </c>
      <c r="G427">
        <f>IF(INDEX(L_Status,ROW()-4)="","",TRIM(UPPER(INDEX(L_Status,ROW()-4))))</f>
        <v/>
      </c>
      <c r="J427">
        <f>IF(INDEX(L_ID,ROW()-4)="","",IF(SUMPRODUCT((P_ID=INDEX(L_ID,ROW()-4))*(P_StatusN="INACTIVE"))&gt;0,1,0))</f>
        <v/>
      </c>
    </row>
    <row r="428">
      <c r="A428">
        <f>IF(INDEX(L_ID,ROW()-4)="","",IF(COUNTIF(P_ID,INDEX(L_ID,ROW()-4))&gt;0,1,0))</f>
        <v/>
      </c>
      <c r="B428">
        <f>IF(INDEX(P_Type,ROW()-4)="","",TRIM(UPPER(INDEX(P_Type,ROW()-4))))</f>
        <v/>
      </c>
      <c r="D428">
        <f>IF(INDEX(L_Type,ROW()-4)="","",TRIM(UPPER(INDEX(L_Type,ROW()-4))))</f>
        <v/>
      </c>
      <c r="E428">
        <f>IF(INDEX(P_Status,ROW()-4)="","",TRIM(UPPER(INDEX(P_Status,ROW()-4))))</f>
        <v/>
      </c>
      <c r="G428">
        <f>IF(INDEX(L_Status,ROW()-4)="","",TRIM(UPPER(INDEX(L_Status,ROW()-4))))</f>
        <v/>
      </c>
      <c r="J428">
        <f>IF(INDEX(L_ID,ROW()-4)="","",IF(SUMPRODUCT((P_ID=INDEX(L_ID,ROW()-4))*(P_StatusN="INACTIVE"))&gt;0,1,0))</f>
        <v/>
      </c>
    </row>
    <row r="429">
      <c r="A429">
        <f>IF(INDEX(L_ID,ROW()-4)="","",IF(COUNTIF(P_ID,INDEX(L_ID,ROW()-4))&gt;0,1,0))</f>
        <v/>
      </c>
      <c r="B429">
        <f>IF(INDEX(P_Type,ROW()-4)="","",TRIM(UPPER(INDEX(P_Type,ROW()-4))))</f>
        <v/>
      </c>
      <c r="D429">
        <f>IF(INDEX(L_Type,ROW()-4)="","",TRIM(UPPER(INDEX(L_Type,ROW()-4))))</f>
        <v/>
      </c>
      <c r="E429">
        <f>IF(INDEX(P_Status,ROW()-4)="","",TRIM(UPPER(INDEX(P_Status,ROW()-4))))</f>
        <v/>
      </c>
      <c r="G429">
        <f>IF(INDEX(L_Status,ROW()-4)="","",TRIM(UPPER(INDEX(L_Status,ROW()-4))))</f>
        <v/>
      </c>
      <c r="J429">
        <f>IF(INDEX(L_ID,ROW()-4)="","",IF(SUMPRODUCT((P_ID=INDEX(L_ID,ROW()-4))*(P_StatusN="INACTIVE"))&gt;0,1,0))</f>
        <v/>
      </c>
    </row>
    <row r="430">
      <c r="A430">
        <f>IF(INDEX(L_ID,ROW()-4)="","",IF(COUNTIF(P_ID,INDEX(L_ID,ROW()-4))&gt;0,1,0))</f>
        <v/>
      </c>
      <c r="B430">
        <f>IF(INDEX(P_Type,ROW()-4)="","",TRIM(UPPER(INDEX(P_Type,ROW()-4))))</f>
        <v/>
      </c>
      <c r="D430">
        <f>IF(INDEX(L_Type,ROW()-4)="","",TRIM(UPPER(INDEX(L_Type,ROW()-4))))</f>
        <v/>
      </c>
      <c r="E430">
        <f>IF(INDEX(P_Status,ROW()-4)="","",TRIM(UPPER(INDEX(P_Status,ROW()-4))))</f>
        <v/>
      </c>
      <c r="G430">
        <f>IF(INDEX(L_Status,ROW()-4)="","",TRIM(UPPER(INDEX(L_Status,ROW()-4))))</f>
        <v/>
      </c>
      <c r="J430">
        <f>IF(INDEX(L_ID,ROW()-4)="","",IF(SUMPRODUCT((P_ID=INDEX(L_ID,ROW()-4))*(P_StatusN="INACTIVE"))&gt;0,1,0))</f>
        <v/>
      </c>
    </row>
    <row r="431">
      <c r="A431">
        <f>IF(INDEX(L_ID,ROW()-4)="","",IF(COUNTIF(P_ID,INDEX(L_ID,ROW()-4))&gt;0,1,0))</f>
        <v/>
      </c>
      <c r="B431">
        <f>IF(INDEX(P_Type,ROW()-4)="","",TRIM(UPPER(INDEX(P_Type,ROW()-4))))</f>
        <v/>
      </c>
      <c r="D431">
        <f>IF(INDEX(L_Type,ROW()-4)="","",TRIM(UPPER(INDEX(L_Type,ROW()-4))))</f>
        <v/>
      </c>
      <c r="E431">
        <f>IF(INDEX(P_Status,ROW()-4)="","",TRIM(UPPER(INDEX(P_Status,ROW()-4))))</f>
        <v/>
      </c>
      <c r="G431">
        <f>IF(INDEX(L_Status,ROW()-4)="","",TRIM(UPPER(INDEX(L_Status,ROW()-4))))</f>
        <v/>
      </c>
      <c r="J431">
        <f>IF(INDEX(L_ID,ROW()-4)="","",IF(SUMPRODUCT((P_ID=INDEX(L_ID,ROW()-4))*(P_StatusN="INACTIVE"))&gt;0,1,0))</f>
        <v/>
      </c>
    </row>
    <row r="432">
      <c r="A432">
        <f>IF(INDEX(L_ID,ROW()-4)="","",IF(COUNTIF(P_ID,INDEX(L_ID,ROW()-4))&gt;0,1,0))</f>
        <v/>
      </c>
      <c r="B432">
        <f>IF(INDEX(P_Type,ROW()-4)="","",TRIM(UPPER(INDEX(P_Type,ROW()-4))))</f>
        <v/>
      </c>
      <c r="D432">
        <f>IF(INDEX(L_Type,ROW()-4)="","",TRIM(UPPER(INDEX(L_Type,ROW()-4))))</f>
        <v/>
      </c>
      <c r="E432">
        <f>IF(INDEX(P_Status,ROW()-4)="","",TRIM(UPPER(INDEX(P_Status,ROW()-4))))</f>
        <v/>
      </c>
      <c r="G432">
        <f>IF(INDEX(L_Status,ROW()-4)="","",TRIM(UPPER(INDEX(L_Status,ROW()-4))))</f>
        <v/>
      </c>
      <c r="J432">
        <f>IF(INDEX(L_ID,ROW()-4)="","",IF(SUMPRODUCT((P_ID=INDEX(L_ID,ROW()-4))*(P_StatusN="INACTIVE"))&gt;0,1,0))</f>
        <v/>
      </c>
    </row>
    <row r="433">
      <c r="A433">
        <f>IF(INDEX(L_ID,ROW()-4)="","",IF(COUNTIF(P_ID,INDEX(L_ID,ROW()-4))&gt;0,1,0))</f>
        <v/>
      </c>
      <c r="B433">
        <f>IF(INDEX(P_Type,ROW()-4)="","",TRIM(UPPER(INDEX(P_Type,ROW()-4))))</f>
        <v/>
      </c>
      <c r="D433">
        <f>IF(INDEX(L_Type,ROW()-4)="","",TRIM(UPPER(INDEX(L_Type,ROW()-4))))</f>
        <v/>
      </c>
      <c r="E433">
        <f>IF(INDEX(P_Status,ROW()-4)="","",TRIM(UPPER(INDEX(P_Status,ROW()-4))))</f>
        <v/>
      </c>
      <c r="G433">
        <f>IF(INDEX(L_Status,ROW()-4)="","",TRIM(UPPER(INDEX(L_Status,ROW()-4))))</f>
        <v/>
      </c>
      <c r="J433">
        <f>IF(INDEX(L_ID,ROW()-4)="","",IF(SUMPRODUCT((P_ID=INDEX(L_ID,ROW()-4))*(P_StatusN="INACTIVE"))&gt;0,1,0))</f>
        <v/>
      </c>
    </row>
    <row r="434">
      <c r="A434">
        <f>IF(INDEX(L_ID,ROW()-4)="","",IF(COUNTIF(P_ID,INDEX(L_ID,ROW()-4))&gt;0,1,0))</f>
        <v/>
      </c>
      <c r="B434">
        <f>IF(INDEX(P_Type,ROW()-4)="","",TRIM(UPPER(INDEX(P_Type,ROW()-4))))</f>
        <v/>
      </c>
      <c r="D434">
        <f>IF(INDEX(L_Type,ROW()-4)="","",TRIM(UPPER(INDEX(L_Type,ROW()-4))))</f>
        <v/>
      </c>
      <c r="E434">
        <f>IF(INDEX(P_Status,ROW()-4)="","",TRIM(UPPER(INDEX(P_Status,ROW()-4))))</f>
        <v/>
      </c>
      <c r="G434">
        <f>IF(INDEX(L_Status,ROW()-4)="","",TRIM(UPPER(INDEX(L_Status,ROW()-4))))</f>
        <v/>
      </c>
      <c r="J434">
        <f>IF(INDEX(L_ID,ROW()-4)="","",IF(SUMPRODUCT((P_ID=INDEX(L_ID,ROW()-4))*(P_StatusN="INACTIVE"))&gt;0,1,0))</f>
        <v/>
      </c>
    </row>
    <row r="435">
      <c r="A435">
        <f>IF(INDEX(L_ID,ROW()-4)="","",IF(COUNTIF(P_ID,INDEX(L_ID,ROW()-4))&gt;0,1,0))</f>
        <v/>
      </c>
      <c r="B435">
        <f>IF(INDEX(P_Type,ROW()-4)="","",TRIM(UPPER(INDEX(P_Type,ROW()-4))))</f>
        <v/>
      </c>
      <c r="D435">
        <f>IF(INDEX(L_Type,ROW()-4)="","",TRIM(UPPER(INDEX(L_Type,ROW()-4))))</f>
        <v/>
      </c>
      <c r="E435">
        <f>IF(INDEX(P_Status,ROW()-4)="","",TRIM(UPPER(INDEX(P_Status,ROW()-4))))</f>
        <v/>
      </c>
      <c r="G435">
        <f>IF(INDEX(L_Status,ROW()-4)="","",TRIM(UPPER(INDEX(L_Status,ROW()-4))))</f>
        <v/>
      </c>
      <c r="J435">
        <f>IF(INDEX(L_ID,ROW()-4)="","",IF(SUMPRODUCT((P_ID=INDEX(L_ID,ROW()-4))*(P_StatusN="INACTIVE"))&gt;0,1,0))</f>
        <v/>
      </c>
    </row>
    <row r="436">
      <c r="A436">
        <f>IF(INDEX(L_ID,ROW()-4)="","",IF(COUNTIF(P_ID,INDEX(L_ID,ROW()-4))&gt;0,1,0))</f>
        <v/>
      </c>
      <c r="B436">
        <f>IF(INDEX(P_Type,ROW()-4)="","",TRIM(UPPER(INDEX(P_Type,ROW()-4))))</f>
        <v/>
      </c>
      <c r="D436">
        <f>IF(INDEX(L_Type,ROW()-4)="","",TRIM(UPPER(INDEX(L_Type,ROW()-4))))</f>
        <v/>
      </c>
      <c r="E436">
        <f>IF(INDEX(P_Status,ROW()-4)="","",TRIM(UPPER(INDEX(P_Status,ROW()-4))))</f>
        <v/>
      </c>
      <c r="G436">
        <f>IF(INDEX(L_Status,ROW()-4)="","",TRIM(UPPER(INDEX(L_Status,ROW()-4))))</f>
        <v/>
      </c>
      <c r="J436">
        <f>IF(INDEX(L_ID,ROW()-4)="","",IF(SUMPRODUCT((P_ID=INDEX(L_ID,ROW()-4))*(P_StatusN="INACTIVE"))&gt;0,1,0))</f>
        <v/>
      </c>
    </row>
    <row r="437">
      <c r="A437">
        <f>IF(INDEX(L_ID,ROW()-4)="","",IF(COUNTIF(P_ID,INDEX(L_ID,ROW()-4))&gt;0,1,0))</f>
        <v/>
      </c>
      <c r="B437">
        <f>IF(INDEX(P_Type,ROW()-4)="","",TRIM(UPPER(INDEX(P_Type,ROW()-4))))</f>
        <v/>
      </c>
      <c r="D437">
        <f>IF(INDEX(L_Type,ROW()-4)="","",TRIM(UPPER(INDEX(L_Type,ROW()-4))))</f>
        <v/>
      </c>
      <c r="E437">
        <f>IF(INDEX(P_Status,ROW()-4)="","",TRIM(UPPER(INDEX(P_Status,ROW()-4))))</f>
        <v/>
      </c>
      <c r="G437">
        <f>IF(INDEX(L_Status,ROW()-4)="","",TRIM(UPPER(INDEX(L_Status,ROW()-4))))</f>
        <v/>
      </c>
      <c r="J437">
        <f>IF(INDEX(L_ID,ROW()-4)="","",IF(SUMPRODUCT((P_ID=INDEX(L_ID,ROW()-4))*(P_StatusN="INACTIVE"))&gt;0,1,0))</f>
        <v/>
      </c>
    </row>
    <row r="438">
      <c r="A438">
        <f>IF(INDEX(L_ID,ROW()-4)="","",IF(COUNTIF(P_ID,INDEX(L_ID,ROW()-4))&gt;0,1,0))</f>
        <v/>
      </c>
      <c r="B438">
        <f>IF(INDEX(P_Type,ROW()-4)="","",TRIM(UPPER(INDEX(P_Type,ROW()-4))))</f>
        <v/>
      </c>
      <c r="D438">
        <f>IF(INDEX(L_Type,ROW()-4)="","",TRIM(UPPER(INDEX(L_Type,ROW()-4))))</f>
        <v/>
      </c>
      <c r="E438">
        <f>IF(INDEX(P_Status,ROW()-4)="","",TRIM(UPPER(INDEX(P_Status,ROW()-4))))</f>
        <v/>
      </c>
      <c r="G438">
        <f>IF(INDEX(L_Status,ROW()-4)="","",TRIM(UPPER(INDEX(L_Status,ROW()-4))))</f>
        <v/>
      </c>
      <c r="J438">
        <f>IF(INDEX(L_ID,ROW()-4)="","",IF(SUMPRODUCT((P_ID=INDEX(L_ID,ROW()-4))*(P_StatusN="INACTIVE"))&gt;0,1,0))</f>
        <v/>
      </c>
    </row>
    <row r="439">
      <c r="A439">
        <f>IF(INDEX(L_ID,ROW()-4)="","",IF(COUNTIF(P_ID,INDEX(L_ID,ROW()-4))&gt;0,1,0))</f>
        <v/>
      </c>
      <c r="B439">
        <f>IF(INDEX(P_Type,ROW()-4)="","",TRIM(UPPER(INDEX(P_Type,ROW()-4))))</f>
        <v/>
      </c>
      <c r="D439">
        <f>IF(INDEX(L_Type,ROW()-4)="","",TRIM(UPPER(INDEX(L_Type,ROW()-4))))</f>
        <v/>
      </c>
      <c r="E439">
        <f>IF(INDEX(P_Status,ROW()-4)="","",TRIM(UPPER(INDEX(P_Status,ROW()-4))))</f>
        <v/>
      </c>
      <c r="G439">
        <f>IF(INDEX(L_Status,ROW()-4)="","",TRIM(UPPER(INDEX(L_Status,ROW()-4))))</f>
        <v/>
      </c>
      <c r="J439">
        <f>IF(INDEX(L_ID,ROW()-4)="","",IF(SUMPRODUCT((P_ID=INDEX(L_ID,ROW()-4))*(P_StatusN="INACTIVE"))&gt;0,1,0))</f>
        <v/>
      </c>
    </row>
    <row r="440">
      <c r="A440">
        <f>IF(INDEX(L_ID,ROW()-4)="","",IF(COUNTIF(P_ID,INDEX(L_ID,ROW()-4))&gt;0,1,0))</f>
        <v/>
      </c>
      <c r="B440">
        <f>IF(INDEX(P_Type,ROW()-4)="","",TRIM(UPPER(INDEX(P_Type,ROW()-4))))</f>
        <v/>
      </c>
      <c r="D440">
        <f>IF(INDEX(L_Type,ROW()-4)="","",TRIM(UPPER(INDEX(L_Type,ROW()-4))))</f>
        <v/>
      </c>
      <c r="E440">
        <f>IF(INDEX(P_Status,ROW()-4)="","",TRIM(UPPER(INDEX(P_Status,ROW()-4))))</f>
        <v/>
      </c>
      <c r="G440">
        <f>IF(INDEX(L_Status,ROW()-4)="","",TRIM(UPPER(INDEX(L_Status,ROW()-4))))</f>
        <v/>
      </c>
      <c r="J440">
        <f>IF(INDEX(L_ID,ROW()-4)="","",IF(SUMPRODUCT((P_ID=INDEX(L_ID,ROW()-4))*(P_StatusN="INACTIVE"))&gt;0,1,0))</f>
        <v/>
      </c>
    </row>
    <row r="441">
      <c r="A441">
        <f>IF(INDEX(L_ID,ROW()-4)="","",IF(COUNTIF(P_ID,INDEX(L_ID,ROW()-4))&gt;0,1,0))</f>
        <v/>
      </c>
      <c r="B441">
        <f>IF(INDEX(P_Type,ROW()-4)="","",TRIM(UPPER(INDEX(P_Type,ROW()-4))))</f>
        <v/>
      </c>
      <c r="D441">
        <f>IF(INDEX(L_Type,ROW()-4)="","",TRIM(UPPER(INDEX(L_Type,ROW()-4))))</f>
        <v/>
      </c>
      <c r="E441">
        <f>IF(INDEX(P_Status,ROW()-4)="","",TRIM(UPPER(INDEX(P_Status,ROW()-4))))</f>
        <v/>
      </c>
      <c r="G441">
        <f>IF(INDEX(L_Status,ROW()-4)="","",TRIM(UPPER(INDEX(L_Status,ROW()-4))))</f>
        <v/>
      </c>
      <c r="J441">
        <f>IF(INDEX(L_ID,ROW()-4)="","",IF(SUMPRODUCT((P_ID=INDEX(L_ID,ROW()-4))*(P_StatusN="INACTIVE"))&gt;0,1,0))</f>
        <v/>
      </c>
    </row>
    <row r="442">
      <c r="A442">
        <f>IF(INDEX(L_ID,ROW()-4)="","",IF(COUNTIF(P_ID,INDEX(L_ID,ROW()-4))&gt;0,1,0))</f>
        <v/>
      </c>
      <c r="B442">
        <f>IF(INDEX(P_Type,ROW()-4)="","",TRIM(UPPER(INDEX(P_Type,ROW()-4))))</f>
        <v/>
      </c>
      <c r="D442">
        <f>IF(INDEX(L_Type,ROW()-4)="","",TRIM(UPPER(INDEX(L_Type,ROW()-4))))</f>
        <v/>
      </c>
      <c r="E442">
        <f>IF(INDEX(P_Status,ROW()-4)="","",TRIM(UPPER(INDEX(P_Status,ROW()-4))))</f>
        <v/>
      </c>
      <c r="G442">
        <f>IF(INDEX(L_Status,ROW()-4)="","",TRIM(UPPER(INDEX(L_Status,ROW()-4))))</f>
        <v/>
      </c>
      <c r="J442">
        <f>IF(INDEX(L_ID,ROW()-4)="","",IF(SUMPRODUCT((P_ID=INDEX(L_ID,ROW()-4))*(P_StatusN="INACTIVE"))&gt;0,1,0))</f>
        <v/>
      </c>
    </row>
    <row r="443">
      <c r="A443">
        <f>IF(INDEX(L_ID,ROW()-4)="","",IF(COUNTIF(P_ID,INDEX(L_ID,ROW()-4))&gt;0,1,0))</f>
        <v/>
      </c>
      <c r="B443">
        <f>IF(INDEX(P_Type,ROW()-4)="","",TRIM(UPPER(INDEX(P_Type,ROW()-4))))</f>
        <v/>
      </c>
      <c r="D443">
        <f>IF(INDEX(L_Type,ROW()-4)="","",TRIM(UPPER(INDEX(L_Type,ROW()-4))))</f>
        <v/>
      </c>
      <c r="E443">
        <f>IF(INDEX(P_Status,ROW()-4)="","",TRIM(UPPER(INDEX(P_Status,ROW()-4))))</f>
        <v/>
      </c>
      <c r="G443">
        <f>IF(INDEX(L_Status,ROW()-4)="","",TRIM(UPPER(INDEX(L_Status,ROW()-4))))</f>
        <v/>
      </c>
      <c r="J443">
        <f>IF(INDEX(L_ID,ROW()-4)="","",IF(SUMPRODUCT((P_ID=INDEX(L_ID,ROW()-4))*(P_StatusN="INACTIVE"))&gt;0,1,0))</f>
        <v/>
      </c>
    </row>
    <row r="444">
      <c r="A444">
        <f>IF(INDEX(L_ID,ROW()-4)="","",IF(COUNTIF(P_ID,INDEX(L_ID,ROW()-4))&gt;0,1,0))</f>
        <v/>
      </c>
      <c r="B444">
        <f>IF(INDEX(P_Type,ROW()-4)="","",TRIM(UPPER(INDEX(P_Type,ROW()-4))))</f>
        <v/>
      </c>
      <c r="D444">
        <f>IF(INDEX(L_Type,ROW()-4)="","",TRIM(UPPER(INDEX(L_Type,ROW()-4))))</f>
        <v/>
      </c>
      <c r="E444">
        <f>IF(INDEX(P_Status,ROW()-4)="","",TRIM(UPPER(INDEX(P_Status,ROW()-4))))</f>
        <v/>
      </c>
      <c r="G444">
        <f>IF(INDEX(L_Status,ROW()-4)="","",TRIM(UPPER(INDEX(L_Status,ROW()-4))))</f>
        <v/>
      </c>
      <c r="J444">
        <f>IF(INDEX(L_ID,ROW()-4)="","",IF(SUMPRODUCT((P_ID=INDEX(L_ID,ROW()-4))*(P_StatusN="INACTIVE"))&gt;0,1,0))</f>
        <v/>
      </c>
    </row>
    <row r="445">
      <c r="A445">
        <f>IF(INDEX(L_ID,ROW()-4)="","",IF(COUNTIF(P_ID,INDEX(L_ID,ROW()-4))&gt;0,1,0))</f>
        <v/>
      </c>
      <c r="B445">
        <f>IF(INDEX(P_Type,ROW()-4)="","",TRIM(UPPER(INDEX(P_Type,ROW()-4))))</f>
        <v/>
      </c>
      <c r="D445">
        <f>IF(INDEX(L_Type,ROW()-4)="","",TRIM(UPPER(INDEX(L_Type,ROW()-4))))</f>
        <v/>
      </c>
      <c r="E445">
        <f>IF(INDEX(P_Status,ROW()-4)="","",TRIM(UPPER(INDEX(P_Status,ROW()-4))))</f>
        <v/>
      </c>
      <c r="G445">
        <f>IF(INDEX(L_Status,ROW()-4)="","",TRIM(UPPER(INDEX(L_Status,ROW()-4))))</f>
        <v/>
      </c>
      <c r="J445">
        <f>IF(INDEX(L_ID,ROW()-4)="","",IF(SUMPRODUCT((P_ID=INDEX(L_ID,ROW()-4))*(P_StatusN="INACTIVE"))&gt;0,1,0))</f>
        <v/>
      </c>
    </row>
    <row r="446">
      <c r="A446">
        <f>IF(INDEX(L_ID,ROW()-4)="","",IF(COUNTIF(P_ID,INDEX(L_ID,ROW()-4))&gt;0,1,0))</f>
        <v/>
      </c>
      <c r="B446">
        <f>IF(INDEX(P_Type,ROW()-4)="","",TRIM(UPPER(INDEX(P_Type,ROW()-4))))</f>
        <v/>
      </c>
      <c r="D446">
        <f>IF(INDEX(L_Type,ROW()-4)="","",TRIM(UPPER(INDEX(L_Type,ROW()-4))))</f>
        <v/>
      </c>
      <c r="E446">
        <f>IF(INDEX(P_Status,ROW()-4)="","",TRIM(UPPER(INDEX(P_Status,ROW()-4))))</f>
        <v/>
      </c>
      <c r="G446">
        <f>IF(INDEX(L_Status,ROW()-4)="","",TRIM(UPPER(INDEX(L_Status,ROW()-4))))</f>
        <v/>
      </c>
      <c r="J446">
        <f>IF(INDEX(L_ID,ROW()-4)="","",IF(SUMPRODUCT((P_ID=INDEX(L_ID,ROW()-4))*(P_StatusN="INACTIVE"))&gt;0,1,0))</f>
        <v/>
      </c>
    </row>
    <row r="447">
      <c r="A447">
        <f>IF(INDEX(L_ID,ROW()-4)="","",IF(COUNTIF(P_ID,INDEX(L_ID,ROW()-4))&gt;0,1,0))</f>
        <v/>
      </c>
      <c r="B447">
        <f>IF(INDEX(P_Type,ROW()-4)="","",TRIM(UPPER(INDEX(P_Type,ROW()-4))))</f>
        <v/>
      </c>
      <c r="D447">
        <f>IF(INDEX(L_Type,ROW()-4)="","",TRIM(UPPER(INDEX(L_Type,ROW()-4))))</f>
        <v/>
      </c>
      <c r="E447">
        <f>IF(INDEX(P_Status,ROW()-4)="","",TRIM(UPPER(INDEX(P_Status,ROW()-4))))</f>
        <v/>
      </c>
      <c r="G447">
        <f>IF(INDEX(L_Status,ROW()-4)="","",TRIM(UPPER(INDEX(L_Status,ROW()-4))))</f>
        <v/>
      </c>
      <c r="J447">
        <f>IF(INDEX(L_ID,ROW()-4)="","",IF(SUMPRODUCT((P_ID=INDEX(L_ID,ROW()-4))*(P_StatusN="INACTIVE"))&gt;0,1,0))</f>
        <v/>
      </c>
    </row>
    <row r="448">
      <c r="A448">
        <f>IF(INDEX(L_ID,ROW()-4)="","",IF(COUNTIF(P_ID,INDEX(L_ID,ROW()-4))&gt;0,1,0))</f>
        <v/>
      </c>
      <c r="B448">
        <f>IF(INDEX(P_Type,ROW()-4)="","",TRIM(UPPER(INDEX(P_Type,ROW()-4))))</f>
        <v/>
      </c>
      <c r="D448">
        <f>IF(INDEX(L_Type,ROW()-4)="","",TRIM(UPPER(INDEX(L_Type,ROW()-4))))</f>
        <v/>
      </c>
      <c r="E448">
        <f>IF(INDEX(P_Status,ROW()-4)="","",TRIM(UPPER(INDEX(P_Status,ROW()-4))))</f>
        <v/>
      </c>
      <c r="G448">
        <f>IF(INDEX(L_Status,ROW()-4)="","",TRIM(UPPER(INDEX(L_Status,ROW()-4))))</f>
        <v/>
      </c>
      <c r="J448">
        <f>IF(INDEX(L_ID,ROW()-4)="","",IF(SUMPRODUCT((P_ID=INDEX(L_ID,ROW()-4))*(P_StatusN="INACTIVE"))&gt;0,1,0))</f>
        <v/>
      </c>
    </row>
    <row r="449">
      <c r="A449">
        <f>IF(INDEX(L_ID,ROW()-4)="","",IF(COUNTIF(P_ID,INDEX(L_ID,ROW()-4))&gt;0,1,0))</f>
        <v/>
      </c>
      <c r="B449">
        <f>IF(INDEX(P_Type,ROW()-4)="","",TRIM(UPPER(INDEX(P_Type,ROW()-4))))</f>
        <v/>
      </c>
      <c r="D449">
        <f>IF(INDEX(L_Type,ROW()-4)="","",TRIM(UPPER(INDEX(L_Type,ROW()-4))))</f>
        <v/>
      </c>
      <c r="E449">
        <f>IF(INDEX(P_Status,ROW()-4)="","",TRIM(UPPER(INDEX(P_Status,ROW()-4))))</f>
        <v/>
      </c>
      <c r="G449">
        <f>IF(INDEX(L_Status,ROW()-4)="","",TRIM(UPPER(INDEX(L_Status,ROW()-4))))</f>
        <v/>
      </c>
      <c r="J449">
        <f>IF(INDEX(L_ID,ROW()-4)="","",IF(SUMPRODUCT((P_ID=INDEX(L_ID,ROW()-4))*(P_StatusN="INACTIVE"))&gt;0,1,0))</f>
        <v/>
      </c>
    </row>
    <row r="450">
      <c r="A450">
        <f>IF(INDEX(L_ID,ROW()-4)="","",IF(COUNTIF(P_ID,INDEX(L_ID,ROW()-4))&gt;0,1,0))</f>
        <v/>
      </c>
      <c r="B450">
        <f>IF(INDEX(P_Type,ROW()-4)="","",TRIM(UPPER(INDEX(P_Type,ROW()-4))))</f>
        <v/>
      </c>
      <c r="D450">
        <f>IF(INDEX(L_Type,ROW()-4)="","",TRIM(UPPER(INDEX(L_Type,ROW()-4))))</f>
        <v/>
      </c>
      <c r="E450">
        <f>IF(INDEX(P_Status,ROW()-4)="","",TRIM(UPPER(INDEX(P_Status,ROW()-4))))</f>
        <v/>
      </c>
      <c r="G450">
        <f>IF(INDEX(L_Status,ROW()-4)="","",TRIM(UPPER(INDEX(L_Status,ROW()-4))))</f>
        <v/>
      </c>
      <c r="J450">
        <f>IF(INDEX(L_ID,ROW()-4)="","",IF(SUMPRODUCT((P_ID=INDEX(L_ID,ROW()-4))*(P_StatusN="INACTIVE"))&gt;0,1,0))</f>
        <v/>
      </c>
    </row>
    <row r="451">
      <c r="A451">
        <f>IF(INDEX(L_ID,ROW()-4)="","",IF(COUNTIF(P_ID,INDEX(L_ID,ROW()-4))&gt;0,1,0))</f>
        <v/>
      </c>
      <c r="B451">
        <f>IF(INDEX(P_Type,ROW()-4)="","",TRIM(UPPER(INDEX(P_Type,ROW()-4))))</f>
        <v/>
      </c>
      <c r="D451">
        <f>IF(INDEX(L_Type,ROW()-4)="","",TRIM(UPPER(INDEX(L_Type,ROW()-4))))</f>
        <v/>
      </c>
      <c r="E451">
        <f>IF(INDEX(P_Status,ROW()-4)="","",TRIM(UPPER(INDEX(P_Status,ROW()-4))))</f>
        <v/>
      </c>
      <c r="G451">
        <f>IF(INDEX(L_Status,ROW()-4)="","",TRIM(UPPER(INDEX(L_Status,ROW()-4))))</f>
        <v/>
      </c>
      <c r="J451">
        <f>IF(INDEX(L_ID,ROW()-4)="","",IF(SUMPRODUCT((P_ID=INDEX(L_ID,ROW()-4))*(P_StatusN="INACTIVE"))&gt;0,1,0))</f>
        <v/>
      </c>
    </row>
    <row r="452">
      <c r="A452">
        <f>IF(INDEX(L_ID,ROW()-4)="","",IF(COUNTIF(P_ID,INDEX(L_ID,ROW()-4))&gt;0,1,0))</f>
        <v/>
      </c>
      <c r="B452">
        <f>IF(INDEX(P_Type,ROW()-4)="","",TRIM(UPPER(INDEX(P_Type,ROW()-4))))</f>
        <v/>
      </c>
      <c r="D452">
        <f>IF(INDEX(L_Type,ROW()-4)="","",TRIM(UPPER(INDEX(L_Type,ROW()-4))))</f>
        <v/>
      </c>
      <c r="E452">
        <f>IF(INDEX(P_Status,ROW()-4)="","",TRIM(UPPER(INDEX(P_Status,ROW()-4))))</f>
        <v/>
      </c>
      <c r="G452">
        <f>IF(INDEX(L_Status,ROW()-4)="","",TRIM(UPPER(INDEX(L_Status,ROW()-4))))</f>
        <v/>
      </c>
      <c r="J452">
        <f>IF(INDEX(L_ID,ROW()-4)="","",IF(SUMPRODUCT((P_ID=INDEX(L_ID,ROW()-4))*(P_StatusN="INACTIVE"))&gt;0,1,0))</f>
        <v/>
      </c>
    </row>
    <row r="453">
      <c r="A453">
        <f>IF(INDEX(L_ID,ROW()-4)="","",IF(COUNTIF(P_ID,INDEX(L_ID,ROW()-4))&gt;0,1,0))</f>
        <v/>
      </c>
      <c r="B453">
        <f>IF(INDEX(P_Type,ROW()-4)="","",TRIM(UPPER(INDEX(P_Type,ROW()-4))))</f>
        <v/>
      </c>
      <c r="D453">
        <f>IF(INDEX(L_Type,ROW()-4)="","",TRIM(UPPER(INDEX(L_Type,ROW()-4))))</f>
        <v/>
      </c>
      <c r="E453">
        <f>IF(INDEX(P_Status,ROW()-4)="","",TRIM(UPPER(INDEX(P_Status,ROW()-4))))</f>
        <v/>
      </c>
      <c r="G453">
        <f>IF(INDEX(L_Status,ROW()-4)="","",TRIM(UPPER(INDEX(L_Status,ROW()-4))))</f>
        <v/>
      </c>
      <c r="J453">
        <f>IF(INDEX(L_ID,ROW()-4)="","",IF(SUMPRODUCT((P_ID=INDEX(L_ID,ROW()-4))*(P_StatusN="INACTIVE"))&gt;0,1,0))</f>
        <v/>
      </c>
    </row>
    <row r="454">
      <c r="A454">
        <f>IF(INDEX(L_ID,ROW()-4)="","",IF(COUNTIF(P_ID,INDEX(L_ID,ROW()-4))&gt;0,1,0))</f>
        <v/>
      </c>
      <c r="B454">
        <f>IF(INDEX(P_Type,ROW()-4)="","",TRIM(UPPER(INDEX(P_Type,ROW()-4))))</f>
        <v/>
      </c>
      <c r="D454">
        <f>IF(INDEX(L_Type,ROW()-4)="","",TRIM(UPPER(INDEX(L_Type,ROW()-4))))</f>
        <v/>
      </c>
      <c r="E454">
        <f>IF(INDEX(P_Status,ROW()-4)="","",TRIM(UPPER(INDEX(P_Status,ROW()-4))))</f>
        <v/>
      </c>
      <c r="G454">
        <f>IF(INDEX(L_Status,ROW()-4)="","",TRIM(UPPER(INDEX(L_Status,ROW()-4))))</f>
        <v/>
      </c>
      <c r="J454">
        <f>IF(INDEX(L_ID,ROW()-4)="","",IF(SUMPRODUCT((P_ID=INDEX(L_ID,ROW()-4))*(P_StatusN="INACTIVE"))&gt;0,1,0))</f>
        <v/>
      </c>
    </row>
    <row r="455">
      <c r="A455">
        <f>IF(INDEX(L_ID,ROW()-4)="","",IF(COUNTIF(P_ID,INDEX(L_ID,ROW()-4))&gt;0,1,0))</f>
        <v/>
      </c>
      <c r="B455">
        <f>IF(INDEX(P_Type,ROW()-4)="","",TRIM(UPPER(INDEX(P_Type,ROW()-4))))</f>
        <v/>
      </c>
      <c r="D455">
        <f>IF(INDEX(L_Type,ROW()-4)="","",TRIM(UPPER(INDEX(L_Type,ROW()-4))))</f>
        <v/>
      </c>
      <c r="E455">
        <f>IF(INDEX(P_Status,ROW()-4)="","",TRIM(UPPER(INDEX(P_Status,ROW()-4))))</f>
        <v/>
      </c>
      <c r="G455">
        <f>IF(INDEX(L_Status,ROW()-4)="","",TRIM(UPPER(INDEX(L_Status,ROW()-4))))</f>
        <v/>
      </c>
      <c r="J455">
        <f>IF(INDEX(L_ID,ROW()-4)="","",IF(SUMPRODUCT((P_ID=INDEX(L_ID,ROW()-4))*(P_StatusN="INACTIVE"))&gt;0,1,0))</f>
        <v/>
      </c>
    </row>
    <row r="456">
      <c r="A456">
        <f>IF(INDEX(L_ID,ROW()-4)="","",IF(COUNTIF(P_ID,INDEX(L_ID,ROW()-4))&gt;0,1,0))</f>
        <v/>
      </c>
      <c r="B456">
        <f>IF(INDEX(P_Type,ROW()-4)="","",TRIM(UPPER(INDEX(P_Type,ROW()-4))))</f>
        <v/>
      </c>
      <c r="D456">
        <f>IF(INDEX(L_Type,ROW()-4)="","",TRIM(UPPER(INDEX(L_Type,ROW()-4))))</f>
        <v/>
      </c>
      <c r="E456">
        <f>IF(INDEX(P_Status,ROW()-4)="","",TRIM(UPPER(INDEX(P_Status,ROW()-4))))</f>
        <v/>
      </c>
      <c r="G456">
        <f>IF(INDEX(L_Status,ROW()-4)="","",TRIM(UPPER(INDEX(L_Status,ROW()-4))))</f>
        <v/>
      </c>
      <c r="J456">
        <f>IF(INDEX(L_ID,ROW()-4)="","",IF(SUMPRODUCT((P_ID=INDEX(L_ID,ROW()-4))*(P_StatusN="INACTIVE"))&gt;0,1,0))</f>
        <v/>
      </c>
    </row>
    <row r="457">
      <c r="A457">
        <f>IF(INDEX(L_ID,ROW()-4)="","",IF(COUNTIF(P_ID,INDEX(L_ID,ROW()-4))&gt;0,1,0))</f>
        <v/>
      </c>
      <c r="B457">
        <f>IF(INDEX(P_Type,ROW()-4)="","",TRIM(UPPER(INDEX(P_Type,ROW()-4))))</f>
        <v/>
      </c>
      <c r="D457">
        <f>IF(INDEX(L_Type,ROW()-4)="","",TRIM(UPPER(INDEX(L_Type,ROW()-4))))</f>
        <v/>
      </c>
      <c r="E457">
        <f>IF(INDEX(P_Status,ROW()-4)="","",TRIM(UPPER(INDEX(P_Status,ROW()-4))))</f>
        <v/>
      </c>
      <c r="G457">
        <f>IF(INDEX(L_Status,ROW()-4)="","",TRIM(UPPER(INDEX(L_Status,ROW()-4))))</f>
        <v/>
      </c>
      <c r="J457">
        <f>IF(INDEX(L_ID,ROW()-4)="","",IF(SUMPRODUCT((P_ID=INDEX(L_ID,ROW()-4))*(P_StatusN="INACTIVE"))&gt;0,1,0))</f>
        <v/>
      </c>
    </row>
    <row r="458">
      <c r="A458">
        <f>IF(INDEX(L_ID,ROW()-4)="","",IF(COUNTIF(P_ID,INDEX(L_ID,ROW()-4))&gt;0,1,0))</f>
        <v/>
      </c>
      <c r="B458">
        <f>IF(INDEX(P_Type,ROW()-4)="","",TRIM(UPPER(INDEX(P_Type,ROW()-4))))</f>
        <v/>
      </c>
      <c r="D458">
        <f>IF(INDEX(L_Type,ROW()-4)="","",TRIM(UPPER(INDEX(L_Type,ROW()-4))))</f>
        <v/>
      </c>
      <c r="E458">
        <f>IF(INDEX(P_Status,ROW()-4)="","",TRIM(UPPER(INDEX(P_Status,ROW()-4))))</f>
        <v/>
      </c>
      <c r="G458">
        <f>IF(INDEX(L_Status,ROW()-4)="","",TRIM(UPPER(INDEX(L_Status,ROW()-4))))</f>
        <v/>
      </c>
      <c r="J458">
        <f>IF(INDEX(L_ID,ROW()-4)="","",IF(SUMPRODUCT((P_ID=INDEX(L_ID,ROW()-4))*(P_StatusN="INACTIVE"))&gt;0,1,0))</f>
        <v/>
      </c>
    </row>
    <row r="459">
      <c r="A459">
        <f>IF(INDEX(L_ID,ROW()-4)="","",IF(COUNTIF(P_ID,INDEX(L_ID,ROW()-4))&gt;0,1,0))</f>
        <v/>
      </c>
      <c r="B459">
        <f>IF(INDEX(P_Type,ROW()-4)="","",TRIM(UPPER(INDEX(P_Type,ROW()-4))))</f>
        <v/>
      </c>
      <c r="D459">
        <f>IF(INDEX(L_Type,ROW()-4)="","",TRIM(UPPER(INDEX(L_Type,ROW()-4))))</f>
        <v/>
      </c>
      <c r="E459">
        <f>IF(INDEX(P_Status,ROW()-4)="","",TRIM(UPPER(INDEX(P_Status,ROW()-4))))</f>
        <v/>
      </c>
      <c r="G459">
        <f>IF(INDEX(L_Status,ROW()-4)="","",TRIM(UPPER(INDEX(L_Status,ROW()-4))))</f>
        <v/>
      </c>
      <c r="J459">
        <f>IF(INDEX(L_ID,ROW()-4)="","",IF(SUMPRODUCT((P_ID=INDEX(L_ID,ROW()-4))*(P_StatusN="INACTIVE"))&gt;0,1,0))</f>
        <v/>
      </c>
    </row>
    <row r="460">
      <c r="A460">
        <f>IF(INDEX(L_ID,ROW()-4)="","",IF(COUNTIF(P_ID,INDEX(L_ID,ROW()-4))&gt;0,1,0))</f>
        <v/>
      </c>
      <c r="B460">
        <f>IF(INDEX(P_Type,ROW()-4)="","",TRIM(UPPER(INDEX(P_Type,ROW()-4))))</f>
        <v/>
      </c>
      <c r="D460">
        <f>IF(INDEX(L_Type,ROW()-4)="","",TRIM(UPPER(INDEX(L_Type,ROW()-4))))</f>
        <v/>
      </c>
      <c r="E460">
        <f>IF(INDEX(P_Status,ROW()-4)="","",TRIM(UPPER(INDEX(P_Status,ROW()-4))))</f>
        <v/>
      </c>
      <c r="G460">
        <f>IF(INDEX(L_Status,ROW()-4)="","",TRIM(UPPER(INDEX(L_Status,ROW()-4))))</f>
        <v/>
      </c>
      <c r="J460">
        <f>IF(INDEX(L_ID,ROW()-4)="","",IF(SUMPRODUCT((P_ID=INDEX(L_ID,ROW()-4))*(P_StatusN="INACTIVE"))&gt;0,1,0))</f>
        <v/>
      </c>
    </row>
    <row r="461">
      <c r="A461">
        <f>IF(INDEX(L_ID,ROW()-4)="","",IF(COUNTIF(P_ID,INDEX(L_ID,ROW()-4))&gt;0,1,0))</f>
        <v/>
      </c>
      <c r="B461">
        <f>IF(INDEX(P_Type,ROW()-4)="","",TRIM(UPPER(INDEX(P_Type,ROW()-4))))</f>
        <v/>
      </c>
      <c r="D461">
        <f>IF(INDEX(L_Type,ROW()-4)="","",TRIM(UPPER(INDEX(L_Type,ROW()-4))))</f>
        <v/>
      </c>
      <c r="E461">
        <f>IF(INDEX(P_Status,ROW()-4)="","",TRIM(UPPER(INDEX(P_Status,ROW()-4))))</f>
        <v/>
      </c>
      <c r="G461">
        <f>IF(INDEX(L_Status,ROW()-4)="","",TRIM(UPPER(INDEX(L_Status,ROW()-4))))</f>
        <v/>
      </c>
      <c r="J461">
        <f>IF(INDEX(L_ID,ROW()-4)="","",IF(SUMPRODUCT((P_ID=INDEX(L_ID,ROW()-4))*(P_StatusN="INACTIVE"))&gt;0,1,0))</f>
        <v/>
      </c>
    </row>
    <row r="462">
      <c r="A462">
        <f>IF(INDEX(L_ID,ROW()-4)="","",IF(COUNTIF(P_ID,INDEX(L_ID,ROW()-4))&gt;0,1,0))</f>
        <v/>
      </c>
      <c r="B462">
        <f>IF(INDEX(P_Type,ROW()-4)="","",TRIM(UPPER(INDEX(P_Type,ROW()-4))))</f>
        <v/>
      </c>
      <c r="D462">
        <f>IF(INDEX(L_Type,ROW()-4)="","",TRIM(UPPER(INDEX(L_Type,ROW()-4))))</f>
        <v/>
      </c>
      <c r="E462">
        <f>IF(INDEX(P_Status,ROW()-4)="","",TRIM(UPPER(INDEX(P_Status,ROW()-4))))</f>
        <v/>
      </c>
      <c r="G462">
        <f>IF(INDEX(L_Status,ROW()-4)="","",TRIM(UPPER(INDEX(L_Status,ROW()-4))))</f>
        <v/>
      </c>
      <c r="J462">
        <f>IF(INDEX(L_ID,ROW()-4)="","",IF(SUMPRODUCT((P_ID=INDEX(L_ID,ROW()-4))*(P_StatusN="INACTIVE"))&gt;0,1,0))</f>
        <v/>
      </c>
    </row>
    <row r="463">
      <c r="A463">
        <f>IF(INDEX(L_ID,ROW()-4)="","",IF(COUNTIF(P_ID,INDEX(L_ID,ROW()-4))&gt;0,1,0))</f>
        <v/>
      </c>
      <c r="B463">
        <f>IF(INDEX(P_Type,ROW()-4)="","",TRIM(UPPER(INDEX(P_Type,ROW()-4))))</f>
        <v/>
      </c>
      <c r="D463">
        <f>IF(INDEX(L_Type,ROW()-4)="","",TRIM(UPPER(INDEX(L_Type,ROW()-4))))</f>
        <v/>
      </c>
      <c r="E463">
        <f>IF(INDEX(P_Status,ROW()-4)="","",TRIM(UPPER(INDEX(P_Status,ROW()-4))))</f>
        <v/>
      </c>
      <c r="G463">
        <f>IF(INDEX(L_Status,ROW()-4)="","",TRIM(UPPER(INDEX(L_Status,ROW()-4))))</f>
        <v/>
      </c>
      <c r="J463">
        <f>IF(INDEX(L_ID,ROW()-4)="","",IF(SUMPRODUCT((P_ID=INDEX(L_ID,ROW()-4))*(P_StatusN="INACTIVE"))&gt;0,1,0))</f>
        <v/>
      </c>
    </row>
    <row r="464">
      <c r="A464">
        <f>IF(INDEX(L_ID,ROW()-4)="","",IF(COUNTIF(P_ID,INDEX(L_ID,ROW()-4))&gt;0,1,0))</f>
        <v/>
      </c>
      <c r="B464">
        <f>IF(INDEX(P_Type,ROW()-4)="","",TRIM(UPPER(INDEX(P_Type,ROW()-4))))</f>
        <v/>
      </c>
      <c r="D464">
        <f>IF(INDEX(L_Type,ROW()-4)="","",TRIM(UPPER(INDEX(L_Type,ROW()-4))))</f>
        <v/>
      </c>
      <c r="E464">
        <f>IF(INDEX(P_Status,ROW()-4)="","",TRIM(UPPER(INDEX(P_Status,ROW()-4))))</f>
        <v/>
      </c>
      <c r="G464">
        <f>IF(INDEX(L_Status,ROW()-4)="","",TRIM(UPPER(INDEX(L_Status,ROW()-4))))</f>
        <v/>
      </c>
      <c r="J464">
        <f>IF(INDEX(L_ID,ROW()-4)="","",IF(SUMPRODUCT((P_ID=INDEX(L_ID,ROW()-4))*(P_StatusN="INACTIVE"))&gt;0,1,0))</f>
        <v/>
      </c>
    </row>
    <row r="465">
      <c r="A465">
        <f>IF(INDEX(L_ID,ROW()-4)="","",IF(COUNTIF(P_ID,INDEX(L_ID,ROW()-4))&gt;0,1,0))</f>
        <v/>
      </c>
      <c r="B465">
        <f>IF(INDEX(P_Type,ROW()-4)="","",TRIM(UPPER(INDEX(P_Type,ROW()-4))))</f>
        <v/>
      </c>
      <c r="D465">
        <f>IF(INDEX(L_Type,ROW()-4)="","",TRIM(UPPER(INDEX(L_Type,ROW()-4))))</f>
        <v/>
      </c>
      <c r="E465">
        <f>IF(INDEX(P_Status,ROW()-4)="","",TRIM(UPPER(INDEX(P_Status,ROW()-4))))</f>
        <v/>
      </c>
      <c r="G465">
        <f>IF(INDEX(L_Status,ROW()-4)="","",TRIM(UPPER(INDEX(L_Status,ROW()-4))))</f>
        <v/>
      </c>
      <c r="J465">
        <f>IF(INDEX(L_ID,ROW()-4)="","",IF(SUMPRODUCT((P_ID=INDEX(L_ID,ROW()-4))*(P_StatusN="INACTIVE"))&gt;0,1,0))</f>
        <v/>
      </c>
    </row>
    <row r="466">
      <c r="A466">
        <f>IF(INDEX(L_ID,ROW()-4)="","",IF(COUNTIF(P_ID,INDEX(L_ID,ROW()-4))&gt;0,1,0))</f>
        <v/>
      </c>
      <c r="B466">
        <f>IF(INDEX(P_Type,ROW()-4)="","",TRIM(UPPER(INDEX(P_Type,ROW()-4))))</f>
        <v/>
      </c>
      <c r="D466">
        <f>IF(INDEX(L_Type,ROW()-4)="","",TRIM(UPPER(INDEX(L_Type,ROW()-4))))</f>
        <v/>
      </c>
      <c r="E466">
        <f>IF(INDEX(P_Status,ROW()-4)="","",TRIM(UPPER(INDEX(P_Status,ROW()-4))))</f>
        <v/>
      </c>
      <c r="G466">
        <f>IF(INDEX(L_Status,ROW()-4)="","",TRIM(UPPER(INDEX(L_Status,ROW()-4))))</f>
        <v/>
      </c>
      <c r="J466">
        <f>IF(INDEX(L_ID,ROW()-4)="","",IF(SUMPRODUCT((P_ID=INDEX(L_ID,ROW()-4))*(P_StatusN="INACTIVE"))&gt;0,1,0))</f>
        <v/>
      </c>
    </row>
    <row r="467">
      <c r="A467">
        <f>IF(INDEX(L_ID,ROW()-4)="","",IF(COUNTIF(P_ID,INDEX(L_ID,ROW()-4))&gt;0,1,0))</f>
        <v/>
      </c>
      <c r="B467">
        <f>IF(INDEX(P_Type,ROW()-4)="","",TRIM(UPPER(INDEX(P_Type,ROW()-4))))</f>
        <v/>
      </c>
      <c r="D467">
        <f>IF(INDEX(L_Type,ROW()-4)="","",TRIM(UPPER(INDEX(L_Type,ROW()-4))))</f>
        <v/>
      </c>
      <c r="E467">
        <f>IF(INDEX(P_Status,ROW()-4)="","",TRIM(UPPER(INDEX(P_Status,ROW()-4))))</f>
        <v/>
      </c>
      <c r="G467">
        <f>IF(INDEX(L_Status,ROW()-4)="","",TRIM(UPPER(INDEX(L_Status,ROW()-4))))</f>
        <v/>
      </c>
      <c r="J467">
        <f>IF(INDEX(L_ID,ROW()-4)="","",IF(SUMPRODUCT((P_ID=INDEX(L_ID,ROW()-4))*(P_StatusN="INACTIVE"))&gt;0,1,0))</f>
        <v/>
      </c>
    </row>
    <row r="468">
      <c r="A468">
        <f>IF(INDEX(L_ID,ROW()-4)="","",IF(COUNTIF(P_ID,INDEX(L_ID,ROW()-4))&gt;0,1,0))</f>
        <v/>
      </c>
      <c r="B468">
        <f>IF(INDEX(P_Type,ROW()-4)="","",TRIM(UPPER(INDEX(P_Type,ROW()-4))))</f>
        <v/>
      </c>
      <c r="D468">
        <f>IF(INDEX(L_Type,ROW()-4)="","",TRIM(UPPER(INDEX(L_Type,ROW()-4))))</f>
        <v/>
      </c>
      <c r="E468">
        <f>IF(INDEX(P_Status,ROW()-4)="","",TRIM(UPPER(INDEX(P_Status,ROW()-4))))</f>
        <v/>
      </c>
      <c r="G468">
        <f>IF(INDEX(L_Status,ROW()-4)="","",TRIM(UPPER(INDEX(L_Status,ROW()-4))))</f>
        <v/>
      </c>
      <c r="J468">
        <f>IF(INDEX(L_ID,ROW()-4)="","",IF(SUMPRODUCT((P_ID=INDEX(L_ID,ROW()-4))*(P_StatusN="INACTIVE"))&gt;0,1,0))</f>
        <v/>
      </c>
    </row>
    <row r="469">
      <c r="A469">
        <f>IF(INDEX(L_ID,ROW()-4)="","",IF(COUNTIF(P_ID,INDEX(L_ID,ROW()-4))&gt;0,1,0))</f>
        <v/>
      </c>
      <c r="B469">
        <f>IF(INDEX(P_Type,ROW()-4)="","",TRIM(UPPER(INDEX(P_Type,ROW()-4))))</f>
        <v/>
      </c>
      <c r="D469">
        <f>IF(INDEX(L_Type,ROW()-4)="","",TRIM(UPPER(INDEX(L_Type,ROW()-4))))</f>
        <v/>
      </c>
      <c r="E469">
        <f>IF(INDEX(P_Status,ROW()-4)="","",TRIM(UPPER(INDEX(P_Status,ROW()-4))))</f>
        <v/>
      </c>
      <c r="G469">
        <f>IF(INDEX(L_Status,ROW()-4)="","",TRIM(UPPER(INDEX(L_Status,ROW()-4))))</f>
        <v/>
      </c>
      <c r="J469">
        <f>IF(INDEX(L_ID,ROW()-4)="","",IF(SUMPRODUCT((P_ID=INDEX(L_ID,ROW()-4))*(P_StatusN="INACTIVE"))&gt;0,1,0))</f>
        <v/>
      </c>
    </row>
    <row r="470">
      <c r="A470">
        <f>IF(INDEX(L_ID,ROW()-4)="","",IF(COUNTIF(P_ID,INDEX(L_ID,ROW()-4))&gt;0,1,0))</f>
        <v/>
      </c>
      <c r="B470">
        <f>IF(INDEX(P_Type,ROW()-4)="","",TRIM(UPPER(INDEX(P_Type,ROW()-4))))</f>
        <v/>
      </c>
      <c r="D470">
        <f>IF(INDEX(L_Type,ROW()-4)="","",TRIM(UPPER(INDEX(L_Type,ROW()-4))))</f>
        <v/>
      </c>
      <c r="E470">
        <f>IF(INDEX(P_Status,ROW()-4)="","",TRIM(UPPER(INDEX(P_Status,ROW()-4))))</f>
        <v/>
      </c>
      <c r="G470">
        <f>IF(INDEX(L_Status,ROW()-4)="","",TRIM(UPPER(INDEX(L_Status,ROW()-4))))</f>
        <v/>
      </c>
      <c r="J470">
        <f>IF(INDEX(L_ID,ROW()-4)="","",IF(SUMPRODUCT((P_ID=INDEX(L_ID,ROW()-4))*(P_StatusN="INACTIVE"))&gt;0,1,0))</f>
        <v/>
      </c>
    </row>
    <row r="471">
      <c r="A471">
        <f>IF(INDEX(L_ID,ROW()-4)="","",IF(COUNTIF(P_ID,INDEX(L_ID,ROW()-4))&gt;0,1,0))</f>
        <v/>
      </c>
      <c r="B471">
        <f>IF(INDEX(P_Type,ROW()-4)="","",TRIM(UPPER(INDEX(P_Type,ROW()-4))))</f>
        <v/>
      </c>
      <c r="D471">
        <f>IF(INDEX(L_Type,ROW()-4)="","",TRIM(UPPER(INDEX(L_Type,ROW()-4))))</f>
        <v/>
      </c>
      <c r="E471">
        <f>IF(INDEX(P_Status,ROW()-4)="","",TRIM(UPPER(INDEX(P_Status,ROW()-4))))</f>
        <v/>
      </c>
      <c r="G471">
        <f>IF(INDEX(L_Status,ROW()-4)="","",TRIM(UPPER(INDEX(L_Status,ROW()-4))))</f>
        <v/>
      </c>
      <c r="J471">
        <f>IF(INDEX(L_ID,ROW()-4)="","",IF(SUMPRODUCT((P_ID=INDEX(L_ID,ROW()-4))*(P_StatusN="INACTIVE"))&gt;0,1,0))</f>
        <v/>
      </c>
    </row>
    <row r="472">
      <c r="A472">
        <f>IF(INDEX(L_ID,ROW()-4)="","",IF(COUNTIF(P_ID,INDEX(L_ID,ROW()-4))&gt;0,1,0))</f>
        <v/>
      </c>
      <c r="B472">
        <f>IF(INDEX(P_Type,ROW()-4)="","",TRIM(UPPER(INDEX(P_Type,ROW()-4))))</f>
        <v/>
      </c>
      <c r="D472">
        <f>IF(INDEX(L_Type,ROW()-4)="","",TRIM(UPPER(INDEX(L_Type,ROW()-4))))</f>
        <v/>
      </c>
      <c r="E472">
        <f>IF(INDEX(P_Status,ROW()-4)="","",TRIM(UPPER(INDEX(P_Status,ROW()-4))))</f>
        <v/>
      </c>
      <c r="G472">
        <f>IF(INDEX(L_Status,ROW()-4)="","",TRIM(UPPER(INDEX(L_Status,ROW()-4))))</f>
        <v/>
      </c>
      <c r="J472">
        <f>IF(INDEX(L_ID,ROW()-4)="","",IF(SUMPRODUCT((P_ID=INDEX(L_ID,ROW()-4))*(P_StatusN="INACTIVE"))&gt;0,1,0))</f>
        <v/>
      </c>
    </row>
    <row r="473">
      <c r="A473">
        <f>IF(INDEX(L_ID,ROW()-4)="","",IF(COUNTIF(P_ID,INDEX(L_ID,ROW()-4))&gt;0,1,0))</f>
        <v/>
      </c>
      <c r="B473">
        <f>IF(INDEX(P_Type,ROW()-4)="","",TRIM(UPPER(INDEX(P_Type,ROW()-4))))</f>
        <v/>
      </c>
      <c r="D473">
        <f>IF(INDEX(L_Type,ROW()-4)="","",TRIM(UPPER(INDEX(L_Type,ROW()-4))))</f>
        <v/>
      </c>
      <c r="E473">
        <f>IF(INDEX(P_Status,ROW()-4)="","",TRIM(UPPER(INDEX(P_Status,ROW()-4))))</f>
        <v/>
      </c>
      <c r="G473">
        <f>IF(INDEX(L_Status,ROW()-4)="","",TRIM(UPPER(INDEX(L_Status,ROW()-4))))</f>
        <v/>
      </c>
      <c r="J473">
        <f>IF(INDEX(L_ID,ROW()-4)="","",IF(SUMPRODUCT((P_ID=INDEX(L_ID,ROW()-4))*(P_StatusN="INACTIVE"))&gt;0,1,0))</f>
        <v/>
      </c>
    </row>
    <row r="474">
      <c r="A474">
        <f>IF(INDEX(L_ID,ROW()-4)="","",IF(COUNTIF(P_ID,INDEX(L_ID,ROW()-4))&gt;0,1,0))</f>
        <v/>
      </c>
      <c r="B474">
        <f>IF(INDEX(P_Type,ROW()-4)="","",TRIM(UPPER(INDEX(P_Type,ROW()-4))))</f>
        <v/>
      </c>
      <c r="D474">
        <f>IF(INDEX(L_Type,ROW()-4)="","",TRIM(UPPER(INDEX(L_Type,ROW()-4))))</f>
        <v/>
      </c>
      <c r="E474">
        <f>IF(INDEX(P_Status,ROW()-4)="","",TRIM(UPPER(INDEX(P_Status,ROW()-4))))</f>
        <v/>
      </c>
      <c r="G474">
        <f>IF(INDEX(L_Status,ROW()-4)="","",TRIM(UPPER(INDEX(L_Status,ROW()-4))))</f>
        <v/>
      </c>
      <c r="J474">
        <f>IF(INDEX(L_ID,ROW()-4)="","",IF(SUMPRODUCT((P_ID=INDEX(L_ID,ROW()-4))*(P_StatusN="INACTIVE"))&gt;0,1,0))</f>
        <v/>
      </c>
    </row>
    <row r="475">
      <c r="A475">
        <f>IF(INDEX(L_ID,ROW()-4)="","",IF(COUNTIF(P_ID,INDEX(L_ID,ROW()-4))&gt;0,1,0))</f>
        <v/>
      </c>
      <c r="B475">
        <f>IF(INDEX(P_Type,ROW()-4)="","",TRIM(UPPER(INDEX(P_Type,ROW()-4))))</f>
        <v/>
      </c>
      <c r="D475">
        <f>IF(INDEX(L_Type,ROW()-4)="","",TRIM(UPPER(INDEX(L_Type,ROW()-4))))</f>
        <v/>
      </c>
      <c r="E475">
        <f>IF(INDEX(P_Status,ROW()-4)="","",TRIM(UPPER(INDEX(P_Status,ROW()-4))))</f>
        <v/>
      </c>
      <c r="G475">
        <f>IF(INDEX(L_Status,ROW()-4)="","",TRIM(UPPER(INDEX(L_Status,ROW()-4))))</f>
        <v/>
      </c>
      <c r="J475">
        <f>IF(INDEX(L_ID,ROW()-4)="","",IF(SUMPRODUCT((P_ID=INDEX(L_ID,ROW()-4))*(P_StatusN="INACTIVE"))&gt;0,1,0))</f>
        <v/>
      </c>
    </row>
    <row r="476">
      <c r="A476">
        <f>IF(INDEX(L_ID,ROW()-4)="","",IF(COUNTIF(P_ID,INDEX(L_ID,ROW()-4))&gt;0,1,0))</f>
        <v/>
      </c>
      <c r="B476">
        <f>IF(INDEX(P_Type,ROW()-4)="","",TRIM(UPPER(INDEX(P_Type,ROW()-4))))</f>
        <v/>
      </c>
      <c r="D476">
        <f>IF(INDEX(L_Type,ROW()-4)="","",TRIM(UPPER(INDEX(L_Type,ROW()-4))))</f>
        <v/>
      </c>
      <c r="E476">
        <f>IF(INDEX(P_Status,ROW()-4)="","",TRIM(UPPER(INDEX(P_Status,ROW()-4))))</f>
        <v/>
      </c>
      <c r="G476">
        <f>IF(INDEX(L_Status,ROW()-4)="","",TRIM(UPPER(INDEX(L_Status,ROW()-4))))</f>
        <v/>
      </c>
      <c r="J476">
        <f>IF(INDEX(L_ID,ROW()-4)="","",IF(SUMPRODUCT((P_ID=INDEX(L_ID,ROW()-4))*(P_StatusN="INACTIVE"))&gt;0,1,0))</f>
        <v/>
      </c>
    </row>
    <row r="477">
      <c r="A477">
        <f>IF(INDEX(L_ID,ROW()-4)="","",IF(COUNTIF(P_ID,INDEX(L_ID,ROW()-4))&gt;0,1,0))</f>
        <v/>
      </c>
      <c r="B477">
        <f>IF(INDEX(P_Type,ROW()-4)="","",TRIM(UPPER(INDEX(P_Type,ROW()-4))))</f>
        <v/>
      </c>
      <c r="D477">
        <f>IF(INDEX(L_Type,ROW()-4)="","",TRIM(UPPER(INDEX(L_Type,ROW()-4))))</f>
        <v/>
      </c>
      <c r="E477">
        <f>IF(INDEX(P_Status,ROW()-4)="","",TRIM(UPPER(INDEX(P_Status,ROW()-4))))</f>
        <v/>
      </c>
      <c r="G477">
        <f>IF(INDEX(L_Status,ROW()-4)="","",TRIM(UPPER(INDEX(L_Status,ROW()-4))))</f>
        <v/>
      </c>
      <c r="J477">
        <f>IF(INDEX(L_ID,ROW()-4)="","",IF(SUMPRODUCT((P_ID=INDEX(L_ID,ROW()-4))*(P_StatusN="INACTIVE"))&gt;0,1,0))</f>
        <v/>
      </c>
    </row>
    <row r="478">
      <c r="A478">
        <f>IF(INDEX(L_ID,ROW()-4)="","",IF(COUNTIF(P_ID,INDEX(L_ID,ROW()-4))&gt;0,1,0))</f>
        <v/>
      </c>
      <c r="B478">
        <f>IF(INDEX(P_Type,ROW()-4)="","",TRIM(UPPER(INDEX(P_Type,ROW()-4))))</f>
        <v/>
      </c>
      <c r="D478">
        <f>IF(INDEX(L_Type,ROW()-4)="","",TRIM(UPPER(INDEX(L_Type,ROW()-4))))</f>
        <v/>
      </c>
      <c r="E478">
        <f>IF(INDEX(P_Status,ROW()-4)="","",TRIM(UPPER(INDEX(P_Status,ROW()-4))))</f>
        <v/>
      </c>
      <c r="G478">
        <f>IF(INDEX(L_Status,ROW()-4)="","",TRIM(UPPER(INDEX(L_Status,ROW()-4))))</f>
        <v/>
      </c>
      <c r="J478">
        <f>IF(INDEX(L_ID,ROW()-4)="","",IF(SUMPRODUCT((P_ID=INDEX(L_ID,ROW()-4))*(P_StatusN="INACTIVE"))&gt;0,1,0))</f>
        <v/>
      </c>
    </row>
    <row r="479">
      <c r="A479">
        <f>IF(INDEX(L_ID,ROW()-4)="","",IF(COUNTIF(P_ID,INDEX(L_ID,ROW()-4))&gt;0,1,0))</f>
        <v/>
      </c>
      <c r="B479">
        <f>IF(INDEX(P_Type,ROW()-4)="","",TRIM(UPPER(INDEX(P_Type,ROW()-4))))</f>
        <v/>
      </c>
      <c r="D479">
        <f>IF(INDEX(L_Type,ROW()-4)="","",TRIM(UPPER(INDEX(L_Type,ROW()-4))))</f>
        <v/>
      </c>
      <c r="E479">
        <f>IF(INDEX(P_Status,ROW()-4)="","",TRIM(UPPER(INDEX(P_Status,ROW()-4))))</f>
        <v/>
      </c>
      <c r="G479">
        <f>IF(INDEX(L_Status,ROW()-4)="","",TRIM(UPPER(INDEX(L_Status,ROW()-4))))</f>
        <v/>
      </c>
      <c r="J479">
        <f>IF(INDEX(L_ID,ROW()-4)="","",IF(SUMPRODUCT((P_ID=INDEX(L_ID,ROW()-4))*(P_StatusN="INACTIVE"))&gt;0,1,0))</f>
        <v/>
      </c>
    </row>
    <row r="480">
      <c r="A480">
        <f>IF(INDEX(L_ID,ROW()-4)="","",IF(COUNTIF(P_ID,INDEX(L_ID,ROW()-4))&gt;0,1,0))</f>
        <v/>
      </c>
      <c r="B480">
        <f>IF(INDEX(P_Type,ROW()-4)="","",TRIM(UPPER(INDEX(P_Type,ROW()-4))))</f>
        <v/>
      </c>
      <c r="D480">
        <f>IF(INDEX(L_Type,ROW()-4)="","",TRIM(UPPER(INDEX(L_Type,ROW()-4))))</f>
        <v/>
      </c>
      <c r="E480">
        <f>IF(INDEX(P_Status,ROW()-4)="","",TRIM(UPPER(INDEX(P_Status,ROW()-4))))</f>
        <v/>
      </c>
      <c r="G480">
        <f>IF(INDEX(L_Status,ROW()-4)="","",TRIM(UPPER(INDEX(L_Status,ROW()-4))))</f>
        <v/>
      </c>
      <c r="J480">
        <f>IF(INDEX(L_ID,ROW()-4)="","",IF(SUMPRODUCT((P_ID=INDEX(L_ID,ROW()-4))*(P_StatusN="INACTIVE"))&gt;0,1,0))</f>
        <v/>
      </c>
    </row>
    <row r="481">
      <c r="A481">
        <f>IF(INDEX(L_ID,ROW()-4)="","",IF(COUNTIF(P_ID,INDEX(L_ID,ROW()-4))&gt;0,1,0))</f>
        <v/>
      </c>
      <c r="B481">
        <f>IF(INDEX(P_Type,ROW()-4)="","",TRIM(UPPER(INDEX(P_Type,ROW()-4))))</f>
        <v/>
      </c>
      <c r="D481">
        <f>IF(INDEX(L_Type,ROW()-4)="","",TRIM(UPPER(INDEX(L_Type,ROW()-4))))</f>
        <v/>
      </c>
      <c r="E481">
        <f>IF(INDEX(P_Status,ROW()-4)="","",TRIM(UPPER(INDEX(P_Status,ROW()-4))))</f>
        <v/>
      </c>
      <c r="G481">
        <f>IF(INDEX(L_Status,ROW()-4)="","",TRIM(UPPER(INDEX(L_Status,ROW()-4))))</f>
        <v/>
      </c>
      <c r="J481">
        <f>IF(INDEX(L_ID,ROW()-4)="","",IF(SUMPRODUCT((P_ID=INDEX(L_ID,ROW()-4))*(P_StatusN="INACTIVE"))&gt;0,1,0))</f>
        <v/>
      </c>
    </row>
    <row r="482">
      <c r="A482">
        <f>IF(INDEX(L_ID,ROW()-4)="","",IF(COUNTIF(P_ID,INDEX(L_ID,ROW()-4))&gt;0,1,0))</f>
        <v/>
      </c>
      <c r="B482">
        <f>IF(INDEX(P_Type,ROW()-4)="","",TRIM(UPPER(INDEX(P_Type,ROW()-4))))</f>
        <v/>
      </c>
      <c r="D482">
        <f>IF(INDEX(L_Type,ROW()-4)="","",TRIM(UPPER(INDEX(L_Type,ROW()-4))))</f>
        <v/>
      </c>
      <c r="E482">
        <f>IF(INDEX(P_Status,ROW()-4)="","",TRIM(UPPER(INDEX(P_Status,ROW()-4))))</f>
        <v/>
      </c>
      <c r="G482">
        <f>IF(INDEX(L_Status,ROW()-4)="","",TRIM(UPPER(INDEX(L_Status,ROW()-4))))</f>
        <v/>
      </c>
      <c r="J482">
        <f>IF(INDEX(L_ID,ROW()-4)="","",IF(SUMPRODUCT((P_ID=INDEX(L_ID,ROW()-4))*(P_StatusN="INACTIVE"))&gt;0,1,0))</f>
        <v/>
      </c>
    </row>
    <row r="483">
      <c r="A483">
        <f>IF(INDEX(L_ID,ROW()-4)="","",IF(COUNTIF(P_ID,INDEX(L_ID,ROW()-4))&gt;0,1,0))</f>
        <v/>
      </c>
      <c r="B483">
        <f>IF(INDEX(P_Type,ROW()-4)="","",TRIM(UPPER(INDEX(P_Type,ROW()-4))))</f>
        <v/>
      </c>
      <c r="D483">
        <f>IF(INDEX(L_Type,ROW()-4)="","",TRIM(UPPER(INDEX(L_Type,ROW()-4))))</f>
        <v/>
      </c>
      <c r="E483">
        <f>IF(INDEX(P_Status,ROW()-4)="","",TRIM(UPPER(INDEX(P_Status,ROW()-4))))</f>
        <v/>
      </c>
      <c r="G483">
        <f>IF(INDEX(L_Status,ROW()-4)="","",TRIM(UPPER(INDEX(L_Status,ROW()-4))))</f>
        <v/>
      </c>
      <c r="J483">
        <f>IF(INDEX(L_ID,ROW()-4)="","",IF(SUMPRODUCT((P_ID=INDEX(L_ID,ROW()-4))*(P_StatusN="INACTIVE"))&gt;0,1,0))</f>
        <v/>
      </c>
    </row>
    <row r="484">
      <c r="A484">
        <f>IF(INDEX(L_ID,ROW()-4)="","",IF(COUNTIF(P_ID,INDEX(L_ID,ROW()-4))&gt;0,1,0))</f>
        <v/>
      </c>
      <c r="B484">
        <f>IF(INDEX(P_Type,ROW()-4)="","",TRIM(UPPER(INDEX(P_Type,ROW()-4))))</f>
        <v/>
      </c>
      <c r="D484">
        <f>IF(INDEX(L_Type,ROW()-4)="","",TRIM(UPPER(INDEX(L_Type,ROW()-4))))</f>
        <v/>
      </c>
      <c r="E484">
        <f>IF(INDEX(P_Status,ROW()-4)="","",TRIM(UPPER(INDEX(P_Status,ROW()-4))))</f>
        <v/>
      </c>
      <c r="G484">
        <f>IF(INDEX(L_Status,ROW()-4)="","",TRIM(UPPER(INDEX(L_Status,ROW()-4))))</f>
        <v/>
      </c>
      <c r="J484">
        <f>IF(INDEX(L_ID,ROW()-4)="","",IF(SUMPRODUCT((P_ID=INDEX(L_ID,ROW()-4))*(P_StatusN="INACTIVE"))&gt;0,1,0))</f>
        <v/>
      </c>
    </row>
    <row r="485">
      <c r="A485">
        <f>IF(INDEX(L_ID,ROW()-4)="","",IF(COUNTIF(P_ID,INDEX(L_ID,ROW()-4))&gt;0,1,0))</f>
        <v/>
      </c>
      <c r="B485">
        <f>IF(INDEX(P_Type,ROW()-4)="","",TRIM(UPPER(INDEX(P_Type,ROW()-4))))</f>
        <v/>
      </c>
      <c r="D485">
        <f>IF(INDEX(L_Type,ROW()-4)="","",TRIM(UPPER(INDEX(L_Type,ROW()-4))))</f>
        <v/>
      </c>
      <c r="E485">
        <f>IF(INDEX(P_Status,ROW()-4)="","",TRIM(UPPER(INDEX(P_Status,ROW()-4))))</f>
        <v/>
      </c>
      <c r="G485">
        <f>IF(INDEX(L_Status,ROW()-4)="","",TRIM(UPPER(INDEX(L_Status,ROW()-4))))</f>
        <v/>
      </c>
      <c r="J485">
        <f>IF(INDEX(L_ID,ROW()-4)="","",IF(SUMPRODUCT((P_ID=INDEX(L_ID,ROW()-4))*(P_StatusN="INACTIVE"))&gt;0,1,0))</f>
        <v/>
      </c>
    </row>
    <row r="486">
      <c r="A486">
        <f>IF(INDEX(L_ID,ROW()-4)="","",IF(COUNTIF(P_ID,INDEX(L_ID,ROW()-4))&gt;0,1,0))</f>
        <v/>
      </c>
      <c r="B486">
        <f>IF(INDEX(P_Type,ROW()-4)="","",TRIM(UPPER(INDEX(P_Type,ROW()-4))))</f>
        <v/>
      </c>
      <c r="D486">
        <f>IF(INDEX(L_Type,ROW()-4)="","",TRIM(UPPER(INDEX(L_Type,ROW()-4))))</f>
        <v/>
      </c>
      <c r="E486">
        <f>IF(INDEX(P_Status,ROW()-4)="","",TRIM(UPPER(INDEX(P_Status,ROW()-4))))</f>
        <v/>
      </c>
      <c r="G486">
        <f>IF(INDEX(L_Status,ROW()-4)="","",TRIM(UPPER(INDEX(L_Status,ROW()-4))))</f>
        <v/>
      </c>
      <c r="J486">
        <f>IF(INDEX(L_ID,ROW()-4)="","",IF(SUMPRODUCT((P_ID=INDEX(L_ID,ROW()-4))*(P_StatusN="INACTIVE"))&gt;0,1,0))</f>
        <v/>
      </c>
    </row>
    <row r="487">
      <c r="A487">
        <f>IF(INDEX(L_ID,ROW()-4)="","",IF(COUNTIF(P_ID,INDEX(L_ID,ROW()-4))&gt;0,1,0))</f>
        <v/>
      </c>
      <c r="B487">
        <f>IF(INDEX(P_Type,ROW()-4)="","",TRIM(UPPER(INDEX(P_Type,ROW()-4))))</f>
        <v/>
      </c>
      <c r="D487">
        <f>IF(INDEX(L_Type,ROW()-4)="","",TRIM(UPPER(INDEX(L_Type,ROW()-4))))</f>
        <v/>
      </c>
      <c r="E487">
        <f>IF(INDEX(P_Status,ROW()-4)="","",TRIM(UPPER(INDEX(P_Status,ROW()-4))))</f>
        <v/>
      </c>
      <c r="G487">
        <f>IF(INDEX(L_Status,ROW()-4)="","",TRIM(UPPER(INDEX(L_Status,ROW()-4))))</f>
        <v/>
      </c>
      <c r="J487">
        <f>IF(INDEX(L_ID,ROW()-4)="","",IF(SUMPRODUCT((P_ID=INDEX(L_ID,ROW()-4))*(P_StatusN="INACTIVE"))&gt;0,1,0))</f>
        <v/>
      </c>
    </row>
    <row r="488">
      <c r="A488">
        <f>IF(INDEX(L_ID,ROW()-4)="","",IF(COUNTIF(P_ID,INDEX(L_ID,ROW()-4))&gt;0,1,0))</f>
        <v/>
      </c>
      <c r="B488">
        <f>IF(INDEX(P_Type,ROW()-4)="","",TRIM(UPPER(INDEX(P_Type,ROW()-4))))</f>
        <v/>
      </c>
      <c r="D488">
        <f>IF(INDEX(L_Type,ROW()-4)="","",TRIM(UPPER(INDEX(L_Type,ROW()-4))))</f>
        <v/>
      </c>
      <c r="E488">
        <f>IF(INDEX(P_Status,ROW()-4)="","",TRIM(UPPER(INDEX(P_Status,ROW()-4))))</f>
        <v/>
      </c>
      <c r="G488">
        <f>IF(INDEX(L_Status,ROW()-4)="","",TRIM(UPPER(INDEX(L_Status,ROW()-4))))</f>
        <v/>
      </c>
      <c r="J488">
        <f>IF(INDEX(L_ID,ROW()-4)="","",IF(SUMPRODUCT((P_ID=INDEX(L_ID,ROW()-4))*(P_StatusN="INACTIVE"))&gt;0,1,0))</f>
        <v/>
      </c>
    </row>
    <row r="489">
      <c r="A489">
        <f>IF(INDEX(L_ID,ROW()-4)="","",IF(COUNTIF(P_ID,INDEX(L_ID,ROW()-4))&gt;0,1,0))</f>
        <v/>
      </c>
      <c r="B489">
        <f>IF(INDEX(P_Type,ROW()-4)="","",TRIM(UPPER(INDEX(P_Type,ROW()-4))))</f>
        <v/>
      </c>
      <c r="D489">
        <f>IF(INDEX(L_Type,ROW()-4)="","",TRIM(UPPER(INDEX(L_Type,ROW()-4))))</f>
        <v/>
      </c>
      <c r="E489">
        <f>IF(INDEX(P_Status,ROW()-4)="","",TRIM(UPPER(INDEX(P_Status,ROW()-4))))</f>
        <v/>
      </c>
      <c r="G489">
        <f>IF(INDEX(L_Status,ROW()-4)="","",TRIM(UPPER(INDEX(L_Status,ROW()-4))))</f>
        <v/>
      </c>
      <c r="J489">
        <f>IF(INDEX(L_ID,ROW()-4)="","",IF(SUMPRODUCT((P_ID=INDEX(L_ID,ROW()-4))*(P_StatusN="INACTIVE"))&gt;0,1,0))</f>
        <v/>
      </c>
    </row>
    <row r="490">
      <c r="A490">
        <f>IF(INDEX(L_ID,ROW()-4)="","",IF(COUNTIF(P_ID,INDEX(L_ID,ROW()-4))&gt;0,1,0))</f>
        <v/>
      </c>
      <c r="B490">
        <f>IF(INDEX(P_Type,ROW()-4)="","",TRIM(UPPER(INDEX(P_Type,ROW()-4))))</f>
        <v/>
      </c>
      <c r="D490">
        <f>IF(INDEX(L_Type,ROW()-4)="","",TRIM(UPPER(INDEX(L_Type,ROW()-4))))</f>
        <v/>
      </c>
      <c r="E490">
        <f>IF(INDEX(P_Status,ROW()-4)="","",TRIM(UPPER(INDEX(P_Status,ROW()-4))))</f>
        <v/>
      </c>
      <c r="G490">
        <f>IF(INDEX(L_Status,ROW()-4)="","",TRIM(UPPER(INDEX(L_Status,ROW()-4))))</f>
        <v/>
      </c>
      <c r="J490">
        <f>IF(INDEX(L_ID,ROW()-4)="","",IF(SUMPRODUCT((P_ID=INDEX(L_ID,ROW()-4))*(P_StatusN="INACTIVE"))&gt;0,1,0))</f>
        <v/>
      </c>
    </row>
    <row r="491">
      <c r="A491">
        <f>IF(INDEX(L_ID,ROW()-4)="","",IF(COUNTIF(P_ID,INDEX(L_ID,ROW()-4))&gt;0,1,0))</f>
        <v/>
      </c>
      <c r="B491">
        <f>IF(INDEX(P_Type,ROW()-4)="","",TRIM(UPPER(INDEX(P_Type,ROW()-4))))</f>
        <v/>
      </c>
      <c r="D491">
        <f>IF(INDEX(L_Type,ROW()-4)="","",TRIM(UPPER(INDEX(L_Type,ROW()-4))))</f>
        <v/>
      </c>
      <c r="E491">
        <f>IF(INDEX(P_Status,ROW()-4)="","",TRIM(UPPER(INDEX(P_Status,ROW()-4))))</f>
        <v/>
      </c>
      <c r="G491">
        <f>IF(INDEX(L_Status,ROW()-4)="","",TRIM(UPPER(INDEX(L_Status,ROW()-4))))</f>
        <v/>
      </c>
      <c r="J491">
        <f>IF(INDEX(L_ID,ROW()-4)="","",IF(SUMPRODUCT((P_ID=INDEX(L_ID,ROW()-4))*(P_StatusN="INACTIVE"))&gt;0,1,0))</f>
        <v/>
      </c>
    </row>
    <row r="492">
      <c r="A492">
        <f>IF(INDEX(L_ID,ROW()-4)="","",IF(COUNTIF(P_ID,INDEX(L_ID,ROW()-4))&gt;0,1,0))</f>
        <v/>
      </c>
      <c r="B492">
        <f>IF(INDEX(P_Type,ROW()-4)="","",TRIM(UPPER(INDEX(P_Type,ROW()-4))))</f>
        <v/>
      </c>
      <c r="D492">
        <f>IF(INDEX(L_Type,ROW()-4)="","",TRIM(UPPER(INDEX(L_Type,ROW()-4))))</f>
        <v/>
      </c>
      <c r="E492">
        <f>IF(INDEX(P_Status,ROW()-4)="","",TRIM(UPPER(INDEX(P_Status,ROW()-4))))</f>
        <v/>
      </c>
      <c r="G492">
        <f>IF(INDEX(L_Status,ROW()-4)="","",TRIM(UPPER(INDEX(L_Status,ROW()-4))))</f>
        <v/>
      </c>
      <c r="J492">
        <f>IF(INDEX(L_ID,ROW()-4)="","",IF(SUMPRODUCT((P_ID=INDEX(L_ID,ROW()-4))*(P_StatusN="INACTIVE"))&gt;0,1,0))</f>
        <v/>
      </c>
    </row>
    <row r="493">
      <c r="A493">
        <f>IF(INDEX(L_ID,ROW()-4)="","",IF(COUNTIF(P_ID,INDEX(L_ID,ROW()-4))&gt;0,1,0))</f>
        <v/>
      </c>
      <c r="B493">
        <f>IF(INDEX(P_Type,ROW()-4)="","",TRIM(UPPER(INDEX(P_Type,ROW()-4))))</f>
        <v/>
      </c>
      <c r="D493">
        <f>IF(INDEX(L_Type,ROW()-4)="","",TRIM(UPPER(INDEX(L_Type,ROW()-4))))</f>
        <v/>
      </c>
      <c r="E493">
        <f>IF(INDEX(P_Status,ROW()-4)="","",TRIM(UPPER(INDEX(P_Status,ROW()-4))))</f>
        <v/>
      </c>
      <c r="G493">
        <f>IF(INDEX(L_Status,ROW()-4)="","",TRIM(UPPER(INDEX(L_Status,ROW()-4))))</f>
        <v/>
      </c>
      <c r="J493">
        <f>IF(INDEX(L_ID,ROW()-4)="","",IF(SUMPRODUCT((P_ID=INDEX(L_ID,ROW()-4))*(P_StatusN="INACTIVE"))&gt;0,1,0))</f>
        <v/>
      </c>
    </row>
    <row r="494">
      <c r="A494">
        <f>IF(INDEX(L_ID,ROW()-4)="","",IF(COUNTIF(P_ID,INDEX(L_ID,ROW()-4))&gt;0,1,0))</f>
        <v/>
      </c>
      <c r="B494">
        <f>IF(INDEX(P_Type,ROW()-4)="","",TRIM(UPPER(INDEX(P_Type,ROW()-4))))</f>
        <v/>
      </c>
      <c r="D494">
        <f>IF(INDEX(L_Type,ROW()-4)="","",TRIM(UPPER(INDEX(L_Type,ROW()-4))))</f>
        <v/>
      </c>
      <c r="E494">
        <f>IF(INDEX(P_Status,ROW()-4)="","",TRIM(UPPER(INDEX(P_Status,ROW()-4))))</f>
        <v/>
      </c>
      <c r="G494">
        <f>IF(INDEX(L_Status,ROW()-4)="","",TRIM(UPPER(INDEX(L_Status,ROW()-4))))</f>
        <v/>
      </c>
      <c r="J494">
        <f>IF(INDEX(L_ID,ROW()-4)="","",IF(SUMPRODUCT((P_ID=INDEX(L_ID,ROW()-4))*(P_StatusN="INACTIVE"))&gt;0,1,0))</f>
        <v/>
      </c>
    </row>
    <row r="495">
      <c r="A495">
        <f>IF(INDEX(L_ID,ROW()-4)="","",IF(COUNTIF(P_ID,INDEX(L_ID,ROW()-4))&gt;0,1,0))</f>
        <v/>
      </c>
      <c r="B495">
        <f>IF(INDEX(P_Type,ROW()-4)="","",TRIM(UPPER(INDEX(P_Type,ROW()-4))))</f>
        <v/>
      </c>
      <c r="D495">
        <f>IF(INDEX(L_Type,ROW()-4)="","",TRIM(UPPER(INDEX(L_Type,ROW()-4))))</f>
        <v/>
      </c>
      <c r="E495">
        <f>IF(INDEX(P_Status,ROW()-4)="","",TRIM(UPPER(INDEX(P_Status,ROW()-4))))</f>
        <v/>
      </c>
      <c r="G495">
        <f>IF(INDEX(L_Status,ROW()-4)="","",TRIM(UPPER(INDEX(L_Status,ROW()-4))))</f>
        <v/>
      </c>
      <c r="J495">
        <f>IF(INDEX(L_ID,ROW()-4)="","",IF(SUMPRODUCT((P_ID=INDEX(L_ID,ROW()-4))*(P_StatusN="INACTIVE"))&gt;0,1,0))</f>
        <v/>
      </c>
    </row>
    <row r="496">
      <c r="A496">
        <f>IF(INDEX(L_ID,ROW()-4)="","",IF(COUNTIF(P_ID,INDEX(L_ID,ROW()-4))&gt;0,1,0))</f>
        <v/>
      </c>
      <c r="B496">
        <f>IF(INDEX(P_Type,ROW()-4)="","",TRIM(UPPER(INDEX(P_Type,ROW()-4))))</f>
        <v/>
      </c>
      <c r="D496">
        <f>IF(INDEX(L_Type,ROW()-4)="","",TRIM(UPPER(INDEX(L_Type,ROW()-4))))</f>
        <v/>
      </c>
      <c r="E496">
        <f>IF(INDEX(P_Status,ROW()-4)="","",TRIM(UPPER(INDEX(P_Status,ROW()-4))))</f>
        <v/>
      </c>
      <c r="G496">
        <f>IF(INDEX(L_Status,ROW()-4)="","",TRIM(UPPER(INDEX(L_Status,ROW()-4))))</f>
        <v/>
      </c>
      <c r="J496">
        <f>IF(INDEX(L_ID,ROW()-4)="","",IF(SUMPRODUCT((P_ID=INDEX(L_ID,ROW()-4))*(P_StatusN="INACTIVE"))&gt;0,1,0))</f>
        <v/>
      </c>
    </row>
    <row r="497">
      <c r="A497">
        <f>IF(INDEX(L_ID,ROW()-4)="","",IF(COUNTIF(P_ID,INDEX(L_ID,ROW()-4))&gt;0,1,0))</f>
        <v/>
      </c>
      <c r="B497">
        <f>IF(INDEX(P_Type,ROW()-4)="","",TRIM(UPPER(INDEX(P_Type,ROW()-4))))</f>
        <v/>
      </c>
      <c r="D497">
        <f>IF(INDEX(L_Type,ROW()-4)="","",TRIM(UPPER(INDEX(L_Type,ROW()-4))))</f>
        <v/>
      </c>
      <c r="E497">
        <f>IF(INDEX(P_Status,ROW()-4)="","",TRIM(UPPER(INDEX(P_Status,ROW()-4))))</f>
        <v/>
      </c>
      <c r="G497">
        <f>IF(INDEX(L_Status,ROW()-4)="","",TRIM(UPPER(INDEX(L_Status,ROW()-4))))</f>
        <v/>
      </c>
      <c r="J497">
        <f>IF(INDEX(L_ID,ROW()-4)="","",IF(SUMPRODUCT((P_ID=INDEX(L_ID,ROW()-4))*(P_StatusN="INACTIVE"))&gt;0,1,0))</f>
        <v/>
      </c>
    </row>
    <row r="498">
      <c r="A498">
        <f>IF(INDEX(L_ID,ROW()-4)="","",IF(COUNTIF(P_ID,INDEX(L_ID,ROW()-4))&gt;0,1,0))</f>
        <v/>
      </c>
      <c r="B498">
        <f>IF(INDEX(P_Type,ROW()-4)="","",TRIM(UPPER(INDEX(P_Type,ROW()-4))))</f>
        <v/>
      </c>
      <c r="D498">
        <f>IF(INDEX(L_Type,ROW()-4)="","",TRIM(UPPER(INDEX(L_Type,ROW()-4))))</f>
        <v/>
      </c>
      <c r="E498">
        <f>IF(INDEX(P_Status,ROW()-4)="","",TRIM(UPPER(INDEX(P_Status,ROW()-4))))</f>
        <v/>
      </c>
      <c r="G498">
        <f>IF(INDEX(L_Status,ROW()-4)="","",TRIM(UPPER(INDEX(L_Status,ROW()-4))))</f>
        <v/>
      </c>
      <c r="J498">
        <f>IF(INDEX(L_ID,ROW()-4)="","",IF(SUMPRODUCT((P_ID=INDEX(L_ID,ROW()-4))*(P_StatusN="INACTIVE"))&gt;0,1,0))</f>
        <v/>
      </c>
    </row>
    <row r="499">
      <c r="A499">
        <f>IF(INDEX(L_ID,ROW()-4)="","",IF(COUNTIF(P_ID,INDEX(L_ID,ROW()-4))&gt;0,1,0))</f>
        <v/>
      </c>
      <c r="B499">
        <f>IF(INDEX(P_Type,ROW()-4)="","",TRIM(UPPER(INDEX(P_Type,ROW()-4))))</f>
        <v/>
      </c>
      <c r="D499">
        <f>IF(INDEX(L_Type,ROW()-4)="","",TRIM(UPPER(INDEX(L_Type,ROW()-4))))</f>
        <v/>
      </c>
      <c r="E499">
        <f>IF(INDEX(P_Status,ROW()-4)="","",TRIM(UPPER(INDEX(P_Status,ROW()-4))))</f>
        <v/>
      </c>
      <c r="G499">
        <f>IF(INDEX(L_Status,ROW()-4)="","",TRIM(UPPER(INDEX(L_Status,ROW()-4))))</f>
        <v/>
      </c>
      <c r="J499">
        <f>IF(INDEX(L_ID,ROW()-4)="","",IF(SUMPRODUCT((P_ID=INDEX(L_ID,ROW()-4))*(P_StatusN="INACTIVE"))&gt;0,1,0))</f>
        <v/>
      </c>
    </row>
    <row r="500">
      <c r="A500">
        <f>IF(INDEX(L_ID,ROW()-4)="","",IF(COUNTIF(P_ID,INDEX(L_ID,ROW()-4))&gt;0,1,0))</f>
        <v/>
      </c>
      <c r="B500">
        <f>IF(INDEX(P_Type,ROW()-4)="","",TRIM(UPPER(INDEX(P_Type,ROW()-4))))</f>
        <v/>
      </c>
      <c r="D500">
        <f>IF(INDEX(L_Type,ROW()-4)="","",TRIM(UPPER(INDEX(L_Type,ROW()-4))))</f>
        <v/>
      </c>
      <c r="E500">
        <f>IF(INDEX(P_Status,ROW()-4)="","",TRIM(UPPER(INDEX(P_Status,ROW()-4))))</f>
        <v/>
      </c>
      <c r="G500">
        <f>IF(INDEX(L_Status,ROW()-4)="","",TRIM(UPPER(INDEX(L_Status,ROW()-4))))</f>
        <v/>
      </c>
      <c r="J500">
        <f>IF(INDEX(L_ID,ROW()-4)="","",IF(SUMPRODUCT((P_ID=INDEX(L_ID,ROW()-4))*(P_StatusN="INACTIVE"))&gt;0,1,0))</f>
        <v/>
      </c>
    </row>
    <row r="501">
      <c r="A501">
        <f>IF(INDEX(L_ID,ROW()-4)="","",IF(COUNTIF(P_ID,INDEX(L_ID,ROW()-4))&gt;0,1,0))</f>
        <v/>
      </c>
      <c r="B501">
        <f>IF(INDEX(P_Type,ROW()-4)="","",TRIM(UPPER(INDEX(P_Type,ROW()-4))))</f>
        <v/>
      </c>
      <c r="D501">
        <f>IF(INDEX(L_Type,ROW()-4)="","",TRIM(UPPER(INDEX(L_Type,ROW()-4))))</f>
        <v/>
      </c>
      <c r="E501">
        <f>IF(INDEX(P_Status,ROW()-4)="","",TRIM(UPPER(INDEX(P_Status,ROW()-4))))</f>
        <v/>
      </c>
      <c r="G501">
        <f>IF(INDEX(L_Status,ROW()-4)="","",TRIM(UPPER(INDEX(L_Status,ROW()-4))))</f>
        <v/>
      </c>
      <c r="J501">
        <f>IF(INDEX(L_ID,ROW()-4)="","",IF(SUMPRODUCT((P_ID=INDEX(L_ID,ROW()-4))*(P_StatusN="INACTIVE"))&gt;0,1,0))</f>
        <v/>
      </c>
    </row>
    <row r="502">
      <c r="A502">
        <f>IF(INDEX(L_ID,ROW()-4)="","",IF(COUNTIF(P_ID,INDEX(L_ID,ROW()-4))&gt;0,1,0))</f>
        <v/>
      </c>
      <c r="B502">
        <f>IF(INDEX(P_Type,ROW()-4)="","",TRIM(UPPER(INDEX(P_Type,ROW()-4))))</f>
        <v/>
      </c>
      <c r="D502">
        <f>IF(INDEX(L_Type,ROW()-4)="","",TRIM(UPPER(INDEX(L_Type,ROW()-4))))</f>
        <v/>
      </c>
      <c r="E502">
        <f>IF(INDEX(P_Status,ROW()-4)="","",TRIM(UPPER(INDEX(P_Status,ROW()-4))))</f>
        <v/>
      </c>
      <c r="G502">
        <f>IF(INDEX(L_Status,ROW()-4)="","",TRIM(UPPER(INDEX(L_Status,ROW()-4))))</f>
        <v/>
      </c>
      <c r="J502">
        <f>IF(INDEX(L_ID,ROW()-4)="","",IF(SUMPRODUCT((P_ID=INDEX(L_ID,ROW()-4))*(P_StatusN="INACTIVE"))&gt;0,1,0))</f>
        <v/>
      </c>
    </row>
    <row r="503">
      <c r="A503">
        <f>IF(INDEX(L_ID,ROW()-4)="","",IF(COUNTIF(P_ID,INDEX(L_ID,ROW()-4))&gt;0,1,0))</f>
        <v/>
      </c>
      <c r="B503">
        <f>IF(INDEX(P_Type,ROW()-4)="","",TRIM(UPPER(INDEX(P_Type,ROW()-4))))</f>
        <v/>
      </c>
      <c r="D503">
        <f>IF(INDEX(L_Type,ROW()-4)="","",TRIM(UPPER(INDEX(L_Type,ROW()-4))))</f>
        <v/>
      </c>
      <c r="E503">
        <f>IF(INDEX(P_Status,ROW()-4)="","",TRIM(UPPER(INDEX(P_Status,ROW()-4))))</f>
        <v/>
      </c>
      <c r="G503">
        <f>IF(INDEX(L_Status,ROW()-4)="","",TRIM(UPPER(INDEX(L_Status,ROW()-4))))</f>
        <v/>
      </c>
      <c r="J503">
        <f>IF(INDEX(L_ID,ROW()-4)="","",IF(SUMPRODUCT((P_ID=INDEX(L_ID,ROW()-4))*(P_StatusN="INACTIVE"))&gt;0,1,0))</f>
        <v/>
      </c>
    </row>
    <row r="504">
      <c r="A504">
        <f>IF(INDEX(L_ID,ROW()-4)="","",IF(COUNTIF(P_ID,INDEX(L_ID,ROW()-4))&gt;0,1,0))</f>
        <v/>
      </c>
      <c r="B504">
        <f>IF(INDEX(P_Type,ROW()-4)="","",TRIM(UPPER(INDEX(P_Type,ROW()-4))))</f>
        <v/>
      </c>
      <c r="D504">
        <f>IF(INDEX(L_Type,ROW()-4)="","",TRIM(UPPER(INDEX(L_Type,ROW()-4))))</f>
        <v/>
      </c>
      <c r="E504">
        <f>IF(INDEX(P_Status,ROW()-4)="","",TRIM(UPPER(INDEX(P_Status,ROW()-4))))</f>
        <v/>
      </c>
      <c r="G504">
        <f>IF(INDEX(L_Status,ROW()-4)="","",TRIM(UPPER(INDEX(L_Status,ROW()-4))))</f>
        <v/>
      </c>
      <c r="J504">
        <f>IF(INDEX(L_ID,ROW()-4)="","",IF(SUMPRODUCT((P_ID=INDEX(L_ID,ROW()-4))*(P_StatusN="INACTIVE"))&gt;0,1,0))</f>
        <v/>
      </c>
    </row>
    <row r="505">
      <c r="A505">
        <f>IF(INDEX(L_ID,ROW()-4)="","",IF(COUNTIF(P_ID,INDEX(L_ID,ROW()-4))&gt;0,1,0))</f>
        <v/>
      </c>
      <c r="B505">
        <f>IF(INDEX(P_Type,ROW()-4)="","",TRIM(UPPER(INDEX(P_Type,ROW()-4))))</f>
        <v/>
      </c>
      <c r="D505">
        <f>IF(INDEX(L_Type,ROW()-4)="","",TRIM(UPPER(INDEX(L_Type,ROW()-4))))</f>
        <v/>
      </c>
      <c r="E505">
        <f>IF(INDEX(P_Status,ROW()-4)="","",TRIM(UPPER(INDEX(P_Status,ROW()-4))))</f>
        <v/>
      </c>
      <c r="G505">
        <f>IF(INDEX(L_Status,ROW()-4)="","",TRIM(UPPER(INDEX(L_Status,ROW()-4))))</f>
        <v/>
      </c>
      <c r="J505">
        <f>IF(INDEX(L_ID,ROW()-4)="","",IF(SUMPRODUCT((P_ID=INDEX(L_ID,ROW()-4))*(P_StatusN="INACTIVE"))&gt;0,1,0))</f>
        <v/>
      </c>
    </row>
    <row r="506">
      <c r="A506">
        <f>IF(INDEX(L_ID,ROW()-4)="","",IF(COUNTIF(P_ID,INDEX(L_ID,ROW()-4))&gt;0,1,0))</f>
        <v/>
      </c>
      <c r="B506">
        <f>IF(INDEX(P_Type,ROW()-4)="","",TRIM(UPPER(INDEX(P_Type,ROW()-4))))</f>
        <v/>
      </c>
      <c r="D506">
        <f>IF(INDEX(L_Type,ROW()-4)="","",TRIM(UPPER(INDEX(L_Type,ROW()-4))))</f>
        <v/>
      </c>
      <c r="E506">
        <f>IF(INDEX(P_Status,ROW()-4)="","",TRIM(UPPER(INDEX(P_Status,ROW()-4))))</f>
        <v/>
      </c>
      <c r="G506">
        <f>IF(INDEX(L_Status,ROW()-4)="","",TRIM(UPPER(INDEX(L_Status,ROW()-4))))</f>
        <v/>
      </c>
      <c r="J506">
        <f>IF(INDEX(L_ID,ROW()-4)="","",IF(SUMPRODUCT((P_ID=INDEX(L_ID,ROW()-4))*(P_StatusN="INACTIVE"))&gt;0,1,0))</f>
        <v/>
      </c>
    </row>
    <row r="507">
      <c r="A507">
        <f>IF(INDEX(L_ID,ROW()-4)="","",IF(COUNTIF(P_ID,INDEX(L_ID,ROW()-4))&gt;0,1,0))</f>
        <v/>
      </c>
      <c r="B507">
        <f>IF(INDEX(P_Type,ROW()-4)="","",TRIM(UPPER(INDEX(P_Type,ROW()-4))))</f>
        <v/>
      </c>
      <c r="D507">
        <f>IF(INDEX(L_Type,ROW()-4)="","",TRIM(UPPER(INDEX(L_Type,ROW()-4))))</f>
        <v/>
      </c>
      <c r="E507">
        <f>IF(INDEX(P_Status,ROW()-4)="","",TRIM(UPPER(INDEX(P_Status,ROW()-4))))</f>
        <v/>
      </c>
      <c r="G507">
        <f>IF(INDEX(L_Status,ROW()-4)="","",TRIM(UPPER(INDEX(L_Status,ROW()-4))))</f>
        <v/>
      </c>
      <c r="J507">
        <f>IF(INDEX(L_ID,ROW()-4)="","",IF(SUMPRODUCT((P_ID=INDEX(L_ID,ROW()-4))*(P_StatusN="INACTIVE"))&gt;0,1,0))</f>
        <v/>
      </c>
    </row>
    <row r="508">
      <c r="A508">
        <f>IF(INDEX(L_ID,ROW()-4)="","",IF(COUNTIF(P_ID,INDEX(L_ID,ROW()-4))&gt;0,1,0))</f>
        <v/>
      </c>
      <c r="B508">
        <f>IF(INDEX(P_Type,ROW()-4)="","",TRIM(UPPER(INDEX(P_Type,ROW()-4))))</f>
        <v/>
      </c>
      <c r="D508">
        <f>IF(INDEX(L_Type,ROW()-4)="","",TRIM(UPPER(INDEX(L_Type,ROW()-4))))</f>
        <v/>
      </c>
      <c r="E508">
        <f>IF(INDEX(P_Status,ROW()-4)="","",TRIM(UPPER(INDEX(P_Status,ROW()-4))))</f>
        <v/>
      </c>
      <c r="G508">
        <f>IF(INDEX(L_Status,ROW()-4)="","",TRIM(UPPER(INDEX(L_Status,ROW()-4))))</f>
        <v/>
      </c>
      <c r="J508">
        <f>IF(INDEX(L_ID,ROW()-4)="","",IF(SUMPRODUCT((P_ID=INDEX(L_ID,ROW()-4))*(P_StatusN="INACTIVE"))&gt;0,1,0))</f>
        <v/>
      </c>
    </row>
    <row r="509">
      <c r="A509">
        <f>IF(INDEX(L_ID,ROW()-4)="","",IF(COUNTIF(P_ID,INDEX(L_ID,ROW()-4))&gt;0,1,0))</f>
        <v/>
      </c>
      <c r="B509">
        <f>IF(INDEX(P_Type,ROW()-4)="","",TRIM(UPPER(INDEX(P_Type,ROW()-4))))</f>
        <v/>
      </c>
      <c r="D509">
        <f>IF(INDEX(L_Type,ROW()-4)="","",TRIM(UPPER(INDEX(L_Type,ROW()-4))))</f>
        <v/>
      </c>
      <c r="E509">
        <f>IF(INDEX(P_Status,ROW()-4)="","",TRIM(UPPER(INDEX(P_Status,ROW()-4))))</f>
        <v/>
      </c>
      <c r="G509">
        <f>IF(INDEX(L_Status,ROW()-4)="","",TRIM(UPPER(INDEX(L_Status,ROW()-4))))</f>
        <v/>
      </c>
      <c r="J509">
        <f>IF(INDEX(L_ID,ROW()-4)="","",IF(SUMPRODUCT((P_ID=INDEX(L_ID,ROW()-4))*(P_StatusN="INACTIVE"))&gt;0,1,0))</f>
        <v/>
      </c>
    </row>
    <row r="510">
      <c r="A510">
        <f>IF(INDEX(L_ID,ROW()-4)="","",IF(COUNTIF(P_ID,INDEX(L_ID,ROW()-4))&gt;0,1,0))</f>
        <v/>
      </c>
      <c r="B510">
        <f>IF(INDEX(P_Type,ROW()-4)="","",TRIM(UPPER(INDEX(P_Type,ROW()-4))))</f>
        <v/>
      </c>
      <c r="D510">
        <f>IF(INDEX(L_Type,ROW()-4)="","",TRIM(UPPER(INDEX(L_Type,ROW()-4))))</f>
        <v/>
      </c>
      <c r="E510">
        <f>IF(INDEX(P_Status,ROW()-4)="","",TRIM(UPPER(INDEX(P_Status,ROW()-4))))</f>
        <v/>
      </c>
      <c r="G510">
        <f>IF(INDEX(L_Status,ROW()-4)="","",TRIM(UPPER(INDEX(L_Status,ROW()-4))))</f>
        <v/>
      </c>
      <c r="J510">
        <f>IF(INDEX(L_ID,ROW()-4)="","",IF(SUMPRODUCT((P_ID=INDEX(L_ID,ROW()-4))*(P_StatusN="INACTIVE"))&gt;0,1,0))</f>
        <v/>
      </c>
    </row>
    <row r="511">
      <c r="A511">
        <f>IF(INDEX(L_ID,ROW()-4)="","",IF(COUNTIF(P_ID,INDEX(L_ID,ROW()-4))&gt;0,1,0))</f>
        <v/>
      </c>
      <c r="B511">
        <f>IF(INDEX(P_Type,ROW()-4)="","",TRIM(UPPER(INDEX(P_Type,ROW()-4))))</f>
        <v/>
      </c>
      <c r="D511">
        <f>IF(INDEX(L_Type,ROW()-4)="","",TRIM(UPPER(INDEX(L_Type,ROW()-4))))</f>
        <v/>
      </c>
      <c r="E511">
        <f>IF(INDEX(P_Status,ROW()-4)="","",TRIM(UPPER(INDEX(P_Status,ROW()-4))))</f>
        <v/>
      </c>
      <c r="G511">
        <f>IF(INDEX(L_Status,ROW()-4)="","",TRIM(UPPER(INDEX(L_Status,ROW()-4))))</f>
        <v/>
      </c>
      <c r="J511">
        <f>IF(INDEX(L_ID,ROW()-4)="","",IF(SUMPRODUCT((P_ID=INDEX(L_ID,ROW()-4))*(P_StatusN="INACTIVE"))&gt;0,1,0))</f>
        <v/>
      </c>
    </row>
    <row r="512">
      <c r="A512">
        <f>IF(INDEX(L_ID,ROW()-4)="","",IF(COUNTIF(P_ID,INDEX(L_ID,ROW()-4))&gt;0,1,0))</f>
        <v/>
      </c>
      <c r="B512">
        <f>IF(INDEX(P_Type,ROW()-4)="","",TRIM(UPPER(INDEX(P_Type,ROW()-4))))</f>
        <v/>
      </c>
      <c r="D512">
        <f>IF(INDEX(L_Type,ROW()-4)="","",TRIM(UPPER(INDEX(L_Type,ROW()-4))))</f>
        <v/>
      </c>
      <c r="E512">
        <f>IF(INDEX(P_Status,ROW()-4)="","",TRIM(UPPER(INDEX(P_Status,ROW()-4))))</f>
        <v/>
      </c>
      <c r="G512">
        <f>IF(INDEX(L_Status,ROW()-4)="","",TRIM(UPPER(INDEX(L_Status,ROW()-4))))</f>
        <v/>
      </c>
      <c r="J512">
        <f>IF(INDEX(L_ID,ROW()-4)="","",IF(SUMPRODUCT((P_ID=INDEX(L_ID,ROW()-4))*(P_StatusN="INACTIVE"))&gt;0,1,0))</f>
        <v/>
      </c>
    </row>
    <row r="513">
      <c r="A513">
        <f>IF(INDEX(L_ID,ROW()-4)="","",IF(COUNTIF(P_ID,INDEX(L_ID,ROW()-4))&gt;0,1,0))</f>
        <v/>
      </c>
      <c r="B513">
        <f>IF(INDEX(P_Type,ROW()-4)="","",TRIM(UPPER(INDEX(P_Type,ROW()-4))))</f>
        <v/>
      </c>
      <c r="D513">
        <f>IF(INDEX(L_Type,ROW()-4)="","",TRIM(UPPER(INDEX(L_Type,ROW()-4))))</f>
        <v/>
      </c>
      <c r="E513">
        <f>IF(INDEX(P_Status,ROW()-4)="","",TRIM(UPPER(INDEX(P_Status,ROW()-4))))</f>
        <v/>
      </c>
      <c r="G513">
        <f>IF(INDEX(L_Status,ROW()-4)="","",TRIM(UPPER(INDEX(L_Status,ROW()-4))))</f>
        <v/>
      </c>
      <c r="J513">
        <f>IF(INDEX(L_ID,ROW()-4)="","",IF(SUMPRODUCT((P_ID=INDEX(L_ID,ROW()-4))*(P_StatusN="INACTIVE"))&gt;0,1,0))</f>
        <v/>
      </c>
    </row>
    <row r="514">
      <c r="A514">
        <f>IF(INDEX(L_ID,ROW()-4)="","",IF(COUNTIF(P_ID,INDEX(L_ID,ROW()-4))&gt;0,1,0))</f>
        <v/>
      </c>
      <c r="B514">
        <f>IF(INDEX(P_Type,ROW()-4)="","",TRIM(UPPER(INDEX(P_Type,ROW()-4))))</f>
        <v/>
      </c>
      <c r="D514">
        <f>IF(INDEX(L_Type,ROW()-4)="","",TRIM(UPPER(INDEX(L_Type,ROW()-4))))</f>
        <v/>
      </c>
      <c r="E514">
        <f>IF(INDEX(P_Status,ROW()-4)="","",TRIM(UPPER(INDEX(P_Status,ROW()-4))))</f>
        <v/>
      </c>
      <c r="G514">
        <f>IF(INDEX(L_Status,ROW()-4)="","",TRIM(UPPER(INDEX(L_Status,ROW()-4))))</f>
        <v/>
      </c>
      <c r="J514">
        <f>IF(INDEX(L_ID,ROW()-4)="","",IF(SUMPRODUCT((P_ID=INDEX(L_ID,ROW()-4))*(P_StatusN="INACTIVE"))&gt;0,1,0))</f>
        <v/>
      </c>
    </row>
    <row r="515">
      <c r="A515">
        <f>IF(INDEX(L_ID,ROW()-4)="","",IF(COUNTIF(P_ID,INDEX(L_ID,ROW()-4))&gt;0,1,0))</f>
        <v/>
      </c>
      <c r="B515">
        <f>IF(INDEX(P_Type,ROW()-4)="","",TRIM(UPPER(INDEX(P_Type,ROW()-4))))</f>
        <v/>
      </c>
      <c r="D515">
        <f>IF(INDEX(L_Type,ROW()-4)="","",TRIM(UPPER(INDEX(L_Type,ROW()-4))))</f>
        <v/>
      </c>
      <c r="E515">
        <f>IF(INDEX(P_Status,ROW()-4)="","",TRIM(UPPER(INDEX(P_Status,ROW()-4))))</f>
        <v/>
      </c>
      <c r="G515">
        <f>IF(INDEX(L_Status,ROW()-4)="","",TRIM(UPPER(INDEX(L_Status,ROW()-4))))</f>
        <v/>
      </c>
      <c r="J515">
        <f>IF(INDEX(L_ID,ROW()-4)="","",IF(SUMPRODUCT((P_ID=INDEX(L_ID,ROW()-4))*(P_StatusN="INACTIVE"))&gt;0,1,0))</f>
        <v/>
      </c>
    </row>
    <row r="516">
      <c r="A516">
        <f>IF(INDEX(L_ID,ROW()-4)="","",IF(COUNTIF(P_ID,INDEX(L_ID,ROW()-4))&gt;0,1,0))</f>
        <v/>
      </c>
      <c r="B516">
        <f>IF(INDEX(P_Type,ROW()-4)="","",TRIM(UPPER(INDEX(P_Type,ROW()-4))))</f>
        <v/>
      </c>
      <c r="D516">
        <f>IF(INDEX(L_Type,ROW()-4)="","",TRIM(UPPER(INDEX(L_Type,ROW()-4))))</f>
        <v/>
      </c>
      <c r="E516">
        <f>IF(INDEX(P_Status,ROW()-4)="","",TRIM(UPPER(INDEX(P_Status,ROW()-4))))</f>
        <v/>
      </c>
      <c r="G516">
        <f>IF(INDEX(L_Status,ROW()-4)="","",TRIM(UPPER(INDEX(L_Status,ROW()-4))))</f>
        <v/>
      </c>
      <c r="J516">
        <f>IF(INDEX(L_ID,ROW()-4)="","",IF(SUMPRODUCT((P_ID=INDEX(L_ID,ROW()-4))*(P_StatusN="INACTIVE"))&gt;0,1,0))</f>
        <v/>
      </c>
    </row>
    <row r="517">
      <c r="A517">
        <f>IF(INDEX(L_ID,ROW()-4)="","",IF(COUNTIF(P_ID,INDEX(L_ID,ROW()-4))&gt;0,1,0))</f>
        <v/>
      </c>
      <c r="B517">
        <f>IF(INDEX(P_Type,ROW()-4)="","",TRIM(UPPER(INDEX(P_Type,ROW()-4))))</f>
        <v/>
      </c>
      <c r="D517">
        <f>IF(INDEX(L_Type,ROW()-4)="","",TRIM(UPPER(INDEX(L_Type,ROW()-4))))</f>
        <v/>
      </c>
      <c r="E517">
        <f>IF(INDEX(P_Status,ROW()-4)="","",TRIM(UPPER(INDEX(P_Status,ROW()-4))))</f>
        <v/>
      </c>
      <c r="G517">
        <f>IF(INDEX(L_Status,ROW()-4)="","",TRIM(UPPER(INDEX(L_Status,ROW()-4))))</f>
        <v/>
      </c>
      <c r="J517">
        <f>IF(INDEX(L_ID,ROW()-4)="","",IF(SUMPRODUCT((P_ID=INDEX(L_ID,ROW()-4))*(P_StatusN="INACTIVE"))&gt;0,1,0))</f>
        <v/>
      </c>
    </row>
    <row r="518">
      <c r="A518">
        <f>IF(INDEX(L_ID,ROW()-4)="","",IF(COUNTIF(P_ID,INDEX(L_ID,ROW()-4))&gt;0,1,0))</f>
        <v/>
      </c>
      <c r="B518">
        <f>IF(INDEX(P_Type,ROW()-4)="","",TRIM(UPPER(INDEX(P_Type,ROW()-4))))</f>
        <v/>
      </c>
      <c r="D518">
        <f>IF(INDEX(L_Type,ROW()-4)="","",TRIM(UPPER(INDEX(L_Type,ROW()-4))))</f>
        <v/>
      </c>
      <c r="E518">
        <f>IF(INDEX(P_Status,ROW()-4)="","",TRIM(UPPER(INDEX(P_Status,ROW()-4))))</f>
        <v/>
      </c>
      <c r="G518">
        <f>IF(INDEX(L_Status,ROW()-4)="","",TRIM(UPPER(INDEX(L_Status,ROW()-4))))</f>
        <v/>
      </c>
      <c r="J518">
        <f>IF(INDEX(L_ID,ROW()-4)="","",IF(SUMPRODUCT((P_ID=INDEX(L_ID,ROW()-4))*(P_StatusN="INACTIVE"))&gt;0,1,0))</f>
        <v/>
      </c>
    </row>
    <row r="519">
      <c r="A519">
        <f>IF(INDEX(L_ID,ROW()-4)="","",IF(COUNTIF(P_ID,INDEX(L_ID,ROW()-4))&gt;0,1,0))</f>
        <v/>
      </c>
      <c r="B519">
        <f>IF(INDEX(P_Type,ROW()-4)="","",TRIM(UPPER(INDEX(P_Type,ROW()-4))))</f>
        <v/>
      </c>
      <c r="D519">
        <f>IF(INDEX(L_Type,ROW()-4)="","",TRIM(UPPER(INDEX(L_Type,ROW()-4))))</f>
        <v/>
      </c>
      <c r="E519">
        <f>IF(INDEX(P_Status,ROW()-4)="","",TRIM(UPPER(INDEX(P_Status,ROW()-4))))</f>
        <v/>
      </c>
      <c r="G519">
        <f>IF(INDEX(L_Status,ROW()-4)="","",TRIM(UPPER(INDEX(L_Status,ROW()-4))))</f>
        <v/>
      </c>
      <c r="J519">
        <f>IF(INDEX(L_ID,ROW()-4)="","",IF(SUMPRODUCT((P_ID=INDEX(L_ID,ROW()-4))*(P_StatusN="INACTIVE"))&gt;0,1,0))</f>
        <v/>
      </c>
    </row>
    <row r="520">
      <c r="A520">
        <f>IF(INDEX(L_ID,ROW()-4)="","",IF(COUNTIF(P_ID,INDEX(L_ID,ROW()-4))&gt;0,1,0))</f>
        <v/>
      </c>
      <c r="B520">
        <f>IF(INDEX(P_Type,ROW()-4)="","",TRIM(UPPER(INDEX(P_Type,ROW()-4))))</f>
        <v/>
      </c>
      <c r="D520">
        <f>IF(INDEX(L_Type,ROW()-4)="","",TRIM(UPPER(INDEX(L_Type,ROW()-4))))</f>
        <v/>
      </c>
      <c r="E520">
        <f>IF(INDEX(P_Status,ROW()-4)="","",TRIM(UPPER(INDEX(P_Status,ROW()-4))))</f>
        <v/>
      </c>
      <c r="G520">
        <f>IF(INDEX(L_Status,ROW()-4)="","",TRIM(UPPER(INDEX(L_Status,ROW()-4))))</f>
        <v/>
      </c>
      <c r="J520">
        <f>IF(INDEX(L_ID,ROW()-4)="","",IF(SUMPRODUCT((P_ID=INDEX(L_ID,ROW()-4))*(P_StatusN="INACTIVE"))&gt;0,1,0))</f>
        <v/>
      </c>
    </row>
    <row r="521">
      <c r="A521">
        <f>IF(INDEX(L_ID,ROW()-4)="","",IF(COUNTIF(P_ID,INDEX(L_ID,ROW()-4))&gt;0,1,0))</f>
        <v/>
      </c>
      <c r="B521">
        <f>IF(INDEX(P_Type,ROW()-4)="","",TRIM(UPPER(INDEX(P_Type,ROW()-4))))</f>
        <v/>
      </c>
      <c r="D521">
        <f>IF(INDEX(L_Type,ROW()-4)="","",TRIM(UPPER(INDEX(L_Type,ROW()-4))))</f>
        <v/>
      </c>
      <c r="E521">
        <f>IF(INDEX(P_Status,ROW()-4)="","",TRIM(UPPER(INDEX(P_Status,ROW()-4))))</f>
        <v/>
      </c>
      <c r="G521">
        <f>IF(INDEX(L_Status,ROW()-4)="","",TRIM(UPPER(INDEX(L_Status,ROW()-4))))</f>
        <v/>
      </c>
      <c r="J521">
        <f>IF(INDEX(L_ID,ROW()-4)="","",IF(SUMPRODUCT((P_ID=INDEX(L_ID,ROW()-4))*(P_StatusN="INACTIVE"))&gt;0,1,0))</f>
        <v/>
      </c>
    </row>
    <row r="522">
      <c r="A522">
        <f>IF(INDEX(L_ID,ROW()-4)="","",IF(COUNTIF(P_ID,INDEX(L_ID,ROW()-4))&gt;0,1,0))</f>
        <v/>
      </c>
      <c r="B522">
        <f>IF(INDEX(P_Type,ROW()-4)="","",TRIM(UPPER(INDEX(P_Type,ROW()-4))))</f>
        <v/>
      </c>
      <c r="D522">
        <f>IF(INDEX(L_Type,ROW()-4)="","",TRIM(UPPER(INDEX(L_Type,ROW()-4))))</f>
        <v/>
      </c>
      <c r="E522">
        <f>IF(INDEX(P_Status,ROW()-4)="","",TRIM(UPPER(INDEX(P_Status,ROW()-4))))</f>
        <v/>
      </c>
      <c r="G522">
        <f>IF(INDEX(L_Status,ROW()-4)="","",TRIM(UPPER(INDEX(L_Status,ROW()-4))))</f>
        <v/>
      </c>
      <c r="J522">
        <f>IF(INDEX(L_ID,ROW()-4)="","",IF(SUMPRODUCT((P_ID=INDEX(L_ID,ROW()-4))*(P_StatusN="INACTIVE"))&gt;0,1,0))</f>
        <v/>
      </c>
    </row>
    <row r="523">
      <c r="A523">
        <f>IF(INDEX(L_ID,ROW()-4)="","",IF(COUNTIF(P_ID,INDEX(L_ID,ROW()-4))&gt;0,1,0))</f>
        <v/>
      </c>
      <c r="B523">
        <f>IF(INDEX(P_Type,ROW()-4)="","",TRIM(UPPER(INDEX(P_Type,ROW()-4))))</f>
        <v/>
      </c>
      <c r="D523">
        <f>IF(INDEX(L_Type,ROW()-4)="","",TRIM(UPPER(INDEX(L_Type,ROW()-4))))</f>
        <v/>
      </c>
      <c r="E523">
        <f>IF(INDEX(P_Status,ROW()-4)="","",TRIM(UPPER(INDEX(P_Status,ROW()-4))))</f>
        <v/>
      </c>
      <c r="G523">
        <f>IF(INDEX(L_Status,ROW()-4)="","",TRIM(UPPER(INDEX(L_Status,ROW()-4))))</f>
        <v/>
      </c>
      <c r="J523">
        <f>IF(INDEX(L_ID,ROW()-4)="","",IF(SUMPRODUCT((P_ID=INDEX(L_ID,ROW()-4))*(P_StatusN="INACTIVE"))&gt;0,1,0))</f>
        <v/>
      </c>
    </row>
    <row r="524">
      <c r="A524">
        <f>IF(INDEX(L_ID,ROW()-4)="","",IF(COUNTIF(P_ID,INDEX(L_ID,ROW()-4))&gt;0,1,0))</f>
        <v/>
      </c>
      <c r="B524">
        <f>IF(INDEX(P_Type,ROW()-4)="","",TRIM(UPPER(INDEX(P_Type,ROW()-4))))</f>
        <v/>
      </c>
      <c r="D524">
        <f>IF(INDEX(L_Type,ROW()-4)="","",TRIM(UPPER(INDEX(L_Type,ROW()-4))))</f>
        <v/>
      </c>
      <c r="E524">
        <f>IF(INDEX(P_Status,ROW()-4)="","",TRIM(UPPER(INDEX(P_Status,ROW()-4))))</f>
        <v/>
      </c>
      <c r="G524">
        <f>IF(INDEX(L_Status,ROW()-4)="","",TRIM(UPPER(INDEX(L_Status,ROW()-4))))</f>
        <v/>
      </c>
      <c r="J524">
        <f>IF(INDEX(L_ID,ROW()-4)="","",IF(SUMPRODUCT((P_ID=INDEX(L_ID,ROW()-4))*(P_StatusN="INACTIVE"))&gt;0,1,0))</f>
        <v/>
      </c>
    </row>
    <row r="525">
      <c r="A525">
        <f>IF(INDEX(L_ID,ROW()-4)="","",IF(COUNTIF(P_ID,INDEX(L_ID,ROW()-4))&gt;0,1,0))</f>
        <v/>
      </c>
      <c r="B525">
        <f>IF(INDEX(P_Type,ROW()-4)="","",TRIM(UPPER(INDEX(P_Type,ROW()-4))))</f>
        <v/>
      </c>
      <c r="D525">
        <f>IF(INDEX(L_Type,ROW()-4)="","",TRIM(UPPER(INDEX(L_Type,ROW()-4))))</f>
        <v/>
      </c>
      <c r="E525">
        <f>IF(INDEX(P_Status,ROW()-4)="","",TRIM(UPPER(INDEX(P_Status,ROW()-4))))</f>
        <v/>
      </c>
      <c r="G525">
        <f>IF(INDEX(L_Status,ROW()-4)="","",TRIM(UPPER(INDEX(L_Status,ROW()-4))))</f>
        <v/>
      </c>
      <c r="J525">
        <f>IF(INDEX(L_ID,ROW()-4)="","",IF(SUMPRODUCT((P_ID=INDEX(L_ID,ROW()-4))*(P_StatusN="INACTIVE"))&gt;0,1,0))</f>
        <v/>
      </c>
    </row>
    <row r="526">
      <c r="A526">
        <f>IF(INDEX(L_ID,ROW()-4)="","",IF(COUNTIF(P_ID,INDEX(L_ID,ROW()-4))&gt;0,1,0))</f>
        <v/>
      </c>
      <c r="B526">
        <f>IF(INDEX(P_Type,ROW()-4)="","",TRIM(UPPER(INDEX(P_Type,ROW()-4))))</f>
        <v/>
      </c>
      <c r="D526">
        <f>IF(INDEX(L_Type,ROW()-4)="","",TRIM(UPPER(INDEX(L_Type,ROW()-4))))</f>
        <v/>
      </c>
      <c r="E526">
        <f>IF(INDEX(P_Status,ROW()-4)="","",TRIM(UPPER(INDEX(P_Status,ROW()-4))))</f>
        <v/>
      </c>
      <c r="G526">
        <f>IF(INDEX(L_Status,ROW()-4)="","",TRIM(UPPER(INDEX(L_Status,ROW()-4))))</f>
        <v/>
      </c>
      <c r="J526">
        <f>IF(INDEX(L_ID,ROW()-4)="","",IF(SUMPRODUCT((P_ID=INDEX(L_ID,ROW()-4))*(P_StatusN="INACTIVE"))&gt;0,1,0))</f>
        <v/>
      </c>
    </row>
    <row r="527">
      <c r="A527">
        <f>IF(INDEX(L_ID,ROW()-4)="","",IF(COUNTIF(P_ID,INDEX(L_ID,ROW()-4))&gt;0,1,0))</f>
        <v/>
      </c>
      <c r="B527">
        <f>IF(INDEX(P_Type,ROW()-4)="","",TRIM(UPPER(INDEX(P_Type,ROW()-4))))</f>
        <v/>
      </c>
      <c r="D527">
        <f>IF(INDEX(L_Type,ROW()-4)="","",TRIM(UPPER(INDEX(L_Type,ROW()-4))))</f>
        <v/>
      </c>
      <c r="E527">
        <f>IF(INDEX(P_Status,ROW()-4)="","",TRIM(UPPER(INDEX(P_Status,ROW()-4))))</f>
        <v/>
      </c>
      <c r="G527">
        <f>IF(INDEX(L_Status,ROW()-4)="","",TRIM(UPPER(INDEX(L_Status,ROW()-4))))</f>
        <v/>
      </c>
      <c r="J527">
        <f>IF(INDEX(L_ID,ROW()-4)="","",IF(SUMPRODUCT((P_ID=INDEX(L_ID,ROW()-4))*(P_StatusN="INACTIVE"))&gt;0,1,0))</f>
        <v/>
      </c>
    </row>
    <row r="528">
      <c r="A528">
        <f>IF(INDEX(L_ID,ROW()-4)="","",IF(COUNTIF(P_ID,INDEX(L_ID,ROW()-4))&gt;0,1,0))</f>
        <v/>
      </c>
      <c r="B528">
        <f>IF(INDEX(P_Type,ROW()-4)="","",TRIM(UPPER(INDEX(P_Type,ROW()-4))))</f>
        <v/>
      </c>
      <c r="D528">
        <f>IF(INDEX(L_Type,ROW()-4)="","",TRIM(UPPER(INDEX(L_Type,ROW()-4))))</f>
        <v/>
      </c>
      <c r="E528">
        <f>IF(INDEX(P_Status,ROW()-4)="","",TRIM(UPPER(INDEX(P_Status,ROW()-4))))</f>
        <v/>
      </c>
      <c r="G528">
        <f>IF(INDEX(L_Status,ROW()-4)="","",TRIM(UPPER(INDEX(L_Status,ROW()-4))))</f>
        <v/>
      </c>
      <c r="J528">
        <f>IF(INDEX(L_ID,ROW()-4)="","",IF(SUMPRODUCT((P_ID=INDEX(L_ID,ROW()-4))*(P_StatusN="INACTIVE"))&gt;0,1,0))</f>
        <v/>
      </c>
    </row>
    <row r="529">
      <c r="A529">
        <f>IF(INDEX(L_ID,ROW()-4)="","",IF(COUNTIF(P_ID,INDEX(L_ID,ROW()-4))&gt;0,1,0))</f>
        <v/>
      </c>
      <c r="B529">
        <f>IF(INDEX(P_Type,ROW()-4)="","",TRIM(UPPER(INDEX(P_Type,ROW()-4))))</f>
        <v/>
      </c>
      <c r="D529">
        <f>IF(INDEX(L_Type,ROW()-4)="","",TRIM(UPPER(INDEX(L_Type,ROW()-4))))</f>
        <v/>
      </c>
      <c r="E529">
        <f>IF(INDEX(P_Status,ROW()-4)="","",TRIM(UPPER(INDEX(P_Status,ROW()-4))))</f>
        <v/>
      </c>
      <c r="G529">
        <f>IF(INDEX(L_Status,ROW()-4)="","",TRIM(UPPER(INDEX(L_Status,ROW()-4))))</f>
        <v/>
      </c>
      <c r="J529">
        <f>IF(INDEX(L_ID,ROW()-4)="","",IF(SUMPRODUCT((P_ID=INDEX(L_ID,ROW()-4))*(P_StatusN="INACTIVE"))&gt;0,1,0))</f>
        <v/>
      </c>
    </row>
    <row r="530">
      <c r="A530">
        <f>IF(INDEX(L_ID,ROW()-4)="","",IF(COUNTIF(P_ID,INDEX(L_ID,ROW()-4))&gt;0,1,0))</f>
        <v/>
      </c>
      <c r="B530">
        <f>IF(INDEX(P_Type,ROW()-4)="","",TRIM(UPPER(INDEX(P_Type,ROW()-4))))</f>
        <v/>
      </c>
      <c r="D530">
        <f>IF(INDEX(L_Type,ROW()-4)="","",TRIM(UPPER(INDEX(L_Type,ROW()-4))))</f>
        <v/>
      </c>
      <c r="E530">
        <f>IF(INDEX(P_Status,ROW()-4)="","",TRIM(UPPER(INDEX(P_Status,ROW()-4))))</f>
        <v/>
      </c>
      <c r="G530">
        <f>IF(INDEX(L_Status,ROW()-4)="","",TRIM(UPPER(INDEX(L_Status,ROW()-4))))</f>
        <v/>
      </c>
      <c r="J530">
        <f>IF(INDEX(L_ID,ROW()-4)="","",IF(SUMPRODUCT((P_ID=INDEX(L_ID,ROW()-4))*(P_StatusN="INACTIVE"))&gt;0,1,0))</f>
        <v/>
      </c>
    </row>
    <row r="531">
      <c r="A531">
        <f>IF(INDEX(L_ID,ROW()-4)="","",IF(COUNTIF(P_ID,INDEX(L_ID,ROW()-4))&gt;0,1,0))</f>
        <v/>
      </c>
      <c r="B531">
        <f>IF(INDEX(P_Type,ROW()-4)="","",TRIM(UPPER(INDEX(P_Type,ROW()-4))))</f>
        <v/>
      </c>
      <c r="D531">
        <f>IF(INDEX(L_Type,ROW()-4)="","",TRIM(UPPER(INDEX(L_Type,ROW()-4))))</f>
        <v/>
      </c>
      <c r="E531">
        <f>IF(INDEX(P_Status,ROW()-4)="","",TRIM(UPPER(INDEX(P_Status,ROW()-4))))</f>
        <v/>
      </c>
      <c r="G531">
        <f>IF(INDEX(L_Status,ROW()-4)="","",TRIM(UPPER(INDEX(L_Status,ROW()-4))))</f>
        <v/>
      </c>
      <c r="J531">
        <f>IF(INDEX(L_ID,ROW()-4)="","",IF(SUMPRODUCT((P_ID=INDEX(L_ID,ROW()-4))*(P_StatusN="INACTIVE"))&gt;0,1,0))</f>
        <v/>
      </c>
    </row>
    <row r="532">
      <c r="A532">
        <f>IF(INDEX(L_ID,ROW()-4)="","",IF(COUNTIF(P_ID,INDEX(L_ID,ROW()-4))&gt;0,1,0))</f>
        <v/>
      </c>
      <c r="B532">
        <f>IF(INDEX(P_Type,ROW()-4)="","",TRIM(UPPER(INDEX(P_Type,ROW()-4))))</f>
        <v/>
      </c>
      <c r="D532">
        <f>IF(INDEX(L_Type,ROW()-4)="","",TRIM(UPPER(INDEX(L_Type,ROW()-4))))</f>
        <v/>
      </c>
      <c r="E532">
        <f>IF(INDEX(P_Status,ROW()-4)="","",TRIM(UPPER(INDEX(P_Status,ROW()-4))))</f>
        <v/>
      </c>
      <c r="G532">
        <f>IF(INDEX(L_Status,ROW()-4)="","",TRIM(UPPER(INDEX(L_Status,ROW()-4))))</f>
        <v/>
      </c>
      <c r="J532">
        <f>IF(INDEX(L_ID,ROW()-4)="","",IF(SUMPRODUCT((P_ID=INDEX(L_ID,ROW()-4))*(P_StatusN="INACTIVE"))&gt;0,1,0))</f>
        <v/>
      </c>
    </row>
    <row r="533">
      <c r="A533">
        <f>IF(INDEX(L_ID,ROW()-4)="","",IF(COUNTIF(P_ID,INDEX(L_ID,ROW()-4))&gt;0,1,0))</f>
        <v/>
      </c>
      <c r="B533">
        <f>IF(INDEX(P_Type,ROW()-4)="","",TRIM(UPPER(INDEX(P_Type,ROW()-4))))</f>
        <v/>
      </c>
      <c r="D533">
        <f>IF(INDEX(L_Type,ROW()-4)="","",TRIM(UPPER(INDEX(L_Type,ROW()-4))))</f>
        <v/>
      </c>
      <c r="E533">
        <f>IF(INDEX(P_Status,ROW()-4)="","",TRIM(UPPER(INDEX(P_Status,ROW()-4))))</f>
        <v/>
      </c>
      <c r="G533">
        <f>IF(INDEX(L_Status,ROW()-4)="","",TRIM(UPPER(INDEX(L_Status,ROW()-4))))</f>
        <v/>
      </c>
      <c r="J533">
        <f>IF(INDEX(L_ID,ROW()-4)="","",IF(SUMPRODUCT((P_ID=INDEX(L_ID,ROW()-4))*(P_StatusN="INACTIVE"))&gt;0,1,0))</f>
        <v/>
      </c>
    </row>
    <row r="534">
      <c r="A534">
        <f>IF(INDEX(L_ID,ROW()-4)="","",IF(COUNTIF(P_ID,INDEX(L_ID,ROW()-4))&gt;0,1,0))</f>
        <v/>
      </c>
      <c r="B534">
        <f>IF(INDEX(P_Type,ROW()-4)="","",TRIM(UPPER(INDEX(P_Type,ROW()-4))))</f>
        <v/>
      </c>
      <c r="D534">
        <f>IF(INDEX(L_Type,ROW()-4)="","",TRIM(UPPER(INDEX(L_Type,ROW()-4))))</f>
        <v/>
      </c>
      <c r="E534">
        <f>IF(INDEX(P_Status,ROW()-4)="","",TRIM(UPPER(INDEX(P_Status,ROW()-4))))</f>
        <v/>
      </c>
      <c r="G534">
        <f>IF(INDEX(L_Status,ROW()-4)="","",TRIM(UPPER(INDEX(L_Status,ROW()-4))))</f>
        <v/>
      </c>
      <c r="J534">
        <f>IF(INDEX(L_ID,ROW()-4)="","",IF(SUMPRODUCT((P_ID=INDEX(L_ID,ROW()-4))*(P_StatusN="INACTIVE"))&gt;0,1,0))</f>
        <v/>
      </c>
    </row>
    <row r="535">
      <c r="A535">
        <f>IF(INDEX(L_ID,ROW()-4)="","",IF(COUNTIF(P_ID,INDEX(L_ID,ROW()-4))&gt;0,1,0))</f>
        <v/>
      </c>
      <c r="B535">
        <f>IF(INDEX(P_Type,ROW()-4)="","",TRIM(UPPER(INDEX(P_Type,ROW()-4))))</f>
        <v/>
      </c>
      <c r="D535">
        <f>IF(INDEX(L_Type,ROW()-4)="","",TRIM(UPPER(INDEX(L_Type,ROW()-4))))</f>
        <v/>
      </c>
      <c r="E535">
        <f>IF(INDEX(P_Status,ROW()-4)="","",TRIM(UPPER(INDEX(P_Status,ROW()-4))))</f>
        <v/>
      </c>
      <c r="G535">
        <f>IF(INDEX(L_Status,ROW()-4)="","",TRIM(UPPER(INDEX(L_Status,ROW()-4))))</f>
        <v/>
      </c>
      <c r="J535">
        <f>IF(INDEX(L_ID,ROW()-4)="","",IF(SUMPRODUCT((P_ID=INDEX(L_ID,ROW()-4))*(P_StatusN="INACTIVE"))&gt;0,1,0))</f>
        <v/>
      </c>
    </row>
    <row r="536">
      <c r="A536">
        <f>IF(INDEX(L_ID,ROW()-4)="","",IF(COUNTIF(P_ID,INDEX(L_ID,ROW()-4))&gt;0,1,0))</f>
        <v/>
      </c>
      <c r="B536">
        <f>IF(INDEX(P_Type,ROW()-4)="","",TRIM(UPPER(INDEX(P_Type,ROW()-4))))</f>
        <v/>
      </c>
      <c r="D536">
        <f>IF(INDEX(L_Type,ROW()-4)="","",TRIM(UPPER(INDEX(L_Type,ROW()-4))))</f>
        <v/>
      </c>
      <c r="E536">
        <f>IF(INDEX(P_Status,ROW()-4)="","",TRIM(UPPER(INDEX(P_Status,ROW()-4))))</f>
        <v/>
      </c>
      <c r="G536">
        <f>IF(INDEX(L_Status,ROW()-4)="","",TRIM(UPPER(INDEX(L_Status,ROW()-4))))</f>
        <v/>
      </c>
      <c r="J536">
        <f>IF(INDEX(L_ID,ROW()-4)="","",IF(SUMPRODUCT((P_ID=INDEX(L_ID,ROW()-4))*(P_StatusN="INACTIVE"))&gt;0,1,0))</f>
        <v/>
      </c>
    </row>
    <row r="537">
      <c r="A537">
        <f>IF(INDEX(L_ID,ROW()-4)="","",IF(COUNTIF(P_ID,INDEX(L_ID,ROW()-4))&gt;0,1,0))</f>
        <v/>
      </c>
      <c r="B537">
        <f>IF(INDEX(P_Type,ROW()-4)="","",TRIM(UPPER(INDEX(P_Type,ROW()-4))))</f>
        <v/>
      </c>
      <c r="D537">
        <f>IF(INDEX(L_Type,ROW()-4)="","",TRIM(UPPER(INDEX(L_Type,ROW()-4))))</f>
        <v/>
      </c>
      <c r="E537">
        <f>IF(INDEX(P_Status,ROW()-4)="","",TRIM(UPPER(INDEX(P_Status,ROW()-4))))</f>
        <v/>
      </c>
      <c r="G537">
        <f>IF(INDEX(L_Status,ROW()-4)="","",TRIM(UPPER(INDEX(L_Status,ROW()-4))))</f>
        <v/>
      </c>
      <c r="J537">
        <f>IF(INDEX(L_ID,ROW()-4)="","",IF(SUMPRODUCT((P_ID=INDEX(L_ID,ROW()-4))*(P_StatusN="INACTIVE"))&gt;0,1,0))</f>
        <v/>
      </c>
    </row>
    <row r="538">
      <c r="A538">
        <f>IF(INDEX(L_ID,ROW()-4)="","",IF(COUNTIF(P_ID,INDEX(L_ID,ROW()-4))&gt;0,1,0))</f>
        <v/>
      </c>
      <c r="B538">
        <f>IF(INDEX(P_Type,ROW()-4)="","",TRIM(UPPER(INDEX(P_Type,ROW()-4))))</f>
        <v/>
      </c>
      <c r="D538">
        <f>IF(INDEX(L_Type,ROW()-4)="","",TRIM(UPPER(INDEX(L_Type,ROW()-4))))</f>
        <v/>
      </c>
      <c r="E538">
        <f>IF(INDEX(P_Status,ROW()-4)="","",TRIM(UPPER(INDEX(P_Status,ROW()-4))))</f>
        <v/>
      </c>
      <c r="G538">
        <f>IF(INDEX(L_Status,ROW()-4)="","",TRIM(UPPER(INDEX(L_Status,ROW()-4))))</f>
        <v/>
      </c>
      <c r="J538">
        <f>IF(INDEX(L_ID,ROW()-4)="","",IF(SUMPRODUCT((P_ID=INDEX(L_ID,ROW()-4))*(P_StatusN="INACTIVE"))&gt;0,1,0))</f>
        <v/>
      </c>
    </row>
    <row r="539">
      <c r="A539">
        <f>IF(INDEX(L_ID,ROW()-4)="","",IF(COUNTIF(P_ID,INDEX(L_ID,ROW()-4))&gt;0,1,0))</f>
        <v/>
      </c>
      <c r="B539">
        <f>IF(INDEX(P_Type,ROW()-4)="","",TRIM(UPPER(INDEX(P_Type,ROW()-4))))</f>
        <v/>
      </c>
      <c r="D539">
        <f>IF(INDEX(L_Type,ROW()-4)="","",TRIM(UPPER(INDEX(L_Type,ROW()-4))))</f>
        <v/>
      </c>
      <c r="E539">
        <f>IF(INDEX(P_Status,ROW()-4)="","",TRIM(UPPER(INDEX(P_Status,ROW()-4))))</f>
        <v/>
      </c>
      <c r="G539">
        <f>IF(INDEX(L_Status,ROW()-4)="","",TRIM(UPPER(INDEX(L_Status,ROW()-4))))</f>
        <v/>
      </c>
      <c r="J539">
        <f>IF(INDEX(L_ID,ROW()-4)="","",IF(SUMPRODUCT((P_ID=INDEX(L_ID,ROW()-4))*(P_StatusN="INACTIVE"))&gt;0,1,0))</f>
        <v/>
      </c>
    </row>
    <row r="540">
      <c r="A540">
        <f>IF(INDEX(L_ID,ROW()-4)="","",IF(COUNTIF(P_ID,INDEX(L_ID,ROW()-4))&gt;0,1,0))</f>
        <v/>
      </c>
      <c r="B540">
        <f>IF(INDEX(P_Type,ROW()-4)="","",TRIM(UPPER(INDEX(P_Type,ROW()-4))))</f>
        <v/>
      </c>
      <c r="D540">
        <f>IF(INDEX(L_Type,ROW()-4)="","",TRIM(UPPER(INDEX(L_Type,ROW()-4))))</f>
        <v/>
      </c>
      <c r="E540">
        <f>IF(INDEX(P_Status,ROW()-4)="","",TRIM(UPPER(INDEX(P_Status,ROW()-4))))</f>
        <v/>
      </c>
      <c r="G540">
        <f>IF(INDEX(L_Status,ROW()-4)="","",TRIM(UPPER(INDEX(L_Status,ROW()-4))))</f>
        <v/>
      </c>
      <c r="J540">
        <f>IF(INDEX(L_ID,ROW()-4)="","",IF(SUMPRODUCT((P_ID=INDEX(L_ID,ROW()-4))*(P_StatusN="INACTIVE"))&gt;0,1,0))</f>
        <v/>
      </c>
    </row>
    <row r="541">
      <c r="A541">
        <f>IF(INDEX(L_ID,ROW()-4)="","",IF(COUNTIF(P_ID,INDEX(L_ID,ROW()-4))&gt;0,1,0))</f>
        <v/>
      </c>
      <c r="B541">
        <f>IF(INDEX(P_Type,ROW()-4)="","",TRIM(UPPER(INDEX(P_Type,ROW()-4))))</f>
        <v/>
      </c>
      <c r="D541">
        <f>IF(INDEX(L_Type,ROW()-4)="","",TRIM(UPPER(INDEX(L_Type,ROW()-4))))</f>
        <v/>
      </c>
      <c r="E541">
        <f>IF(INDEX(P_Status,ROW()-4)="","",TRIM(UPPER(INDEX(P_Status,ROW()-4))))</f>
        <v/>
      </c>
      <c r="G541">
        <f>IF(INDEX(L_Status,ROW()-4)="","",TRIM(UPPER(INDEX(L_Status,ROW()-4))))</f>
        <v/>
      </c>
      <c r="J541">
        <f>IF(INDEX(L_ID,ROW()-4)="","",IF(SUMPRODUCT((P_ID=INDEX(L_ID,ROW()-4))*(P_StatusN="INACTIVE"))&gt;0,1,0))</f>
        <v/>
      </c>
    </row>
    <row r="542">
      <c r="A542">
        <f>IF(INDEX(L_ID,ROW()-4)="","",IF(COUNTIF(P_ID,INDEX(L_ID,ROW()-4))&gt;0,1,0))</f>
        <v/>
      </c>
      <c r="B542">
        <f>IF(INDEX(P_Type,ROW()-4)="","",TRIM(UPPER(INDEX(P_Type,ROW()-4))))</f>
        <v/>
      </c>
      <c r="D542">
        <f>IF(INDEX(L_Type,ROW()-4)="","",TRIM(UPPER(INDEX(L_Type,ROW()-4))))</f>
        <v/>
      </c>
      <c r="E542">
        <f>IF(INDEX(P_Status,ROW()-4)="","",TRIM(UPPER(INDEX(P_Status,ROW()-4))))</f>
        <v/>
      </c>
      <c r="G542">
        <f>IF(INDEX(L_Status,ROW()-4)="","",TRIM(UPPER(INDEX(L_Status,ROW()-4))))</f>
        <v/>
      </c>
      <c r="J542">
        <f>IF(INDEX(L_ID,ROW()-4)="","",IF(SUMPRODUCT((P_ID=INDEX(L_ID,ROW()-4))*(P_StatusN="INACTIVE"))&gt;0,1,0))</f>
        <v/>
      </c>
    </row>
    <row r="543">
      <c r="A543">
        <f>IF(INDEX(L_ID,ROW()-4)="","",IF(COUNTIF(P_ID,INDEX(L_ID,ROW()-4))&gt;0,1,0))</f>
        <v/>
      </c>
      <c r="B543">
        <f>IF(INDEX(P_Type,ROW()-4)="","",TRIM(UPPER(INDEX(P_Type,ROW()-4))))</f>
        <v/>
      </c>
      <c r="D543">
        <f>IF(INDEX(L_Type,ROW()-4)="","",TRIM(UPPER(INDEX(L_Type,ROW()-4))))</f>
        <v/>
      </c>
      <c r="E543">
        <f>IF(INDEX(P_Status,ROW()-4)="","",TRIM(UPPER(INDEX(P_Status,ROW()-4))))</f>
        <v/>
      </c>
      <c r="G543">
        <f>IF(INDEX(L_Status,ROW()-4)="","",TRIM(UPPER(INDEX(L_Status,ROW()-4))))</f>
        <v/>
      </c>
      <c r="J543">
        <f>IF(INDEX(L_ID,ROW()-4)="","",IF(SUMPRODUCT((P_ID=INDEX(L_ID,ROW()-4))*(P_StatusN="INACTIVE"))&gt;0,1,0))</f>
        <v/>
      </c>
    </row>
    <row r="544">
      <c r="A544">
        <f>IF(INDEX(L_ID,ROW()-4)="","",IF(COUNTIF(P_ID,INDEX(L_ID,ROW()-4))&gt;0,1,0))</f>
        <v/>
      </c>
      <c r="B544">
        <f>IF(INDEX(P_Type,ROW()-4)="","",TRIM(UPPER(INDEX(P_Type,ROW()-4))))</f>
        <v/>
      </c>
      <c r="D544">
        <f>IF(INDEX(L_Type,ROW()-4)="","",TRIM(UPPER(INDEX(L_Type,ROW()-4))))</f>
        <v/>
      </c>
      <c r="E544">
        <f>IF(INDEX(P_Status,ROW()-4)="","",TRIM(UPPER(INDEX(P_Status,ROW()-4))))</f>
        <v/>
      </c>
      <c r="G544">
        <f>IF(INDEX(L_Status,ROW()-4)="","",TRIM(UPPER(INDEX(L_Status,ROW()-4))))</f>
        <v/>
      </c>
      <c r="J544">
        <f>IF(INDEX(L_ID,ROW()-4)="","",IF(SUMPRODUCT((P_ID=INDEX(L_ID,ROW()-4))*(P_StatusN="INACTIVE"))&gt;0,1,0))</f>
        <v/>
      </c>
    </row>
    <row r="545">
      <c r="A545">
        <f>IF(INDEX(L_ID,ROW()-4)="","",IF(COUNTIF(P_ID,INDEX(L_ID,ROW()-4))&gt;0,1,0))</f>
        <v/>
      </c>
      <c r="B545">
        <f>IF(INDEX(P_Type,ROW()-4)="","",TRIM(UPPER(INDEX(P_Type,ROW()-4))))</f>
        <v/>
      </c>
      <c r="D545">
        <f>IF(INDEX(L_Type,ROW()-4)="","",TRIM(UPPER(INDEX(L_Type,ROW()-4))))</f>
        <v/>
      </c>
      <c r="E545">
        <f>IF(INDEX(P_Status,ROW()-4)="","",TRIM(UPPER(INDEX(P_Status,ROW()-4))))</f>
        <v/>
      </c>
      <c r="G545">
        <f>IF(INDEX(L_Status,ROW()-4)="","",TRIM(UPPER(INDEX(L_Status,ROW()-4))))</f>
        <v/>
      </c>
      <c r="J545">
        <f>IF(INDEX(L_ID,ROW()-4)="","",IF(SUMPRODUCT((P_ID=INDEX(L_ID,ROW()-4))*(P_StatusN="INACTIVE"))&gt;0,1,0))</f>
        <v/>
      </c>
    </row>
    <row r="546">
      <c r="A546">
        <f>IF(INDEX(L_ID,ROW()-4)="","",IF(COUNTIF(P_ID,INDEX(L_ID,ROW()-4))&gt;0,1,0))</f>
        <v/>
      </c>
      <c r="B546">
        <f>IF(INDEX(P_Type,ROW()-4)="","",TRIM(UPPER(INDEX(P_Type,ROW()-4))))</f>
        <v/>
      </c>
      <c r="D546">
        <f>IF(INDEX(L_Type,ROW()-4)="","",TRIM(UPPER(INDEX(L_Type,ROW()-4))))</f>
        <v/>
      </c>
      <c r="E546">
        <f>IF(INDEX(P_Status,ROW()-4)="","",TRIM(UPPER(INDEX(P_Status,ROW()-4))))</f>
        <v/>
      </c>
      <c r="G546">
        <f>IF(INDEX(L_Status,ROW()-4)="","",TRIM(UPPER(INDEX(L_Status,ROW()-4))))</f>
        <v/>
      </c>
      <c r="J546">
        <f>IF(INDEX(L_ID,ROW()-4)="","",IF(SUMPRODUCT((P_ID=INDEX(L_ID,ROW()-4))*(P_StatusN="INACTIVE"))&gt;0,1,0))</f>
        <v/>
      </c>
    </row>
    <row r="547">
      <c r="A547">
        <f>IF(INDEX(L_ID,ROW()-4)="","",IF(COUNTIF(P_ID,INDEX(L_ID,ROW()-4))&gt;0,1,0))</f>
        <v/>
      </c>
      <c r="B547">
        <f>IF(INDEX(P_Type,ROW()-4)="","",TRIM(UPPER(INDEX(P_Type,ROW()-4))))</f>
        <v/>
      </c>
      <c r="D547">
        <f>IF(INDEX(L_Type,ROW()-4)="","",TRIM(UPPER(INDEX(L_Type,ROW()-4))))</f>
        <v/>
      </c>
      <c r="E547">
        <f>IF(INDEX(P_Status,ROW()-4)="","",TRIM(UPPER(INDEX(P_Status,ROW()-4))))</f>
        <v/>
      </c>
      <c r="G547">
        <f>IF(INDEX(L_Status,ROW()-4)="","",TRIM(UPPER(INDEX(L_Status,ROW()-4))))</f>
        <v/>
      </c>
      <c r="J547">
        <f>IF(INDEX(L_ID,ROW()-4)="","",IF(SUMPRODUCT((P_ID=INDEX(L_ID,ROW()-4))*(P_StatusN="INACTIVE"))&gt;0,1,0))</f>
        <v/>
      </c>
    </row>
    <row r="548">
      <c r="A548">
        <f>IF(INDEX(L_ID,ROW()-4)="","",IF(COUNTIF(P_ID,INDEX(L_ID,ROW()-4))&gt;0,1,0))</f>
        <v/>
      </c>
      <c r="B548">
        <f>IF(INDEX(P_Type,ROW()-4)="","",TRIM(UPPER(INDEX(P_Type,ROW()-4))))</f>
        <v/>
      </c>
      <c r="D548">
        <f>IF(INDEX(L_Type,ROW()-4)="","",TRIM(UPPER(INDEX(L_Type,ROW()-4))))</f>
        <v/>
      </c>
      <c r="E548">
        <f>IF(INDEX(P_Status,ROW()-4)="","",TRIM(UPPER(INDEX(P_Status,ROW()-4))))</f>
        <v/>
      </c>
      <c r="G548">
        <f>IF(INDEX(L_Status,ROW()-4)="","",TRIM(UPPER(INDEX(L_Status,ROW()-4))))</f>
        <v/>
      </c>
      <c r="J548">
        <f>IF(INDEX(L_ID,ROW()-4)="","",IF(SUMPRODUCT((P_ID=INDEX(L_ID,ROW()-4))*(P_StatusN="INACTIVE"))&gt;0,1,0))</f>
        <v/>
      </c>
    </row>
    <row r="549">
      <c r="A549">
        <f>IF(INDEX(L_ID,ROW()-4)="","",IF(COUNTIF(P_ID,INDEX(L_ID,ROW()-4))&gt;0,1,0))</f>
        <v/>
      </c>
      <c r="B549">
        <f>IF(INDEX(P_Type,ROW()-4)="","",TRIM(UPPER(INDEX(P_Type,ROW()-4))))</f>
        <v/>
      </c>
      <c r="D549">
        <f>IF(INDEX(L_Type,ROW()-4)="","",TRIM(UPPER(INDEX(L_Type,ROW()-4))))</f>
        <v/>
      </c>
      <c r="E549">
        <f>IF(INDEX(P_Status,ROW()-4)="","",TRIM(UPPER(INDEX(P_Status,ROW()-4))))</f>
        <v/>
      </c>
      <c r="G549">
        <f>IF(INDEX(L_Status,ROW()-4)="","",TRIM(UPPER(INDEX(L_Status,ROW()-4))))</f>
        <v/>
      </c>
      <c r="J549">
        <f>IF(INDEX(L_ID,ROW()-4)="","",IF(SUMPRODUCT((P_ID=INDEX(L_ID,ROW()-4))*(P_StatusN="INACTIVE"))&gt;0,1,0))</f>
        <v/>
      </c>
    </row>
    <row r="550">
      <c r="A550">
        <f>IF(INDEX(L_ID,ROW()-4)="","",IF(COUNTIF(P_ID,INDEX(L_ID,ROW()-4))&gt;0,1,0))</f>
        <v/>
      </c>
      <c r="B550">
        <f>IF(INDEX(P_Type,ROW()-4)="","",TRIM(UPPER(INDEX(P_Type,ROW()-4))))</f>
        <v/>
      </c>
      <c r="D550">
        <f>IF(INDEX(L_Type,ROW()-4)="","",TRIM(UPPER(INDEX(L_Type,ROW()-4))))</f>
        <v/>
      </c>
      <c r="E550">
        <f>IF(INDEX(P_Status,ROW()-4)="","",TRIM(UPPER(INDEX(P_Status,ROW()-4))))</f>
        <v/>
      </c>
      <c r="G550">
        <f>IF(INDEX(L_Status,ROW()-4)="","",TRIM(UPPER(INDEX(L_Status,ROW()-4))))</f>
        <v/>
      </c>
      <c r="J550">
        <f>IF(INDEX(L_ID,ROW()-4)="","",IF(SUMPRODUCT((P_ID=INDEX(L_ID,ROW()-4))*(P_StatusN="INACTIVE"))&gt;0,1,0))</f>
        <v/>
      </c>
    </row>
    <row r="551">
      <c r="A551">
        <f>IF(INDEX(L_ID,ROW()-4)="","",IF(COUNTIF(P_ID,INDEX(L_ID,ROW()-4))&gt;0,1,0))</f>
        <v/>
      </c>
      <c r="B551">
        <f>IF(INDEX(P_Type,ROW()-4)="","",TRIM(UPPER(INDEX(P_Type,ROW()-4))))</f>
        <v/>
      </c>
      <c r="D551">
        <f>IF(INDEX(L_Type,ROW()-4)="","",TRIM(UPPER(INDEX(L_Type,ROW()-4))))</f>
        <v/>
      </c>
      <c r="E551">
        <f>IF(INDEX(P_Status,ROW()-4)="","",TRIM(UPPER(INDEX(P_Status,ROW()-4))))</f>
        <v/>
      </c>
      <c r="G551">
        <f>IF(INDEX(L_Status,ROW()-4)="","",TRIM(UPPER(INDEX(L_Status,ROW()-4))))</f>
        <v/>
      </c>
      <c r="J551">
        <f>IF(INDEX(L_ID,ROW()-4)="","",IF(SUMPRODUCT((P_ID=INDEX(L_ID,ROW()-4))*(P_StatusN="INACTIVE"))&gt;0,1,0))</f>
        <v/>
      </c>
    </row>
    <row r="552">
      <c r="A552">
        <f>IF(INDEX(L_ID,ROW()-4)="","",IF(COUNTIF(P_ID,INDEX(L_ID,ROW()-4))&gt;0,1,0))</f>
        <v/>
      </c>
      <c r="B552">
        <f>IF(INDEX(P_Type,ROW()-4)="","",TRIM(UPPER(INDEX(P_Type,ROW()-4))))</f>
        <v/>
      </c>
      <c r="D552">
        <f>IF(INDEX(L_Type,ROW()-4)="","",TRIM(UPPER(INDEX(L_Type,ROW()-4))))</f>
        <v/>
      </c>
      <c r="E552">
        <f>IF(INDEX(P_Status,ROW()-4)="","",TRIM(UPPER(INDEX(P_Status,ROW()-4))))</f>
        <v/>
      </c>
      <c r="G552">
        <f>IF(INDEX(L_Status,ROW()-4)="","",TRIM(UPPER(INDEX(L_Status,ROW()-4))))</f>
        <v/>
      </c>
      <c r="J552">
        <f>IF(INDEX(L_ID,ROW()-4)="","",IF(SUMPRODUCT((P_ID=INDEX(L_ID,ROW()-4))*(P_StatusN="INACTIVE"))&gt;0,1,0))</f>
        <v/>
      </c>
    </row>
    <row r="553">
      <c r="A553">
        <f>IF(INDEX(L_ID,ROW()-4)="","",IF(COUNTIF(P_ID,INDEX(L_ID,ROW()-4))&gt;0,1,0))</f>
        <v/>
      </c>
      <c r="B553">
        <f>IF(INDEX(P_Type,ROW()-4)="","",TRIM(UPPER(INDEX(P_Type,ROW()-4))))</f>
        <v/>
      </c>
      <c r="D553">
        <f>IF(INDEX(L_Type,ROW()-4)="","",TRIM(UPPER(INDEX(L_Type,ROW()-4))))</f>
        <v/>
      </c>
      <c r="E553">
        <f>IF(INDEX(P_Status,ROW()-4)="","",TRIM(UPPER(INDEX(P_Status,ROW()-4))))</f>
        <v/>
      </c>
      <c r="G553">
        <f>IF(INDEX(L_Status,ROW()-4)="","",TRIM(UPPER(INDEX(L_Status,ROW()-4))))</f>
        <v/>
      </c>
      <c r="J553">
        <f>IF(INDEX(L_ID,ROW()-4)="","",IF(SUMPRODUCT((P_ID=INDEX(L_ID,ROW()-4))*(P_StatusN="INACTIVE"))&gt;0,1,0))</f>
        <v/>
      </c>
    </row>
    <row r="554">
      <c r="A554">
        <f>IF(INDEX(L_ID,ROW()-4)="","",IF(COUNTIF(P_ID,INDEX(L_ID,ROW()-4))&gt;0,1,0))</f>
        <v/>
      </c>
      <c r="B554">
        <f>IF(INDEX(P_Type,ROW()-4)="","",TRIM(UPPER(INDEX(P_Type,ROW()-4))))</f>
        <v/>
      </c>
      <c r="D554">
        <f>IF(INDEX(L_Type,ROW()-4)="","",TRIM(UPPER(INDEX(L_Type,ROW()-4))))</f>
        <v/>
      </c>
      <c r="E554">
        <f>IF(INDEX(P_Status,ROW()-4)="","",TRIM(UPPER(INDEX(P_Status,ROW()-4))))</f>
        <v/>
      </c>
      <c r="G554">
        <f>IF(INDEX(L_Status,ROW()-4)="","",TRIM(UPPER(INDEX(L_Status,ROW()-4))))</f>
        <v/>
      </c>
      <c r="J554">
        <f>IF(INDEX(L_ID,ROW()-4)="","",IF(SUMPRODUCT((P_ID=INDEX(L_ID,ROW()-4))*(P_StatusN="INACTIVE"))&gt;0,1,0))</f>
        <v/>
      </c>
    </row>
    <row r="555">
      <c r="A555">
        <f>IF(INDEX(L_ID,ROW()-4)="","",IF(COUNTIF(P_ID,INDEX(L_ID,ROW()-4))&gt;0,1,0))</f>
        <v/>
      </c>
      <c r="B555">
        <f>IF(INDEX(P_Type,ROW()-4)="","",TRIM(UPPER(INDEX(P_Type,ROW()-4))))</f>
        <v/>
      </c>
      <c r="D555">
        <f>IF(INDEX(L_Type,ROW()-4)="","",TRIM(UPPER(INDEX(L_Type,ROW()-4))))</f>
        <v/>
      </c>
      <c r="E555">
        <f>IF(INDEX(P_Status,ROW()-4)="","",TRIM(UPPER(INDEX(P_Status,ROW()-4))))</f>
        <v/>
      </c>
      <c r="G555">
        <f>IF(INDEX(L_Status,ROW()-4)="","",TRIM(UPPER(INDEX(L_Status,ROW()-4))))</f>
        <v/>
      </c>
      <c r="J555">
        <f>IF(INDEX(L_ID,ROW()-4)="","",IF(SUMPRODUCT((P_ID=INDEX(L_ID,ROW()-4))*(P_StatusN="INACTIVE"))&gt;0,1,0))</f>
        <v/>
      </c>
    </row>
    <row r="556">
      <c r="A556">
        <f>IF(INDEX(L_ID,ROW()-4)="","",IF(COUNTIF(P_ID,INDEX(L_ID,ROW()-4))&gt;0,1,0))</f>
        <v/>
      </c>
      <c r="B556">
        <f>IF(INDEX(P_Type,ROW()-4)="","",TRIM(UPPER(INDEX(P_Type,ROW()-4))))</f>
        <v/>
      </c>
      <c r="D556">
        <f>IF(INDEX(L_Type,ROW()-4)="","",TRIM(UPPER(INDEX(L_Type,ROW()-4))))</f>
        <v/>
      </c>
      <c r="E556">
        <f>IF(INDEX(P_Status,ROW()-4)="","",TRIM(UPPER(INDEX(P_Status,ROW()-4))))</f>
        <v/>
      </c>
      <c r="G556">
        <f>IF(INDEX(L_Status,ROW()-4)="","",TRIM(UPPER(INDEX(L_Status,ROW()-4))))</f>
        <v/>
      </c>
      <c r="J556">
        <f>IF(INDEX(L_ID,ROW()-4)="","",IF(SUMPRODUCT((P_ID=INDEX(L_ID,ROW()-4))*(P_StatusN="INACTIVE"))&gt;0,1,0))</f>
        <v/>
      </c>
    </row>
    <row r="557">
      <c r="A557">
        <f>IF(INDEX(L_ID,ROW()-4)="","",IF(COUNTIF(P_ID,INDEX(L_ID,ROW()-4))&gt;0,1,0))</f>
        <v/>
      </c>
      <c r="B557">
        <f>IF(INDEX(P_Type,ROW()-4)="","",TRIM(UPPER(INDEX(P_Type,ROW()-4))))</f>
        <v/>
      </c>
      <c r="D557">
        <f>IF(INDEX(L_Type,ROW()-4)="","",TRIM(UPPER(INDEX(L_Type,ROW()-4))))</f>
        <v/>
      </c>
      <c r="E557">
        <f>IF(INDEX(P_Status,ROW()-4)="","",TRIM(UPPER(INDEX(P_Status,ROW()-4))))</f>
        <v/>
      </c>
      <c r="G557">
        <f>IF(INDEX(L_Status,ROW()-4)="","",TRIM(UPPER(INDEX(L_Status,ROW()-4))))</f>
        <v/>
      </c>
      <c r="J557">
        <f>IF(INDEX(L_ID,ROW()-4)="","",IF(SUMPRODUCT((P_ID=INDEX(L_ID,ROW()-4))*(P_StatusN="INACTIVE"))&gt;0,1,0))</f>
        <v/>
      </c>
    </row>
    <row r="558">
      <c r="A558">
        <f>IF(INDEX(L_ID,ROW()-4)="","",IF(COUNTIF(P_ID,INDEX(L_ID,ROW()-4))&gt;0,1,0))</f>
        <v/>
      </c>
      <c r="B558">
        <f>IF(INDEX(P_Type,ROW()-4)="","",TRIM(UPPER(INDEX(P_Type,ROW()-4))))</f>
        <v/>
      </c>
      <c r="D558">
        <f>IF(INDEX(L_Type,ROW()-4)="","",TRIM(UPPER(INDEX(L_Type,ROW()-4))))</f>
        <v/>
      </c>
      <c r="E558">
        <f>IF(INDEX(P_Status,ROW()-4)="","",TRIM(UPPER(INDEX(P_Status,ROW()-4))))</f>
        <v/>
      </c>
      <c r="G558">
        <f>IF(INDEX(L_Status,ROW()-4)="","",TRIM(UPPER(INDEX(L_Status,ROW()-4))))</f>
        <v/>
      </c>
      <c r="J558">
        <f>IF(INDEX(L_ID,ROW()-4)="","",IF(SUMPRODUCT((P_ID=INDEX(L_ID,ROW()-4))*(P_StatusN="INACTIVE"))&gt;0,1,0))</f>
        <v/>
      </c>
    </row>
    <row r="559">
      <c r="A559">
        <f>IF(INDEX(L_ID,ROW()-4)="","",IF(COUNTIF(P_ID,INDEX(L_ID,ROW()-4))&gt;0,1,0))</f>
        <v/>
      </c>
      <c r="B559">
        <f>IF(INDEX(P_Type,ROW()-4)="","",TRIM(UPPER(INDEX(P_Type,ROW()-4))))</f>
        <v/>
      </c>
      <c r="D559">
        <f>IF(INDEX(L_Type,ROW()-4)="","",TRIM(UPPER(INDEX(L_Type,ROW()-4))))</f>
        <v/>
      </c>
      <c r="E559">
        <f>IF(INDEX(P_Status,ROW()-4)="","",TRIM(UPPER(INDEX(P_Status,ROW()-4))))</f>
        <v/>
      </c>
      <c r="G559">
        <f>IF(INDEX(L_Status,ROW()-4)="","",TRIM(UPPER(INDEX(L_Status,ROW()-4))))</f>
        <v/>
      </c>
      <c r="J559">
        <f>IF(INDEX(L_ID,ROW()-4)="","",IF(SUMPRODUCT((P_ID=INDEX(L_ID,ROW()-4))*(P_StatusN="INACTIVE"))&gt;0,1,0))</f>
        <v/>
      </c>
    </row>
    <row r="560">
      <c r="A560">
        <f>IF(INDEX(L_ID,ROW()-4)="","",IF(COUNTIF(P_ID,INDEX(L_ID,ROW()-4))&gt;0,1,0))</f>
        <v/>
      </c>
      <c r="B560">
        <f>IF(INDEX(P_Type,ROW()-4)="","",TRIM(UPPER(INDEX(P_Type,ROW()-4))))</f>
        <v/>
      </c>
      <c r="D560">
        <f>IF(INDEX(L_Type,ROW()-4)="","",TRIM(UPPER(INDEX(L_Type,ROW()-4))))</f>
        <v/>
      </c>
      <c r="E560">
        <f>IF(INDEX(P_Status,ROW()-4)="","",TRIM(UPPER(INDEX(P_Status,ROW()-4))))</f>
        <v/>
      </c>
      <c r="G560">
        <f>IF(INDEX(L_Status,ROW()-4)="","",TRIM(UPPER(INDEX(L_Status,ROW()-4))))</f>
        <v/>
      </c>
      <c r="J560">
        <f>IF(INDEX(L_ID,ROW()-4)="","",IF(SUMPRODUCT((P_ID=INDEX(L_ID,ROW()-4))*(P_StatusN="INACTIVE"))&gt;0,1,0))</f>
        <v/>
      </c>
    </row>
    <row r="561">
      <c r="A561">
        <f>IF(INDEX(L_ID,ROW()-4)="","",IF(COUNTIF(P_ID,INDEX(L_ID,ROW()-4))&gt;0,1,0))</f>
        <v/>
      </c>
      <c r="B561">
        <f>IF(INDEX(P_Type,ROW()-4)="","",TRIM(UPPER(INDEX(P_Type,ROW()-4))))</f>
        <v/>
      </c>
      <c r="D561">
        <f>IF(INDEX(L_Type,ROW()-4)="","",TRIM(UPPER(INDEX(L_Type,ROW()-4))))</f>
        <v/>
      </c>
      <c r="E561">
        <f>IF(INDEX(P_Status,ROW()-4)="","",TRIM(UPPER(INDEX(P_Status,ROW()-4))))</f>
        <v/>
      </c>
      <c r="G561">
        <f>IF(INDEX(L_Status,ROW()-4)="","",TRIM(UPPER(INDEX(L_Status,ROW()-4))))</f>
        <v/>
      </c>
      <c r="J561">
        <f>IF(INDEX(L_ID,ROW()-4)="","",IF(SUMPRODUCT((P_ID=INDEX(L_ID,ROW()-4))*(P_StatusN="INACTIVE"))&gt;0,1,0))</f>
        <v/>
      </c>
    </row>
    <row r="562">
      <c r="A562">
        <f>IF(INDEX(L_ID,ROW()-4)="","",IF(COUNTIF(P_ID,INDEX(L_ID,ROW()-4))&gt;0,1,0))</f>
        <v/>
      </c>
      <c r="B562">
        <f>IF(INDEX(P_Type,ROW()-4)="","",TRIM(UPPER(INDEX(P_Type,ROW()-4))))</f>
        <v/>
      </c>
      <c r="D562">
        <f>IF(INDEX(L_Type,ROW()-4)="","",TRIM(UPPER(INDEX(L_Type,ROW()-4))))</f>
        <v/>
      </c>
      <c r="E562">
        <f>IF(INDEX(P_Status,ROW()-4)="","",TRIM(UPPER(INDEX(P_Status,ROW()-4))))</f>
        <v/>
      </c>
      <c r="G562">
        <f>IF(INDEX(L_Status,ROW()-4)="","",TRIM(UPPER(INDEX(L_Status,ROW()-4))))</f>
        <v/>
      </c>
      <c r="J562">
        <f>IF(INDEX(L_ID,ROW()-4)="","",IF(SUMPRODUCT((P_ID=INDEX(L_ID,ROW()-4))*(P_StatusN="INACTIVE"))&gt;0,1,0))</f>
        <v/>
      </c>
    </row>
    <row r="563">
      <c r="A563">
        <f>IF(INDEX(L_ID,ROW()-4)="","",IF(COUNTIF(P_ID,INDEX(L_ID,ROW()-4))&gt;0,1,0))</f>
        <v/>
      </c>
      <c r="B563">
        <f>IF(INDEX(P_Type,ROW()-4)="","",TRIM(UPPER(INDEX(P_Type,ROW()-4))))</f>
        <v/>
      </c>
      <c r="D563">
        <f>IF(INDEX(L_Type,ROW()-4)="","",TRIM(UPPER(INDEX(L_Type,ROW()-4))))</f>
        <v/>
      </c>
      <c r="E563">
        <f>IF(INDEX(P_Status,ROW()-4)="","",TRIM(UPPER(INDEX(P_Status,ROW()-4))))</f>
        <v/>
      </c>
      <c r="G563">
        <f>IF(INDEX(L_Status,ROW()-4)="","",TRIM(UPPER(INDEX(L_Status,ROW()-4))))</f>
        <v/>
      </c>
      <c r="J563">
        <f>IF(INDEX(L_ID,ROW()-4)="","",IF(SUMPRODUCT((P_ID=INDEX(L_ID,ROW()-4))*(P_StatusN="INACTIVE"))&gt;0,1,0))</f>
        <v/>
      </c>
    </row>
    <row r="564">
      <c r="A564">
        <f>IF(INDEX(L_ID,ROW()-4)="","",IF(COUNTIF(P_ID,INDEX(L_ID,ROW()-4))&gt;0,1,0))</f>
        <v/>
      </c>
      <c r="B564">
        <f>IF(INDEX(P_Type,ROW()-4)="","",TRIM(UPPER(INDEX(P_Type,ROW()-4))))</f>
        <v/>
      </c>
      <c r="D564">
        <f>IF(INDEX(L_Type,ROW()-4)="","",TRIM(UPPER(INDEX(L_Type,ROW()-4))))</f>
        <v/>
      </c>
      <c r="E564">
        <f>IF(INDEX(P_Status,ROW()-4)="","",TRIM(UPPER(INDEX(P_Status,ROW()-4))))</f>
        <v/>
      </c>
      <c r="G564">
        <f>IF(INDEX(L_Status,ROW()-4)="","",TRIM(UPPER(INDEX(L_Status,ROW()-4))))</f>
        <v/>
      </c>
      <c r="J564">
        <f>IF(INDEX(L_ID,ROW()-4)="","",IF(SUMPRODUCT((P_ID=INDEX(L_ID,ROW()-4))*(P_StatusN="INACTIVE"))&gt;0,1,0))</f>
        <v/>
      </c>
    </row>
    <row r="565">
      <c r="A565">
        <f>IF(INDEX(L_ID,ROW()-4)="","",IF(COUNTIF(P_ID,INDEX(L_ID,ROW()-4))&gt;0,1,0))</f>
        <v/>
      </c>
      <c r="B565">
        <f>IF(INDEX(P_Type,ROW()-4)="","",TRIM(UPPER(INDEX(P_Type,ROW()-4))))</f>
        <v/>
      </c>
      <c r="D565">
        <f>IF(INDEX(L_Type,ROW()-4)="","",TRIM(UPPER(INDEX(L_Type,ROW()-4))))</f>
        <v/>
      </c>
      <c r="E565">
        <f>IF(INDEX(P_Status,ROW()-4)="","",TRIM(UPPER(INDEX(P_Status,ROW()-4))))</f>
        <v/>
      </c>
      <c r="G565">
        <f>IF(INDEX(L_Status,ROW()-4)="","",TRIM(UPPER(INDEX(L_Status,ROW()-4))))</f>
        <v/>
      </c>
      <c r="J565">
        <f>IF(INDEX(L_ID,ROW()-4)="","",IF(SUMPRODUCT((P_ID=INDEX(L_ID,ROW()-4))*(P_StatusN="INACTIVE"))&gt;0,1,0))</f>
        <v/>
      </c>
    </row>
    <row r="566">
      <c r="A566">
        <f>IF(INDEX(L_ID,ROW()-4)="","",IF(COUNTIF(P_ID,INDEX(L_ID,ROW()-4))&gt;0,1,0))</f>
        <v/>
      </c>
      <c r="B566">
        <f>IF(INDEX(P_Type,ROW()-4)="","",TRIM(UPPER(INDEX(P_Type,ROW()-4))))</f>
        <v/>
      </c>
      <c r="D566">
        <f>IF(INDEX(L_Type,ROW()-4)="","",TRIM(UPPER(INDEX(L_Type,ROW()-4))))</f>
        <v/>
      </c>
      <c r="E566">
        <f>IF(INDEX(P_Status,ROW()-4)="","",TRIM(UPPER(INDEX(P_Status,ROW()-4))))</f>
        <v/>
      </c>
      <c r="G566">
        <f>IF(INDEX(L_Status,ROW()-4)="","",TRIM(UPPER(INDEX(L_Status,ROW()-4))))</f>
        <v/>
      </c>
      <c r="J566">
        <f>IF(INDEX(L_ID,ROW()-4)="","",IF(SUMPRODUCT((P_ID=INDEX(L_ID,ROW()-4))*(P_StatusN="INACTIVE"))&gt;0,1,0))</f>
        <v/>
      </c>
    </row>
    <row r="567">
      <c r="A567">
        <f>IF(INDEX(L_ID,ROW()-4)="","",IF(COUNTIF(P_ID,INDEX(L_ID,ROW()-4))&gt;0,1,0))</f>
        <v/>
      </c>
      <c r="B567">
        <f>IF(INDEX(P_Type,ROW()-4)="","",TRIM(UPPER(INDEX(P_Type,ROW()-4))))</f>
        <v/>
      </c>
      <c r="D567">
        <f>IF(INDEX(L_Type,ROW()-4)="","",TRIM(UPPER(INDEX(L_Type,ROW()-4))))</f>
        <v/>
      </c>
      <c r="E567">
        <f>IF(INDEX(P_Status,ROW()-4)="","",TRIM(UPPER(INDEX(P_Status,ROW()-4))))</f>
        <v/>
      </c>
      <c r="G567">
        <f>IF(INDEX(L_Status,ROW()-4)="","",TRIM(UPPER(INDEX(L_Status,ROW()-4))))</f>
        <v/>
      </c>
      <c r="J567">
        <f>IF(INDEX(L_ID,ROW()-4)="","",IF(SUMPRODUCT((P_ID=INDEX(L_ID,ROW()-4))*(P_StatusN="INACTIVE"))&gt;0,1,0))</f>
        <v/>
      </c>
    </row>
    <row r="568">
      <c r="A568">
        <f>IF(INDEX(L_ID,ROW()-4)="","",IF(COUNTIF(P_ID,INDEX(L_ID,ROW()-4))&gt;0,1,0))</f>
        <v/>
      </c>
      <c r="B568">
        <f>IF(INDEX(P_Type,ROW()-4)="","",TRIM(UPPER(INDEX(P_Type,ROW()-4))))</f>
        <v/>
      </c>
      <c r="D568">
        <f>IF(INDEX(L_Type,ROW()-4)="","",TRIM(UPPER(INDEX(L_Type,ROW()-4))))</f>
        <v/>
      </c>
      <c r="E568">
        <f>IF(INDEX(P_Status,ROW()-4)="","",TRIM(UPPER(INDEX(P_Status,ROW()-4))))</f>
        <v/>
      </c>
      <c r="G568">
        <f>IF(INDEX(L_Status,ROW()-4)="","",TRIM(UPPER(INDEX(L_Status,ROW()-4))))</f>
        <v/>
      </c>
      <c r="J568">
        <f>IF(INDEX(L_ID,ROW()-4)="","",IF(SUMPRODUCT((P_ID=INDEX(L_ID,ROW()-4))*(P_StatusN="INACTIVE"))&gt;0,1,0))</f>
        <v/>
      </c>
    </row>
    <row r="569">
      <c r="A569">
        <f>IF(INDEX(L_ID,ROW()-4)="","",IF(COUNTIF(P_ID,INDEX(L_ID,ROW()-4))&gt;0,1,0))</f>
        <v/>
      </c>
      <c r="B569">
        <f>IF(INDEX(P_Type,ROW()-4)="","",TRIM(UPPER(INDEX(P_Type,ROW()-4))))</f>
        <v/>
      </c>
      <c r="D569">
        <f>IF(INDEX(L_Type,ROW()-4)="","",TRIM(UPPER(INDEX(L_Type,ROW()-4))))</f>
        <v/>
      </c>
      <c r="E569">
        <f>IF(INDEX(P_Status,ROW()-4)="","",TRIM(UPPER(INDEX(P_Status,ROW()-4))))</f>
        <v/>
      </c>
      <c r="G569">
        <f>IF(INDEX(L_Status,ROW()-4)="","",TRIM(UPPER(INDEX(L_Status,ROW()-4))))</f>
        <v/>
      </c>
      <c r="J569">
        <f>IF(INDEX(L_ID,ROW()-4)="","",IF(SUMPRODUCT((P_ID=INDEX(L_ID,ROW()-4))*(P_StatusN="INACTIVE"))&gt;0,1,0))</f>
        <v/>
      </c>
    </row>
    <row r="570">
      <c r="A570">
        <f>IF(INDEX(L_ID,ROW()-4)="","",IF(COUNTIF(P_ID,INDEX(L_ID,ROW()-4))&gt;0,1,0))</f>
        <v/>
      </c>
      <c r="B570">
        <f>IF(INDEX(P_Type,ROW()-4)="","",TRIM(UPPER(INDEX(P_Type,ROW()-4))))</f>
        <v/>
      </c>
      <c r="D570">
        <f>IF(INDEX(L_Type,ROW()-4)="","",TRIM(UPPER(INDEX(L_Type,ROW()-4))))</f>
        <v/>
      </c>
      <c r="E570">
        <f>IF(INDEX(P_Status,ROW()-4)="","",TRIM(UPPER(INDEX(P_Status,ROW()-4))))</f>
        <v/>
      </c>
      <c r="G570">
        <f>IF(INDEX(L_Status,ROW()-4)="","",TRIM(UPPER(INDEX(L_Status,ROW()-4))))</f>
        <v/>
      </c>
      <c r="J570">
        <f>IF(INDEX(L_ID,ROW()-4)="","",IF(SUMPRODUCT((P_ID=INDEX(L_ID,ROW()-4))*(P_StatusN="INACTIVE"))&gt;0,1,0))</f>
        <v/>
      </c>
    </row>
    <row r="571">
      <c r="A571">
        <f>IF(INDEX(L_ID,ROW()-4)="","",IF(COUNTIF(P_ID,INDEX(L_ID,ROW()-4))&gt;0,1,0))</f>
        <v/>
      </c>
      <c r="B571">
        <f>IF(INDEX(P_Type,ROW()-4)="","",TRIM(UPPER(INDEX(P_Type,ROW()-4))))</f>
        <v/>
      </c>
      <c r="D571">
        <f>IF(INDEX(L_Type,ROW()-4)="","",TRIM(UPPER(INDEX(L_Type,ROW()-4))))</f>
        <v/>
      </c>
      <c r="E571">
        <f>IF(INDEX(P_Status,ROW()-4)="","",TRIM(UPPER(INDEX(P_Status,ROW()-4))))</f>
        <v/>
      </c>
      <c r="G571">
        <f>IF(INDEX(L_Status,ROW()-4)="","",TRIM(UPPER(INDEX(L_Status,ROW()-4))))</f>
        <v/>
      </c>
      <c r="J571">
        <f>IF(INDEX(L_ID,ROW()-4)="","",IF(SUMPRODUCT((P_ID=INDEX(L_ID,ROW()-4))*(P_StatusN="INACTIVE"))&gt;0,1,0))</f>
        <v/>
      </c>
    </row>
    <row r="572">
      <c r="A572">
        <f>IF(INDEX(L_ID,ROW()-4)="","",IF(COUNTIF(P_ID,INDEX(L_ID,ROW()-4))&gt;0,1,0))</f>
        <v/>
      </c>
      <c r="B572">
        <f>IF(INDEX(P_Type,ROW()-4)="","",TRIM(UPPER(INDEX(P_Type,ROW()-4))))</f>
        <v/>
      </c>
      <c r="D572">
        <f>IF(INDEX(L_Type,ROW()-4)="","",TRIM(UPPER(INDEX(L_Type,ROW()-4))))</f>
        <v/>
      </c>
      <c r="E572">
        <f>IF(INDEX(P_Status,ROW()-4)="","",TRIM(UPPER(INDEX(P_Status,ROW()-4))))</f>
        <v/>
      </c>
      <c r="G572">
        <f>IF(INDEX(L_Status,ROW()-4)="","",TRIM(UPPER(INDEX(L_Status,ROW()-4))))</f>
        <v/>
      </c>
      <c r="J572">
        <f>IF(INDEX(L_ID,ROW()-4)="","",IF(SUMPRODUCT((P_ID=INDEX(L_ID,ROW()-4))*(P_StatusN="INACTIVE"))&gt;0,1,0))</f>
        <v/>
      </c>
    </row>
    <row r="573">
      <c r="A573">
        <f>IF(INDEX(L_ID,ROW()-4)="","",IF(COUNTIF(P_ID,INDEX(L_ID,ROW()-4))&gt;0,1,0))</f>
        <v/>
      </c>
      <c r="B573">
        <f>IF(INDEX(P_Type,ROW()-4)="","",TRIM(UPPER(INDEX(P_Type,ROW()-4))))</f>
        <v/>
      </c>
      <c r="D573">
        <f>IF(INDEX(L_Type,ROW()-4)="","",TRIM(UPPER(INDEX(L_Type,ROW()-4))))</f>
        <v/>
      </c>
      <c r="E573">
        <f>IF(INDEX(P_Status,ROW()-4)="","",TRIM(UPPER(INDEX(P_Status,ROW()-4))))</f>
        <v/>
      </c>
      <c r="G573">
        <f>IF(INDEX(L_Status,ROW()-4)="","",TRIM(UPPER(INDEX(L_Status,ROW()-4))))</f>
        <v/>
      </c>
      <c r="J573">
        <f>IF(INDEX(L_ID,ROW()-4)="","",IF(SUMPRODUCT((P_ID=INDEX(L_ID,ROW()-4))*(P_StatusN="INACTIVE"))&gt;0,1,0))</f>
        <v/>
      </c>
    </row>
    <row r="574">
      <c r="A574">
        <f>IF(INDEX(L_ID,ROW()-4)="","",IF(COUNTIF(P_ID,INDEX(L_ID,ROW()-4))&gt;0,1,0))</f>
        <v/>
      </c>
      <c r="B574">
        <f>IF(INDEX(P_Type,ROW()-4)="","",TRIM(UPPER(INDEX(P_Type,ROW()-4))))</f>
        <v/>
      </c>
      <c r="D574">
        <f>IF(INDEX(L_Type,ROW()-4)="","",TRIM(UPPER(INDEX(L_Type,ROW()-4))))</f>
        <v/>
      </c>
      <c r="E574">
        <f>IF(INDEX(P_Status,ROW()-4)="","",TRIM(UPPER(INDEX(P_Status,ROW()-4))))</f>
        <v/>
      </c>
      <c r="G574">
        <f>IF(INDEX(L_Status,ROW()-4)="","",TRIM(UPPER(INDEX(L_Status,ROW()-4))))</f>
        <v/>
      </c>
      <c r="J574">
        <f>IF(INDEX(L_ID,ROW()-4)="","",IF(SUMPRODUCT((P_ID=INDEX(L_ID,ROW()-4))*(P_StatusN="INACTIVE"))&gt;0,1,0))</f>
        <v/>
      </c>
    </row>
    <row r="575">
      <c r="A575">
        <f>IF(INDEX(L_ID,ROW()-4)="","",IF(COUNTIF(P_ID,INDEX(L_ID,ROW()-4))&gt;0,1,0))</f>
        <v/>
      </c>
      <c r="B575">
        <f>IF(INDEX(P_Type,ROW()-4)="","",TRIM(UPPER(INDEX(P_Type,ROW()-4))))</f>
        <v/>
      </c>
      <c r="D575">
        <f>IF(INDEX(L_Type,ROW()-4)="","",TRIM(UPPER(INDEX(L_Type,ROW()-4))))</f>
        <v/>
      </c>
      <c r="E575">
        <f>IF(INDEX(P_Status,ROW()-4)="","",TRIM(UPPER(INDEX(P_Status,ROW()-4))))</f>
        <v/>
      </c>
      <c r="G575">
        <f>IF(INDEX(L_Status,ROW()-4)="","",TRIM(UPPER(INDEX(L_Status,ROW()-4))))</f>
        <v/>
      </c>
      <c r="J575">
        <f>IF(INDEX(L_ID,ROW()-4)="","",IF(SUMPRODUCT((P_ID=INDEX(L_ID,ROW()-4))*(P_StatusN="INACTIVE"))&gt;0,1,0))</f>
        <v/>
      </c>
    </row>
    <row r="576">
      <c r="A576">
        <f>IF(INDEX(L_ID,ROW()-4)="","",IF(COUNTIF(P_ID,INDEX(L_ID,ROW()-4))&gt;0,1,0))</f>
        <v/>
      </c>
      <c r="B576">
        <f>IF(INDEX(P_Type,ROW()-4)="","",TRIM(UPPER(INDEX(P_Type,ROW()-4))))</f>
        <v/>
      </c>
      <c r="D576">
        <f>IF(INDEX(L_Type,ROW()-4)="","",TRIM(UPPER(INDEX(L_Type,ROW()-4))))</f>
        <v/>
      </c>
      <c r="E576">
        <f>IF(INDEX(P_Status,ROW()-4)="","",TRIM(UPPER(INDEX(P_Status,ROW()-4))))</f>
        <v/>
      </c>
      <c r="G576">
        <f>IF(INDEX(L_Status,ROW()-4)="","",TRIM(UPPER(INDEX(L_Status,ROW()-4))))</f>
        <v/>
      </c>
      <c r="J576">
        <f>IF(INDEX(L_ID,ROW()-4)="","",IF(SUMPRODUCT((P_ID=INDEX(L_ID,ROW()-4))*(P_StatusN="INACTIVE"))&gt;0,1,0))</f>
        <v/>
      </c>
    </row>
    <row r="577">
      <c r="A577">
        <f>IF(INDEX(L_ID,ROW()-4)="","",IF(COUNTIF(P_ID,INDEX(L_ID,ROW()-4))&gt;0,1,0))</f>
        <v/>
      </c>
      <c r="B577">
        <f>IF(INDEX(P_Type,ROW()-4)="","",TRIM(UPPER(INDEX(P_Type,ROW()-4))))</f>
        <v/>
      </c>
      <c r="D577">
        <f>IF(INDEX(L_Type,ROW()-4)="","",TRIM(UPPER(INDEX(L_Type,ROW()-4))))</f>
        <v/>
      </c>
      <c r="E577">
        <f>IF(INDEX(P_Status,ROW()-4)="","",TRIM(UPPER(INDEX(P_Status,ROW()-4))))</f>
        <v/>
      </c>
      <c r="G577">
        <f>IF(INDEX(L_Status,ROW()-4)="","",TRIM(UPPER(INDEX(L_Status,ROW()-4))))</f>
        <v/>
      </c>
      <c r="J577">
        <f>IF(INDEX(L_ID,ROW()-4)="","",IF(SUMPRODUCT((P_ID=INDEX(L_ID,ROW()-4))*(P_StatusN="INACTIVE"))&gt;0,1,0))</f>
        <v/>
      </c>
    </row>
    <row r="578">
      <c r="A578">
        <f>IF(INDEX(L_ID,ROW()-4)="","",IF(COUNTIF(P_ID,INDEX(L_ID,ROW()-4))&gt;0,1,0))</f>
        <v/>
      </c>
      <c r="B578">
        <f>IF(INDEX(P_Type,ROW()-4)="","",TRIM(UPPER(INDEX(P_Type,ROW()-4))))</f>
        <v/>
      </c>
      <c r="D578">
        <f>IF(INDEX(L_Type,ROW()-4)="","",TRIM(UPPER(INDEX(L_Type,ROW()-4))))</f>
        <v/>
      </c>
      <c r="E578">
        <f>IF(INDEX(P_Status,ROW()-4)="","",TRIM(UPPER(INDEX(P_Status,ROW()-4))))</f>
        <v/>
      </c>
      <c r="G578">
        <f>IF(INDEX(L_Status,ROW()-4)="","",TRIM(UPPER(INDEX(L_Status,ROW()-4))))</f>
        <v/>
      </c>
      <c r="J578">
        <f>IF(INDEX(L_ID,ROW()-4)="","",IF(SUMPRODUCT((P_ID=INDEX(L_ID,ROW()-4))*(P_StatusN="INACTIVE"))&gt;0,1,0))</f>
        <v/>
      </c>
    </row>
    <row r="579">
      <c r="A579">
        <f>IF(INDEX(L_ID,ROW()-4)="","",IF(COUNTIF(P_ID,INDEX(L_ID,ROW()-4))&gt;0,1,0))</f>
        <v/>
      </c>
      <c r="B579">
        <f>IF(INDEX(P_Type,ROW()-4)="","",TRIM(UPPER(INDEX(P_Type,ROW()-4))))</f>
        <v/>
      </c>
      <c r="D579">
        <f>IF(INDEX(L_Type,ROW()-4)="","",TRIM(UPPER(INDEX(L_Type,ROW()-4))))</f>
        <v/>
      </c>
      <c r="E579">
        <f>IF(INDEX(P_Status,ROW()-4)="","",TRIM(UPPER(INDEX(P_Status,ROW()-4))))</f>
        <v/>
      </c>
      <c r="G579">
        <f>IF(INDEX(L_Status,ROW()-4)="","",TRIM(UPPER(INDEX(L_Status,ROW()-4))))</f>
        <v/>
      </c>
      <c r="J579">
        <f>IF(INDEX(L_ID,ROW()-4)="","",IF(SUMPRODUCT((P_ID=INDEX(L_ID,ROW()-4))*(P_StatusN="INACTIVE"))&gt;0,1,0))</f>
        <v/>
      </c>
    </row>
    <row r="580">
      <c r="A580">
        <f>IF(INDEX(L_ID,ROW()-4)="","",IF(COUNTIF(P_ID,INDEX(L_ID,ROW()-4))&gt;0,1,0))</f>
        <v/>
      </c>
      <c r="B580">
        <f>IF(INDEX(P_Type,ROW()-4)="","",TRIM(UPPER(INDEX(P_Type,ROW()-4))))</f>
        <v/>
      </c>
      <c r="D580">
        <f>IF(INDEX(L_Type,ROW()-4)="","",TRIM(UPPER(INDEX(L_Type,ROW()-4))))</f>
        <v/>
      </c>
      <c r="E580">
        <f>IF(INDEX(P_Status,ROW()-4)="","",TRIM(UPPER(INDEX(P_Status,ROW()-4))))</f>
        <v/>
      </c>
      <c r="G580">
        <f>IF(INDEX(L_Status,ROW()-4)="","",TRIM(UPPER(INDEX(L_Status,ROW()-4))))</f>
        <v/>
      </c>
      <c r="J580">
        <f>IF(INDEX(L_ID,ROW()-4)="","",IF(SUMPRODUCT((P_ID=INDEX(L_ID,ROW()-4))*(P_StatusN="INACTIVE"))&gt;0,1,0))</f>
        <v/>
      </c>
    </row>
    <row r="581">
      <c r="A581">
        <f>IF(INDEX(L_ID,ROW()-4)="","",IF(COUNTIF(P_ID,INDEX(L_ID,ROW()-4))&gt;0,1,0))</f>
        <v/>
      </c>
      <c r="B581">
        <f>IF(INDEX(P_Type,ROW()-4)="","",TRIM(UPPER(INDEX(P_Type,ROW()-4))))</f>
        <v/>
      </c>
      <c r="D581">
        <f>IF(INDEX(L_Type,ROW()-4)="","",TRIM(UPPER(INDEX(L_Type,ROW()-4))))</f>
        <v/>
      </c>
      <c r="E581">
        <f>IF(INDEX(P_Status,ROW()-4)="","",TRIM(UPPER(INDEX(P_Status,ROW()-4))))</f>
        <v/>
      </c>
      <c r="G581">
        <f>IF(INDEX(L_Status,ROW()-4)="","",TRIM(UPPER(INDEX(L_Status,ROW()-4))))</f>
        <v/>
      </c>
      <c r="J581">
        <f>IF(INDEX(L_ID,ROW()-4)="","",IF(SUMPRODUCT((P_ID=INDEX(L_ID,ROW()-4))*(P_StatusN="INACTIVE"))&gt;0,1,0))</f>
        <v/>
      </c>
    </row>
    <row r="582">
      <c r="A582">
        <f>IF(INDEX(L_ID,ROW()-4)="","",IF(COUNTIF(P_ID,INDEX(L_ID,ROW()-4))&gt;0,1,0))</f>
        <v/>
      </c>
      <c r="B582">
        <f>IF(INDEX(P_Type,ROW()-4)="","",TRIM(UPPER(INDEX(P_Type,ROW()-4))))</f>
        <v/>
      </c>
      <c r="D582">
        <f>IF(INDEX(L_Type,ROW()-4)="","",TRIM(UPPER(INDEX(L_Type,ROW()-4))))</f>
        <v/>
      </c>
      <c r="E582">
        <f>IF(INDEX(P_Status,ROW()-4)="","",TRIM(UPPER(INDEX(P_Status,ROW()-4))))</f>
        <v/>
      </c>
      <c r="G582">
        <f>IF(INDEX(L_Status,ROW()-4)="","",TRIM(UPPER(INDEX(L_Status,ROW()-4))))</f>
        <v/>
      </c>
      <c r="J582">
        <f>IF(INDEX(L_ID,ROW()-4)="","",IF(SUMPRODUCT((P_ID=INDEX(L_ID,ROW()-4))*(P_StatusN="INACTIVE"))&gt;0,1,0))</f>
        <v/>
      </c>
    </row>
    <row r="583">
      <c r="A583">
        <f>IF(INDEX(L_ID,ROW()-4)="","",IF(COUNTIF(P_ID,INDEX(L_ID,ROW()-4))&gt;0,1,0))</f>
        <v/>
      </c>
      <c r="B583">
        <f>IF(INDEX(P_Type,ROW()-4)="","",TRIM(UPPER(INDEX(P_Type,ROW()-4))))</f>
        <v/>
      </c>
      <c r="D583">
        <f>IF(INDEX(L_Type,ROW()-4)="","",TRIM(UPPER(INDEX(L_Type,ROW()-4))))</f>
        <v/>
      </c>
      <c r="E583">
        <f>IF(INDEX(P_Status,ROW()-4)="","",TRIM(UPPER(INDEX(P_Status,ROW()-4))))</f>
        <v/>
      </c>
      <c r="G583">
        <f>IF(INDEX(L_Status,ROW()-4)="","",TRIM(UPPER(INDEX(L_Status,ROW()-4))))</f>
        <v/>
      </c>
      <c r="J583">
        <f>IF(INDEX(L_ID,ROW()-4)="","",IF(SUMPRODUCT((P_ID=INDEX(L_ID,ROW()-4))*(P_StatusN="INACTIVE"))&gt;0,1,0))</f>
        <v/>
      </c>
    </row>
    <row r="584">
      <c r="A584">
        <f>IF(INDEX(L_ID,ROW()-4)="","",IF(COUNTIF(P_ID,INDEX(L_ID,ROW()-4))&gt;0,1,0))</f>
        <v/>
      </c>
      <c r="B584">
        <f>IF(INDEX(P_Type,ROW()-4)="","",TRIM(UPPER(INDEX(P_Type,ROW()-4))))</f>
        <v/>
      </c>
      <c r="D584">
        <f>IF(INDEX(L_Type,ROW()-4)="","",TRIM(UPPER(INDEX(L_Type,ROW()-4))))</f>
        <v/>
      </c>
      <c r="E584">
        <f>IF(INDEX(P_Status,ROW()-4)="","",TRIM(UPPER(INDEX(P_Status,ROW()-4))))</f>
        <v/>
      </c>
      <c r="G584">
        <f>IF(INDEX(L_Status,ROW()-4)="","",TRIM(UPPER(INDEX(L_Status,ROW()-4))))</f>
        <v/>
      </c>
      <c r="J584">
        <f>IF(INDEX(L_ID,ROW()-4)="","",IF(SUMPRODUCT((P_ID=INDEX(L_ID,ROW()-4))*(P_StatusN="INACTIVE"))&gt;0,1,0))</f>
        <v/>
      </c>
    </row>
    <row r="585">
      <c r="A585">
        <f>IF(INDEX(L_ID,ROW()-4)="","",IF(COUNTIF(P_ID,INDEX(L_ID,ROW()-4))&gt;0,1,0))</f>
        <v/>
      </c>
      <c r="B585">
        <f>IF(INDEX(P_Type,ROW()-4)="","",TRIM(UPPER(INDEX(P_Type,ROW()-4))))</f>
        <v/>
      </c>
      <c r="D585">
        <f>IF(INDEX(L_Type,ROW()-4)="","",TRIM(UPPER(INDEX(L_Type,ROW()-4))))</f>
        <v/>
      </c>
      <c r="E585">
        <f>IF(INDEX(P_Status,ROW()-4)="","",TRIM(UPPER(INDEX(P_Status,ROW()-4))))</f>
        <v/>
      </c>
      <c r="G585">
        <f>IF(INDEX(L_Status,ROW()-4)="","",TRIM(UPPER(INDEX(L_Status,ROW()-4))))</f>
        <v/>
      </c>
      <c r="J585">
        <f>IF(INDEX(L_ID,ROW()-4)="","",IF(SUMPRODUCT((P_ID=INDEX(L_ID,ROW()-4))*(P_StatusN="INACTIVE"))&gt;0,1,0))</f>
        <v/>
      </c>
    </row>
    <row r="586">
      <c r="A586">
        <f>IF(INDEX(L_ID,ROW()-4)="","",IF(COUNTIF(P_ID,INDEX(L_ID,ROW()-4))&gt;0,1,0))</f>
        <v/>
      </c>
      <c r="B586">
        <f>IF(INDEX(P_Type,ROW()-4)="","",TRIM(UPPER(INDEX(P_Type,ROW()-4))))</f>
        <v/>
      </c>
      <c r="D586">
        <f>IF(INDEX(L_Type,ROW()-4)="","",TRIM(UPPER(INDEX(L_Type,ROW()-4))))</f>
        <v/>
      </c>
      <c r="E586">
        <f>IF(INDEX(P_Status,ROW()-4)="","",TRIM(UPPER(INDEX(P_Status,ROW()-4))))</f>
        <v/>
      </c>
      <c r="G586">
        <f>IF(INDEX(L_Status,ROW()-4)="","",TRIM(UPPER(INDEX(L_Status,ROW()-4))))</f>
        <v/>
      </c>
      <c r="J586">
        <f>IF(INDEX(L_ID,ROW()-4)="","",IF(SUMPRODUCT((P_ID=INDEX(L_ID,ROW()-4))*(P_StatusN="INACTIVE"))&gt;0,1,0))</f>
        <v/>
      </c>
    </row>
    <row r="587">
      <c r="A587">
        <f>IF(INDEX(L_ID,ROW()-4)="","",IF(COUNTIF(P_ID,INDEX(L_ID,ROW()-4))&gt;0,1,0))</f>
        <v/>
      </c>
      <c r="B587">
        <f>IF(INDEX(P_Type,ROW()-4)="","",TRIM(UPPER(INDEX(P_Type,ROW()-4))))</f>
        <v/>
      </c>
      <c r="D587">
        <f>IF(INDEX(L_Type,ROW()-4)="","",TRIM(UPPER(INDEX(L_Type,ROW()-4))))</f>
        <v/>
      </c>
      <c r="E587">
        <f>IF(INDEX(P_Status,ROW()-4)="","",TRIM(UPPER(INDEX(P_Status,ROW()-4))))</f>
        <v/>
      </c>
      <c r="G587">
        <f>IF(INDEX(L_Status,ROW()-4)="","",TRIM(UPPER(INDEX(L_Status,ROW()-4))))</f>
        <v/>
      </c>
      <c r="J587">
        <f>IF(INDEX(L_ID,ROW()-4)="","",IF(SUMPRODUCT((P_ID=INDEX(L_ID,ROW()-4))*(P_StatusN="INACTIVE"))&gt;0,1,0))</f>
        <v/>
      </c>
    </row>
    <row r="588">
      <c r="A588">
        <f>IF(INDEX(L_ID,ROW()-4)="","",IF(COUNTIF(P_ID,INDEX(L_ID,ROW()-4))&gt;0,1,0))</f>
        <v/>
      </c>
      <c r="B588">
        <f>IF(INDEX(P_Type,ROW()-4)="","",TRIM(UPPER(INDEX(P_Type,ROW()-4))))</f>
        <v/>
      </c>
      <c r="D588">
        <f>IF(INDEX(L_Type,ROW()-4)="","",TRIM(UPPER(INDEX(L_Type,ROW()-4))))</f>
        <v/>
      </c>
      <c r="E588">
        <f>IF(INDEX(P_Status,ROW()-4)="","",TRIM(UPPER(INDEX(P_Status,ROW()-4))))</f>
        <v/>
      </c>
      <c r="G588">
        <f>IF(INDEX(L_Status,ROW()-4)="","",TRIM(UPPER(INDEX(L_Status,ROW()-4))))</f>
        <v/>
      </c>
      <c r="J588">
        <f>IF(INDEX(L_ID,ROW()-4)="","",IF(SUMPRODUCT((P_ID=INDEX(L_ID,ROW()-4))*(P_StatusN="INACTIVE"))&gt;0,1,0))</f>
        <v/>
      </c>
    </row>
    <row r="589">
      <c r="A589">
        <f>IF(INDEX(L_ID,ROW()-4)="","",IF(COUNTIF(P_ID,INDEX(L_ID,ROW()-4))&gt;0,1,0))</f>
        <v/>
      </c>
      <c r="B589">
        <f>IF(INDEX(P_Type,ROW()-4)="","",TRIM(UPPER(INDEX(P_Type,ROW()-4))))</f>
        <v/>
      </c>
      <c r="D589">
        <f>IF(INDEX(L_Type,ROW()-4)="","",TRIM(UPPER(INDEX(L_Type,ROW()-4))))</f>
        <v/>
      </c>
      <c r="E589">
        <f>IF(INDEX(P_Status,ROW()-4)="","",TRIM(UPPER(INDEX(P_Status,ROW()-4))))</f>
        <v/>
      </c>
      <c r="G589">
        <f>IF(INDEX(L_Status,ROW()-4)="","",TRIM(UPPER(INDEX(L_Status,ROW()-4))))</f>
        <v/>
      </c>
      <c r="J589">
        <f>IF(INDEX(L_ID,ROW()-4)="","",IF(SUMPRODUCT((P_ID=INDEX(L_ID,ROW()-4))*(P_StatusN="INACTIVE"))&gt;0,1,0))</f>
        <v/>
      </c>
    </row>
    <row r="590">
      <c r="A590">
        <f>IF(INDEX(L_ID,ROW()-4)="","",IF(COUNTIF(P_ID,INDEX(L_ID,ROW()-4))&gt;0,1,0))</f>
        <v/>
      </c>
      <c r="B590">
        <f>IF(INDEX(P_Type,ROW()-4)="","",TRIM(UPPER(INDEX(P_Type,ROW()-4))))</f>
        <v/>
      </c>
      <c r="D590">
        <f>IF(INDEX(L_Type,ROW()-4)="","",TRIM(UPPER(INDEX(L_Type,ROW()-4))))</f>
        <v/>
      </c>
      <c r="E590">
        <f>IF(INDEX(P_Status,ROW()-4)="","",TRIM(UPPER(INDEX(P_Status,ROW()-4))))</f>
        <v/>
      </c>
      <c r="G590">
        <f>IF(INDEX(L_Status,ROW()-4)="","",TRIM(UPPER(INDEX(L_Status,ROW()-4))))</f>
        <v/>
      </c>
      <c r="J590">
        <f>IF(INDEX(L_ID,ROW()-4)="","",IF(SUMPRODUCT((P_ID=INDEX(L_ID,ROW()-4))*(P_StatusN="INACTIVE"))&gt;0,1,0))</f>
        <v/>
      </c>
    </row>
    <row r="591">
      <c r="A591">
        <f>IF(INDEX(L_ID,ROW()-4)="","",IF(COUNTIF(P_ID,INDEX(L_ID,ROW()-4))&gt;0,1,0))</f>
        <v/>
      </c>
      <c r="B591">
        <f>IF(INDEX(P_Type,ROW()-4)="","",TRIM(UPPER(INDEX(P_Type,ROW()-4))))</f>
        <v/>
      </c>
      <c r="D591">
        <f>IF(INDEX(L_Type,ROW()-4)="","",TRIM(UPPER(INDEX(L_Type,ROW()-4))))</f>
        <v/>
      </c>
      <c r="E591">
        <f>IF(INDEX(P_Status,ROW()-4)="","",TRIM(UPPER(INDEX(P_Status,ROW()-4))))</f>
        <v/>
      </c>
      <c r="G591">
        <f>IF(INDEX(L_Status,ROW()-4)="","",TRIM(UPPER(INDEX(L_Status,ROW()-4))))</f>
        <v/>
      </c>
      <c r="J591">
        <f>IF(INDEX(L_ID,ROW()-4)="","",IF(SUMPRODUCT((P_ID=INDEX(L_ID,ROW()-4))*(P_StatusN="INACTIVE"))&gt;0,1,0))</f>
        <v/>
      </c>
    </row>
    <row r="592">
      <c r="A592">
        <f>IF(INDEX(L_ID,ROW()-4)="","",IF(COUNTIF(P_ID,INDEX(L_ID,ROW()-4))&gt;0,1,0))</f>
        <v/>
      </c>
      <c r="B592">
        <f>IF(INDEX(P_Type,ROW()-4)="","",TRIM(UPPER(INDEX(P_Type,ROW()-4))))</f>
        <v/>
      </c>
      <c r="D592">
        <f>IF(INDEX(L_Type,ROW()-4)="","",TRIM(UPPER(INDEX(L_Type,ROW()-4))))</f>
        <v/>
      </c>
      <c r="E592">
        <f>IF(INDEX(P_Status,ROW()-4)="","",TRIM(UPPER(INDEX(P_Status,ROW()-4))))</f>
        <v/>
      </c>
      <c r="G592">
        <f>IF(INDEX(L_Status,ROW()-4)="","",TRIM(UPPER(INDEX(L_Status,ROW()-4))))</f>
        <v/>
      </c>
      <c r="J592">
        <f>IF(INDEX(L_ID,ROW()-4)="","",IF(SUMPRODUCT((P_ID=INDEX(L_ID,ROW()-4))*(P_StatusN="INACTIVE"))&gt;0,1,0))</f>
        <v/>
      </c>
    </row>
    <row r="593">
      <c r="A593">
        <f>IF(INDEX(L_ID,ROW()-4)="","",IF(COUNTIF(P_ID,INDEX(L_ID,ROW()-4))&gt;0,1,0))</f>
        <v/>
      </c>
      <c r="B593">
        <f>IF(INDEX(P_Type,ROW()-4)="","",TRIM(UPPER(INDEX(P_Type,ROW()-4))))</f>
        <v/>
      </c>
      <c r="D593">
        <f>IF(INDEX(L_Type,ROW()-4)="","",TRIM(UPPER(INDEX(L_Type,ROW()-4))))</f>
        <v/>
      </c>
      <c r="E593">
        <f>IF(INDEX(P_Status,ROW()-4)="","",TRIM(UPPER(INDEX(P_Status,ROW()-4))))</f>
        <v/>
      </c>
      <c r="G593">
        <f>IF(INDEX(L_Status,ROW()-4)="","",TRIM(UPPER(INDEX(L_Status,ROW()-4))))</f>
        <v/>
      </c>
      <c r="J593">
        <f>IF(INDEX(L_ID,ROW()-4)="","",IF(SUMPRODUCT((P_ID=INDEX(L_ID,ROW()-4))*(P_StatusN="INACTIVE"))&gt;0,1,0))</f>
        <v/>
      </c>
    </row>
    <row r="594">
      <c r="A594">
        <f>IF(INDEX(L_ID,ROW()-4)="","",IF(COUNTIF(P_ID,INDEX(L_ID,ROW()-4))&gt;0,1,0))</f>
        <v/>
      </c>
      <c r="B594">
        <f>IF(INDEX(P_Type,ROW()-4)="","",TRIM(UPPER(INDEX(P_Type,ROW()-4))))</f>
        <v/>
      </c>
      <c r="D594">
        <f>IF(INDEX(L_Type,ROW()-4)="","",TRIM(UPPER(INDEX(L_Type,ROW()-4))))</f>
        <v/>
      </c>
      <c r="E594">
        <f>IF(INDEX(P_Status,ROW()-4)="","",TRIM(UPPER(INDEX(P_Status,ROW()-4))))</f>
        <v/>
      </c>
      <c r="G594">
        <f>IF(INDEX(L_Status,ROW()-4)="","",TRIM(UPPER(INDEX(L_Status,ROW()-4))))</f>
        <v/>
      </c>
      <c r="J594">
        <f>IF(INDEX(L_ID,ROW()-4)="","",IF(SUMPRODUCT((P_ID=INDEX(L_ID,ROW()-4))*(P_StatusN="INACTIVE"))&gt;0,1,0))</f>
        <v/>
      </c>
    </row>
    <row r="595">
      <c r="A595">
        <f>IF(INDEX(L_ID,ROW()-4)="","",IF(COUNTIF(P_ID,INDEX(L_ID,ROW()-4))&gt;0,1,0))</f>
        <v/>
      </c>
      <c r="B595">
        <f>IF(INDEX(P_Type,ROW()-4)="","",TRIM(UPPER(INDEX(P_Type,ROW()-4))))</f>
        <v/>
      </c>
      <c r="D595">
        <f>IF(INDEX(L_Type,ROW()-4)="","",TRIM(UPPER(INDEX(L_Type,ROW()-4))))</f>
        <v/>
      </c>
      <c r="E595">
        <f>IF(INDEX(P_Status,ROW()-4)="","",TRIM(UPPER(INDEX(P_Status,ROW()-4))))</f>
        <v/>
      </c>
      <c r="G595">
        <f>IF(INDEX(L_Status,ROW()-4)="","",TRIM(UPPER(INDEX(L_Status,ROW()-4))))</f>
        <v/>
      </c>
      <c r="J595">
        <f>IF(INDEX(L_ID,ROW()-4)="","",IF(SUMPRODUCT((P_ID=INDEX(L_ID,ROW()-4))*(P_StatusN="INACTIVE"))&gt;0,1,0))</f>
        <v/>
      </c>
    </row>
    <row r="596">
      <c r="A596">
        <f>IF(INDEX(L_ID,ROW()-4)="","",IF(COUNTIF(P_ID,INDEX(L_ID,ROW()-4))&gt;0,1,0))</f>
        <v/>
      </c>
      <c r="B596">
        <f>IF(INDEX(P_Type,ROW()-4)="","",TRIM(UPPER(INDEX(P_Type,ROW()-4))))</f>
        <v/>
      </c>
      <c r="D596">
        <f>IF(INDEX(L_Type,ROW()-4)="","",TRIM(UPPER(INDEX(L_Type,ROW()-4))))</f>
        <v/>
      </c>
      <c r="E596">
        <f>IF(INDEX(P_Status,ROW()-4)="","",TRIM(UPPER(INDEX(P_Status,ROW()-4))))</f>
        <v/>
      </c>
      <c r="G596">
        <f>IF(INDEX(L_Status,ROW()-4)="","",TRIM(UPPER(INDEX(L_Status,ROW()-4))))</f>
        <v/>
      </c>
      <c r="J596">
        <f>IF(INDEX(L_ID,ROW()-4)="","",IF(SUMPRODUCT((P_ID=INDEX(L_ID,ROW()-4))*(P_StatusN="INACTIVE"))&gt;0,1,0))</f>
        <v/>
      </c>
    </row>
    <row r="597">
      <c r="A597">
        <f>IF(INDEX(L_ID,ROW()-4)="","",IF(COUNTIF(P_ID,INDEX(L_ID,ROW()-4))&gt;0,1,0))</f>
        <v/>
      </c>
      <c r="B597">
        <f>IF(INDEX(P_Type,ROW()-4)="","",TRIM(UPPER(INDEX(P_Type,ROW()-4))))</f>
        <v/>
      </c>
      <c r="D597">
        <f>IF(INDEX(L_Type,ROW()-4)="","",TRIM(UPPER(INDEX(L_Type,ROW()-4))))</f>
        <v/>
      </c>
      <c r="E597">
        <f>IF(INDEX(P_Status,ROW()-4)="","",TRIM(UPPER(INDEX(P_Status,ROW()-4))))</f>
        <v/>
      </c>
      <c r="G597">
        <f>IF(INDEX(L_Status,ROW()-4)="","",TRIM(UPPER(INDEX(L_Status,ROW()-4))))</f>
        <v/>
      </c>
      <c r="J597">
        <f>IF(INDEX(L_ID,ROW()-4)="","",IF(SUMPRODUCT((P_ID=INDEX(L_ID,ROW()-4))*(P_StatusN="INACTIVE"))&gt;0,1,0))</f>
        <v/>
      </c>
    </row>
    <row r="598">
      <c r="A598">
        <f>IF(INDEX(L_ID,ROW()-4)="","",IF(COUNTIF(P_ID,INDEX(L_ID,ROW()-4))&gt;0,1,0))</f>
        <v/>
      </c>
      <c r="B598">
        <f>IF(INDEX(P_Type,ROW()-4)="","",TRIM(UPPER(INDEX(P_Type,ROW()-4))))</f>
        <v/>
      </c>
      <c r="D598">
        <f>IF(INDEX(L_Type,ROW()-4)="","",TRIM(UPPER(INDEX(L_Type,ROW()-4))))</f>
        <v/>
      </c>
      <c r="E598">
        <f>IF(INDEX(P_Status,ROW()-4)="","",TRIM(UPPER(INDEX(P_Status,ROW()-4))))</f>
        <v/>
      </c>
      <c r="G598">
        <f>IF(INDEX(L_Status,ROW()-4)="","",TRIM(UPPER(INDEX(L_Status,ROW()-4))))</f>
        <v/>
      </c>
      <c r="J598">
        <f>IF(INDEX(L_ID,ROW()-4)="","",IF(SUMPRODUCT((P_ID=INDEX(L_ID,ROW()-4))*(P_StatusN="INACTIVE"))&gt;0,1,0))</f>
        <v/>
      </c>
    </row>
    <row r="599">
      <c r="A599">
        <f>IF(INDEX(L_ID,ROW()-4)="","",IF(COUNTIF(P_ID,INDEX(L_ID,ROW()-4))&gt;0,1,0))</f>
        <v/>
      </c>
      <c r="B599">
        <f>IF(INDEX(P_Type,ROW()-4)="","",TRIM(UPPER(INDEX(P_Type,ROW()-4))))</f>
        <v/>
      </c>
      <c r="D599">
        <f>IF(INDEX(L_Type,ROW()-4)="","",TRIM(UPPER(INDEX(L_Type,ROW()-4))))</f>
        <v/>
      </c>
      <c r="E599">
        <f>IF(INDEX(P_Status,ROW()-4)="","",TRIM(UPPER(INDEX(P_Status,ROW()-4))))</f>
        <v/>
      </c>
      <c r="G599">
        <f>IF(INDEX(L_Status,ROW()-4)="","",TRIM(UPPER(INDEX(L_Status,ROW()-4))))</f>
        <v/>
      </c>
      <c r="J599">
        <f>IF(INDEX(L_ID,ROW()-4)="","",IF(SUMPRODUCT((P_ID=INDEX(L_ID,ROW()-4))*(P_StatusN="INACTIVE"))&gt;0,1,0))</f>
        <v/>
      </c>
    </row>
    <row r="600">
      <c r="A600">
        <f>IF(INDEX(L_ID,ROW()-4)="","",IF(COUNTIF(P_ID,INDEX(L_ID,ROW()-4))&gt;0,1,0))</f>
        <v/>
      </c>
      <c r="B600">
        <f>IF(INDEX(P_Type,ROW()-4)="","",TRIM(UPPER(INDEX(P_Type,ROW()-4))))</f>
        <v/>
      </c>
      <c r="D600">
        <f>IF(INDEX(L_Type,ROW()-4)="","",TRIM(UPPER(INDEX(L_Type,ROW()-4))))</f>
        <v/>
      </c>
      <c r="E600">
        <f>IF(INDEX(P_Status,ROW()-4)="","",TRIM(UPPER(INDEX(P_Status,ROW()-4))))</f>
        <v/>
      </c>
      <c r="G600">
        <f>IF(INDEX(L_Status,ROW()-4)="","",TRIM(UPPER(INDEX(L_Status,ROW()-4))))</f>
        <v/>
      </c>
      <c r="J600">
        <f>IF(INDEX(L_ID,ROW()-4)="","",IF(SUMPRODUCT((P_ID=INDEX(L_ID,ROW()-4))*(P_StatusN="INACTIVE"))&gt;0,1,0))</f>
        <v/>
      </c>
    </row>
    <row r="601">
      <c r="A601">
        <f>IF(INDEX(L_ID,ROW()-4)="","",IF(COUNTIF(P_ID,INDEX(L_ID,ROW()-4))&gt;0,1,0))</f>
        <v/>
      </c>
      <c r="B601">
        <f>IF(INDEX(P_Type,ROW()-4)="","",TRIM(UPPER(INDEX(P_Type,ROW()-4))))</f>
        <v/>
      </c>
      <c r="D601">
        <f>IF(INDEX(L_Type,ROW()-4)="","",TRIM(UPPER(INDEX(L_Type,ROW()-4))))</f>
        <v/>
      </c>
      <c r="E601">
        <f>IF(INDEX(P_Status,ROW()-4)="","",TRIM(UPPER(INDEX(P_Status,ROW()-4))))</f>
        <v/>
      </c>
      <c r="G601">
        <f>IF(INDEX(L_Status,ROW()-4)="","",TRIM(UPPER(INDEX(L_Status,ROW()-4))))</f>
        <v/>
      </c>
      <c r="J601">
        <f>IF(INDEX(L_ID,ROW()-4)="","",IF(SUMPRODUCT((P_ID=INDEX(L_ID,ROW()-4))*(P_StatusN="INACTIVE"))&gt;0,1,0))</f>
        <v/>
      </c>
    </row>
    <row r="602">
      <c r="A602">
        <f>IF(INDEX(L_ID,ROW()-4)="","",IF(COUNTIF(P_ID,INDEX(L_ID,ROW()-4))&gt;0,1,0))</f>
        <v/>
      </c>
      <c r="B602">
        <f>IF(INDEX(P_Type,ROW()-4)="","",TRIM(UPPER(INDEX(P_Type,ROW()-4))))</f>
        <v/>
      </c>
      <c r="D602">
        <f>IF(INDEX(L_Type,ROW()-4)="","",TRIM(UPPER(INDEX(L_Type,ROW()-4))))</f>
        <v/>
      </c>
      <c r="E602">
        <f>IF(INDEX(P_Status,ROW()-4)="","",TRIM(UPPER(INDEX(P_Status,ROW()-4))))</f>
        <v/>
      </c>
      <c r="G602">
        <f>IF(INDEX(L_Status,ROW()-4)="","",TRIM(UPPER(INDEX(L_Status,ROW()-4))))</f>
        <v/>
      </c>
      <c r="J602">
        <f>IF(INDEX(L_ID,ROW()-4)="","",IF(SUMPRODUCT((P_ID=INDEX(L_ID,ROW()-4))*(P_StatusN="INACTIVE"))&gt;0,1,0))</f>
        <v/>
      </c>
    </row>
    <row r="603">
      <c r="A603">
        <f>IF(INDEX(L_ID,ROW()-4)="","",IF(COUNTIF(P_ID,INDEX(L_ID,ROW()-4))&gt;0,1,0))</f>
        <v/>
      </c>
      <c r="B603">
        <f>IF(INDEX(P_Type,ROW()-4)="","",TRIM(UPPER(INDEX(P_Type,ROW()-4))))</f>
        <v/>
      </c>
      <c r="D603">
        <f>IF(INDEX(L_Type,ROW()-4)="","",TRIM(UPPER(INDEX(L_Type,ROW()-4))))</f>
        <v/>
      </c>
      <c r="E603">
        <f>IF(INDEX(P_Status,ROW()-4)="","",TRIM(UPPER(INDEX(P_Status,ROW()-4))))</f>
        <v/>
      </c>
      <c r="G603">
        <f>IF(INDEX(L_Status,ROW()-4)="","",TRIM(UPPER(INDEX(L_Status,ROW()-4))))</f>
        <v/>
      </c>
      <c r="J603">
        <f>IF(INDEX(L_ID,ROW()-4)="","",IF(SUMPRODUCT((P_ID=INDEX(L_ID,ROW()-4))*(P_StatusN="INACTIVE"))&gt;0,1,0))</f>
        <v/>
      </c>
    </row>
    <row r="604">
      <c r="A604">
        <f>IF(INDEX(L_ID,ROW()-4)="","",IF(COUNTIF(P_ID,INDEX(L_ID,ROW()-4))&gt;0,1,0))</f>
        <v/>
      </c>
      <c r="B604">
        <f>IF(INDEX(P_Type,ROW()-4)="","",TRIM(UPPER(INDEX(P_Type,ROW()-4))))</f>
        <v/>
      </c>
      <c r="D604">
        <f>IF(INDEX(L_Type,ROW()-4)="","",TRIM(UPPER(INDEX(L_Type,ROW()-4))))</f>
        <v/>
      </c>
      <c r="E604">
        <f>IF(INDEX(P_Status,ROW()-4)="","",TRIM(UPPER(INDEX(P_Status,ROW()-4))))</f>
        <v/>
      </c>
      <c r="G604">
        <f>IF(INDEX(L_Status,ROW()-4)="","",TRIM(UPPER(INDEX(L_Status,ROW()-4))))</f>
        <v/>
      </c>
      <c r="J604">
        <f>IF(INDEX(L_ID,ROW()-4)="","",IF(SUMPRODUCT((P_ID=INDEX(L_ID,ROW()-4))*(P_StatusN="INACTIVE"))&gt;0,1,0))</f>
        <v/>
      </c>
    </row>
    <row r="605">
      <c r="A605">
        <f>IF(INDEX(L_ID,ROW()-4)="","",IF(COUNTIF(P_ID,INDEX(L_ID,ROW()-4))&gt;0,1,0))</f>
        <v/>
      </c>
      <c r="B605">
        <f>IF(INDEX(P_Type,ROW()-4)="","",TRIM(UPPER(INDEX(P_Type,ROW()-4))))</f>
        <v/>
      </c>
      <c r="D605">
        <f>IF(INDEX(L_Type,ROW()-4)="","",TRIM(UPPER(INDEX(L_Type,ROW()-4))))</f>
        <v/>
      </c>
      <c r="E605">
        <f>IF(INDEX(P_Status,ROW()-4)="","",TRIM(UPPER(INDEX(P_Status,ROW()-4))))</f>
        <v/>
      </c>
      <c r="G605">
        <f>IF(INDEX(L_Status,ROW()-4)="","",TRIM(UPPER(INDEX(L_Status,ROW()-4))))</f>
        <v/>
      </c>
      <c r="J605">
        <f>IF(INDEX(L_ID,ROW()-4)="","",IF(SUMPRODUCT((P_ID=INDEX(L_ID,ROW()-4))*(P_StatusN="INACTIVE"))&gt;0,1,0))</f>
        <v/>
      </c>
    </row>
    <row r="606">
      <c r="A606">
        <f>IF(INDEX(L_ID,ROW()-4)="","",IF(COUNTIF(P_ID,INDEX(L_ID,ROW()-4))&gt;0,1,0))</f>
        <v/>
      </c>
      <c r="B606">
        <f>IF(INDEX(P_Type,ROW()-4)="","",TRIM(UPPER(INDEX(P_Type,ROW()-4))))</f>
        <v/>
      </c>
      <c r="D606">
        <f>IF(INDEX(L_Type,ROW()-4)="","",TRIM(UPPER(INDEX(L_Type,ROW()-4))))</f>
        <v/>
      </c>
      <c r="E606">
        <f>IF(INDEX(P_Status,ROW()-4)="","",TRIM(UPPER(INDEX(P_Status,ROW()-4))))</f>
        <v/>
      </c>
      <c r="G606">
        <f>IF(INDEX(L_Status,ROW()-4)="","",TRIM(UPPER(INDEX(L_Status,ROW()-4))))</f>
        <v/>
      </c>
      <c r="J606">
        <f>IF(INDEX(L_ID,ROW()-4)="","",IF(SUMPRODUCT((P_ID=INDEX(L_ID,ROW()-4))*(P_StatusN="INACTIVE"))&gt;0,1,0))</f>
        <v/>
      </c>
    </row>
    <row r="607">
      <c r="A607">
        <f>IF(INDEX(L_ID,ROW()-4)="","",IF(COUNTIF(P_ID,INDEX(L_ID,ROW()-4))&gt;0,1,0))</f>
        <v/>
      </c>
      <c r="B607">
        <f>IF(INDEX(P_Type,ROW()-4)="","",TRIM(UPPER(INDEX(P_Type,ROW()-4))))</f>
        <v/>
      </c>
      <c r="D607">
        <f>IF(INDEX(L_Type,ROW()-4)="","",TRIM(UPPER(INDEX(L_Type,ROW()-4))))</f>
        <v/>
      </c>
      <c r="E607">
        <f>IF(INDEX(P_Status,ROW()-4)="","",TRIM(UPPER(INDEX(P_Status,ROW()-4))))</f>
        <v/>
      </c>
      <c r="G607">
        <f>IF(INDEX(L_Status,ROW()-4)="","",TRIM(UPPER(INDEX(L_Status,ROW()-4))))</f>
        <v/>
      </c>
      <c r="J607">
        <f>IF(INDEX(L_ID,ROW()-4)="","",IF(SUMPRODUCT((P_ID=INDEX(L_ID,ROW()-4))*(P_StatusN="INACTIVE"))&gt;0,1,0))</f>
        <v/>
      </c>
    </row>
    <row r="608">
      <c r="A608">
        <f>IF(INDEX(L_ID,ROW()-4)="","",IF(COUNTIF(P_ID,INDEX(L_ID,ROW()-4))&gt;0,1,0))</f>
        <v/>
      </c>
      <c r="B608">
        <f>IF(INDEX(P_Type,ROW()-4)="","",TRIM(UPPER(INDEX(P_Type,ROW()-4))))</f>
        <v/>
      </c>
      <c r="D608">
        <f>IF(INDEX(L_Type,ROW()-4)="","",TRIM(UPPER(INDEX(L_Type,ROW()-4))))</f>
        <v/>
      </c>
      <c r="E608">
        <f>IF(INDEX(P_Status,ROW()-4)="","",TRIM(UPPER(INDEX(P_Status,ROW()-4))))</f>
        <v/>
      </c>
      <c r="G608">
        <f>IF(INDEX(L_Status,ROW()-4)="","",TRIM(UPPER(INDEX(L_Status,ROW()-4))))</f>
        <v/>
      </c>
      <c r="J608">
        <f>IF(INDEX(L_ID,ROW()-4)="","",IF(SUMPRODUCT((P_ID=INDEX(L_ID,ROW()-4))*(P_StatusN="INACTIVE"))&gt;0,1,0))</f>
        <v/>
      </c>
    </row>
    <row r="609">
      <c r="A609">
        <f>IF(INDEX(L_ID,ROW()-4)="","",IF(COUNTIF(P_ID,INDEX(L_ID,ROW()-4))&gt;0,1,0))</f>
        <v/>
      </c>
      <c r="B609">
        <f>IF(INDEX(P_Type,ROW()-4)="","",TRIM(UPPER(INDEX(P_Type,ROW()-4))))</f>
        <v/>
      </c>
      <c r="D609">
        <f>IF(INDEX(L_Type,ROW()-4)="","",TRIM(UPPER(INDEX(L_Type,ROW()-4))))</f>
        <v/>
      </c>
      <c r="E609">
        <f>IF(INDEX(P_Status,ROW()-4)="","",TRIM(UPPER(INDEX(P_Status,ROW()-4))))</f>
        <v/>
      </c>
      <c r="G609">
        <f>IF(INDEX(L_Status,ROW()-4)="","",TRIM(UPPER(INDEX(L_Status,ROW()-4))))</f>
        <v/>
      </c>
      <c r="J609">
        <f>IF(INDEX(L_ID,ROW()-4)="","",IF(SUMPRODUCT((P_ID=INDEX(L_ID,ROW()-4))*(P_StatusN="INACTIVE"))&gt;0,1,0))</f>
        <v/>
      </c>
    </row>
    <row r="610">
      <c r="A610">
        <f>IF(INDEX(L_ID,ROW()-4)="","",IF(COUNTIF(P_ID,INDEX(L_ID,ROW()-4))&gt;0,1,0))</f>
        <v/>
      </c>
      <c r="B610">
        <f>IF(INDEX(P_Type,ROW()-4)="","",TRIM(UPPER(INDEX(P_Type,ROW()-4))))</f>
        <v/>
      </c>
      <c r="D610">
        <f>IF(INDEX(L_Type,ROW()-4)="","",TRIM(UPPER(INDEX(L_Type,ROW()-4))))</f>
        <v/>
      </c>
      <c r="E610">
        <f>IF(INDEX(P_Status,ROW()-4)="","",TRIM(UPPER(INDEX(P_Status,ROW()-4))))</f>
        <v/>
      </c>
      <c r="G610">
        <f>IF(INDEX(L_Status,ROW()-4)="","",TRIM(UPPER(INDEX(L_Status,ROW()-4))))</f>
        <v/>
      </c>
      <c r="J610">
        <f>IF(INDEX(L_ID,ROW()-4)="","",IF(SUMPRODUCT((P_ID=INDEX(L_ID,ROW()-4))*(P_StatusN="INACTIVE"))&gt;0,1,0))</f>
        <v/>
      </c>
    </row>
    <row r="611">
      <c r="A611">
        <f>IF(INDEX(L_ID,ROW()-4)="","",IF(COUNTIF(P_ID,INDEX(L_ID,ROW()-4))&gt;0,1,0))</f>
        <v/>
      </c>
      <c r="B611">
        <f>IF(INDEX(P_Type,ROW()-4)="","",TRIM(UPPER(INDEX(P_Type,ROW()-4))))</f>
        <v/>
      </c>
      <c r="D611">
        <f>IF(INDEX(L_Type,ROW()-4)="","",TRIM(UPPER(INDEX(L_Type,ROW()-4))))</f>
        <v/>
      </c>
      <c r="E611">
        <f>IF(INDEX(P_Status,ROW()-4)="","",TRIM(UPPER(INDEX(P_Status,ROW()-4))))</f>
        <v/>
      </c>
      <c r="G611">
        <f>IF(INDEX(L_Status,ROW()-4)="","",TRIM(UPPER(INDEX(L_Status,ROW()-4))))</f>
        <v/>
      </c>
      <c r="J611">
        <f>IF(INDEX(L_ID,ROW()-4)="","",IF(SUMPRODUCT((P_ID=INDEX(L_ID,ROW()-4))*(P_StatusN="INACTIVE"))&gt;0,1,0))</f>
        <v/>
      </c>
    </row>
    <row r="612">
      <c r="A612">
        <f>IF(INDEX(L_ID,ROW()-4)="","",IF(COUNTIF(P_ID,INDEX(L_ID,ROW()-4))&gt;0,1,0))</f>
        <v/>
      </c>
      <c r="B612">
        <f>IF(INDEX(P_Type,ROW()-4)="","",TRIM(UPPER(INDEX(P_Type,ROW()-4))))</f>
        <v/>
      </c>
      <c r="D612">
        <f>IF(INDEX(L_Type,ROW()-4)="","",TRIM(UPPER(INDEX(L_Type,ROW()-4))))</f>
        <v/>
      </c>
      <c r="E612">
        <f>IF(INDEX(P_Status,ROW()-4)="","",TRIM(UPPER(INDEX(P_Status,ROW()-4))))</f>
        <v/>
      </c>
      <c r="G612">
        <f>IF(INDEX(L_Status,ROW()-4)="","",TRIM(UPPER(INDEX(L_Status,ROW()-4))))</f>
        <v/>
      </c>
      <c r="J612">
        <f>IF(INDEX(L_ID,ROW()-4)="","",IF(SUMPRODUCT((P_ID=INDEX(L_ID,ROW()-4))*(P_StatusN="INACTIVE"))&gt;0,1,0))</f>
        <v/>
      </c>
    </row>
    <row r="613">
      <c r="A613">
        <f>IF(INDEX(L_ID,ROW()-4)="","",IF(COUNTIF(P_ID,INDEX(L_ID,ROW()-4))&gt;0,1,0))</f>
        <v/>
      </c>
      <c r="B613">
        <f>IF(INDEX(P_Type,ROW()-4)="","",TRIM(UPPER(INDEX(P_Type,ROW()-4))))</f>
        <v/>
      </c>
      <c r="D613">
        <f>IF(INDEX(L_Type,ROW()-4)="","",TRIM(UPPER(INDEX(L_Type,ROW()-4))))</f>
        <v/>
      </c>
      <c r="E613">
        <f>IF(INDEX(P_Status,ROW()-4)="","",TRIM(UPPER(INDEX(P_Status,ROW()-4))))</f>
        <v/>
      </c>
      <c r="G613">
        <f>IF(INDEX(L_Status,ROW()-4)="","",TRIM(UPPER(INDEX(L_Status,ROW()-4))))</f>
        <v/>
      </c>
      <c r="J613">
        <f>IF(INDEX(L_ID,ROW()-4)="","",IF(SUMPRODUCT((P_ID=INDEX(L_ID,ROW()-4))*(P_StatusN="INACTIVE"))&gt;0,1,0))</f>
        <v/>
      </c>
    </row>
    <row r="614">
      <c r="A614">
        <f>IF(INDEX(L_ID,ROW()-4)="","",IF(COUNTIF(P_ID,INDEX(L_ID,ROW()-4))&gt;0,1,0))</f>
        <v/>
      </c>
      <c r="B614">
        <f>IF(INDEX(P_Type,ROW()-4)="","",TRIM(UPPER(INDEX(P_Type,ROW()-4))))</f>
        <v/>
      </c>
      <c r="D614">
        <f>IF(INDEX(L_Type,ROW()-4)="","",TRIM(UPPER(INDEX(L_Type,ROW()-4))))</f>
        <v/>
      </c>
      <c r="E614">
        <f>IF(INDEX(P_Status,ROW()-4)="","",TRIM(UPPER(INDEX(P_Status,ROW()-4))))</f>
        <v/>
      </c>
      <c r="G614">
        <f>IF(INDEX(L_Status,ROW()-4)="","",TRIM(UPPER(INDEX(L_Status,ROW()-4))))</f>
        <v/>
      </c>
      <c r="J614">
        <f>IF(INDEX(L_ID,ROW()-4)="","",IF(SUMPRODUCT((P_ID=INDEX(L_ID,ROW()-4))*(P_StatusN="INACTIVE"))&gt;0,1,0))</f>
        <v/>
      </c>
    </row>
    <row r="615">
      <c r="A615">
        <f>IF(INDEX(L_ID,ROW()-4)="","",IF(COUNTIF(P_ID,INDEX(L_ID,ROW()-4))&gt;0,1,0))</f>
        <v/>
      </c>
      <c r="B615">
        <f>IF(INDEX(P_Type,ROW()-4)="","",TRIM(UPPER(INDEX(P_Type,ROW()-4))))</f>
        <v/>
      </c>
      <c r="D615">
        <f>IF(INDEX(L_Type,ROW()-4)="","",TRIM(UPPER(INDEX(L_Type,ROW()-4))))</f>
        <v/>
      </c>
      <c r="E615">
        <f>IF(INDEX(P_Status,ROW()-4)="","",TRIM(UPPER(INDEX(P_Status,ROW()-4))))</f>
        <v/>
      </c>
      <c r="G615">
        <f>IF(INDEX(L_Status,ROW()-4)="","",TRIM(UPPER(INDEX(L_Status,ROW()-4))))</f>
        <v/>
      </c>
      <c r="J615">
        <f>IF(INDEX(L_ID,ROW()-4)="","",IF(SUMPRODUCT((P_ID=INDEX(L_ID,ROW()-4))*(P_StatusN="INACTIVE"))&gt;0,1,0))</f>
        <v/>
      </c>
    </row>
    <row r="616">
      <c r="A616">
        <f>IF(INDEX(L_ID,ROW()-4)="","",IF(COUNTIF(P_ID,INDEX(L_ID,ROW()-4))&gt;0,1,0))</f>
        <v/>
      </c>
      <c r="B616">
        <f>IF(INDEX(P_Type,ROW()-4)="","",TRIM(UPPER(INDEX(P_Type,ROW()-4))))</f>
        <v/>
      </c>
      <c r="D616">
        <f>IF(INDEX(L_Type,ROW()-4)="","",TRIM(UPPER(INDEX(L_Type,ROW()-4))))</f>
        <v/>
      </c>
      <c r="E616">
        <f>IF(INDEX(P_Status,ROW()-4)="","",TRIM(UPPER(INDEX(P_Status,ROW()-4))))</f>
        <v/>
      </c>
      <c r="G616">
        <f>IF(INDEX(L_Status,ROW()-4)="","",TRIM(UPPER(INDEX(L_Status,ROW()-4))))</f>
        <v/>
      </c>
      <c r="J616">
        <f>IF(INDEX(L_ID,ROW()-4)="","",IF(SUMPRODUCT((P_ID=INDEX(L_ID,ROW()-4))*(P_StatusN="INACTIVE"))&gt;0,1,0))</f>
        <v/>
      </c>
    </row>
    <row r="617">
      <c r="A617">
        <f>IF(INDEX(L_ID,ROW()-4)="","",IF(COUNTIF(P_ID,INDEX(L_ID,ROW()-4))&gt;0,1,0))</f>
        <v/>
      </c>
      <c r="B617">
        <f>IF(INDEX(P_Type,ROW()-4)="","",TRIM(UPPER(INDEX(P_Type,ROW()-4))))</f>
        <v/>
      </c>
      <c r="D617">
        <f>IF(INDEX(L_Type,ROW()-4)="","",TRIM(UPPER(INDEX(L_Type,ROW()-4))))</f>
        <v/>
      </c>
      <c r="E617">
        <f>IF(INDEX(P_Status,ROW()-4)="","",TRIM(UPPER(INDEX(P_Status,ROW()-4))))</f>
        <v/>
      </c>
      <c r="G617">
        <f>IF(INDEX(L_Status,ROW()-4)="","",TRIM(UPPER(INDEX(L_Status,ROW()-4))))</f>
        <v/>
      </c>
      <c r="J617">
        <f>IF(INDEX(L_ID,ROW()-4)="","",IF(SUMPRODUCT((P_ID=INDEX(L_ID,ROW()-4))*(P_StatusN="INACTIVE"))&gt;0,1,0))</f>
        <v/>
      </c>
    </row>
    <row r="618">
      <c r="A618">
        <f>IF(INDEX(L_ID,ROW()-4)="","",IF(COUNTIF(P_ID,INDEX(L_ID,ROW()-4))&gt;0,1,0))</f>
        <v/>
      </c>
      <c r="B618">
        <f>IF(INDEX(P_Type,ROW()-4)="","",TRIM(UPPER(INDEX(P_Type,ROW()-4))))</f>
        <v/>
      </c>
      <c r="D618">
        <f>IF(INDEX(L_Type,ROW()-4)="","",TRIM(UPPER(INDEX(L_Type,ROW()-4))))</f>
        <v/>
      </c>
      <c r="E618">
        <f>IF(INDEX(P_Status,ROW()-4)="","",TRIM(UPPER(INDEX(P_Status,ROW()-4))))</f>
        <v/>
      </c>
      <c r="G618">
        <f>IF(INDEX(L_Status,ROW()-4)="","",TRIM(UPPER(INDEX(L_Status,ROW()-4))))</f>
        <v/>
      </c>
      <c r="J618">
        <f>IF(INDEX(L_ID,ROW()-4)="","",IF(SUMPRODUCT((P_ID=INDEX(L_ID,ROW()-4))*(P_StatusN="INACTIVE"))&gt;0,1,0))</f>
        <v/>
      </c>
    </row>
    <row r="619">
      <c r="A619">
        <f>IF(INDEX(L_ID,ROW()-4)="","",IF(COUNTIF(P_ID,INDEX(L_ID,ROW()-4))&gt;0,1,0))</f>
        <v/>
      </c>
      <c r="B619">
        <f>IF(INDEX(P_Type,ROW()-4)="","",TRIM(UPPER(INDEX(P_Type,ROW()-4))))</f>
        <v/>
      </c>
      <c r="D619">
        <f>IF(INDEX(L_Type,ROW()-4)="","",TRIM(UPPER(INDEX(L_Type,ROW()-4))))</f>
        <v/>
      </c>
      <c r="E619">
        <f>IF(INDEX(P_Status,ROW()-4)="","",TRIM(UPPER(INDEX(P_Status,ROW()-4))))</f>
        <v/>
      </c>
      <c r="G619">
        <f>IF(INDEX(L_Status,ROW()-4)="","",TRIM(UPPER(INDEX(L_Status,ROW()-4))))</f>
        <v/>
      </c>
      <c r="J619">
        <f>IF(INDEX(L_ID,ROW()-4)="","",IF(SUMPRODUCT((P_ID=INDEX(L_ID,ROW()-4))*(P_StatusN="INACTIVE"))&gt;0,1,0))</f>
        <v/>
      </c>
    </row>
    <row r="620">
      <c r="A620">
        <f>IF(INDEX(L_ID,ROW()-4)="","",IF(COUNTIF(P_ID,INDEX(L_ID,ROW()-4))&gt;0,1,0))</f>
        <v/>
      </c>
      <c r="B620">
        <f>IF(INDEX(P_Type,ROW()-4)="","",TRIM(UPPER(INDEX(P_Type,ROW()-4))))</f>
        <v/>
      </c>
      <c r="D620">
        <f>IF(INDEX(L_Type,ROW()-4)="","",TRIM(UPPER(INDEX(L_Type,ROW()-4))))</f>
        <v/>
      </c>
      <c r="E620">
        <f>IF(INDEX(P_Status,ROW()-4)="","",TRIM(UPPER(INDEX(P_Status,ROW()-4))))</f>
        <v/>
      </c>
      <c r="G620">
        <f>IF(INDEX(L_Status,ROW()-4)="","",TRIM(UPPER(INDEX(L_Status,ROW()-4))))</f>
        <v/>
      </c>
      <c r="J620">
        <f>IF(INDEX(L_ID,ROW()-4)="","",IF(SUMPRODUCT((P_ID=INDEX(L_ID,ROW()-4))*(P_StatusN="INACTIVE"))&gt;0,1,0))</f>
        <v/>
      </c>
    </row>
    <row r="621">
      <c r="A621">
        <f>IF(INDEX(L_ID,ROW()-4)="","",IF(COUNTIF(P_ID,INDEX(L_ID,ROW()-4))&gt;0,1,0))</f>
        <v/>
      </c>
      <c r="B621">
        <f>IF(INDEX(P_Type,ROW()-4)="","",TRIM(UPPER(INDEX(P_Type,ROW()-4))))</f>
        <v/>
      </c>
      <c r="D621">
        <f>IF(INDEX(L_Type,ROW()-4)="","",TRIM(UPPER(INDEX(L_Type,ROW()-4))))</f>
        <v/>
      </c>
      <c r="E621">
        <f>IF(INDEX(P_Status,ROW()-4)="","",TRIM(UPPER(INDEX(P_Status,ROW()-4))))</f>
        <v/>
      </c>
      <c r="G621">
        <f>IF(INDEX(L_Status,ROW()-4)="","",TRIM(UPPER(INDEX(L_Status,ROW()-4))))</f>
        <v/>
      </c>
      <c r="J621">
        <f>IF(INDEX(L_ID,ROW()-4)="","",IF(SUMPRODUCT((P_ID=INDEX(L_ID,ROW()-4))*(P_StatusN="INACTIVE"))&gt;0,1,0))</f>
        <v/>
      </c>
    </row>
    <row r="622">
      <c r="A622">
        <f>IF(INDEX(L_ID,ROW()-4)="","",IF(COUNTIF(P_ID,INDEX(L_ID,ROW()-4))&gt;0,1,0))</f>
        <v/>
      </c>
      <c r="B622">
        <f>IF(INDEX(P_Type,ROW()-4)="","",TRIM(UPPER(INDEX(P_Type,ROW()-4))))</f>
        <v/>
      </c>
      <c r="D622">
        <f>IF(INDEX(L_Type,ROW()-4)="","",TRIM(UPPER(INDEX(L_Type,ROW()-4))))</f>
        <v/>
      </c>
      <c r="E622">
        <f>IF(INDEX(P_Status,ROW()-4)="","",TRIM(UPPER(INDEX(P_Status,ROW()-4))))</f>
        <v/>
      </c>
      <c r="G622">
        <f>IF(INDEX(L_Status,ROW()-4)="","",TRIM(UPPER(INDEX(L_Status,ROW()-4))))</f>
        <v/>
      </c>
      <c r="J622">
        <f>IF(INDEX(L_ID,ROW()-4)="","",IF(SUMPRODUCT((P_ID=INDEX(L_ID,ROW()-4))*(P_StatusN="INACTIVE"))&gt;0,1,0))</f>
        <v/>
      </c>
    </row>
    <row r="623">
      <c r="A623">
        <f>IF(INDEX(L_ID,ROW()-4)="","",IF(COUNTIF(P_ID,INDEX(L_ID,ROW()-4))&gt;0,1,0))</f>
        <v/>
      </c>
      <c r="B623">
        <f>IF(INDEX(P_Type,ROW()-4)="","",TRIM(UPPER(INDEX(P_Type,ROW()-4))))</f>
        <v/>
      </c>
      <c r="D623">
        <f>IF(INDEX(L_Type,ROW()-4)="","",TRIM(UPPER(INDEX(L_Type,ROW()-4))))</f>
        <v/>
      </c>
      <c r="E623">
        <f>IF(INDEX(P_Status,ROW()-4)="","",TRIM(UPPER(INDEX(P_Status,ROW()-4))))</f>
        <v/>
      </c>
      <c r="G623">
        <f>IF(INDEX(L_Status,ROW()-4)="","",TRIM(UPPER(INDEX(L_Status,ROW()-4))))</f>
        <v/>
      </c>
      <c r="J623">
        <f>IF(INDEX(L_ID,ROW()-4)="","",IF(SUMPRODUCT((P_ID=INDEX(L_ID,ROW()-4))*(P_StatusN="INACTIVE"))&gt;0,1,0))</f>
        <v/>
      </c>
    </row>
    <row r="624">
      <c r="A624">
        <f>IF(INDEX(L_ID,ROW()-4)="","",IF(COUNTIF(P_ID,INDEX(L_ID,ROW()-4))&gt;0,1,0))</f>
        <v/>
      </c>
      <c r="B624">
        <f>IF(INDEX(P_Type,ROW()-4)="","",TRIM(UPPER(INDEX(P_Type,ROW()-4))))</f>
        <v/>
      </c>
      <c r="D624">
        <f>IF(INDEX(L_Type,ROW()-4)="","",TRIM(UPPER(INDEX(L_Type,ROW()-4))))</f>
        <v/>
      </c>
      <c r="E624">
        <f>IF(INDEX(P_Status,ROW()-4)="","",TRIM(UPPER(INDEX(P_Status,ROW()-4))))</f>
        <v/>
      </c>
      <c r="G624">
        <f>IF(INDEX(L_Status,ROW()-4)="","",TRIM(UPPER(INDEX(L_Status,ROW()-4))))</f>
        <v/>
      </c>
      <c r="J624">
        <f>IF(INDEX(L_ID,ROW()-4)="","",IF(SUMPRODUCT((P_ID=INDEX(L_ID,ROW()-4))*(P_StatusN="INACTIVE"))&gt;0,1,0))</f>
        <v/>
      </c>
    </row>
    <row r="625">
      <c r="A625">
        <f>IF(INDEX(L_ID,ROW()-4)="","",IF(COUNTIF(P_ID,INDEX(L_ID,ROW()-4))&gt;0,1,0))</f>
        <v/>
      </c>
      <c r="B625">
        <f>IF(INDEX(P_Type,ROW()-4)="","",TRIM(UPPER(INDEX(P_Type,ROW()-4))))</f>
        <v/>
      </c>
      <c r="D625">
        <f>IF(INDEX(L_Type,ROW()-4)="","",TRIM(UPPER(INDEX(L_Type,ROW()-4))))</f>
        <v/>
      </c>
      <c r="E625">
        <f>IF(INDEX(P_Status,ROW()-4)="","",TRIM(UPPER(INDEX(P_Status,ROW()-4))))</f>
        <v/>
      </c>
      <c r="G625">
        <f>IF(INDEX(L_Status,ROW()-4)="","",TRIM(UPPER(INDEX(L_Status,ROW()-4))))</f>
        <v/>
      </c>
      <c r="J625">
        <f>IF(INDEX(L_ID,ROW()-4)="","",IF(SUMPRODUCT((P_ID=INDEX(L_ID,ROW()-4))*(P_StatusN="INACTIVE"))&gt;0,1,0))</f>
        <v/>
      </c>
    </row>
    <row r="626">
      <c r="A626">
        <f>IF(INDEX(L_ID,ROW()-4)="","",IF(COUNTIF(P_ID,INDEX(L_ID,ROW()-4))&gt;0,1,0))</f>
        <v/>
      </c>
      <c r="B626">
        <f>IF(INDEX(P_Type,ROW()-4)="","",TRIM(UPPER(INDEX(P_Type,ROW()-4))))</f>
        <v/>
      </c>
      <c r="D626">
        <f>IF(INDEX(L_Type,ROW()-4)="","",TRIM(UPPER(INDEX(L_Type,ROW()-4))))</f>
        <v/>
      </c>
      <c r="E626">
        <f>IF(INDEX(P_Status,ROW()-4)="","",TRIM(UPPER(INDEX(P_Status,ROW()-4))))</f>
        <v/>
      </c>
      <c r="G626">
        <f>IF(INDEX(L_Status,ROW()-4)="","",TRIM(UPPER(INDEX(L_Status,ROW()-4))))</f>
        <v/>
      </c>
      <c r="J626">
        <f>IF(INDEX(L_ID,ROW()-4)="","",IF(SUMPRODUCT((P_ID=INDEX(L_ID,ROW()-4))*(P_StatusN="INACTIVE"))&gt;0,1,0))</f>
        <v/>
      </c>
    </row>
    <row r="627">
      <c r="A627">
        <f>IF(INDEX(L_ID,ROW()-4)="","",IF(COUNTIF(P_ID,INDEX(L_ID,ROW()-4))&gt;0,1,0))</f>
        <v/>
      </c>
      <c r="B627">
        <f>IF(INDEX(P_Type,ROW()-4)="","",TRIM(UPPER(INDEX(P_Type,ROW()-4))))</f>
        <v/>
      </c>
      <c r="D627">
        <f>IF(INDEX(L_Type,ROW()-4)="","",TRIM(UPPER(INDEX(L_Type,ROW()-4))))</f>
        <v/>
      </c>
      <c r="E627">
        <f>IF(INDEX(P_Status,ROW()-4)="","",TRIM(UPPER(INDEX(P_Status,ROW()-4))))</f>
        <v/>
      </c>
      <c r="G627">
        <f>IF(INDEX(L_Status,ROW()-4)="","",TRIM(UPPER(INDEX(L_Status,ROW()-4))))</f>
        <v/>
      </c>
      <c r="J627">
        <f>IF(INDEX(L_ID,ROW()-4)="","",IF(SUMPRODUCT((P_ID=INDEX(L_ID,ROW()-4))*(P_StatusN="INACTIVE"))&gt;0,1,0))</f>
        <v/>
      </c>
    </row>
    <row r="628">
      <c r="A628">
        <f>IF(INDEX(L_ID,ROW()-4)="","",IF(COUNTIF(P_ID,INDEX(L_ID,ROW()-4))&gt;0,1,0))</f>
        <v/>
      </c>
      <c r="B628">
        <f>IF(INDEX(P_Type,ROW()-4)="","",TRIM(UPPER(INDEX(P_Type,ROW()-4))))</f>
        <v/>
      </c>
      <c r="D628">
        <f>IF(INDEX(L_Type,ROW()-4)="","",TRIM(UPPER(INDEX(L_Type,ROW()-4))))</f>
        <v/>
      </c>
      <c r="E628">
        <f>IF(INDEX(P_Status,ROW()-4)="","",TRIM(UPPER(INDEX(P_Status,ROW()-4))))</f>
        <v/>
      </c>
      <c r="G628">
        <f>IF(INDEX(L_Status,ROW()-4)="","",TRIM(UPPER(INDEX(L_Status,ROW()-4))))</f>
        <v/>
      </c>
      <c r="J628">
        <f>IF(INDEX(L_ID,ROW()-4)="","",IF(SUMPRODUCT((P_ID=INDEX(L_ID,ROW()-4))*(P_StatusN="INACTIVE"))&gt;0,1,0))</f>
        <v/>
      </c>
    </row>
    <row r="629">
      <c r="A629">
        <f>IF(INDEX(L_ID,ROW()-4)="","",IF(COUNTIF(P_ID,INDEX(L_ID,ROW()-4))&gt;0,1,0))</f>
        <v/>
      </c>
      <c r="B629">
        <f>IF(INDEX(P_Type,ROW()-4)="","",TRIM(UPPER(INDEX(P_Type,ROW()-4))))</f>
        <v/>
      </c>
      <c r="D629">
        <f>IF(INDEX(L_Type,ROW()-4)="","",TRIM(UPPER(INDEX(L_Type,ROW()-4))))</f>
        <v/>
      </c>
      <c r="E629">
        <f>IF(INDEX(P_Status,ROW()-4)="","",TRIM(UPPER(INDEX(P_Status,ROW()-4))))</f>
        <v/>
      </c>
      <c r="G629">
        <f>IF(INDEX(L_Status,ROW()-4)="","",TRIM(UPPER(INDEX(L_Status,ROW()-4))))</f>
        <v/>
      </c>
      <c r="J629">
        <f>IF(INDEX(L_ID,ROW()-4)="","",IF(SUMPRODUCT((P_ID=INDEX(L_ID,ROW()-4))*(P_StatusN="INACTIVE"))&gt;0,1,0))</f>
        <v/>
      </c>
    </row>
    <row r="630">
      <c r="A630">
        <f>IF(INDEX(L_ID,ROW()-4)="","",IF(COUNTIF(P_ID,INDEX(L_ID,ROW()-4))&gt;0,1,0))</f>
        <v/>
      </c>
      <c r="B630">
        <f>IF(INDEX(P_Type,ROW()-4)="","",TRIM(UPPER(INDEX(P_Type,ROW()-4))))</f>
        <v/>
      </c>
      <c r="D630">
        <f>IF(INDEX(L_Type,ROW()-4)="","",TRIM(UPPER(INDEX(L_Type,ROW()-4))))</f>
        <v/>
      </c>
      <c r="E630">
        <f>IF(INDEX(P_Status,ROW()-4)="","",TRIM(UPPER(INDEX(P_Status,ROW()-4))))</f>
        <v/>
      </c>
      <c r="G630">
        <f>IF(INDEX(L_Status,ROW()-4)="","",TRIM(UPPER(INDEX(L_Status,ROW()-4))))</f>
        <v/>
      </c>
      <c r="J630">
        <f>IF(INDEX(L_ID,ROW()-4)="","",IF(SUMPRODUCT((P_ID=INDEX(L_ID,ROW()-4))*(P_StatusN="INACTIVE"))&gt;0,1,0))</f>
        <v/>
      </c>
    </row>
    <row r="631">
      <c r="A631">
        <f>IF(INDEX(L_ID,ROW()-4)="","",IF(COUNTIF(P_ID,INDEX(L_ID,ROW()-4))&gt;0,1,0))</f>
        <v/>
      </c>
      <c r="B631">
        <f>IF(INDEX(P_Type,ROW()-4)="","",TRIM(UPPER(INDEX(P_Type,ROW()-4))))</f>
        <v/>
      </c>
      <c r="D631">
        <f>IF(INDEX(L_Type,ROW()-4)="","",TRIM(UPPER(INDEX(L_Type,ROW()-4))))</f>
        <v/>
      </c>
      <c r="E631">
        <f>IF(INDEX(P_Status,ROW()-4)="","",TRIM(UPPER(INDEX(P_Status,ROW()-4))))</f>
        <v/>
      </c>
      <c r="G631">
        <f>IF(INDEX(L_Status,ROW()-4)="","",TRIM(UPPER(INDEX(L_Status,ROW()-4))))</f>
        <v/>
      </c>
      <c r="J631">
        <f>IF(INDEX(L_ID,ROW()-4)="","",IF(SUMPRODUCT((P_ID=INDEX(L_ID,ROW()-4))*(P_StatusN="INACTIVE"))&gt;0,1,0))</f>
        <v/>
      </c>
    </row>
    <row r="632">
      <c r="A632">
        <f>IF(INDEX(L_ID,ROW()-4)="","",IF(COUNTIF(P_ID,INDEX(L_ID,ROW()-4))&gt;0,1,0))</f>
        <v/>
      </c>
      <c r="B632">
        <f>IF(INDEX(P_Type,ROW()-4)="","",TRIM(UPPER(INDEX(P_Type,ROW()-4))))</f>
        <v/>
      </c>
      <c r="D632">
        <f>IF(INDEX(L_Type,ROW()-4)="","",TRIM(UPPER(INDEX(L_Type,ROW()-4))))</f>
        <v/>
      </c>
      <c r="E632">
        <f>IF(INDEX(P_Status,ROW()-4)="","",TRIM(UPPER(INDEX(P_Status,ROW()-4))))</f>
        <v/>
      </c>
      <c r="G632">
        <f>IF(INDEX(L_Status,ROW()-4)="","",TRIM(UPPER(INDEX(L_Status,ROW()-4))))</f>
        <v/>
      </c>
      <c r="J632">
        <f>IF(INDEX(L_ID,ROW()-4)="","",IF(SUMPRODUCT((P_ID=INDEX(L_ID,ROW()-4))*(P_StatusN="INACTIVE"))&gt;0,1,0))</f>
        <v/>
      </c>
    </row>
    <row r="633">
      <c r="A633">
        <f>IF(INDEX(L_ID,ROW()-4)="","",IF(COUNTIF(P_ID,INDEX(L_ID,ROW()-4))&gt;0,1,0))</f>
        <v/>
      </c>
      <c r="B633">
        <f>IF(INDEX(P_Type,ROW()-4)="","",TRIM(UPPER(INDEX(P_Type,ROW()-4))))</f>
        <v/>
      </c>
      <c r="D633">
        <f>IF(INDEX(L_Type,ROW()-4)="","",TRIM(UPPER(INDEX(L_Type,ROW()-4))))</f>
        <v/>
      </c>
      <c r="E633">
        <f>IF(INDEX(P_Status,ROW()-4)="","",TRIM(UPPER(INDEX(P_Status,ROW()-4))))</f>
        <v/>
      </c>
      <c r="G633">
        <f>IF(INDEX(L_Status,ROW()-4)="","",TRIM(UPPER(INDEX(L_Status,ROW()-4))))</f>
        <v/>
      </c>
      <c r="J633">
        <f>IF(INDEX(L_ID,ROW()-4)="","",IF(SUMPRODUCT((P_ID=INDEX(L_ID,ROW()-4))*(P_StatusN="INACTIVE"))&gt;0,1,0))</f>
        <v/>
      </c>
    </row>
    <row r="634">
      <c r="A634">
        <f>IF(INDEX(L_ID,ROW()-4)="","",IF(COUNTIF(P_ID,INDEX(L_ID,ROW()-4))&gt;0,1,0))</f>
        <v/>
      </c>
      <c r="B634">
        <f>IF(INDEX(P_Type,ROW()-4)="","",TRIM(UPPER(INDEX(P_Type,ROW()-4))))</f>
        <v/>
      </c>
      <c r="D634">
        <f>IF(INDEX(L_Type,ROW()-4)="","",TRIM(UPPER(INDEX(L_Type,ROW()-4))))</f>
        <v/>
      </c>
      <c r="E634">
        <f>IF(INDEX(P_Status,ROW()-4)="","",TRIM(UPPER(INDEX(P_Status,ROW()-4))))</f>
        <v/>
      </c>
      <c r="G634">
        <f>IF(INDEX(L_Status,ROW()-4)="","",TRIM(UPPER(INDEX(L_Status,ROW()-4))))</f>
        <v/>
      </c>
      <c r="J634">
        <f>IF(INDEX(L_ID,ROW()-4)="","",IF(SUMPRODUCT((P_ID=INDEX(L_ID,ROW()-4))*(P_StatusN="INACTIVE"))&gt;0,1,0))</f>
        <v/>
      </c>
    </row>
    <row r="635">
      <c r="A635">
        <f>IF(INDEX(L_ID,ROW()-4)="","",IF(COUNTIF(P_ID,INDEX(L_ID,ROW()-4))&gt;0,1,0))</f>
        <v/>
      </c>
      <c r="B635">
        <f>IF(INDEX(P_Type,ROW()-4)="","",TRIM(UPPER(INDEX(P_Type,ROW()-4))))</f>
        <v/>
      </c>
      <c r="D635">
        <f>IF(INDEX(L_Type,ROW()-4)="","",TRIM(UPPER(INDEX(L_Type,ROW()-4))))</f>
        <v/>
      </c>
      <c r="E635">
        <f>IF(INDEX(P_Status,ROW()-4)="","",TRIM(UPPER(INDEX(P_Status,ROW()-4))))</f>
        <v/>
      </c>
      <c r="G635">
        <f>IF(INDEX(L_Status,ROW()-4)="","",TRIM(UPPER(INDEX(L_Status,ROW()-4))))</f>
        <v/>
      </c>
      <c r="J635">
        <f>IF(INDEX(L_ID,ROW()-4)="","",IF(SUMPRODUCT((P_ID=INDEX(L_ID,ROW()-4))*(P_StatusN="INACTIVE"))&gt;0,1,0))</f>
        <v/>
      </c>
    </row>
    <row r="636">
      <c r="A636">
        <f>IF(INDEX(L_ID,ROW()-4)="","",IF(COUNTIF(P_ID,INDEX(L_ID,ROW()-4))&gt;0,1,0))</f>
        <v/>
      </c>
      <c r="B636">
        <f>IF(INDEX(P_Type,ROW()-4)="","",TRIM(UPPER(INDEX(P_Type,ROW()-4))))</f>
        <v/>
      </c>
      <c r="D636">
        <f>IF(INDEX(L_Type,ROW()-4)="","",TRIM(UPPER(INDEX(L_Type,ROW()-4))))</f>
        <v/>
      </c>
      <c r="E636">
        <f>IF(INDEX(P_Status,ROW()-4)="","",TRIM(UPPER(INDEX(P_Status,ROW()-4))))</f>
        <v/>
      </c>
      <c r="G636">
        <f>IF(INDEX(L_Status,ROW()-4)="","",TRIM(UPPER(INDEX(L_Status,ROW()-4))))</f>
        <v/>
      </c>
      <c r="J636">
        <f>IF(INDEX(L_ID,ROW()-4)="","",IF(SUMPRODUCT((P_ID=INDEX(L_ID,ROW()-4))*(P_StatusN="INACTIVE"))&gt;0,1,0))</f>
        <v/>
      </c>
    </row>
    <row r="637">
      <c r="A637">
        <f>IF(INDEX(L_ID,ROW()-4)="","",IF(COUNTIF(P_ID,INDEX(L_ID,ROW()-4))&gt;0,1,0))</f>
        <v/>
      </c>
      <c r="B637">
        <f>IF(INDEX(P_Type,ROW()-4)="","",TRIM(UPPER(INDEX(P_Type,ROW()-4))))</f>
        <v/>
      </c>
      <c r="D637">
        <f>IF(INDEX(L_Type,ROW()-4)="","",TRIM(UPPER(INDEX(L_Type,ROW()-4))))</f>
        <v/>
      </c>
      <c r="E637">
        <f>IF(INDEX(P_Status,ROW()-4)="","",TRIM(UPPER(INDEX(P_Status,ROW()-4))))</f>
        <v/>
      </c>
      <c r="G637">
        <f>IF(INDEX(L_Status,ROW()-4)="","",TRIM(UPPER(INDEX(L_Status,ROW()-4))))</f>
        <v/>
      </c>
      <c r="J637">
        <f>IF(INDEX(L_ID,ROW()-4)="","",IF(SUMPRODUCT((P_ID=INDEX(L_ID,ROW()-4))*(P_StatusN="INACTIVE"))&gt;0,1,0))</f>
        <v/>
      </c>
    </row>
    <row r="638">
      <c r="A638">
        <f>IF(INDEX(L_ID,ROW()-4)="","",IF(COUNTIF(P_ID,INDEX(L_ID,ROW()-4))&gt;0,1,0))</f>
        <v/>
      </c>
      <c r="B638">
        <f>IF(INDEX(P_Type,ROW()-4)="","",TRIM(UPPER(INDEX(P_Type,ROW()-4))))</f>
        <v/>
      </c>
      <c r="D638">
        <f>IF(INDEX(L_Type,ROW()-4)="","",TRIM(UPPER(INDEX(L_Type,ROW()-4))))</f>
        <v/>
      </c>
      <c r="E638">
        <f>IF(INDEX(P_Status,ROW()-4)="","",TRIM(UPPER(INDEX(P_Status,ROW()-4))))</f>
        <v/>
      </c>
      <c r="G638">
        <f>IF(INDEX(L_Status,ROW()-4)="","",TRIM(UPPER(INDEX(L_Status,ROW()-4))))</f>
        <v/>
      </c>
      <c r="J638">
        <f>IF(INDEX(L_ID,ROW()-4)="","",IF(SUMPRODUCT((P_ID=INDEX(L_ID,ROW()-4))*(P_StatusN="INACTIVE"))&gt;0,1,0))</f>
        <v/>
      </c>
    </row>
    <row r="639">
      <c r="A639">
        <f>IF(INDEX(L_ID,ROW()-4)="","",IF(COUNTIF(P_ID,INDEX(L_ID,ROW()-4))&gt;0,1,0))</f>
        <v/>
      </c>
      <c r="B639">
        <f>IF(INDEX(P_Type,ROW()-4)="","",TRIM(UPPER(INDEX(P_Type,ROW()-4))))</f>
        <v/>
      </c>
      <c r="D639">
        <f>IF(INDEX(L_Type,ROW()-4)="","",TRIM(UPPER(INDEX(L_Type,ROW()-4))))</f>
        <v/>
      </c>
      <c r="E639">
        <f>IF(INDEX(P_Status,ROW()-4)="","",TRIM(UPPER(INDEX(P_Status,ROW()-4))))</f>
        <v/>
      </c>
      <c r="G639">
        <f>IF(INDEX(L_Status,ROW()-4)="","",TRIM(UPPER(INDEX(L_Status,ROW()-4))))</f>
        <v/>
      </c>
      <c r="J639">
        <f>IF(INDEX(L_ID,ROW()-4)="","",IF(SUMPRODUCT((P_ID=INDEX(L_ID,ROW()-4))*(P_StatusN="INACTIVE"))&gt;0,1,0))</f>
        <v/>
      </c>
    </row>
    <row r="640">
      <c r="A640">
        <f>IF(INDEX(L_ID,ROW()-4)="","",IF(COUNTIF(P_ID,INDEX(L_ID,ROW()-4))&gt;0,1,0))</f>
        <v/>
      </c>
      <c r="B640">
        <f>IF(INDEX(P_Type,ROW()-4)="","",TRIM(UPPER(INDEX(P_Type,ROW()-4))))</f>
        <v/>
      </c>
      <c r="D640">
        <f>IF(INDEX(L_Type,ROW()-4)="","",TRIM(UPPER(INDEX(L_Type,ROW()-4))))</f>
        <v/>
      </c>
      <c r="E640">
        <f>IF(INDEX(P_Status,ROW()-4)="","",TRIM(UPPER(INDEX(P_Status,ROW()-4))))</f>
        <v/>
      </c>
      <c r="G640">
        <f>IF(INDEX(L_Status,ROW()-4)="","",TRIM(UPPER(INDEX(L_Status,ROW()-4))))</f>
        <v/>
      </c>
      <c r="J640">
        <f>IF(INDEX(L_ID,ROW()-4)="","",IF(SUMPRODUCT((P_ID=INDEX(L_ID,ROW()-4))*(P_StatusN="INACTIVE"))&gt;0,1,0))</f>
        <v/>
      </c>
    </row>
    <row r="641">
      <c r="A641">
        <f>IF(INDEX(L_ID,ROW()-4)="","",IF(COUNTIF(P_ID,INDEX(L_ID,ROW()-4))&gt;0,1,0))</f>
        <v/>
      </c>
      <c r="B641">
        <f>IF(INDEX(P_Type,ROW()-4)="","",TRIM(UPPER(INDEX(P_Type,ROW()-4))))</f>
        <v/>
      </c>
      <c r="D641">
        <f>IF(INDEX(L_Type,ROW()-4)="","",TRIM(UPPER(INDEX(L_Type,ROW()-4))))</f>
        <v/>
      </c>
      <c r="E641">
        <f>IF(INDEX(P_Status,ROW()-4)="","",TRIM(UPPER(INDEX(P_Status,ROW()-4))))</f>
        <v/>
      </c>
      <c r="G641">
        <f>IF(INDEX(L_Status,ROW()-4)="","",TRIM(UPPER(INDEX(L_Status,ROW()-4))))</f>
        <v/>
      </c>
      <c r="J641">
        <f>IF(INDEX(L_ID,ROW()-4)="","",IF(SUMPRODUCT((P_ID=INDEX(L_ID,ROW()-4))*(P_StatusN="INACTIVE"))&gt;0,1,0))</f>
        <v/>
      </c>
    </row>
    <row r="642">
      <c r="A642">
        <f>IF(INDEX(L_ID,ROW()-4)="","",IF(COUNTIF(P_ID,INDEX(L_ID,ROW()-4))&gt;0,1,0))</f>
        <v/>
      </c>
      <c r="B642">
        <f>IF(INDEX(P_Type,ROW()-4)="","",TRIM(UPPER(INDEX(P_Type,ROW()-4))))</f>
        <v/>
      </c>
      <c r="D642">
        <f>IF(INDEX(L_Type,ROW()-4)="","",TRIM(UPPER(INDEX(L_Type,ROW()-4))))</f>
        <v/>
      </c>
      <c r="E642">
        <f>IF(INDEX(P_Status,ROW()-4)="","",TRIM(UPPER(INDEX(P_Status,ROW()-4))))</f>
        <v/>
      </c>
      <c r="G642">
        <f>IF(INDEX(L_Status,ROW()-4)="","",TRIM(UPPER(INDEX(L_Status,ROW()-4))))</f>
        <v/>
      </c>
      <c r="J642">
        <f>IF(INDEX(L_ID,ROW()-4)="","",IF(SUMPRODUCT((P_ID=INDEX(L_ID,ROW()-4))*(P_StatusN="INACTIVE"))&gt;0,1,0))</f>
        <v/>
      </c>
    </row>
    <row r="643">
      <c r="A643">
        <f>IF(INDEX(L_ID,ROW()-4)="","",IF(COUNTIF(P_ID,INDEX(L_ID,ROW()-4))&gt;0,1,0))</f>
        <v/>
      </c>
      <c r="B643">
        <f>IF(INDEX(P_Type,ROW()-4)="","",TRIM(UPPER(INDEX(P_Type,ROW()-4))))</f>
        <v/>
      </c>
      <c r="D643">
        <f>IF(INDEX(L_Type,ROW()-4)="","",TRIM(UPPER(INDEX(L_Type,ROW()-4))))</f>
        <v/>
      </c>
      <c r="E643">
        <f>IF(INDEX(P_Status,ROW()-4)="","",TRIM(UPPER(INDEX(P_Status,ROW()-4))))</f>
        <v/>
      </c>
      <c r="G643">
        <f>IF(INDEX(L_Status,ROW()-4)="","",TRIM(UPPER(INDEX(L_Status,ROW()-4))))</f>
        <v/>
      </c>
      <c r="J643">
        <f>IF(INDEX(L_ID,ROW()-4)="","",IF(SUMPRODUCT((P_ID=INDEX(L_ID,ROW()-4))*(P_StatusN="INACTIVE"))&gt;0,1,0))</f>
        <v/>
      </c>
    </row>
    <row r="644">
      <c r="A644">
        <f>IF(INDEX(L_ID,ROW()-4)="","",IF(COUNTIF(P_ID,INDEX(L_ID,ROW()-4))&gt;0,1,0))</f>
        <v/>
      </c>
      <c r="B644">
        <f>IF(INDEX(P_Type,ROW()-4)="","",TRIM(UPPER(INDEX(P_Type,ROW()-4))))</f>
        <v/>
      </c>
      <c r="D644">
        <f>IF(INDEX(L_Type,ROW()-4)="","",TRIM(UPPER(INDEX(L_Type,ROW()-4))))</f>
        <v/>
      </c>
      <c r="E644">
        <f>IF(INDEX(P_Status,ROW()-4)="","",TRIM(UPPER(INDEX(P_Status,ROW()-4))))</f>
        <v/>
      </c>
      <c r="G644">
        <f>IF(INDEX(L_Status,ROW()-4)="","",TRIM(UPPER(INDEX(L_Status,ROW()-4))))</f>
        <v/>
      </c>
      <c r="J644">
        <f>IF(INDEX(L_ID,ROW()-4)="","",IF(SUMPRODUCT((P_ID=INDEX(L_ID,ROW()-4))*(P_StatusN="INACTIVE"))&gt;0,1,0))</f>
        <v/>
      </c>
    </row>
    <row r="645">
      <c r="A645">
        <f>IF(INDEX(L_ID,ROW()-4)="","",IF(COUNTIF(P_ID,INDEX(L_ID,ROW()-4))&gt;0,1,0))</f>
        <v/>
      </c>
      <c r="B645">
        <f>IF(INDEX(P_Type,ROW()-4)="","",TRIM(UPPER(INDEX(P_Type,ROW()-4))))</f>
        <v/>
      </c>
      <c r="D645">
        <f>IF(INDEX(L_Type,ROW()-4)="","",TRIM(UPPER(INDEX(L_Type,ROW()-4))))</f>
        <v/>
      </c>
      <c r="E645">
        <f>IF(INDEX(P_Status,ROW()-4)="","",TRIM(UPPER(INDEX(P_Status,ROW()-4))))</f>
        <v/>
      </c>
      <c r="G645">
        <f>IF(INDEX(L_Status,ROW()-4)="","",TRIM(UPPER(INDEX(L_Status,ROW()-4))))</f>
        <v/>
      </c>
      <c r="J645">
        <f>IF(INDEX(L_ID,ROW()-4)="","",IF(SUMPRODUCT((P_ID=INDEX(L_ID,ROW()-4))*(P_StatusN="INACTIVE"))&gt;0,1,0))</f>
        <v/>
      </c>
    </row>
    <row r="646">
      <c r="A646">
        <f>IF(INDEX(L_ID,ROW()-4)="","",IF(COUNTIF(P_ID,INDEX(L_ID,ROW()-4))&gt;0,1,0))</f>
        <v/>
      </c>
      <c r="B646">
        <f>IF(INDEX(P_Type,ROW()-4)="","",TRIM(UPPER(INDEX(P_Type,ROW()-4))))</f>
        <v/>
      </c>
      <c r="D646">
        <f>IF(INDEX(L_Type,ROW()-4)="","",TRIM(UPPER(INDEX(L_Type,ROW()-4))))</f>
        <v/>
      </c>
      <c r="E646">
        <f>IF(INDEX(P_Status,ROW()-4)="","",TRIM(UPPER(INDEX(P_Status,ROW()-4))))</f>
        <v/>
      </c>
      <c r="G646">
        <f>IF(INDEX(L_Status,ROW()-4)="","",TRIM(UPPER(INDEX(L_Status,ROW()-4))))</f>
        <v/>
      </c>
      <c r="J646">
        <f>IF(INDEX(L_ID,ROW()-4)="","",IF(SUMPRODUCT((P_ID=INDEX(L_ID,ROW()-4))*(P_StatusN="INACTIVE"))&gt;0,1,0))</f>
        <v/>
      </c>
    </row>
    <row r="647">
      <c r="A647">
        <f>IF(INDEX(L_ID,ROW()-4)="","",IF(COUNTIF(P_ID,INDEX(L_ID,ROW()-4))&gt;0,1,0))</f>
        <v/>
      </c>
      <c r="B647">
        <f>IF(INDEX(P_Type,ROW()-4)="","",TRIM(UPPER(INDEX(P_Type,ROW()-4))))</f>
        <v/>
      </c>
      <c r="D647">
        <f>IF(INDEX(L_Type,ROW()-4)="","",TRIM(UPPER(INDEX(L_Type,ROW()-4))))</f>
        <v/>
      </c>
      <c r="E647">
        <f>IF(INDEX(P_Status,ROW()-4)="","",TRIM(UPPER(INDEX(P_Status,ROW()-4))))</f>
        <v/>
      </c>
      <c r="G647">
        <f>IF(INDEX(L_Status,ROW()-4)="","",TRIM(UPPER(INDEX(L_Status,ROW()-4))))</f>
        <v/>
      </c>
      <c r="J647">
        <f>IF(INDEX(L_ID,ROW()-4)="","",IF(SUMPRODUCT((P_ID=INDEX(L_ID,ROW()-4))*(P_StatusN="INACTIVE"))&gt;0,1,0))</f>
        <v/>
      </c>
    </row>
    <row r="648">
      <c r="A648">
        <f>IF(INDEX(L_ID,ROW()-4)="","",IF(COUNTIF(P_ID,INDEX(L_ID,ROW()-4))&gt;0,1,0))</f>
        <v/>
      </c>
      <c r="B648">
        <f>IF(INDEX(P_Type,ROW()-4)="","",TRIM(UPPER(INDEX(P_Type,ROW()-4))))</f>
        <v/>
      </c>
      <c r="D648">
        <f>IF(INDEX(L_Type,ROW()-4)="","",TRIM(UPPER(INDEX(L_Type,ROW()-4))))</f>
        <v/>
      </c>
      <c r="E648">
        <f>IF(INDEX(P_Status,ROW()-4)="","",TRIM(UPPER(INDEX(P_Status,ROW()-4))))</f>
        <v/>
      </c>
      <c r="G648">
        <f>IF(INDEX(L_Status,ROW()-4)="","",TRIM(UPPER(INDEX(L_Status,ROW()-4))))</f>
        <v/>
      </c>
      <c r="J648">
        <f>IF(INDEX(L_ID,ROW()-4)="","",IF(SUMPRODUCT((P_ID=INDEX(L_ID,ROW()-4))*(P_StatusN="INACTIVE"))&gt;0,1,0))</f>
        <v/>
      </c>
    </row>
    <row r="649">
      <c r="A649">
        <f>IF(INDEX(L_ID,ROW()-4)="","",IF(COUNTIF(P_ID,INDEX(L_ID,ROW()-4))&gt;0,1,0))</f>
        <v/>
      </c>
      <c r="B649">
        <f>IF(INDEX(P_Type,ROW()-4)="","",TRIM(UPPER(INDEX(P_Type,ROW()-4))))</f>
        <v/>
      </c>
      <c r="D649">
        <f>IF(INDEX(L_Type,ROW()-4)="","",TRIM(UPPER(INDEX(L_Type,ROW()-4))))</f>
        <v/>
      </c>
      <c r="E649">
        <f>IF(INDEX(P_Status,ROW()-4)="","",TRIM(UPPER(INDEX(P_Status,ROW()-4))))</f>
        <v/>
      </c>
      <c r="G649">
        <f>IF(INDEX(L_Status,ROW()-4)="","",TRIM(UPPER(INDEX(L_Status,ROW()-4))))</f>
        <v/>
      </c>
      <c r="J649">
        <f>IF(INDEX(L_ID,ROW()-4)="","",IF(SUMPRODUCT((P_ID=INDEX(L_ID,ROW()-4))*(P_StatusN="INACTIVE"))&gt;0,1,0))</f>
        <v/>
      </c>
    </row>
    <row r="650">
      <c r="A650">
        <f>IF(INDEX(L_ID,ROW()-4)="","",IF(COUNTIF(P_ID,INDEX(L_ID,ROW()-4))&gt;0,1,0))</f>
        <v/>
      </c>
      <c r="B650">
        <f>IF(INDEX(P_Type,ROW()-4)="","",TRIM(UPPER(INDEX(P_Type,ROW()-4))))</f>
        <v/>
      </c>
      <c r="D650">
        <f>IF(INDEX(L_Type,ROW()-4)="","",TRIM(UPPER(INDEX(L_Type,ROW()-4))))</f>
        <v/>
      </c>
      <c r="E650">
        <f>IF(INDEX(P_Status,ROW()-4)="","",TRIM(UPPER(INDEX(P_Status,ROW()-4))))</f>
        <v/>
      </c>
      <c r="G650">
        <f>IF(INDEX(L_Status,ROW()-4)="","",TRIM(UPPER(INDEX(L_Status,ROW()-4))))</f>
        <v/>
      </c>
      <c r="J650">
        <f>IF(INDEX(L_ID,ROW()-4)="","",IF(SUMPRODUCT((P_ID=INDEX(L_ID,ROW()-4))*(P_StatusN="INACTIVE"))&gt;0,1,0))</f>
        <v/>
      </c>
    </row>
    <row r="651">
      <c r="A651">
        <f>IF(INDEX(L_ID,ROW()-4)="","",IF(COUNTIF(P_ID,INDEX(L_ID,ROW()-4))&gt;0,1,0))</f>
        <v/>
      </c>
      <c r="B651">
        <f>IF(INDEX(P_Type,ROW()-4)="","",TRIM(UPPER(INDEX(P_Type,ROW()-4))))</f>
        <v/>
      </c>
      <c r="D651">
        <f>IF(INDEX(L_Type,ROW()-4)="","",TRIM(UPPER(INDEX(L_Type,ROW()-4))))</f>
        <v/>
      </c>
      <c r="E651">
        <f>IF(INDEX(P_Status,ROW()-4)="","",TRIM(UPPER(INDEX(P_Status,ROW()-4))))</f>
        <v/>
      </c>
      <c r="G651">
        <f>IF(INDEX(L_Status,ROW()-4)="","",TRIM(UPPER(INDEX(L_Status,ROW()-4))))</f>
        <v/>
      </c>
      <c r="J651">
        <f>IF(INDEX(L_ID,ROW()-4)="","",IF(SUMPRODUCT((P_ID=INDEX(L_ID,ROW()-4))*(P_StatusN="INACTIVE"))&gt;0,1,0))</f>
        <v/>
      </c>
    </row>
    <row r="652">
      <c r="A652">
        <f>IF(INDEX(L_ID,ROW()-4)="","",IF(COUNTIF(P_ID,INDEX(L_ID,ROW()-4))&gt;0,1,0))</f>
        <v/>
      </c>
      <c r="B652">
        <f>IF(INDEX(P_Type,ROW()-4)="","",TRIM(UPPER(INDEX(P_Type,ROW()-4))))</f>
        <v/>
      </c>
      <c r="D652">
        <f>IF(INDEX(L_Type,ROW()-4)="","",TRIM(UPPER(INDEX(L_Type,ROW()-4))))</f>
        <v/>
      </c>
      <c r="E652">
        <f>IF(INDEX(P_Status,ROW()-4)="","",TRIM(UPPER(INDEX(P_Status,ROW()-4))))</f>
        <v/>
      </c>
      <c r="G652">
        <f>IF(INDEX(L_Status,ROW()-4)="","",TRIM(UPPER(INDEX(L_Status,ROW()-4))))</f>
        <v/>
      </c>
      <c r="J652">
        <f>IF(INDEX(L_ID,ROW()-4)="","",IF(SUMPRODUCT((P_ID=INDEX(L_ID,ROW()-4))*(P_StatusN="INACTIVE"))&gt;0,1,0))</f>
        <v/>
      </c>
    </row>
    <row r="653">
      <c r="A653">
        <f>IF(INDEX(L_ID,ROW()-4)="","",IF(COUNTIF(P_ID,INDEX(L_ID,ROW()-4))&gt;0,1,0))</f>
        <v/>
      </c>
      <c r="B653">
        <f>IF(INDEX(P_Type,ROW()-4)="","",TRIM(UPPER(INDEX(P_Type,ROW()-4))))</f>
        <v/>
      </c>
      <c r="D653">
        <f>IF(INDEX(L_Type,ROW()-4)="","",TRIM(UPPER(INDEX(L_Type,ROW()-4))))</f>
        <v/>
      </c>
      <c r="E653">
        <f>IF(INDEX(P_Status,ROW()-4)="","",TRIM(UPPER(INDEX(P_Status,ROW()-4))))</f>
        <v/>
      </c>
      <c r="G653">
        <f>IF(INDEX(L_Status,ROW()-4)="","",TRIM(UPPER(INDEX(L_Status,ROW()-4))))</f>
        <v/>
      </c>
      <c r="J653">
        <f>IF(INDEX(L_ID,ROW()-4)="","",IF(SUMPRODUCT((P_ID=INDEX(L_ID,ROW()-4))*(P_StatusN="INACTIVE"))&gt;0,1,0))</f>
        <v/>
      </c>
    </row>
    <row r="654">
      <c r="A654">
        <f>IF(INDEX(L_ID,ROW()-4)="","",IF(COUNTIF(P_ID,INDEX(L_ID,ROW()-4))&gt;0,1,0))</f>
        <v/>
      </c>
      <c r="B654">
        <f>IF(INDEX(P_Type,ROW()-4)="","",TRIM(UPPER(INDEX(P_Type,ROW()-4))))</f>
        <v/>
      </c>
      <c r="D654">
        <f>IF(INDEX(L_Type,ROW()-4)="","",TRIM(UPPER(INDEX(L_Type,ROW()-4))))</f>
        <v/>
      </c>
      <c r="E654">
        <f>IF(INDEX(P_Status,ROW()-4)="","",TRIM(UPPER(INDEX(P_Status,ROW()-4))))</f>
        <v/>
      </c>
      <c r="G654">
        <f>IF(INDEX(L_Status,ROW()-4)="","",TRIM(UPPER(INDEX(L_Status,ROW()-4))))</f>
        <v/>
      </c>
      <c r="J654">
        <f>IF(INDEX(L_ID,ROW()-4)="","",IF(SUMPRODUCT((P_ID=INDEX(L_ID,ROW()-4))*(P_StatusN="INACTIVE"))&gt;0,1,0))</f>
        <v/>
      </c>
    </row>
    <row r="655">
      <c r="A655">
        <f>IF(INDEX(L_ID,ROW()-4)="","",IF(COUNTIF(P_ID,INDEX(L_ID,ROW()-4))&gt;0,1,0))</f>
        <v/>
      </c>
      <c r="B655">
        <f>IF(INDEX(P_Type,ROW()-4)="","",TRIM(UPPER(INDEX(P_Type,ROW()-4))))</f>
        <v/>
      </c>
      <c r="D655">
        <f>IF(INDEX(L_Type,ROW()-4)="","",TRIM(UPPER(INDEX(L_Type,ROW()-4))))</f>
        <v/>
      </c>
      <c r="E655">
        <f>IF(INDEX(P_Status,ROW()-4)="","",TRIM(UPPER(INDEX(P_Status,ROW()-4))))</f>
        <v/>
      </c>
      <c r="G655">
        <f>IF(INDEX(L_Status,ROW()-4)="","",TRIM(UPPER(INDEX(L_Status,ROW()-4))))</f>
        <v/>
      </c>
      <c r="J655">
        <f>IF(INDEX(L_ID,ROW()-4)="","",IF(SUMPRODUCT((P_ID=INDEX(L_ID,ROW()-4))*(P_StatusN="INACTIVE"))&gt;0,1,0))</f>
        <v/>
      </c>
    </row>
    <row r="656">
      <c r="A656">
        <f>IF(INDEX(L_ID,ROW()-4)="","",IF(COUNTIF(P_ID,INDEX(L_ID,ROW()-4))&gt;0,1,0))</f>
        <v/>
      </c>
      <c r="B656">
        <f>IF(INDEX(P_Type,ROW()-4)="","",TRIM(UPPER(INDEX(P_Type,ROW()-4))))</f>
        <v/>
      </c>
      <c r="D656">
        <f>IF(INDEX(L_Type,ROW()-4)="","",TRIM(UPPER(INDEX(L_Type,ROW()-4))))</f>
        <v/>
      </c>
      <c r="E656">
        <f>IF(INDEX(P_Status,ROW()-4)="","",TRIM(UPPER(INDEX(P_Status,ROW()-4))))</f>
        <v/>
      </c>
      <c r="G656">
        <f>IF(INDEX(L_Status,ROW()-4)="","",TRIM(UPPER(INDEX(L_Status,ROW()-4))))</f>
        <v/>
      </c>
      <c r="J656">
        <f>IF(INDEX(L_ID,ROW()-4)="","",IF(SUMPRODUCT((P_ID=INDEX(L_ID,ROW()-4))*(P_StatusN="INACTIVE"))&gt;0,1,0))</f>
        <v/>
      </c>
    </row>
    <row r="657">
      <c r="A657">
        <f>IF(INDEX(L_ID,ROW()-4)="","",IF(COUNTIF(P_ID,INDEX(L_ID,ROW()-4))&gt;0,1,0))</f>
        <v/>
      </c>
      <c r="B657">
        <f>IF(INDEX(P_Type,ROW()-4)="","",TRIM(UPPER(INDEX(P_Type,ROW()-4))))</f>
        <v/>
      </c>
      <c r="D657">
        <f>IF(INDEX(L_Type,ROW()-4)="","",TRIM(UPPER(INDEX(L_Type,ROW()-4))))</f>
        <v/>
      </c>
      <c r="E657">
        <f>IF(INDEX(P_Status,ROW()-4)="","",TRIM(UPPER(INDEX(P_Status,ROW()-4))))</f>
        <v/>
      </c>
      <c r="G657">
        <f>IF(INDEX(L_Status,ROW()-4)="","",TRIM(UPPER(INDEX(L_Status,ROW()-4))))</f>
        <v/>
      </c>
      <c r="J657">
        <f>IF(INDEX(L_ID,ROW()-4)="","",IF(SUMPRODUCT((P_ID=INDEX(L_ID,ROW()-4))*(P_StatusN="INACTIVE"))&gt;0,1,0))</f>
        <v/>
      </c>
    </row>
    <row r="658">
      <c r="A658">
        <f>IF(INDEX(L_ID,ROW()-4)="","",IF(COUNTIF(P_ID,INDEX(L_ID,ROW()-4))&gt;0,1,0))</f>
        <v/>
      </c>
      <c r="B658">
        <f>IF(INDEX(P_Type,ROW()-4)="","",TRIM(UPPER(INDEX(P_Type,ROW()-4))))</f>
        <v/>
      </c>
      <c r="D658">
        <f>IF(INDEX(L_Type,ROW()-4)="","",TRIM(UPPER(INDEX(L_Type,ROW()-4))))</f>
        <v/>
      </c>
      <c r="E658">
        <f>IF(INDEX(P_Status,ROW()-4)="","",TRIM(UPPER(INDEX(P_Status,ROW()-4))))</f>
        <v/>
      </c>
      <c r="G658">
        <f>IF(INDEX(L_Status,ROW()-4)="","",TRIM(UPPER(INDEX(L_Status,ROW()-4))))</f>
        <v/>
      </c>
      <c r="J658">
        <f>IF(INDEX(L_ID,ROW()-4)="","",IF(SUMPRODUCT((P_ID=INDEX(L_ID,ROW()-4))*(P_StatusN="INACTIVE"))&gt;0,1,0))</f>
        <v/>
      </c>
    </row>
    <row r="659">
      <c r="A659">
        <f>IF(INDEX(L_ID,ROW()-4)="","",IF(COUNTIF(P_ID,INDEX(L_ID,ROW()-4))&gt;0,1,0))</f>
        <v/>
      </c>
      <c r="B659">
        <f>IF(INDEX(P_Type,ROW()-4)="","",TRIM(UPPER(INDEX(P_Type,ROW()-4))))</f>
        <v/>
      </c>
      <c r="D659">
        <f>IF(INDEX(L_Type,ROW()-4)="","",TRIM(UPPER(INDEX(L_Type,ROW()-4))))</f>
        <v/>
      </c>
      <c r="E659">
        <f>IF(INDEX(P_Status,ROW()-4)="","",TRIM(UPPER(INDEX(P_Status,ROW()-4))))</f>
        <v/>
      </c>
      <c r="G659">
        <f>IF(INDEX(L_Status,ROW()-4)="","",TRIM(UPPER(INDEX(L_Status,ROW()-4))))</f>
        <v/>
      </c>
      <c r="J659">
        <f>IF(INDEX(L_ID,ROW()-4)="","",IF(SUMPRODUCT((P_ID=INDEX(L_ID,ROW()-4))*(P_StatusN="INACTIVE"))&gt;0,1,0))</f>
        <v/>
      </c>
    </row>
    <row r="660">
      <c r="A660">
        <f>IF(INDEX(L_ID,ROW()-4)="","",IF(COUNTIF(P_ID,INDEX(L_ID,ROW()-4))&gt;0,1,0))</f>
        <v/>
      </c>
      <c r="B660">
        <f>IF(INDEX(P_Type,ROW()-4)="","",TRIM(UPPER(INDEX(P_Type,ROW()-4))))</f>
        <v/>
      </c>
      <c r="D660">
        <f>IF(INDEX(L_Type,ROW()-4)="","",TRIM(UPPER(INDEX(L_Type,ROW()-4))))</f>
        <v/>
      </c>
      <c r="E660">
        <f>IF(INDEX(P_Status,ROW()-4)="","",TRIM(UPPER(INDEX(P_Status,ROW()-4))))</f>
        <v/>
      </c>
      <c r="G660">
        <f>IF(INDEX(L_Status,ROW()-4)="","",TRIM(UPPER(INDEX(L_Status,ROW()-4))))</f>
        <v/>
      </c>
      <c r="J660">
        <f>IF(INDEX(L_ID,ROW()-4)="","",IF(SUMPRODUCT((P_ID=INDEX(L_ID,ROW()-4))*(P_StatusN="INACTIVE"))&gt;0,1,0))</f>
        <v/>
      </c>
    </row>
    <row r="661">
      <c r="A661">
        <f>IF(INDEX(L_ID,ROW()-4)="","",IF(COUNTIF(P_ID,INDEX(L_ID,ROW()-4))&gt;0,1,0))</f>
        <v/>
      </c>
      <c r="B661">
        <f>IF(INDEX(P_Type,ROW()-4)="","",TRIM(UPPER(INDEX(P_Type,ROW()-4))))</f>
        <v/>
      </c>
      <c r="D661">
        <f>IF(INDEX(L_Type,ROW()-4)="","",TRIM(UPPER(INDEX(L_Type,ROW()-4))))</f>
        <v/>
      </c>
      <c r="E661">
        <f>IF(INDEX(P_Status,ROW()-4)="","",TRIM(UPPER(INDEX(P_Status,ROW()-4))))</f>
        <v/>
      </c>
      <c r="G661">
        <f>IF(INDEX(L_Status,ROW()-4)="","",TRIM(UPPER(INDEX(L_Status,ROW()-4))))</f>
        <v/>
      </c>
      <c r="J661">
        <f>IF(INDEX(L_ID,ROW()-4)="","",IF(SUMPRODUCT((P_ID=INDEX(L_ID,ROW()-4))*(P_StatusN="INACTIVE"))&gt;0,1,0))</f>
        <v/>
      </c>
    </row>
    <row r="662">
      <c r="A662">
        <f>IF(INDEX(L_ID,ROW()-4)="","",IF(COUNTIF(P_ID,INDEX(L_ID,ROW()-4))&gt;0,1,0))</f>
        <v/>
      </c>
      <c r="B662">
        <f>IF(INDEX(P_Type,ROW()-4)="","",TRIM(UPPER(INDEX(P_Type,ROW()-4))))</f>
        <v/>
      </c>
      <c r="D662">
        <f>IF(INDEX(L_Type,ROW()-4)="","",TRIM(UPPER(INDEX(L_Type,ROW()-4))))</f>
        <v/>
      </c>
      <c r="E662">
        <f>IF(INDEX(P_Status,ROW()-4)="","",TRIM(UPPER(INDEX(P_Status,ROW()-4))))</f>
        <v/>
      </c>
      <c r="G662">
        <f>IF(INDEX(L_Status,ROW()-4)="","",TRIM(UPPER(INDEX(L_Status,ROW()-4))))</f>
        <v/>
      </c>
      <c r="J662">
        <f>IF(INDEX(L_ID,ROW()-4)="","",IF(SUMPRODUCT((P_ID=INDEX(L_ID,ROW()-4))*(P_StatusN="INACTIVE"))&gt;0,1,0))</f>
        <v/>
      </c>
    </row>
    <row r="663">
      <c r="A663">
        <f>IF(INDEX(L_ID,ROW()-4)="","",IF(COUNTIF(P_ID,INDEX(L_ID,ROW()-4))&gt;0,1,0))</f>
        <v/>
      </c>
      <c r="B663">
        <f>IF(INDEX(P_Type,ROW()-4)="","",TRIM(UPPER(INDEX(P_Type,ROW()-4))))</f>
        <v/>
      </c>
      <c r="D663">
        <f>IF(INDEX(L_Type,ROW()-4)="","",TRIM(UPPER(INDEX(L_Type,ROW()-4))))</f>
        <v/>
      </c>
      <c r="E663">
        <f>IF(INDEX(P_Status,ROW()-4)="","",TRIM(UPPER(INDEX(P_Status,ROW()-4))))</f>
        <v/>
      </c>
      <c r="G663">
        <f>IF(INDEX(L_Status,ROW()-4)="","",TRIM(UPPER(INDEX(L_Status,ROW()-4))))</f>
        <v/>
      </c>
      <c r="J663">
        <f>IF(INDEX(L_ID,ROW()-4)="","",IF(SUMPRODUCT((P_ID=INDEX(L_ID,ROW()-4))*(P_StatusN="INACTIVE"))&gt;0,1,0))</f>
        <v/>
      </c>
    </row>
    <row r="664">
      <c r="A664">
        <f>IF(INDEX(L_ID,ROW()-4)="","",IF(COUNTIF(P_ID,INDEX(L_ID,ROW()-4))&gt;0,1,0))</f>
        <v/>
      </c>
      <c r="B664">
        <f>IF(INDEX(P_Type,ROW()-4)="","",TRIM(UPPER(INDEX(P_Type,ROW()-4))))</f>
        <v/>
      </c>
      <c r="D664">
        <f>IF(INDEX(L_Type,ROW()-4)="","",TRIM(UPPER(INDEX(L_Type,ROW()-4))))</f>
        <v/>
      </c>
      <c r="E664">
        <f>IF(INDEX(P_Status,ROW()-4)="","",TRIM(UPPER(INDEX(P_Status,ROW()-4))))</f>
        <v/>
      </c>
      <c r="G664">
        <f>IF(INDEX(L_Status,ROW()-4)="","",TRIM(UPPER(INDEX(L_Status,ROW()-4))))</f>
        <v/>
      </c>
      <c r="J664">
        <f>IF(INDEX(L_ID,ROW()-4)="","",IF(SUMPRODUCT((P_ID=INDEX(L_ID,ROW()-4))*(P_StatusN="INACTIVE"))&gt;0,1,0))</f>
        <v/>
      </c>
    </row>
    <row r="665">
      <c r="A665">
        <f>IF(INDEX(L_ID,ROW()-4)="","",IF(COUNTIF(P_ID,INDEX(L_ID,ROW()-4))&gt;0,1,0))</f>
        <v/>
      </c>
      <c r="B665">
        <f>IF(INDEX(P_Type,ROW()-4)="","",TRIM(UPPER(INDEX(P_Type,ROW()-4))))</f>
        <v/>
      </c>
      <c r="D665">
        <f>IF(INDEX(L_Type,ROW()-4)="","",TRIM(UPPER(INDEX(L_Type,ROW()-4))))</f>
        <v/>
      </c>
      <c r="E665">
        <f>IF(INDEX(P_Status,ROW()-4)="","",TRIM(UPPER(INDEX(P_Status,ROW()-4))))</f>
        <v/>
      </c>
      <c r="G665">
        <f>IF(INDEX(L_Status,ROW()-4)="","",TRIM(UPPER(INDEX(L_Status,ROW()-4))))</f>
        <v/>
      </c>
      <c r="J665">
        <f>IF(INDEX(L_ID,ROW()-4)="","",IF(SUMPRODUCT((P_ID=INDEX(L_ID,ROW()-4))*(P_StatusN="INACTIVE"))&gt;0,1,0))</f>
        <v/>
      </c>
    </row>
    <row r="666">
      <c r="A666">
        <f>IF(INDEX(L_ID,ROW()-4)="","",IF(COUNTIF(P_ID,INDEX(L_ID,ROW()-4))&gt;0,1,0))</f>
        <v/>
      </c>
      <c r="B666">
        <f>IF(INDEX(P_Type,ROW()-4)="","",TRIM(UPPER(INDEX(P_Type,ROW()-4))))</f>
        <v/>
      </c>
      <c r="D666">
        <f>IF(INDEX(L_Type,ROW()-4)="","",TRIM(UPPER(INDEX(L_Type,ROW()-4))))</f>
        <v/>
      </c>
      <c r="E666">
        <f>IF(INDEX(P_Status,ROW()-4)="","",TRIM(UPPER(INDEX(P_Status,ROW()-4))))</f>
        <v/>
      </c>
      <c r="G666">
        <f>IF(INDEX(L_Status,ROW()-4)="","",TRIM(UPPER(INDEX(L_Status,ROW()-4))))</f>
        <v/>
      </c>
      <c r="J666">
        <f>IF(INDEX(L_ID,ROW()-4)="","",IF(SUMPRODUCT((P_ID=INDEX(L_ID,ROW()-4))*(P_StatusN="INACTIVE"))&gt;0,1,0))</f>
        <v/>
      </c>
    </row>
    <row r="667">
      <c r="A667">
        <f>IF(INDEX(L_ID,ROW()-4)="","",IF(COUNTIF(P_ID,INDEX(L_ID,ROW()-4))&gt;0,1,0))</f>
        <v/>
      </c>
      <c r="B667">
        <f>IF(INDEX(P_Type,ROW()-4)="","",TRIM(UPPER(INDEX(P_Type,ROW()-4))))</f>
        <v/>
      </c>
      <c r="D667">
        <f>IF(INDEX(L_Type,ROW()-4)="","",TRIM(UPPER(INDEX(L_Type,ROW()-4))))</f>
        <v/>
      </c>
      <c r="E667">
        <f>IF(INDEX(P_Status,ROW()-4)="","",TRIM(UPPER(INDEX(P_Status,ROW()-4))))</f>
        <v/>
      </c>
      <c r="G667">
        <f>IF(INDEX(L_Status,ROW()-4)="","",TRIM(UPPER(INDEX(L_Status,ROW()-4))))</f>
        <v/>
      </c>
      <c r="J667">
        <f>IF(INDEX(L_ID,ROW()-4)="","",IF(SUMPRODUCT((P_ID=INDEX(L_ID,ROW()-4))*(P_StatusN="INACTIVE"))&gt;0,1,0))</f>
        <v/>
      </c>
    </row>
    <row r="668">
      <c r="A668">
        <f>IF(INDEX(L_ID,ROW()-4)="","",IF(COUNTIF(P_ID,INDEX(L_ID,ROW()-4))&gt;0,1,0))</f>
        <v/>
      </c>
      <c r="B668">
        <f>IF(INDEX(P_Type,ROW()-4)="","",TRIM(UPPER(INDEX(P_Type,ROW()-4))))</f>
        <v/>
      </c>
      <c r="D668">
        <f>IF(INDEX(L_Type,ROW()-4)="","",TRIM(UPPER(INDEX(L_Type,ROW()-4))))</f>
        <v/>
      </c>
      <c r="E668">
        <f>IF(INDEX(P_Status,ROW()-4)="","",TRIM(UPPER(INDEX(P_Status,ROW()-4))))</f>
        <v/>
      </c>
      <c r="G668">
        <f>IF(INDEX(L_Status,ROW()-4)="","",TRIM(UPPER(INDEX(L_Status,ROW()-4))))</f>
        <v/>
      </c>
      <c r="J668">
        <f>IF(INDEX(L_ID,ROW()-4)="","",IF(SUMPRODUCT((P_ID=INDEX(L_ID,ROW()-4))*(P_StatusN="INACTIVE"))&gt;0,1,0))</f>
        <v/>
      </c>
    </row>
    <row r="669">
      <c r="A669">
        <f>IF(INDEX(L_ID,ROW()-4)="","",IF(COUNTIF(P_ID,INDEX(L_ID,ROW()-4))&gt;0,1,0))</f>
        <v/>
      </c>
      <c r="B669">
        <f>IF(INDEX(P_Type,ROW()-4)="","",TRIM(UPPER(INDEX(P_Type,ROW()-4))))</f>
        <v/>
      </c>
      <c r="D669">
        <f>IF(INDEX(L_Type,ROW()-4)="","",TRIM(UPPER(INDEX(L_Type,ROW()-4))))</f>
        <v/>
      </c>
      <c r="E669">
        <f>IF(INDEX(P_Status,ROW()-4)="","",TRIM(UPPER(INDEX(P_Status,ROW()-4))))</f>
        <v/>
      </c>
      <c r="G669">
        <f>IF(INDEX(L_Status,ROW()-4)="","",TRIM(UPPER(INDEX(L_Status,ROW()-4))))</f>
        <v/>
      </c>
      <c r="J669">
        <f>IF(INDEX(L_ID,ROW()-4)="","",IF(SUMPRODUCT((P_ID=INDEX(L_ID,ROW()-4))*(P_StatusN="INACTIVE"))&gt;0,1,0))</f>
        <v/>
      </c>
    </row>
    <row r="670">
      <c r="A670">
        <f>IF(INDEX(L_ID,ROW()-4)="","",IF(COUNTIF(P_ID,INDEX(L_ID,ROW()-4))&gt;0,1,0))</f>
        <v/>
      </c>
      <c r="B670">
        <f>IF(INDEX(P_Type,ROW()-4)="","",TRIM(UPPER(INDEX(P_Type,ROW()-4))))</f>
        <v/>
      </c>
      <c r="D670">
        <f>IF(INDEX(L_Type,ROW()-4)="","",TRIM(UPPER(INDEX(L_Type,ROW()-4))))</f>
        <v/>
      </c>
      <c r="E670">
        <f>IF(INDEX(P_Status,ROW()-4)="","",TRIM(UPPER(INDEX(P_Status,ROW()-4))))</f>
        <v/>
      </c>
      <c r="G670">
        <f>IF(INDEX(L_Status,ROW()-4)="","",TRIM(UPPER(INDEX(L_Status,ROW()-4))))</f>
        <v/>
      </c>
      <c r="J670">
        <f>IF(INDEX(L_ID,ROW()-4)="","",IF(SUMPRODUCT((P_ID=INDEX(L_ID,ROW()-4))*(P_StatusN="INACTIVE"))&gt;0,1,0))</f>
        <v/>
      </c>
    </row>
    <row r="671">
      <c r="A671">
        <f>IF(INDEX(L_ID,ROW()-4)="","",IF(COUNTIF(P_ID,INDEX(L_ID,ROW()-4))&gt;0,1,0))</f>
        <v/>
      </c>
      <c r="B671">
        <f>IF(INDEX(P_Type,ROW()-4)="","",TRIM(UPPER(INDEX(P_Type,ROW()-4))))</f>
        <v/>
      </c>
      <c r="D671">
        <f>IF(INDEX(L_Type,ROW()-4)="","",TRIM(UPPER(INDEX(L_Type,ROW()-4))))</f>
        <v/>
      </c>
      <c r="E671">
        <f>IF(INDEX(P_Status,ROW()-4)="","",TRIM(UPPER(INDEX(P_Status,ROW()-4))))</f>
        <v/>
      </c>
      <c r="G671">
        <f>IF(INDEX(L_Status,ROW()-4)="","",TRIM(UPPER(INDEX(L_Status,ROW()-4))))</f>
        <v/>
      </c>
      <c r="J671">
        <f>IF(INDEX(L_ID,ROW()-4)="","",IF(SUMPRODUCT((P_ID=INDEX(L_ID,ROW()-4))*(P_StatusN="INACTIVE"))&gt;0,1,0))</f>
        <v/>
      </c>
    </row>
    <row r="672">
      <c r="A672">
        <f>IF(INDEX(L_ID,ROW()-4)="","",IF(COUNTIF(P_ID,INDEX(L_ID,ROW()-4))&gt;0,1,0))</f>
        <v/>
      </c>
      <c r="B672">
        <f>IF(INDEX(P_Type,ROW()-4)="","",TRIM(UPPER(INDEX(P_Type,ROW()-4))))</f>
        <v/>
      </c>
      <c r="D672">
        <f>IF(INDEX(L_Type,ROW()-4)="","",TRIM(UPPER(INDEX(L_Type,ROW()-4))))</f>
        <v/>
      </c>
      <c r="E672">
        <f>IF(INDEX(P_Status,ROW()-4)="","",TRIM(UPPER(INDEX(P_Status,ROW()-4))))</f>
        <v/>
      </c>
      <c r="G672">
        <f>IF(INDEX(L_Status,ROW()-4)="","",TRIM(UPPER(INDEX(L_Status,ROW()-4))))</f>
        <v/>
      </c>
      <c r="J672">
        <f>IF(INDEX(L_ID,ROW()-4)="","",IF(SUMPRODUCT((P_ID=INDEX(L_ID,ROW()-4))*(P_StatusN="INACTIVE"))&gt;0,1,0))</f>
        <v/>
      </c>
    </row>
    <row r="673">
      <c r="A673">
        <f>IF(INDEX(L_ID,ROW()-4)="","",IF(COUNTIF(P_ID,INDEX(L_ID,ROW()-4))&gt;0,1,0))</f>
        <v/>
      </c>
      <c r="B673">
        <f>IF(INDEX(P_Type,ROW()-4)="","",TRIM(UPPER(INDEX(P_Type,ROW()-4))))</f>
        <v/>
      </c>
      <c r="D673">
        <f>IF(INDEX(L_Type,ROW()-4)="","",TRIM(UPPER(INDEX(L_Type,ROW()-4))))</f>
        <v/>
      </c>
      <c r="E673">
        <f>IF(INDEX(P_Status,ROW()-4)="","",TRIM(UPPER(INDEX(P_Status,ROW()-4))))</f>
        <v/>
      </c>
      <c r="G673">
        <f>IF(INDEX(L_Status,ROW()-4)="","",TRIM(UPPER(INDEX(L_Status,ROW()-4))))</f>
        <v/>
      </c>
      <c r="J673">
        <f>IF(INDEX(L_ID,ROW()-4)="","",IF(SUMPRODUCT((P_ID=INDEX(L_ID,ROW()-4))*(P_StatusN="INACTIVE"))&gt;0,1,0))</f>
        <v/>
      </c>
    </row>
    <row r="674">
      <c r="A674">
        <f>IF(INDEX(L_ID,ROW()-4)="","",IF(COUNTIF(P_ID,INDEX(L_ID,ROW()-4))&gt;0,1,0))</f>
        <v/>
      </c>
      <c r="B674">
        <f>IF(INDEX(P_Type,ROW()-4)="","",TRIM(UPPER(INDEX(P_Type,ROW()-4))))</f>
        <v/>
      </c>
      <c r="D674">
        <f>IF(INDEX(L_Type,ROW()-4)="","",TRIM(UPPER(INDEX(L_Type,ROW()-4))))</f>
        <v/>
      </c>
      <c r="E674">
        <f>IF(INDEX(P_Status,ROW()-4)="","",TRIM(UPPER(INDEX(P_Status,ROW()-4))))</f>
        <v/>
      </c>
      <c r="G674">
        <f>IF(INDEX(L_Status,ROW()-4)="","",TRIM(UPPER(INDEX(L_Status,ROW()-4))))</f>
        <v/>
      </c>
      <c r="J674">
        <f>IF(INDEX(L_ID,ROW()-4)="","",IF(SUMPRODUCT((P_ID=INDEX(L_ID,ROW()-4))*(P_StatusN="INACTIVE"))&gt;0,1,0))</f>
        <v/>
      </c>
    </row>
    <row r="675">
      <c r="A675">
        <f>IF(INDEX(L_ID,ROW()-4)="","",IF(COUNTIF(P_ID,INDEX(L_ID,ROW()-4))&gt;0,1,0))</f>
        <v/>
      </c>
      <c r="B675">
        <f>IF(INDEX(P_Type,ROW()-4)="","",TRIM(UPPER(INDEX(P_Type,ROW()-4))))</f>
        <v/>
      </c>
      <c r="D675">
        <f>IF(INDEX(L_Type,ROW()-4)="","",TRIM(UPPER(INDEX(L_Type,ROW()-4))))</f>
        <v/>
      </c>
      <c r="E675">
        <f>IF(INDEX(P_Status,ROW()-4)="","",TRIM(UPPER(INDEX(P_Status,ROW()-4))))</f>
        <v/>
      </c>
      <c r="G675">
        <f>IF(INDEX(L_Status,ROW()-4)="","",TRIM(UPPER(INDEX(L_Status,ROW()-4))))</f>
        <v/>
      </c>
      <c r="J675">
        <f>IF(INDEX(L_ID,ROW()-4)="","",IF(SUMPRODUCT((P_ID=INDEX(L_ID,ROW()-4))*(P_StatusN="INACTIVE"))&gt;0,1,0))</f>
        <v/>
      </c>
    </row>
    <row r="676">
      <c r="A676">
        <f>IF(INDEX(L_ID,ROW()-4)="","",IF(COUNTIF(P_ID,INDEX(L_ID,ROW()-4))&gt;0,1,0))</f>
        <v/>
      </c>
      <c r="B676">
        <f>IF(INDEX(P_Type,ROW()-4)="","",TRIM(UPPER(INDEX(P_Type,ROW()-4))))</f>
        <v/>
      </c>
      <c r="D676">
        <f>IF(INDEX(L_Type,ROW()-4)="","",TRIM(UPPER(INDEX(L_Type,ROW()-4))))</f>
        <v/>
      </c>
      <c r="E676">
        <f>IF(INDEX(P_Status,ROW()-4)="","",TRIM(UPPER(INDEX(P_Status,ROW()-4))))</f>
        <v/>
      </c>
      <c r="G676">
        <f>IF(INDEX(L_Status,ROW()-4)="","",TRIM(UPPER(INDEX(L_Status,ROW()-4))))</f>
        <v/>
      </c>
      <c r="J676">
        <f>IF(INDEX(L_ID,ROW()-4)="","",IF(SUMPRODUCT((P_ID=INDEX(L_ID,ROW()-4))*(P_StatusN="INACTIVE"))&gt;0,1,0))</f>
        <v/>
      </c>
    </row>
    <row r="677">
      <c r="A677">
        <f>IF(INDEX(L_ID,ROW()-4)="","",IF(COUNTIF(P_ID,INDEX(L_ID,ROW()-4))&gt;0,1,0))</f>
        <v/>
      </c>
      <c r="B677">
        <f>IF(INDEX(P_Type,ROW()-4)="","",TRIM(UPPER(INDEX(P_Type,ROW()-4))))</f>
        <v/>
      </c>
      <c r="D677">
        <f>IF(INDEX(L_Type,ROW()-4)="","",TRIM(UPPER(INDEX(L_Type,ROW()-4))))</f>
        <v/>
      </c>
      <c r="E677">
        <f>IF(INDEX(P_Status,ROW()-4)="","",TRIM(UPPER(INDEX(P_Status,ROW()-4))))</f>
        <v/>
      </c>
      <c r="G677">
        <f>IF(INDEX(L_Status,ROW()-4)="","",TRIM(UPPER(INDEX(L_Status,ROW()-4))))</f>
        <v/>
      </c>
      <c r="J677">
        <f>IF(INDEX(L_ID,ROW()-4)="","",IF(SUMPRODUCT((P_ID=INDEX(L_ID,ROW()-4))*(P_StatusN="INACTIVE"))&gt;0,1,0))</f>
        <v/>
      </c>
    </row>
    <row r="678">
      <c r="A678">
        <f>IF(INDEX(L_ID,ROW()-4)="","",IF(COUNTIF(P_ID,INDEX(L_ID,ROW()-4))&gt;0,1,0))</f>
        <v/>
      </c>
      <c r="B678">
        <f>IF(INDEX(P_Type,ROW()-4)="","",TRIM(UPPER(INDEX(P_Type,ROW()-4))))</f>
        <v/>
      </c>
      <c r="D678">
        <f>IF(INDEX(L_Type,ROW()-4)="","",TRIM(UPPER(INDEX(L_Type,ROW()-4))))</f>
        <v/>
      </c>
      <c r="E678">
        <f>IF(INDEX(P_Status,ROW()-4)="","",TRIM(UPPER(INDEX(P_Status,ROW()-4))))</f>
        <v/>
      </c>
      <c r="G678">
        <f>IF(INDEX(L_Status,ROW()-4)="","",TRIM(UPPER(INDEX(L_Status,ROW()-4))))</f>
        <v/>
      </c>
      <c r="J678">
        <f>IF(INDEX(L_ID,ROW()-4)="","",IF(SUMPRODUCT((P_ID=INDEX(L_ID,ROW()-4))*(P_StatusN="INACTIVE"))&gt;0,1,0))</f>
        <v/>
      </c>
    </row>
    <row r="679">
      <c r="A679">
        <f>IF(INDEX(L_ID,ROW()-4)="","",IF(COUNTIF(P_ID,INDEX(L_ID,ROW()-4))&gt;0,1,0))</f>
        <v/>
      </c>
      <c r="B679">
        <f>IF(INDEX(P_Type,ROW()-4)="","",TRIM(UPPER(INDEX(P_Type,ROW()-4))))</f>
        <v/>
      </c>
      <c r="D679">
        <f>IF(INDEX(L_Type,ROW()-4)="","",TRIM(UPPER(INDEX(L_Type,ROW()-4))))</f>
        <v/>
      </c>
      <c r="E679">
        <f>IF(INDEX(P_Status,ROW()-4)="","",TRIM(UPPER(INDEX(P_Status,ROW()-4))))</f>
        <v/>
      </c>
      <c r="G679">
        <f>IF(INDEX(L_Status,ROW()-4)="","",TRIM(UPPER(INDEX(L_Status,ROW()-4))))</f>
        <v/>
      </c>
      <c r="J679">
        <f>IF(INDEX(L_ID,ROW()-4)="","",IF(SUMPRODUCT((P_ID=INDEX(L_ID,ROW()-4))*(P_StatusN="INACTIVE"))&gt;0,1,0))</f>
        <v/>
      </c>
    </row>
    <row r="680">
      <c r="A680">
        <f>IF(INDEX(L_ID,ROW()-4)="","",IF(COUNTIF(P_ID,INDEX(L_ID,ROW()-4))&gt;0,1,0))</f>
        <v/>
      </c>
      <c r="B680">
        <f>IF(INDEX(P_Type,ROW()-4)="","",TRIM(UPPER(INDEX(P_Type,ROW()-4))))</f>
        <v/>
      </c>
      <c r="D680">
        <f>IF(INDEX(L_Type,ROW()-4)="","",TRIM(UPPER(INDEX(L_Type,ROW()-4))))</f>
        <v/>
      </c>
      <c r="E680">
        <f>IF(INDEX(P_Status,ROW()-4)="","",TRIM(UPPER(INDEX(P_Status,ROW()-4))))</f>
        <v/>
      </c>
      <c r="G680">
        <f>IF(INDEX(L_Status,ROW()-4)="","",TRIM(UPPER(INDEX(L_Status,ROW()-4))))</f>
        <v/>
      </c>
      <c r="J680">
        <f>IF(INDEX(L_ID,ROW()-4)="","",IF(SUMPRODUCT((P_ID=INDEX(L_ID,ROW()-4))*(P_StatusN="INACTIVE"))&gt;0,1,0))</f>
        <v/>
      </c>
    </row>
    <row r="681">
      <c r="A681">
        <f>IF(INDEX(L_ID,ROW()-4)="","",IF(COUNTIF(P_ID,INDEX(L_ID,ROW()-4))&gt;0,1,0))</f>
        <v/>
      </c>
      <c r="B681">
        <f>IF(INDEX(P_Type,ROW()-4)="","",TRIM(UPPER(INDEX(P_Type,ROW()-4))))</f>
        <v/>
      </c>
      <c r="D681">
        <f>IF(INDEX(L_Type,ROW()-4)="","",TRIM(UPPER(INDEX(L_Type,ROW()-4))))</f>
        <v/>
      </c>
      <c r="E681">
        <f>IF(INDEX(P_Status,ROW()-4)="","",TRIM(UPPER(INDEX(P_Status,ROW()-4))))</f>
        <v/>
      </c>
      <c r="G681">
        <f>IF(INDEX(L_Status,ROW()-4)="","",TRIM(UPPER(INDEX(L_Status,ROW()-4))))</f>
        <v/>
      </c>
      <c r="J681">
        <f>IF(INDEX(L_ID,ROW()-4)="","",IF(SUMPRODUCT((P_ID=INDEX(L_ID,ROW()-4))*(P_StatusN="INACTIVE"))&gt;0,1,0))</f>
        <v/>
      </c>
    </row>
    <row r="682">
      <c r="A682">
        <f>IF(INDEX(L_ID,ROW()-4)="","",IF(COUNTIF(P_ID,INDEX(L_ID,ROW()-4))&gt;0,1,0))</f>
        <v/>
      </c>
      <c r="B682">
        <f>IF(INDEX(P_Type,ROW()-4)="","",TRIM(UPPER(INDEX(P_Type,ROW()-4))))</f>
        <v/>
      </c>
      <c r="D682">
        <f>IF(INDEX(L_Type,ROW()-4)="","",TRIM(UPPER(INDEX(L_Type,ROW()-4))))</f>
        <v/>
      </c>
      <c r="E682">
        <f>IF(INDEX(P_Status,ROW()-4)="","",TRIM(UPPER(INDEX(P_Status,ROW()-4))))</f>
        <v/>
      </c>
      <c r="G682">
        <f>IF(INDEX(L_Status,ROW()-4)="","",TRIM(UPPER(INDEX(L_Status,ROW()-4))))</f>
        <v/>
      </c>
      <c r="J682">
        <f>IF(INDEX(L_ID,ROW()-4)="","",IF(SUMPRODUCT((P_ID=INDEX(L_ID,ROW()-4))*(P_StatusN="INACTIVE"))&gt;0,1,0))</f>
        <v/>
      </c>
    </row>
    <row r="683">
      <c r="A683">
        <f>IF(INDEX(L_ID,ROW()-4)="","",IF(COUNTIF(P_ID,INDEX(L_ID,ROW()-4))&gt;0,1,0))</f>
        <v/>
      </c>
      <c r="B683">
        <f>IF(INDEX(P_Type,ROW()-4)="","",TRIM(UPPER(INDEX(P_Type,ROW()-4))))</f>
        <v/>
      </c>
      <c r="D683">
        <f>IF(INDEX(L_Type,ROW()-4)="","",TRIM(UPPER(INDEX(L_Type,ROW()-4))))</f>
        <v/>
      </c>
      <c r="E683">
        <f>IF(INDEX(P_Status,ROW()-4)="","",TRIM(UPPER(INDEX(P_Status,ROW()-4))))</f>
        <v/>
      </c>
      <c r="G683">
        <f>IF(INDEX(L_Status,ROW()-4)="","",TRIM(UPPER(INDEX(L_Status,ROW()-4))))</f>
        <v/>
      </c>
      <c r="J683">
        <f>IF(INDEX(L_ID,ROW()-4)="","",IF(SUMPRODUCT((P_ID=INDEX(L_ID,ROW()-4))*(P_StatusN="INACTIVE"))&gt;0,1,0))</f>
        <v/>
      </c>
    </row>
    <row r="684">
      <c r="A684">
        <f>IF(INDEX(L_ID,ROW()-4)="","",IF(COUNTIF(P_ID,INDEX(L_ID,ROW()-4))&gt;0,1,0))</f>
        <v/>
      </c>
      <c r="B684">
        <f>IF(INDEX(P_Type,ROW()-4)="","",TRIM(UPPER(INDEX(P_Type,ROW()-4))))</f>
        <v/>
      </c>
      <c r="D684">
        <f>IF(INDEX(L_Type,ROW()-4)="","",TRIM(UPPER(INDEX(L_Type,ROW()-4))))</f>
        <v/>
      </c>
      <c r="E684">
        <f>IF(INDEX(P_Status,ROW()-4)="","",TRIM(UPPER(INDEX(P_Status,ROW()-4))))</f>
        <v/>
      </c>
      <c r="G684">
        <f>IF(INDEX(L_Status,ROW()-4)="","",TRIM(UPPER(INDEX(L_Status,ROW()-4))))</f>
        <v/>
      </c>
      <c r="J684">
        <f>IF(INDEX(L_ID,ROW()-4)="","",IF(SUMPRODUCT((P_ID=INDEX(L_ID,ROW()-4))*(P_StatusN="INACTIVE"))&gt;0,1,0))</f>
        <v/>
      </c>
    </row>
    <row r="685">
      <c r="A685">
        <f>IF(INDEX(L_ID,ROW()-4)="","",IF(COUNTIF(P_ID,INDEX(L_ID,ROW()-4))&gt;0,1,0))</f>
        <v/>
      </c>
      <c r="B685">
        <f>IF(INDEX(P_Type,ROW()-4)="","",TRIM(UPPER(INDEX(P_Type,ROW()-4))))</f>
        <v/>
      </c>
      <c r="D685">
        <f>IF(INDEX(L_Type,ROW()-4)="","",TRIM(UPPER(INDEX(L_Type,ROW()-4))))</f>
        <v/>
      </c>
      <c r="E685">
        <f>IF(INDEX(P_Status,ROW()-4)="","",TRIM(UPPER(INDEX(P_Status,ROW()-4))))</f>
        <v/>
      </c>
      <c r="G685">
        <f>IF(INDEX(L_Status,ROW()-4)="","",TRIM(UPPER(INDEX(L_Status,ROW()-4))))</f>
        <v/>
      </c>
      <c r="J685">
        <f>IF(INDEX(L_ID,ROW()-4)="","",IF(SUMPRODUCT((P_ID=INDEX(L_ID,ROW()-4))*(P_StatusN="INACTIVE"))&gt;0,1,0))</f>
        <v/>
      </c>
    </row>
    <row r="686">
      <c r="A686">
        <f>IF(INDEX(L_ID,ROW()-4)="","",IF(COUNTIF(P_ID,INDEX(L_ID,ROW()-4))&gt;0,1,0))</f>
        <v/>
      </c>
      <c r="B686">
        <f>IF(INDEX(P_Type,ROW()-4)="","",TRIM(UPPER(INDEX(P_Type,ROW()-4))))</f>
        <v/>
      </c>
      <c r="D686">
        <f>IF(INDEX(L_Type,ROW()-4)="","",TRIM(UPPER(INDEX(L_Type,ROW()-4))))</f>
        <v/>
      </c>
      <c r="E686">
        <f>IF(INDEX(P_Status,ROW()-4)="","",TRIM(UPPER(INDEX(P_Status,ROW()-4))))</f>
        <v/>
      </c>
      <c r="G686">
        <f>IF(INDEX(L_Status,ROW()-4)="","",TRIM(UPPER(INDEX(L_Status,ROW()-4))))</f>
        <v/>
      </c>
      <c r="J686">
        <f>IF(INDEX(L_ID,ROW()-4)="","",IF(SUMPRODUCT((P_ID=INDEX(L_ID,ROW()-4))*(P_StatusN="INACTIVE"))&gt;0,1,0))</f>
        <v/>
      </c>
    </row>
    <row r="687">
      <c r="A687">
        <f>IF(INDEX(L_ID,ROW()-4)="","",IF(COUNTIF(P_ID,INDEX(L_ID,ROW()-4))&gt;0,1,0))</f>
        <v/>
      </c>
      <c r="B687">
        <f>IF(INDEX(P_Type,ROW()-4)="","",TRIM(UPPER(INDEX(P_Type,ROW()-4))))</f>
        <v/>
      </c>
      <c r="D687">
        <f>IF(INDEX(L_Type,ROW()-4)="","",TRIM(UPPER(INDEX(L_Type,ROW()-4))))</f>
        <v/>
      </c>
      <c r="E687">
        <f>IF(INDEX(P_Status,ROW()-4)="","",TRIM(UPPER(INDEX(P_Status,ROW()-4))))</f>
        <v/>
      </c>
      <c r="G687">
        <f>IF(INDEX(L_Status,ROW()-4)="","",TRIM(UPPER(INDEX(L_Status,ROW()-4))))</f>
        <v/>
      </c>
      <c r="J687">
        <f>IF(INDEX(L_ID,ROW()-4)="","",IF(SUMPRODUCT((P_ID=INDEX(L_ID,ROW()-4))*(P_StatusN="INACTIVE"))&gt;0,1,0))</f>
        <v/>
      </c>
    </row>
    <row r="688">
      <c r="A688">
        <f>IF(INDEX(L_ID,ROW()-4)="","",IF(COUNTIF(P_ID,INDEX(L_ID,ROW()-4))&gt;0,1,0))</f>
        <v/>
      </c>
      <c r="B688">
        <f>IF(INDEX(P_Type,ROW()-4)="","",TRIM(UPPER(INDEX(P_Type,ROW()-4))))</f>
        <v/>
      </c>
      <c r="D688">
        <f>IF(INDEX(L_Type,ROW()-4)="","",TRIM(UPPER(INDEX(L_Type,ROW()-4))))</f>
        <v/>
      </c>
      <c r="E688">
        <f>IF(INDEX(P_Status,ROW()-4)="","",TRIM(UPPER(INDEX(P_Status,ROW()-4))))</f>
        <v/>
      </c>
      <c r="G688">
        <f>IF(INDEX(L_Status,ROW()-4)="","",TRIM(UPPER(INDEX(L_Status,ROW()-4))))</f>
        <v/>
      </c>
      <c r="J688">
        <f>IF(INDEX(L_ID,ROW()-4)="","",IF(SUMPRODUCT((P_ID=INDEX(L_ID,ROW()-4))*(P_StatusN="INACTIVE"))&gt;0,1,0))</f>
        <v/>
      </c>
    </row>
    <row r="689">
      <c r="A689">
        <f>IF(INDEX(L_ID,ROW()-4)="","",IF(COUNTIF(P_ID,INDEX(L_ID,ROW()-4))&gt;0,1,0))</f>
        <v/>
      </c>
      <c r="B689">
        <f>IF(INDEX(P_Type,ROW()-4)="","",TRIM(UPPER(INDEX(P_Type,ROW()-4))))</f>
        <v/>
      </c>
      <c r="D689">
        <f>IF(INDEX(L_Type,ROW()-4)="","",TRIM(UPPER(INDEX(L_Type,ROW()-4))))</f>
        <v/>
      </c>
      <c r="E689">
        <f>IF(INDEX(P_Status,ROW()-4)="","",TRIM(UPPER(INDEX(P_Status,ROW()-4))))</f>
        <v/>
      </c>
      <c r="G689">
        <f>IF(INDEX(L_Status,ROW()-4)="","",TRIM(UPPER(INDEX(L_Status,ROW()-4))))</f>
        <v/>
      </c>
      <c r="J689">
        <f>IF(INDEX(L_ID,ROW()-4)="","",IF(SUMPRODUCT((P_ID=INDEX(L_ID,ROW()-4))*(P_StatusN="INACTIVE"))&gt;0,1,0))</f>
        <v/>
      </c>
    </row>
    <row r="690">
      <c r="A690">
        <f>IF(INDEX(L_ID,ROW()-4)="","",IF(COUNTIF(P_ID,INDEX(L_ID,ROW()-4))&gt;0,1,0))</f>
        <v/>
      </c>
      <c r="B690">
        <f>IF(INDEX(P_Type,ROW()-4)="","",TRIM(UPPER(INDEX(P_Type,ROW()-4))))</f>
        <v/>
      </c>
      <c r="D690">
        <f>IF(INDEX(L_Type,ROW()-4)="","",TRIM(UPPER(INDEX(L_Type,ROW()-4))))</f>
        <v/>
      </c>
      <c r="E690">
        <f>IF(INDEX(P_Status,ROW()-4)="","",TRIM(UPPER(INDEX(P_Status,ROW()-4))))</f>
        <v/>
      </c>
      <c r="G690">
        <f>IF(INDEX(L_Status,ROW()-4)="","",TRIM(UPPER(INDEX(L_Status,ROW()-4))))</f>
        <v/>
      </c>
      <c r="J690">
        <f>IF(INDEX(L_ID,ROW()-4)="","",IF(SUMPRODUCT((P_ID=INDEX(L_ID,ROW()-4))*(P_StatusN="INACTIVE"))&gt;0,1,0))</f>
        <v/>
      </c>
    </row>
    <row r="691">
      <c r="A691">
        <f>IF(INDEX(L_ID,ROW()-4)="","",IF(COUNTIF(P_ID,INDEX(L_ID,ROW()-4))&gt;0,1,0))</f>
        <v/>
      </c>
      <c r="B691">
        <f>IF(INDEX(P_Type,ROW()-4)="","",TRIM(UPPER(INDEX(P_Type,ROW()-4))))</f>
        <v/>
      </c>
      <c r="D691">
        <f>IF(INDEX(L_Type,ROW()-4)="","",TRIM(UPPER(INDEX(L_Type,ROW()-4))))</f>
        <v/>
      </c>
      <c r="E691">
        <f>IF(INDEX(P_Status,ROW()-4)="","",TRIM(UPPER(INDEX(P_Status,ROW()-4))))</f>
        <v/>
      </c>
      <c r="G691">
        <f>IF(INDEX(L_Status,ROW()-4)="","",TRIM(UPPER(INDEX(L_Status,ROW()-4))))</f>
        <v/>
      </c>
      <c r="J691">
        <f>IF(INDEX(L_ID,ROW()-4)="","",IF(SUMPRODUCT((P_ID=INDEX(L_ID,ROW()-4))*(P_StatusN="INACTIVE"))&gt;0,1,0))</f>
        <v/>
      </c>
    </row>
    <row r="692">
      <c r="A692">
        <f>IF(INDEX(L_ID,ROW()-4)="","",IF(COUNTIF(P_ID,INDEX(L_ID,ROW()-4))&gt;0,1,0))</f>
        <v/>
      </c>
      <c r="B692">
        <f>IF(INDEX(P_Type,ROW()-4)="","",TRIM(UPPER(INDEX(P_Type,ROW()-4))))</f>
        <v/>
      </c>
      <c r="D692">
        <f>IF(INDEX(L_Type,ROW()-4)="","",TRIM(UPPER(INDEX(L_Type,ROW()-4))))</f>
        <v/>
      </c>
      <c r="E692">
        <f>IF(INDEX(P_Status,ROW()-4)="","",TRIM(UPPER(INDEX(P_Status,ROW()-4))))</f>
        <v/>
      </c>
      <c r="G692">
        <f>IF(INDEX(L_Status,ROW()-4)="","",TRIM(UPPER(INDEX(L_Status,ROW()-4))))</f>
        <v/>
      </c>
      <c r="J692">
        <f>IF(INDEX(L_ID,ROW()-4)="","",IF(SUMPRODUCT((P_ID=INDEX(L_ID,ROW()-4))*(P_StatusN="INACTIVE"))&gt;0,1,0))</f>
        <v/>
      </c>
    </row>
    <row r="693">
      <c r="A693">
        <f>IF(INDEX(L_ID,ROW()-4)="","",IF(COUNTIF(P_ID,INDEX(L_ID,ROW()-4))&gt;0,1,0))</f>
        <v/>
      </c>
      <c r="B693">
        <f>IF(INDEX(P_Type,ROW()-4)="","",TRIM(UPPER(INDEX(P_Type,ROW()-4))))</f>
        <v/>
      </c>
      <c r="D693">
        <f>IF(INDEX(L_Type,ROW()-4)="","",TRIM(UPPER(INDEX(L_Type,ROW()-4))))</f>
        <v/>
      </c>
      <c r="E693">
        <f>IF(INDEX(P_Status,ROW()-4)="","",TRIM(UPPER(INDEX(P_Status,ROW()-4))))</f>
        <v/>
      </c>
      <c r="G693">
        <f>IF(INDEX(L_Status,ROW()-4)="","",TRIM(UPPER(INDEX(L_Status,ROW()-4))))</f>
        <v/>
      </c>
      <c r="J693">
        <f>IF(INDEX(L_ID,ROW()-4)="","",IF(SUMPRODUCT((P_ID=INDEX(L_ID,ROW()-4))*(P_StatusN="INACTIVE"))&gt;0,1,0))</f>
        <v/>
      </c>
    </row>
    <row r="694">
      <c r="A694">
        <f>IF(INDEX(L_ID,ROW()-4)="","",IF(COUNTIF(P_ID,INDEX(L_ID,ROW()-4))&gt;0,1,0))</f>
        <v/>
      </c>
      <c r="B694">
        <f>IF(INDEX(P_Type,ROW()-4)="","",TRIM(UPPER(INDEX(P_Type,ROW()-4))))</f>
        <v/>
      </c>
      <c r="D694">
        <f>IF(INDEX(L_Type,ROW()-4)="","",TRIM(UPPER(INDEX(L_Type,ROW()-4))))</f>
        <v/>
      </c>
      <c r="E694">
        <f>IF(INDEX(P_Status,ROW()-4)="","",TRIM(UPPER(INDEX(P_Status,ROW()-4))))</f>
        <v/>
      </c>
      <c r="G694">
        <f>IF(INDEX(L_Status,ROW()-4)="","",TRIM(UPPER(INDEX(L_Status,ROW()-4))))</f>
        <v/>
      </c>
      <c r="J694">
        <f>IF(INDEX(L_ID,ROW()-4)="","",IF(SUMPRODUCT((P_ID=INDEX(L_ID,ROW()-4))*(P_StatusN="INACTIVE"))&gt;0,1,0))</f>
        <v/>
      </c>
    </row>
    <row r="695">
      <c r="A695">
        <f>IF(INDEX(L_ID,ROW()-4)="","",IF(COUNTIF(P_ID,INDEX(L_ID,ROW()-4))&gt;0,1,0))</f>
        <v/>
      </c>
      <c r="B695">
        <f>IF(INDEX(P_Type,ROW()-4)="","",TRIM(UPPER(INDEX(P_Type,ROW()-4))))</f>
        <v/>
      </c>
      <c r="D695">
        <f>IF(INDEX(L_Type,ROW()-4)="","",TRIM(UPPER(INDEX(L_Type,ROW()-4))))</f>
        <v/>
      </c>
      <c r="E695">
        <f>IF(INDEX(P_Status,ROW()-4)="","",TRIM(UPPER(INDEX(P_Status,ROW()-4))))</f>
        <v/>
      </c>
      <c r="G695">
        <f>IF(INDEX(L_Status,ROW()-4)="","",TRIM(UPPER(INDEX(L_Status,ROW()-4))))</f>
        <v/>
      </c>
      <c r="J695">
        <f>IF(INDEX(L_ID,ROW()-4)="","",IF(SUMPRODUCT((P_ID=INDEX(L_ID,ROW()-4))*(P_StatusN="INACTIVE"))&gt;0,1,0))</f>
        <v/>
      </c>
    </row>
    <row r="696">
      <c r="A696">
        <f>IF(INDEX(L_ID,ROW()-4)="","",IF(COUNTIF(P_ID,INDEX(L_ID,ROW()-4))&gt;0,1,0))</f>
        <v/>
      </c>
      <c r="B696">
        <f>IF(INDEX(P_Type,ROW()-4)="","",TRIM(UPPER(INDEX(P_Type,ROW()-4))))</f>
        <v/>
      </c>
      <c r="D696">
        <f>IF(INDEX(L_Type,ROW()-4)="","",TRIM(UPPER(INDEX(L_Type,ROW()-4))))</f>
        <v/>
      </c>
      <c r="E696">
        <f>IF(INDEX(P_Status,ROW()-4)="","",TRIM(UPPER(INDEX(P_Status,ROW()-4))))</f>
        <v/>
      </c>
      <c r="G696">
        <f>IF(INDEX(L_Status,ROW()-4)="","",TRIM(UPPER(INDEX(L_Status,ROW()-4))))</f>
        <v/>
      </c>
      <c r="J696">
        <f>IF(INDEX(L_ID,ROW()-4)="","",IF(SUMPRODUCT((P_ID=INDEX(L_ID,ROW()-4))*(P_StatusN="INACTIVE"))&gt;0,1,0))</f>
        <v/>
      </c>
    </row>
    <row r="697">
      <c r="A697">
        <f>IF(INDEX(L_ID,ROW()-4)="","",IF(COUNTIF(P_ID,INDEX(L_ID,ROW()-4))&gt;0,1,0))</f>
        <v/>
      </c>
      <c r="B697">
        <f>IF(INDEX(P_Type,ROW()-4)="","",TRIM(UPPER(INDEX(P_Type,ROW()-4))))</f>
        <v/>
      </c>
      <c r="D697">
        <f>IF(INDEX(L_Type,ROW()-4)="","",TRIM(UPPER(INDEX(L_Type,ROW()-4))))</f>
        <v/>
      </c>
      <c r="E697">
        <f>IF(INDEX(P_Status,ROW()-4)="","",TRIM(UPPER(INDEX(P_Status,ROW()-4))))</f>
        <v/>
      </c>
      <c r="G697">
        <f>IF(INDEX(L_Status,ROW()-4)="","",TRIM(UPPER(INDEX(L_Status,ROW()-4))))</f>
        <v/>
      </c>
      <c r="J697">
        <f>IF(INDEX(L_ID,ROW()-4)="","",IF(SUMPRODUCT((P_ID=INDEX(L_ID,ROW()-4))*(P_StatusN="INACTIVE"))&gt;0,1,0))</f>
        <v/>
      </c>
    </row>
    <row r="698">
      <c r="A698">
        <f>IF(INDEX(L_ID,ROW()-4)="","",IF(COUNTIF(P_ID,INDEX(L_ID,ROW()-4))&gt;0,1,0))</f>
        <v/>
      </c>
      <c r="B698">
        <f>IF(INDEX(P_Type,ROW()-4)="","",TRIM(UPPER(INDEX(P_Type,ROW()-4))))</f>
        <v/>
      </c>
      <c r="D698">
        <f>IF(INDEX(L_Type,ROW()-4)="","",TRIM(UPPER(INDEX(L_Type,ROW()-4))))</f>
        <v/>
      </c>
      <c r="E698">
        <f>IF(INDEX(P_Status,ROW()-4)="","",TRIM(UPPER(INDEX(P_Status,ROW()-4))))</f>
        <v/>
      </c>
      <c r="G698">
        <f>IF(INDEX(L_Status,ROW()-4)="","",TRIM(UPPER(INDEX(L_Status,ROW()-4))))</f>
        <v/>
      </c>
      <c r="J698">
        <f>IF(INDEX(L_ID,ROW()-4)="","",IF(SUMPRODUCT((P_ID=INDEX(L_ID,ROW()-4))*(P_StatusN="INACTIVE"))&gt;0,1,0))</f>
        <v/>
      </c>
    </row>
    <row r="699">
      <c r="A699">
        <f>IF(INDEX(L_ID,ROW()-4)="","",IF(COUNTIF(P_ID,INDEX(L_ID,ROW()-4))&gt;0,1,0))</f>
        <v/>
      </c>
      <c r="B699">
        <f>IF(INDEX(P_Type,ROW()-4)="","",TRIM(UPPER(INDEX(P_Type,ROW()-4))))</f>
        <v/>
      </c>
      <c r="D699">
        <f>IF(INDEX(L_Type,ROW()-4)="","",TRIM(UPPER(INDEX(L_Type,ROW()-4))))</f>
        <v/>
      </c>
      <c r="E699">
        <f>IF(INDEX(P_Status,ROW()-4)="","",TRIM(UPPER(INDEX(P_Status,ROW()-4))))</f>
        <v/>
      </c>
      <c r="G699">
        <f>IF(INDEX(L_Status,ROW()-4)="","",TRIM(UPPER(INDEX(L_Status,ROW()-4))))</f>
        <v/>
      </c>
      <c r="J699">
        <f>IF(INDEX(L_ID,ROW()-4)="","",IF(SUMPRODUCT((P_ID=INDEX(L_ID,ROW()-4))*(P_StatusN="INACTIVE"))&gt;0,1,0))</f>
        <v/>
      </c>
    </row>
    <row r="700">
      <c r="A700">
        <f>IF(INDEX(L_ID,ROW()-4)="","",IF(COUNTIF(P_ID,INDEX(L_ID,ROW()-4))&gt;0,1,0))</f>
        <v/>
      </c>
      <c r="B700">
        <f>IF(INDEX(P_Type,ROW()-4)="","",TRIM(UPPER(INDEX(P_Type,ROW()-4))))</f>
        <v/>
      </c>
      <c r="D700">
        <f>IF(INDEX(L_Type,ROW()-4)="","",TRIM(UPPER(INDEX(L_Type,ROW()-4))))</f>
        <v/>
      </c>
      <c r="E700">
        <f>IF(INDEX(P_Status,ROW()-4)="","",TRIM(UPPER(INDEX(P_Status,ROW()-4))))</f>
        <v/>
      </c>
      <c r="G700">
        <f>IF(INDEX(L_Status,ROW()-4)="","",TRIM(UPPER(INDEX(L_Status,ROW()-4))))</f>
        <v/>
      </c>
      <c r="J700">
        <f>IF(INDEX(L_ID,ROW()-4)="","",IF(SUMPRODUCT((P_ID=INDEX(L_ID,ROW()-4))*(P_StatusN="INACTIVE"))&gt;0,1,0))</f>
        <v/>
      </c>
    </row>
    <row r="701">
      <c r="A701">
        <f>IF(INDEX(L_ID,ROW()-4)="","",IF(COUNTIF(P_ID,INDEX(L_ID,ROW()-4))&gt;0,1,0))</f>
        <v/>
      </c>
      <c r="B701">
        <f>IF(INDEX(P_Type,ROW()-4)="","",TRIM(UPPER(INDEX(P_Type,ROW()-4))))</f>
        <v/>
      </c>
      <c r="D701">
        <f>IF(INDEX(L_Type,ROW()-4)="","",TRIM(UPPER(INDEX(L_Type,ROW()-4))))</f>
        <v/>
      </c>
      <c r="E701">
        <f>IF(INDEX(P_Status,ROW()-4)="","",TRIM(UPPER(INDEX(P_Status,ROW()-4))))</f>
        <v/>
      </c>
      <c r="G701">
        <f>IF(INDEX(L_Status,ROW()-4)="","",TRIM(UPPER(INDEX(L_Status,ROW()-4))))</f>
        <v/>
      </c>
      <c r="J701">
        <f>IF(INDEX(L_ID,ROW()-4)="","",IF(SUMPRODUCT((P_ID=INDEX(L_ID,ROW()-4))*(P_StatusN="INACTIVE"))&gt;0,1,0))</f>
        <v/>
      </c>
    </row>
    <row r="702">
      <c r="A702">
        <f>IF(INDEX(L_ID,ROW()-4)="","",IF(COUNTIF(P_ID,INDEX(L_ID,ROW()-4))&gt;0,1,0))</f>
        <v/>
      </c>
      <c r="B702">
        <f>IF(INDEX(P_Type,ROW()-4)="","",TRIM(UPPER(INDEX(P_Type,ROW()-4))))</f>
        <v/>
      </c>
      <c r="D702">
        <f>IF(INDEX(L_Type,ROW()-4)="","",TRIM(UPPER(INDEX(L_Type,ROW()-4))))</f>
        <v/>
      </c>
      <c r="E702">
        <f>IF(INDEX(P_Status,ROW()-4)="","",TRIM(UPPER(INDEX(P_Status,ROW()-4))))</f>
        <v/>
      </c>
      <c r="G702">
        <f>IF(INDEX(L_Status,ROW()-4)="","",TRIM(UPPER(INDEX(L_Status,ROW()-4))))</f>
        <v/>
      </c>
      <c r="J702">
        <f>IF(INDEX(L_ID,ROW()-4)="","",IF(SUMPRODUCT((P_ID=INDEX(L_ID,ROW()-4))*(P_StatusN="INACTIVE"))&gt;0,1,0))</f>
        <v/>
      </c>
    </row>
    <row r="703">
      <c r="A703">
        <f>IF(INDEX(L_ID,ROW()-4)="","",IF(COUNTIF(P_ID,INDEX(L_ID,ROW()-4))&gt;0,1,0))</f>
        <v/>
      </c>
      <c r="B703">
        <f>IF(INDEX(P_Type,ROW()-4)="","",TRIM(UPPER(INDEX(P_Type,ROW()-4))))</f>
        <v/>
      </c>
      <c r="D703">
        <f>IF(INDEX(L_Type,ROW()-4)="","",TRIM(UPPER(INDEX(L_Type,ROW()-4))))</f>
        <v/>
      </c>
      <c r="E703">
        <f>IF(INDEX(P_Status,ROW()-4)="","",TRIM(UPPER(INDEX(P_Status,ROW()-4))))</f>
        <v/>
      </c>
      <c r="G703">
        <f>IF(INDEX(L_Status,ROW()-4)="","",TRIM(UPPER(INDEX(L_Status,ROW()-4))))</f>
        <v/>
      </c>
      <c r="J703">
        <f>IF(INDEX(L_ID,ROW()-4)="","",IF(SUMPRODUCT((P_ID=INDEX(L_ID,ROW()-4))*(P_StatusN="INACTIVE"))&gt;0,1,0))</f>
        <v/>
      </c>
    </row>
    <row r="704">
      <c r="A704">
        <f>IF(INDEX(L_ID,ROW()-4)="","",IF(COUNTIF(P_ID,INDEX(L_ID,ROW()-4))&gt;0,1,0))</f>
        <v/>
      </c>
      <c r="B704">
        <f>IF(INDEX(P_Type,ROW()-4)="","",TRIM(UPPER(INDEX(P_Type,ROW()-4))))</f>
        <v/>
      </c>
      <c r="D704">
        <f>IF(INDEX(L_Type,ROW()-4)="","",TRIM(UPPER(INDEX(L_Type,ROW()-4))))</f>
        <v/>
      </c>
      <c r="E704">
        <f>IF(INDEX(P_Status,ROW()-4)="","",TRIM(UPPER(INDEX(P_Status,ROW()-4))))</f>
        <v/>
      </c>
      <c r="G704">
        <f>IF(INDEX(L_Status,ROW()-4)="","",TRIM(UPPER(INDEX(L_Status,ROW()-4))))</f>
        <v/>
      </c>
      <c r="J704">
        <f>IF(INDEX(L_ID,ROW()-4)="","",IF(SUMPRODUCT((P_ID=INDEX(L_ID,ROW()-4))*(P_StatusN="INACTIVE"))&gt;0,1,0))</f>
        <v/>
      </c>
    </row>
    <row r="705">
      <c r="A705">
        <f>IF(INDEX(L_ID,ROW()-4)="","",IF(COUNTIF(P_ID,INDEX(L_ID,ROW()-4))&gt;0,1,0))</f>
        <v/>
      </c>
      <c r="B705">
        <f>IF(INDEX(P_Type,ROW()-4)="","",TRIM(UPPER(INDEX(P_Type,ROW()-4))))</f>
        <v/>
      </c>
      <c r="D705">
        <f>IF(INDEX(L_Type,ROW()-4)="","",TRIM(UPPER(INDEX(L_Type,ROW()-4))))</f>
        <v/>
      </c>
      <c r="E705">
        <f>IF(INDEX(P_Status,ROW()-4)="","",TRIM(UPPER(INDEX(P_Status,ROW()-4))))</f>
        <v/>
      </c>
      <c r="G705">
        <f>IF(INDEX(L_Status,ROW()-4)="","",TRIM(UPPER(INDEX(L_Status,ROW()-4))))</f>
        <v/>
      </c>
      <c r="J705">
        <f>IF(INDEX(L_ID,ROW()-4)="","",IF(SUMPRODUCT((P_ID=INDEX(L_ID,ROW()-4))*(P_StatusN="INACTIVE"))&gt;0,1,0))</f>
        <v/>
      </c>
    </row>
    <row r="706">
      <c r="A706">
        <f>IF(INDEX(L_ID,ROW()-4)="","",IF(COUNTIF(P_ID,INDEX(L_ID,ROW()-4))&gt;0,1,0))</f>
        <v/>
      </c>
      <c r="B706">
        <f>IF(INDEX(P_Type,ROW()-4)="","",TRIM(UPPER(INDEX(P_Type,ROW()-4))))</f>
        <v/>
      </c>
      <c r="D706">
        <f>IF(INDEX(L_Type,ROW()-4)="","",TRIM(UPPER(INDEX(L_Type,ROW()-4))))</f>
        <v/>
      </c>
      <c r="E706">
        <f>IF(INDEX(P_Status,ROW()-4)="","",TRIM(UPPER(INDEX(P_Status,ROW()-4))))</f>
        <v/>
      </c>
      <c r="G706">
        <f>IF(INDEX(L_Status,ROW()-4)="","",TRIM(UPPER(INDEX(L_Status,ROW()-4))))</f>
        <v/>
      </c>
      <c r="J706">
        <f>IF(INDEX(L_ID,ROW()-4)="","",IF(SUMPRODUCT((P_ID=INDEX(L_ID,ROW()-4))*(P_StatusN="INACTIVE"))&gt;0,1,0))</f>
        <v/>
      </c>
    </row>
    <row r="707">
      <c r="A707">
        <f>IF(INDEX(L_ID,ROW()-4)="","",IF(COUNTIF(P_ID,INDEX(L_ID,ROW()-4))&gt;0,1,0))</f>
        <v/>
      </c>
      <c r="B707">
        <f>IF(INDEX(P_Type,ROW()-4)="","",TRIM(UPPER(INDEX(P_Type,ROW()-4))))</f>
        <v/>
      </c>
      <c r="D707">
        <f>IF(INDEX(L_Type,ROW()-4)="","",TRIM(UPPER(INDEX(L_Type,ROW()-4))))</f>
        <v/>
      </c>
      <c r="E707">
        <f>IF(INDEX(P_Status,ROW()-4)="","",TRIM(UPPER(INDEX(P_Status,ROW()-4))))</f>
        <v/>
      </c>
      <c r="G707">
        <f>IF(INDEX(L_Status,ROW()-4)="","",TRIM(UPPER(INDEX(L_Status,ROW()-4))))</f>
        <v/>
      </c>
      <c r="J707">
        <f>IF(INDEX(L_ID,ROW()-4)="","",IF(SUMPRODUCT((P_ID=INDEX(L_ID,ROW()-4))*(P_StatusN="INACTIVE"))&gt;0,1,0))</f>
        <v/>
      </c>
    </row>
    <row r="708">
      <c r="A708">
        <f>IF(INDEX(L_ID,ROW()-4)="","",IF(COUNTIF(P_ID,INDEX(L_ID,ROW()-4))&gt;0,1,0))</f>
        <v/>
      </c>
      <c r="B708">
        <f>IF(INDEX(P_Type,ROW()-4)="","",TRIM(UPPER(INDEX(P_Type,ROW()-4))))</f>
        <v/>
      </c>
      <c r="D708">
        <f>IF(INDEX(L_Type,ROW()-4)="","",TRIM(UPPER(INDEX(L_Type,ROW()-4))))</f>
        <v/>
      </c>
      <c r="E708">
        <f>IF(INDEX(P_Status,ROW()-4)="","",TRIM(UPPER(INDEX(P_Status,ROW()-4))))</f>
        <v/>
      </c>
      <c r="G708">
        <f>IF(INDEX(L_Status,ROW()-4)="","",TRIM(UPPER(INDEX(L_Status,ROW()-4))))</f>
        <v/>
      </c>
      <c r="J708">
        <f>IF(INDEX(L_ID,ROW()-4)="","",IF(SUMPRODUCT((P_ID=INDEX(L_ID,ROW()-4))*(P_StatusN="INACTIVE"))&gt;0,1,0))</f>
        <v/>
      </c>
    </row>
    <row r="709">
      <c r="A709">
        <f>IF(INDEX(L_ID,ROW()-4)="","",IF(COUNTIF(P_ID,INDEX(L_ID,ROW()-4))&gt;0,1,0))</f>
        <v/>
      </c>
      <c r="B709">
        <f>IF(INDEX(P_Type,ROW()-4)="","",TRIM(UPPER(INDEX(P_Type,ROW()-4))))</f>
        <v/>
      </c>
      <c r="D709">
        <f>IF(INDEX(L_Type,ROW()-4)="","",TRIM(UPPER(INDEX(L_Type,ROW()-4))))</f>
        <v/>
      </c>
      <c r="E709">
        <f>IF(INDEX(P_Status,ROW()-4)="","",TRIM(UPPER(INDEX(P_Status,ROW()-4))))</f>
        <v/>
      </c>
      <c r="G709">
        <f>IF(INDEX(L_Status,ROW()-4)="","",TRIM(UPPER(INDEX(L_Status,ROW()-4))))</f>
        <v/>
      </c>
      <c r="J709">
        <f>IF(INDEX(L_ID,ROW()-4)="","",IF(SUMPRODUCT((P_ID=INDEX(L_ID,ROW()-4))*(P_StatusN="INACTIVE"))&gt;0,1,0))</f>
        <v/>
      </c>
    </row>
    <row r="710">
      <c r="A710">
        <f>IF(INDEX(L_ID,ROW()-4)="","",IF(COUNTIF(P_ID,INDEX(L_ID,ROW()-4))&gt;0,1,0))</f>
        <v/>
      </c>
      <c r="B710">
        <f>IF(INDEX(P_Type,ROW()-4)="","",TRIM(UPPER(INDEX(P_Type,ROW()-4))))</f>
        <v/>
      </c>
      <c r="D710">
        <f>IF(INDEX(L_Type,ROW()-4)="","",TRIM(UPPER(INDEX(L_Type,ROW()-4))))</f>
        <v/>
      </c>
      <c r="E710">
        <f>IF(INDEX(P_Status,ROW()-4)="","",TRIM(UPPER(INDEX(P_Status,ROW()-4))))</f>
        <v/>
      </c>
      <c r="G710">
        <f>IF(INDEX(L_Status,ROW()-4)="","",TRIM(UPPER(INDEX(L_Status,ROW()-4))))</f>
        <v/>
      </c>
      <c r="J710">
        <f>IF(INDEX(L_ID,ROW()-4)="","",IF(SUMPRODUCT((P_ID=INDEX(L_ID,ROW()-4))*(P_StatusN="INACTIVE"))&gt;0,1,0))</f>
        <v/>
      </c>
    </row>
    <row r="711">
      <c r="A711">
        <f>IF(INDEX(L_ID,ROW()-4)="","",IF(COUNTIF(P_ID,INDEX(L_ID,ROW()-4))&gt;0,1,0))</f>
        <v/>
      </c>
      <c r="B711">
        <f>IF(INDEX(P_Type,ROW()-4)="","",TRIM(UPPER(INDEX(P_Type,ROW()-4))))</f>
        <v/>
      </c>
      <c r="D711">
        <f>IF(INDEX(L_Type,ROW()-4)="","",TRIM(UPPER(INDEX(L_Type,ROW()-4))))</f>
        <v/>
      </c>
      <c r="E711">
        <f>IF(INDEX(P_Status,ROW()-4)="","",TRIM(UPPER(INDEX(P_Status,ROW()-4))))</f>
        <v/>
      </c>
      <c r="G711">
        <f>IF(INDEX(L_Status,ROW()-4)="","",TRIM(UPPER(INDEX(L_Status,ROW()-4))))</f>
        <v/>
      </c>
      <c r="J711">
        <f>IF(INDEX(L_ID,ROW()-4)="","",IF(SUMPRODUCT((P_ID=INDEX(L_ID,ROW()-4))*(P_StatusN="INACTIVE"))&gt;0,1,0))</f>
        <v/>
      </c>
    </row>
    <row r="712">
      <c r="A712">
        <f>IF(INDEX(L_ID,ROW()-4)="","",IF(COUNTIF(P_ID,INDEX(L_ID,ROW()-4))&gt;0,1,0))</f>
        <v/>
      </c>
      <c r="B712">
        <f>IF(INDEX(P_Type,ROW()-4)="","",TRIM(UPPER(INDEX(P_Type,ROW()-4))))</f>
        <v/>
      </c>
      <c r="D712">
        <f>IF(INDEX(L_Type,ROW()-4)="","",TRIM(UPPER(INDEX(L_Type,ROW()-4))))</f>
        <v/>
      </c>
      <c r="E712">
        <f>IF(INDEX(P_Status,ROW()-4)="","",TRIM(UPPER(INDEX(P_Status,ROW()-4))))</f>
        <v/>
      </c>
      <c r="G712">
        <f>IF(INDEX(L_Status,ROW()-4)="","",TRIM(UPPER(INDEX(L_Status,ROW()-4))))</f>
        <v/>
      </c>
      <c r="J712">
        <f>IF(INDEX(L_ID,ROW()-4)="","",IF(SUMPRODUCT((P_ID=INDEX(L_ID,ROW()-4))*(P_StatusN="INACTIVE"))&gt;0,1,0))</f>
        <v/>
      </c>
    </row>
    <row r="713">
      <c r="A713">
        <f>IF(INDEX(L_ID,ROW()-4)="","",IF(COUNTIF(P_ID,INDEX(L_ID,ROW()-4))&gt;0,1,0))</f>
        <v/>
      </c>
      <c r="B713">
        <f>IF(INDEX(P_Type,ROW()-4)="","",TRIM(UPPER(INDEX(P_Type,ROW()-4))))</f>
        <v/>
      </c>
      <c r="D713">
        <f>IF(INDEX(L_Type,ROW()-4)="","",TRIM(UPPER(INDEX(L_Type,ROW()-4))))</f>
        <v/>
      </c>
      <c r="E713">
        <f>IF(INDEX(P_Status,ROW()-4)="","",TRIM(UPPER(INDEX(P_Status,ROW()-4))))</f>
        <v/>
      </c>
      <c r="G713">
        <f>IF(INDEX(L_Status,ROW()-4)="","",TRIM(UPPER(INDEX(L_Status,ROW()-4))))</f>
        <v/>
      </c>
      <c r="J713">
        <f>IF(INDEX(L_ID,ROW()-4)="","",IF(SUMPRODUCT((P_ID=INDEX(L_ID,ROW()-4))*(P_StatusN="INACTIVE"))&gt;0,1,0))</f>
        <v/>
      </c>
    </row>
    <row r="714">
      <c r="A714">
        <f>IF(INDEX(L_ID,ROW()-4)="","",IF(COUNTIF(P_ID,INDEX(L_ID,ROW()-4))&gt;0,1,0))</f>
        <v/>
      </c>
      <c r="B714">
        <f>IF(INDEX(P_Type,ROW()-4)="","",TRIM(UPPER(INDEX(P_Type,ROW()-4))))</f>
        <v/>
      </c>
      <c r="D714">
        <f>IF(INDEX(L_Type,ROW()-4)="","",TRIM(UPPER(INDEX(L_Type,ROW()-4))))</f>
        <v/>
      </c>
      <c r="E714">
        <f>IF(INDEX(P_Status,ROW()-4)="","",TRIM(UPPER(INDEX(P_Status,ROW()-4))))</f>
        <v/>
      </c>
      <c r="G714">
        <f>IF(INDEX(L_Status,ROW()-4)="","",TRIM(UPPER(INDEX(L_Status,ROW()-4))))</f>
        <v/>
      </c>
      <c r="J714">
        <f>IF(INDEX(L_ID,ROW()-4)="","",IF(SUMPRODUCT((P_ID=INDEX(L_ID,ROW()-4))*(P_StatusN="INACTIVE"))&gt;0,1,0))</f>
        <v/>
      </c>
    </row>
    <row r="715">
      <c r="A715">
        <f>IF(INDEX(L_ID,ROW()-4)="","",IF(COUNTIF(P_ID,INDEX(L_ID,ROW()-4))&gt;0,1,0))</f>
        <v/>
      </c>
      <c r="B715">
        <f>IF(INDEX(P_Type,ROW()-4)="","",TRIM(UPPER(INDEX(P_Type,ROW()-4))))</f>
        <v/>
      </c>
      <c r="D715">
        <f>IF(INDEX(L_Type,ROW()-4)="","",TRIM(UPPER(INDEX(L_Type,ROW()-4))))</f>
        <v/>
      </c>
      <c r="E715">
        <f>IF(INDEX(P_Status,ROW()-4)="","",TRIM(UPPER(INDEX(P_Status,ROW()-4))))</f>
        <v/>
      </c>
      <c r="G715">
        <f>IF(INDEX(L_Status,ROW()-4)="","",TRIM(UPPER(INDEX(L_Status,ROW()-4))))</f>
        <v/>
      </c>
      <c r="J715">
        <f>IF(INDEX(L_ID,ROW()-4)="","",IF(SUMPRODUCT((P_ID=INDEX(L_ID,ROW()-4))*(P_StatusN="INACTIVE"))&gt;0,1,0))</f>
        <v/>
      </c>
    </row>
    <row r="716">
      <c r="A716">
        <f>IF(INDEX(L_ID,ROW()-4)="","",IF(COUNTIF(P_ID,INDEX(L_ID,ROW()-4))&gt;0,1,0))</f>
        <v/>
      </c>
      <c r="B716">
        <f>IF(INDEX(P_Type,ROW()-4)="","",TRIM(UPPER(INDEX(P_Type,ROW()-4))))</f>
        <v/>
      </c>
      <c r="D716">
        <f>IF(INDEX(L_Type,ROW()-4)="","",TRIM(UPPER(INDEX(L_Type,ROW()-4))))</f>
        <v/>
      </c>
      <c r="E716">
        <f>IF(INDEX(P_Status,ROW()-4)="","",TRIM(UPPER(INDEX(P_Status,ROW()-4))))</f>
        <v/>
      </c>
      <c r="G716">
        <f>IF(INDEX(L_Status,ROW()-4)="","",TRIM(UPPER(INDEX(L_Status,ROW()-4))))</f>
        <v/>
      </c>
      <c r="J716">
        <f>IF(INDEX(L_ID,ROW()-4)="","",IF(SUMPRODUCT((P_ID=INDEX(L_ID,ROW()-4))*(P_StatusN="INACTIVE"))&gt;0,1,0))</f>
        <v/>
      </c>
    </row>
    <row r="717">
      <c r="A717">
        <f>IF(INDEX(L_ID,ROW()-4)="","",IF(COUNTIF(P_ID,INDEX(L_ID,ROW()-4))&gt;0,1,0))</f>
        <v/>
      </c>
      <c r="B717">
        <f>IF(INDEX(P_Type,ROW()-4)="","",TRIM(UPPER(INDEX(P_Type,ROW()-4))))</f>
        <v/>
      </c>
      <c r="D717">
        <f>IF(INDEX(L_Type,ROW()-4)="","",TRIM(UPPER(INDEX(L_Type,ROW()-4))))</f>
        <v/>
      </c>
      <c r="E717">
        <f>IF(INDEX(P_Status,ROW()-4)="","",TRIM(UPPER(INDEX(P_Status,ROW()-4))))</f>
        <v/>
      </c>
      <c r="G717">
        <f>IF(INDEX(L_Status,ROW()-4)="","",TRIM(UPPER(INDEX(L_Status,ROW()-4))))</f>
        <v/>
      </c>
      <c r="J717">
        <f>IF(INDEX(L_ID,ROW()-4)="","",IF(SUMPRODUCT((P_ID=INDEX(L_ID,ROW()-4))*(P_StatusN="INACTIVE"))&gt;0,1,0))</f>
        <v/>
      </c>
    </row>
    <row r="718">
      <c r="A718">
        <f>IF(INDEX(L_ID,ROW()-4)="","",IF(COUNTIF(P_ID,INDEX(L_ID,ROW()-4))&gt;0,1,0))</f>
        <v/>
      </c>
      <c r="B718">
        <f>IF(INDEX(P_Type,ROW()-4)="","",TRIM(UPPER(INDEX(P_Type,ROW()-4))))</f>
        <v/>
      </c>
      <c r="D718">
        <f>IF(INDEX(L_Type,ROW()-4)="","",TRIM(UPPER(INDEX(L_Type,ROW()-4))))</f>
        <v/>
      </c>
      <c r="E718">
        <f>IF(INDEX(P_Status,ROW()-4)="","",TRIM(UPPER(INDEX(P_Status,ROW()-4))))</f>
        <v/>
      </c>
      <c r="G718">
        <f>IF(INDEX(L_Status,ROW()-4)="","",TRIM(UPPER(INDEX(L_Status,ROW()-4))))</f>
        <v/>
      </c>
      <c r="J718">
        <f>IF(INDEX(L_ID,ROW()-4)="","",IF(SUMPRODUCT((P_ID=INDEX(L_ID,ROW()-4))*(P_StatusN="INACTIVE"))&gt;0,1,0))</f>
        <v/>
      </c>
    </row>
    <row r="719">
      <c r="A719">
        <f>IF(INDEX(L_ID,ROW()-4)="","",IF(COUNTIF(P_ID,INDEX(L_ID,ROW()-4))&gt;0,1,0))</f>
        <v/>
      </c>
      <c r="B719">
        <f>IF(INDEX(P_Type,ROW()-4)="","",TRIM(UPPER(INDEX(P_Type,ROW()-4))))</f>
        <v/>
      </c>
      <c r="D719">
        <f>IF(INDEX(L_Type,ROW()-4)="","",TRIM(UPPER(INDEX(L_Type,ROW()-4))))</f>
        <v/>
      </c>
      <c r="E719">
        <f>IF(INDEX(P_Status,ROW()-4)="","",TRIM(UPPER(INDEX(P_Status,ROW()-4))))</f>
        <v/>
      </c>
      <c r="G719">
        <f>IF(INDEX(L_Status,ROW()-4)="","",TRIM(UPPER(INDEX(L_Status,ROW()-4))))</f>
        <v/>
      </c>
      <c r="J719">
        <f>IF(INDEX(L_ID,ROW()-4)="","",IF(SUMPRODUCT((P_ID=INDEX(L_ID,ROW()-4))*(P_StatusN="INACTIVE"))&gt;0,1,0))</f>
        <v/>
      </c>
    </row>
    <row r="720">
      <c r="A720">
        <f>IF(INDEX(L_ID,ROW()-4)="","",IF(COUNTIF(P_ID,INDEX(L_ID,ROW()-4))&gt;0,1,0))</f>
        <v/>
      </c>
      <c r="B720">
        <f>IF(INDEX(P_Type,ROW()-4)="","",TRIM(UPPER(INDEX(P_Type,ROW()-4))))</f>
        <v/>
      </c>
      <c r="D720">
        <f>IF(INDEX(L_Type,ROW()-4)="","",TRIM(UPPER(INDEX(L_Type,ROW()-4))))</f>
        <v/>
      </c>
      <c r="E720">
        <f>IF(INDEX(P_Status,ROW()-4)="","",TRIM(UPPER(INDEX(P_Status,ROW()-4))))</f>
        <v/>
      </c>
      <c r="G720">
        <f>IF(INDEX(L_Status,ROW()-4)="","",TRIM(UPPER(INDEX(L_Status,ROW()-4))))</f>
        <v/>
      </c>
      <c r="J720">
        <f>IF(INDEX(L_ID,ROW()-4)="","",IF(SUMPRODUCT((P_ID=INDEX(L_ID,ROW()-4))*(P_StatusN="INACTIVE"))&gt;0,1,0))</f>
        <v/>
      </c>
    </row>
    <row r="721">
      <c r="A721">
        <f>IF(INDEX(L_ID,ROW()-4)="","",IF(COUNTIF(P_ID,INDEX(L_ID,ROW()-4))&gt;0,1,0))</f>
        <v/>
      </c>
      <c r="B721">
        <f>IF(INDEX(P_Type,ROW()-4)="","",TRIM(UPPER(INDEX(P_Type,ROW()-4))))</f>
        <v/>
      </c>
      <c r="D721">
        <f>IF(INDEX(L_Type,ROW()-4)="","",TRIM(UPPER(INDEX(L_Type,ROW()-4))))</f>
        <v/>
      </c>
      <c r="E721">
        <f>IF(INDEX(P_Status,ROW()-4)="","",TRIM(UPPER(INDEX(P_Status,ROW()-4))))</f>
        <v/>
      </c>
      <c r="G721">
        <f>IF(INDEX(L_Status,ROW()-4)="","",TRIM(UPPER(INDEX(L_Status,ROW()-4))))</f>
        <v/>
      </c>
      <c r="J721">
        <f>IF(INDEX(L_ID,ROW()-4)="","",IF(SUMPRODUCT((P_ID=INDEX(L_ID,ROW()-4))*(P_StatusN="INACTIVE"))&gt;0,1,0))</f>
        <v/>
      </c>
    </row>
    <row r="722">
      <c r="A722">
        <f>IF(INDEX(L_ID,ROW()-4)="","",IF(COUNTIF(P_ID,INDEX(L_ID,ROW()-4))&gt;0,1,0))</f>
        <v/>
      </c>
      <c r="B722">
        <f>IF(INDEX(P_Type,ROW()-4)="","",TRIM(UPPER(INDEX(P_Type,ROW()-4))))</f>
        <v/>
      </c>
      <c r="D722">
        <f>IF(INDEX(L_Type,ROW()-4)="","",TRIM(UPPER(INDEX(L_Type,ROW()-4))))</f>
        <v/>
      </c>
      <c r="E722">
        <f>IF(INDEX(P_Status,ROW()-4)="","",TRIM(UPPER(INDEX(P_Status,ROW()-4))))</f>
        <v/>
      </c>
      <c r="G722">
        <f>IF(INDEX(L_Status,ROW()-4)="","",TRIM(UPPER(INDEX(L_Status,ROW()-4))))</f>
        <v/>
      </c>
      <c r="J722">
        <f>IF(INDEX(L_ID,ROW()-4)="","",IF(SUMPRODUCT((P_ID=INDEX(L_ID,ROW()-4))*(P_StatusN="INACTIVE"))&gt;0,1,0))</f>
        <v/>
      </c>
    </row>
    <row r="723">
      <c r="A723">
        <f>IF(INDEX(L_ID,ROW()-4)="","",IF(COUNTIF(P_ID,INDEX(L_ID,ROW()-4))&gt;0,1,0))</f>
        <v/>
      </c>
      <c r="B723">
        <f>IF(INDEX(P_Type,ROW()-4)="","",TRIM(UPPER(INDEX(P_Type,ROW()-4))))</f>
        <v/>
      </c>
      <c r="D723">
        <f>IF(INDEX(L_Type,ROW()-4)="","",TRIM(UPPER(INDEX(L_Type,ROW()-4))))</f>
        <v/>
      </c>
      <c r="E723">
        <f>IF(INDEX(P_Status,ROW()-4)="","",TRIM(UPPER(INDEX(P_Status,ROW()-4))))</f>
        <v/>
      </c>
      <c r="G723">
        <f>IF(INDEX(L_Status,ROW()-4)="","",TRIM(UPPER(INDEX(L_Status,ROW()-4))))</f>
        <v/>
      </c>
      <c r="J723">
        <f>IF(INDEX(L_ID,ROW()-4)="","",IF(SUMPRODUCT((P_ID=INDEX(L_ID,ROW()-4))*(P_StatusN="INACTIVE"))&gt;0,1,0))</f>
        <v/>
      </c>
    </row>
    <row r="724">
      <c r="A724">
        <f>IF(INDEX(L_ID,ROW()-4)="","",IF(COUNTIF(P_ID,INDEX(L_ID,ROW()-4))&gt;0,1,0))</f>
        <v/>
      </c>
      <c r="B724">
        <f>IF(INDEX(P_Type,ROW()-4)="","",TRIM(UPPER(INDEX(P_Type,ROW()-4))))</f>
        <v/>
      </c>
      <c r="D724">
        <f>IF(INDEX(L_Type,ROW()-4)="","",TRIM(UPPER(INDEX(L_Type,ROW()-4))))</f>
        <v/>
      </c>
      <c r="E724">
        <f>IF(INDEX(P_Status,ROW()-4)="","",TRIM(UPPER(INDEX(P_Status,ROW()-4))))</f>
        <v/>
      </c>
      <c r="G724">
        <f>IF(INDEX(L_Status,ROW()-4)="","",TRIM(UPPER(INDEX(L_Status,ROW()-4))))</f>
        <v/>
      </c>
      <c r="J724">
        <f>IF(INDEX(L_ID,ROW()-4)="","",IF(SUMPRODUCT((P_ID=INDEX(L_ID,ROW()-4))*(P_StatusN="INACTIVE"))&gt;0,1,0))</f>
        <v/>
      </c>
    </row>
    <row r="725">
      <c r="A725">
        <f>IF(INDEX(L_ID,ROW()-4)="","",IF(COUNTIF(P_ID,INDEX(L_ID,ROW()-4))&gt;0,1,0))</f>
        <v/>
      </c>
      <c r="B725">
        <f>IF(INDEX(P_Type,ROW()-4)="","",TRIM(UPPER(INDEX(P_Type,ROW()-4))))</f>
        <v/>
      </c>
      <c r="D725">
        <f>IF(INDEX(L_Type,ROW()-4)="","",TRIM(UPPER(INDEX(L_Type,ROW()-4))))</f>
        <v/>
      </c>
      <c r="E725">
        <f>IF(INDEX(P_Status,ROW()-4)="","",TRIM(UPPER(INDEX(P_Status,ROW()-4))))</f>
        <v/>
      </c>
      <c r="G725">
        <f>IF(INDEX(L_Status,ROW()-4)="","",TRIM(UPPER(INDEX(L_Status,ROW()-4))))</f>
        <v/>
      </c>
      <c r="J725">
        <f>IF(INDEX(L_ID,ROW()-4)="","",IF(SUMPRODUCT((P_ID=INDEX(L_ID,ROW()-4))*(P_StatusN="INACTIVE"))&gt;0,1,0))</f>
        <v/>
      </c>
    </row>
    <row r="726">
      <c r="A726">
        <f>IF(INDEX(L_ID,ROW()-4)="","",IF(COUNTIF(P_ID,INDEX(L_ID,ROW()-4))&gt;0,1,0))</f>
        <v/>
      </c>
      <c r="B726">
        <f>IF(INDEX(P_Type,ROW()-4)="","",TRIM(UPPER(INDEX(P_Type,ROW()-4))))</f>
        <v/>
      </c>
      <c r="D726">
        <f>IF(INDEX(L_Type,ROW()-4)="","",TRIM(UPPER(INDEX(L_Type,ROW()-4))))</f>
        <v/>
      </c>
      <c r="E726">
        <f>IF(INDEX(P_Status,ROW()-4)="","",TRIM(UPPER(INDEX(P_Status,ROW()-4))))</f>
        <v/>
      </c>
      <c r="G726">
        <f>IF(INDEX(L_Status,ROW()-4)="","",TRIM(UPPER(INDEX(L_Status,ROW()-4))))</f>
        <v/>
      </c>
      <c r="J726">
        <f>IF(INDEX(L_ID,ROW()-4)="","",IF(SUMPRODUCT((P_ID=INDEX(L_ID,ROW()-4))*(P_StatusN="INACTIVE"))&gt;0,1,0))</f>
        <v/>
      </c>
    </row>
    <row r="727">
      <c r="A727">
        <f>IF(INDEX(L_ID,ROW()-4)="","",IF(COUNTIF(P_ID,INDEX(L_ID,ROW()-4))&gt;0,1,0))</f>
        <v/>
      </c>
      <c r="B727">
        <f>IF(INDEX(P_Type,ROW()-4)="","",TRIM(UPPER(INDEX(P_Type,ROW()-4))))</f>
        <v/>
      </c>
      <c r="D727">
        <f>IF(INDEX(L_Type,ROW()-4)="","",TRIM(UPPER(INDEX(L_Type,ROW()-4))))</f>
        <v/>
      </c>
      <c r="E727">
        <f>IF(INDEX(P_Status,ROW()-4)="","",TRIM(UPPER(INDEX(P_Status,ROW()-4))))</f>
        <v/>
      </c>
      <c r="G727">
        <f>IF(INDEX(L_Status,ROW()-4)="","",TRIM(UPPER(INDEX(L_Status,ROW()-4))))</f>
        <v/>
      </c>
      <c r="J727">
        <f>IF(INDEX(L_ID,ROW()-4)="","",IF(SUMPRODUCT((P_ID=INDEX(L_ID,ROW()-4))*(P_StatusN="INACTIVE"))&gt;0,1,0))</f>
        <v/>
      </c>
    </row>
    <row r="728">
      <c r="A728">
        <f>IF(INDEX(L_ID,ROW()-4)="","",IF(COUNTIF(P_ID,INDEX(L_ID,ROW()-4))&gt;0,1,0))</f>
        <v/>
      </c>
      <c r="B728">
        <f>IF(INDEX(P_Type,ROW()-4)="","",TRIM(UPPER(INDEX(P_Type,ROW()-4))))</f>
        <v/>
      </c>
      <c r="D728">
        <f>IF(INDEX(L_Type,ROW()-4)="","",TRIM(UPPER(INDEX(L_Type,ROW()-4))))</f>
        <v/>
      </c>
      <c r="E728">
        <f>IF(INDEX(P_Status,ROW()-4)="","",TRIM(UPPER(INDEX(P_Status,ROW()-4))))</f>
        <v/>
      </c>
      <c r="G728">
        <f>IF(INDEX(L_Status,ROW()-4)="","",TRIM(UPPER(INDEX(L_Status,ROW()-4))))</f>
        <v/>
      </c>
      <c r="J728">
        <f>IF(INDEX(L_ID,ROW()-4)="","",IF(SUMPRODUCT((P_ID=INDEX(L_ID,ROW()-4))*(P_StatusN="INACTIVE"))&gt;0,1,0))</f>
        <v/>
      </c>
    </row>
    <row r="729">
      <c r="A729">
        <f>IF(INDEX(L_ID,ROW()-4)="","",IF(COUNTIF(P_ID,INDEX(L_ID,ROW()-4))&gt;0,1,0))</f>
        <v/>
      </c>
      <c r="B729">
        <f>IF(INDEX(P_Type,ROW()-4)="","",TRIM(UPPER(INDEX(P_Type,ROW()-4))))</f>
        <v/>
      </c>
      <c r="D729">
        <f>IF(INDEX(L_Type,ROW()-4)="","",TRIM(UPPER(INDEX(L_Type,ROW()-4))))</f>
        <v/>
      </c>
      <c r="E729">
        <f>IF(INDEX(P_Status,ROW()-4)="","",TRIM(UPPER(INDEX(P_Status,ROW()-4))))</f>
        <v/>
      </c>
      <c r="G729">
        <f>IF(INDEX(L_Status,ROW()-4)="","",TRIM(UPPER(INDEX(L_Status,ROW()-4))))</f>
        <v/>
      </c>
      <c r="J729">
        <f>IF(INDEX(L_ID,ROW()-4)="","",IF(SUMPRODUCT((P_ID=INDEX(L_ID,ROW()-4))*(P_StatusN="INACTIVE"))&gt;0,1,0))</f>
        <v/>
      </c>
    </row>
    <row r="730">
      <c r="A730">
        <f>IF(INDEX(L_ID,ROW()-4)="","",IF(COUNTIF(P_ID,INDEX(L_ID,ROW()-4))&gt;0,1,0))</f>
        <v/>
      </c>
      <c r="B730">
        <f>IF(INDEX(P_Type,ROW()-4)="","",TRIM(UPPER(INDEX(P_Type,ROW()-4))))</f>
        <v/>
      </c>
      <c r="D730">
        <f>IF(INDEX(L_Type,ROW()-4)="","",TRIM(UPPER(INDEX(L_Type,ROW()-4))))</f>
        <v/>
      </c>
      <c r="E730">
        <f>IF(INDEX(P_Status,ROW()-4)="","",TRIM(UPPER(INDEX(P_Status,ROW()-4))))</f>
        <v/>
      </c>
      <c r="G730">
        <f>IF(INDEX(L_Status,ROW()-4)="","",TRIM(UPPER(INDEX(L_Status,ROW()-4))))</f>
        <v/>
      </c>
      <c r="J730">
        <f>IF(INDEX(L_ID,ROW()-4)="","",IF(SUMPRODUCT((P_ID=INDEX(L_ID,ROW()-4))*(P_StatusN="INACTIVE"))&gt;0,1,0))</f>
        <v/>
      </c>
    </row>
    <row r="731">
      <c r="A731">
        <f>IF(INDEX(L_ID,ROW()-4)="","",IF(COUNTIF(P_ID,INDEX(L_ID,ROW()-4))&gt;0,1,0))</f>
        <v/>
      </c>
      <c r="B731">
        <f>IF(INDEX(P_Type,ROW()-4)="","",TRIM(UPPER(INDEX(P_Type,ROW()-4))))</f>
        <v/>
      </c>
      <c r="D731">
        <f>IF(INDEX(L_Type,ROW()-4)="","",TRIM(UPPER(INDEX(L_Type,ROW()-4))))</f>
        <v/>
      </c>
      <c r="E731">
        <f>IF(INDEX(P_Status,ROW()-4)="","",TRIM(UPPER(INDEX(P_Status,ROW()-4))))</f>
        <v/>
      </c>
      <c r="G731">
        <f>IF(INDEX(L_Status,ROW()-4)="","",TRIM(UPPER(INDEX(L_Status,ROW()-4))))</f>
        <v/>
      </c>
      <c r="J731">
        <f>IF(INDEX(L_ID,ROW()-4)="","",IF(SUMPRODUCT((P_ID=INDEX(L_ID,ROW()-4))*(P_StatusN="INACTIVE"))&gt;0,1,0))</f>
        <v/>
      </c>
    </row>
    <row r="732">
      <c r="A732">
        <f>IF(INDEX(L_ID,ROW()-4)="","",IF(COUNTIF(P_ID,INDEX(L_ID,ROW()-4))&gt;0,1,0))</f>
        <v/>
      </c>
      <c r="B732">
        <f>IF(INDEX(P_Type,ROW()-4)="","",TRIM(UPPER(INDEX(P_Type,ROW()-4))))</f>
        <v/>
      </c>
      <c r="D732">
        <f>IF(INDEX(L_Type,ROW()-4)="","",TRIM(UPPER(INDEX(L_Type,ROW()-4))))</f>
        <v/>
      </c>
      <c r="E732">
        <f>IF(INDEX(P_Status,ROW()-4)="","",TRIM(UPPER(INDEX(P_Status,ROW()-4))))</f>
        <v/>
      </c>
      <c r="G732">
        <f>IF(INDEX(L_Status,ROW()-4)="","",TRIM(UPPER(INDEX(L_Status,ROW()-4))))</f>
        <v/>
      </c>
      <c r="J732">
        <f>IF(INDEX(L_ID,ROW()-4)="","",IF(SUMPRODUCT((P_ID=INDEX(L_ID,ROW()-4))*(P_StatusN="INACTIVE"))&gt;0,1,0))</f>
        <v/>
      </c>
    </row>
    <row r="733">
      <c r="A733">
        <f>IF(INDEX(L_ID,ROW()-4)="","",IF(COUNTIF(P_ID,INDEX(L_ID,ROW()-4))&gt;0,1,0))</f>
        <v/>
      </c>
      <c r="B733">
        <f>IF(INDEX(P_Type,ROW()-4)="","",TRIM(UPPER(INDEX(P_Type,ROW()-4))))</f>
        <v/>
      </c>
      <c r="D733">
        <f>IF(INDEX(L_Type,ROW()-4)="","",TRIM(UPPER(INDEX(L_Type,ROW()-4))))</f>
        <v/>
      </c>
      <c r="E733">
        <f>IF(INDEX(P_Status,ROW()-4)="","",TRIM(UPPER(INDEX(P_Status,ROW()-4))))</f>
        <v/>
      </c>
      <c r="G733">
        <f>IF(INDEX(L_Status,ROW()-4)="","",TRIM(UPPER(INDEX(L_Status,ROW()-4))))</f>
        <v/>
      </c>
      <c r="J733">
        <f>IF(INDEX(L_ID,ROW()-4)="","",IF(SUMPRODUCT((P_ID=INDEX(L_ID,ROW()-4))*(P_StatusN="INACTIVE"))&gt;0,1,0))</f>
        <v/>
      </c>
    </row>
    <row r="734">
      <c r="A734">
        <f>IF(INDEX(L_ID,ROW()-4)="","",IF(COUNTIF(P_ID,INDEX(L_ID,ROW()-4))&gt;0,1,0))</f>
        <v/>
      </c>
      <c r="B734">
        <f>IF(INDEX(P_Type,ROW()-4)="","",TRIM(UPPER(INDEX(P_Type,ROW()-4))))</f>
        <v/>
      </c>
      <c r="D734">
        <f>IF(INDEX(L_Type,ROW()-4)="","",TRIM(UPPER(INDEX(L_Type,ROW()-4))))</f>
        <v/>
      </c>
      <c r="E734">
        <f>IF(INDEX(P_Status,ROW()-4)="","",TRIM(UPPER(INDEX(P_Status,ROW()-4))))</f>
        <v/>
      </c>
      <c r="G734">
        <f>IF(INDEX(L_Status,ROW()-4)="","",TRIM(UPPER(INDEX(L_Status,ROW()-4))))</f>
        <v/>
      </c>
      <c r="J734">
        <f>IF(INDEX(L_ID,ROW()-4)="","",IF(SUMPRODUCT((P_ID=INDEX(L_ID,ROW()-4))*(P_StatusN="INACTIVE"))&gt;0,1,0))</f>
        <v/>
      </c>
    </row>
    <row r="735">
      <c r="A735">
        <f>IF(INDEX(L_ID,ROW()-4)="","",IF(COUNTIF(P_ID,INDEX(L_ID,ROW()-4))&gt;0,1,0))</f>
        <v/>
      </c>
      <c r="B735">
        <f>IF(INDEX(P_Type,ROW()-4)="","",TRIM(UPPER(INDEX(P_Type,ROW()-4))))</f>
        <v/>
      </c>
      <c r="D735">
        <f>IF(INDEX(L_Type,ROW()-4)="","",TRIM(UPPER(INDEX(L_Type,ROW()-4))))</f>
        <v/>
      </c>
      <c r="E735">
        <f>IF(INDEX(P_Status,ROW()-4)="","",TRIM(UPPER(INDEX(P_Status,ROW()-4))))</f>
        <v/>
      </c>
      <c r="G735">
        <f>IF(INDEX(L_Status,ROW()-4)="","",TRIM(UPPER(INDEX(L_Status,ROW()-4))))</f>
        <v/>
      </c>
      <c r="J735">
        <f>IF(INDEX(L_ID,ROW()-4)="","",IF(SUMPRODUCT((P_ID=INDEX(L_ID,ROW()-4))*(P_StatusN="INACTIVE"))&gt;0,1,0))</f>
        <v/>
      </c>
    </row>
    <row r="736">
      <c r="A736">
        <f>IF(INDEX(L_ID,ROW()-4)="","",IF(COUNTIF(P_ID,INDEX(L_ID,ROW()-4))&gt;0,1,0))</f>
        <v/>
      </c>
      <c r="B736">
        <f>IF(INDEX(P_Type,ROW()-4)="","",TRIM(UPPER(INDEX(P_Type,ROW()-4))))</f>
        <v/>
      </c>
      <c r="D736">
        <f>IF(INDEX(L_Type,ROW()-4)="","",TRIM(UPPER(INDEX(L_Type,ROW()-4))))</f>
        <v/>
      </c>
      <c r="E736">
        <f>IF(INDEX(P_Status,ROW()-4)="","",TRIM(UPPER(INDEX(P_Status,ROW()-4))))</f>
        <v/>
      </c>
      <c r="G736">
        <f>IF(INDEX(L_Status,ROW()-4)="","",TRIM(UPPER(INDEX(L_Status,ROW()-4))))</f>
        <v/>
      </c>
      <c r="J736">
        <f>IF(INDEX(L_ID,ROW()-4)="","",IF(SUMPRODUCT((P_ID=INDEX(L_ID,ROW()-4))*(P_StatusN="INACTIVE"))&gt;0,1,0))</f>
        <v/>
      </c>
    </row>
    <row r="737">
      <c r="A737">
        <f>IF(INDEX(L_ID,ROW()-4)="","",IF(COUNTIF(P_ID,INDEX(L_ID,ROW()-4))&gt;0,1,0))</f>
        <v/>
      </c>
      <c r="B737">
        <f>IF(INDEX(P_Type,ROW()-4)="","",TRIM(UPPER(INDEX(P_Type,ROW()-4))))</f>
        <v/>
      </c>
      <c r="D737">
        <f>IF(INDEX(L_Type,ROW()-4)="","",TRIM(UPPER(INDEX(L_Type,ROW()-4))))</f>
        <v/>
      </c>
      <c r="E737">
        <f>IF(INDEX(P_Status,ROW()-4)="","",TRIM(UPPER(INDEX(P_Status,ROW()-4))))</f>
        <v/>
      </c>
      <c r="G737">
        <f>IF(INDEX(L_Status,ROW()-4)="","",TRIM(UPPER(INDEX(L_Status,ROW()-4))))</f>
        <v/>
      </c>
      <c r="J737">
        <f>IF(INDEX(L_ID,ROW()-4)="","",IF(SUMPRODUCT((P_ID=INDEX(L_ID,ROW()-4))*(P_StatusN="INACTIVE"))&gt;0,1,0))</f>
        <v/>
      </c>
    </row>
    <row r="738">
      <c r="A738">
        <f>IF(INDEX(L_ID,ROW()-4)="","",IF(COUNTIF(P_ID,INDEX(L_ID,ROW()-4))&gt;0,1,0))</f>
        <v/>
      </c>
      <c r="B738">
        <f>IF(INDEX(P_Type,ROW()-4)="","",TRIM(UPPER(INDEX(P_Type,ROW()-4))))</f>
        <v/>
      </c>
      <c r="D738">
        <f>IF(INDEX(L_Type,ROW()-4)="","",TRIM(UPPER(INDEX(L_Type,ROW()-4))))</f>
        <v/>
      </c>
      <c r="E738">
        <f>IF(INDEX(P_Status,ROW()-4)="","",TRIM(UPPER(INDEX(P_Status,ROW()-4))))</f>
        <v/>
      </c>
      <c r="G738">
        <f>IF(INDEX(L_Status,ROW()-4)="","",TRIM(UPPER(INDEX(L_Status,ROW()-4))))</f>
        <v/>
      </c>
      <c r="J738">
        <f>IF(INDEX(L_ID,ROW()-4)="","",IF(SUMPRODUCT((P_ID=INDEX(L_ID,ROW()-4))*(P_StatusN="INACTIVE"))&gt;0,1,0))</f>
        <v/>
      </c>
    </row>
    <row r="739">
      <c r="A739">
        <f>IF(INDEX(L_ID,ROW()-4)="","",IF(COUNTIF(P_ID,INDEX(L_ID,ROW()-4))&gt;0,1,0))</f>
        <v/>
      </c>
      <c r="B739">
        <f>IF(INDEX(P_Type,ROW()-4)="","",TRIM(UPPER(INDEX(P_Type,ROW()-4))))</f>
        <v/>
      </c>
      <c r="D739">
        <f>IF(INDEX(L_Type,ROW()-4)="","",TRIM(UPPER(INDEX(L_Type,ROW()-4))))</f>
        <v/>
      </c>
      <c r="E739">
        <f>IF(INDEX(P_Status,ROW()-4)="","",TRIM(UPPER(INDEX(P_Status,ROW()-4))))</f>
        <v/>
      </c>
      <c r="G739">
        <f>IF(INDEX(L_Status,ROW()-4)="","",TRIM(UPPER(INDEX(L_Status,ROW()-4))))</f>
        <v/>
      </c>
      <c r="J739">
        <f>IF(INDEX(L_ID,ROW()-4)="","",IF(SUMPRODUCT((P_ID=INDEX(L_ID,ROW()-4))*(P_StatusN="INACTIVE"))&gt;0,1,0))</f>
        <v/>
      </c>
    </row>
    <row r="740">
      <c r="A740">
        <f>IF(INDEX(L_ID,ROW()-4)="","",IF(COUNTIF(P_ID,INDEX(L_ID,ROW()-4))&gt;0,1,0))</f>
        <v/>
      </c>
      <c r="B740">
        <f>IF(INDEX(P_Type,ROW()-4)="","",TRIM(UPPER(INDEX(P_Type,ROW()-4))))</f>
        <v/>
      </c>
      <c r="D740">
        <f>IF(INDEX(L_Type,ROW()-4)="","",TRIM(UPPER(INDEX(L_Type,ROW()-4))))</f>
        <v/>
      </c>
      <c r="E740">
        <f>IF(INDEX(P_Status,ROW()-4)="","",TRIM(UPPER(INDEX(P_Status,ROW()-4))))</f>
        <v/>
      </c>
      <c r="G740">
        <f>IF(INDEX(L_Status,ROW()-4)="","",TRIM(UPPER(INDEX(L_Status,ROW()-4))))</f>
        <v/>
      </c>
      <c r="J740">
        <f>IF(INDEX(L_ID,ROW()-4)="","",IF(SUMPRODUCT((P_ID=INDEX(L_ID,ROW()-4))*(P_StatusN="INACTIVE"))&gt;0,1,0))</f>
        <v/>
      </c>
    </row>
    <row r="741">
      <c r="A741">
        <f>IF(INDEX(L_ID,ROW()-4)="","",IF(COUNTIF(P_ID,INDEX(L_ID,ROW()-4))&gt;0,1,0))</f>
        <v/>
      </c>
      <c r="B741">
        <f>IF(INDEX(P_Type,ROW()-4)="","",TRIM(UPPER(INDEX(P_Type,ROW()-4))))</f>
        <v/>
      </c>
      <c r="D741">
        <f>IF(INDEX(L_Type,ROW()-4)="","",TRIM(UPPER(INDEX(L_Type,ROW()-4))))</f>
        <v/>
      </c>
      <c r="E741">
        <f>IF(INDEX(P_Status,ROW()-4)="","",TRIM(UPPER(INDEX(P_Status,ROW()-4))))</f>
        <v/>
      </c>
      <c r="G741">
        <f>IF(INDEX(L_Status,ROW()-4)="","",TRIM(UPPER(INDEX(L_Status,ROW()-4))))</f>
        <v/>
      </c>
      <c r="J741">
        <f>IF(INDEX(L_ID,ROW()-4)="","",IF(SUMPRODUCT((P_ID=INDEX(L_ID,ROW()-4))*(P_StatusN="INACTIVE"))&gt;0,1,0))</f>
        <v/>
      </c>
    </row>
    <row r="742">
      <c r="A742">
        <f>IF(INDEX(L_ID,ROW()-4)="","",IF(COUNTIF(P_ID,INDEX(L_ID,ROW()-4))&gt;0,1,0))</f>
        <v/>
      </c>
      <c r="B742">
        <f>IF(INDEX(P_Type,ROW()-4)="","",TRIM(UPPER(INDEX(P_Type,ROW()-4))))</f>
        <v/>
      </c>
      <c r="D742">
        <f>IF(INDEX(L_Type,ROW()-4)="","",TRIM(UPPER(INDEX(L_Type,ROW()-4))))</f>
        <v/>
      </c>
      <c r="E742">
        <f>IF(INDEX(P_Status,ROW()-4)="","",TRIM(UPPER(INDEX(P_Status,ROW()-4))))</f>
        <v/>
      </c>
      <c r="G742">
        <f>IF(INDEX(L_Status,ROW()-4)="","",TRIM(UPPER(INDEX(L_Status,ROW()-4))))</f>
        <v/>
      </c>
      <c r="J742">
        <f>IF(INDEX(L_ID,ROW()-4)="","",IF(SUMPRODUCT((P_ID=INDEX(L_ID,ROW()-4))*(P_StatusN="INACTIVE"))&gt;0,1,0))</f>
        <v/>
      </c>
    </row>
    <row r="743">
      <c r="A743">
        <f>IF(INDEX(L_ID,ROW()-4)="","",IF(COUNTIF(P_ID,INDEX(L_ID,ROW()-4))&gt;0,1,0))</f>
        <v/>
      </c>
      <c r="B743">
        <f>IF(INDEX(P_Type,ROW()-4)="","",TRIM(UPPER(INDEX(P_Type,ROW()-4))))</f>
        <v/>
      </c>
      <c r="D743">
        <f>IF(INDEX(L_Type,ROW()-4)="","",TRIM(UPPER(INDEX(L_Type,ROW()-4))))</f>
        <v/>
      </c>
      <c r="E743">
        <f>IF(INDEX(P_Status,ROW()-4)="","",TRIM(UPPER(INDEX(P_Status,ROW()-4))))</f>
        <v/>
      </c>
      <c r="G743">
        <f>IF(INDEX(L_Status,ROW()-4)="","",TRIM(UPPER(INDEX(L_Status,ROW()-4))))</f>
        <v/>
      </c>
      <c r="J743">
        <f>IF(INDEX(L_ID,ROW()-4)="","",IF(SUMPRODUCT((P_ID=INDEX(L_ID,ROW()-4))*(P_StatusN="INACTIVE"))&gt;0,1,0))</f>
        <v/>
      </c>
    </row>
    <row r="744">
      <c r="A744">
        <f>IF(INDEX(L_ID,ROW()-4)="","",IF(COUNTIF(P_ID,INDEX(L_ID,ROW()-4))&gt;0,1,0))</f>
        <v/>
      </c>
      <c r="B744">
        <f>IF(INDEX(P_Type,ROW()-4)="","",TRIM(UPPER(INDEX(P_Type,ROW()-4))))</f>
        <v/>
      </c>
      <c r="D744">
        <f>IF(INDEX(L_Type,ROW()-4)="","",TRIM(UPPER(INDEX(L_Type,ROW()-4))))</f>
        <v/>
      </c>
      <c r="E744">
        <f>IF(INDEX(P_Status,ROW()-4)="","",TRIM(UPPER(INDEX(P_Status,ROW()-4))))</f>
        <v/>
      </c>
      <c r="G744">
        <f>IF(INDEX(L_Status,ROW()-4)="","",TRIM(UPPER(INDEX(L_Status,ROW()-4))))</f>
        <v/>
      </c>
      <c r="J744">
        <f>IF(INDEX(L_ID,ROW()-4)="","",IF(SUMPRODUCT((P_ID=INDEX(L_ID,ROW()-4))*(P_StatusN="INACTIVE"))&gt;0,1,0))</f>
        <v/>
      </c>
    </row>
    <row r="745">
      <c r="A745">
        <f>IF(INDEX(L_ID,ROW()-4)="","",IF(COUNTIF(P_ID,INDEX(L_ID,ROW()-4))&gt;0,1,0))</f>
        <v/>
      </c>
      <c r="B745">
        <f>IF(INDEX(P_Type,ROW()-4)="","",TRIM(UPPER(INDEX(P_Type,ROW()-4))))</f>
        <v/>
      </c>
      <c r="D745">
        <f>IF(INDEX(L_Type,ROW()-4)="","",TRIM(UPPER(INDEX(L_Type,ROW()-4))))</f>
        <v/>
      </c>
      <c r="E745">
        <f>IF(INDEX(P_Status,ROW()-4)="","",TRIM(UPPER(INDEX(P_Status,ROW()-4))))</f>
        <v/>
      </c>
      <c r="G745">
        <f>IF(INDEX(L_Status,ROW()-4)="","",TRIM(UPPER(INDEX(L_Status,ROW()-4))))</f>
        <v/>
      </c>
      <c r="J745">
        <f>IF(INDEX(L_ID,ROW()-4)="","",IF(SUMPRODUCT((P_ID=INDEX(L_ID,ROW()-4))*(P_StatusN="INACTIVE"))&gt;0,1,0))</f>
        <v/>
      </c>
    </row>
    <row r="746">
      <c r="A746">
        <f>IF(INDEX(L_ID,ROW()-4)="","",IF(COUNTIF(P_ID,INDEX(L_ID,ROW()-4))&gt;0,1,0))</f>
        <v/>
      </c>
      <c r="B746">
        <f>IF(INDEX(P_Type,ROW()-4)="","",TRIM(UPPER(INDEX(P_Type,ROW()-4))))</f>
        <v/>
      </c>
      <c r="D746">
        <f>IF(INDEX(L_Type,ROW()-4)="","",TRIM(UPPER(INDEX(L_Type,ROW()-4))))</f>
        <v/>
      </c>
      <c r="E746">
        <f>IF(INDEX(P_Status,ROW()-4)="","",TRIM(UPPER(INDEX(P_Status,ROW()-4))))</f>
        <v/>
      </c>
      <c r="G746">
        <f>IF(INDEX(L_Status,ROW()-4)="","",TRIM(UPPER(INDEX(L_Status,ROW()-4))))</f>
        <v/>
      </c>
      <c r="J746">
        <f>IF(INDEX(L_ID,ROW()-4)="","",IF(SUMPRODUCT((P_ID=INDEX(L_ID,ROW()-4))*(P_StatusN="INACTIVE"))&gt;0,1,0))</f>
        <v/>
      </c>
    </row>
    <row r="747">
      <c r="A747">
        <f>IF(INDEX(L_ID,ROW()-4)="","",IF(COUNTIF(P_ID,INDEX(L_ID,ROW()-4))&gt;0,1,0))</f>
        <v/>
      </c>
      <c r="B747">
        <f>IF(INDEX(P_Type,ROW()-4)="","",TRIM(UPPER(INDEX(P_Type,ROW()-4))))</f>
        <v/>
      </c>
      <c r="D747">
        <f>IF(INDEX(L_Type,ROW()-4)="","",TRIM(UPPER(INDEX(L_Type,ROW()-4))))</f>
        <v/>
      </c>
      <c r="E747">
        <f>IF(INDEX(P_Status,ROW()-4)="","",TRIM(UPPER(INDEX(P_Status,ROW()-4))))</f>
        <v/>
      </c>
      <c r="G747">
        <f>IF(INDEX(L_Status,ROW()-4)="","",TRIM(UPPER(INDEX(L_Status,ROW()-4))))</f>
        <v/>
      </c>
      <c r="J747">
        <f>IF(INDEX(L_ID,ROW()-4)="","",IF(SUMPRODUCT((P_ID=INDEX(L_ID,ROW()-4))*(P_StatusN="INACTIVE"))&gt;0,1,0))</f>
        <v/>
      </c>
    </row>
    <row r="748">
      <c r="A748">
        <f>IF(INDEX(L_ID,ROW()-4)="","",IF(COUNTIF(P_ID,INDEX(L_ID,ROW()-4))&gt;0,1,0))</f>
        <v/>
      </c>
      <c r="B748">
        <f>IF(INDEX(P_Type,ROW()-4)="","",TRIM(UPPER(INDEX(P_Type,ROW()-4))))</f>
        <v/>
      </c>
      <c r="D748">
        <f>IF(INDEX(L_Type,ROW()-4)="","",TRIM(UPPER(INDEX(L_Type,ROW()-4))))</f>
        <v/>
      </c>
      <c r="E748">
        <f>IF(INDEX(P_Status,ROW()-4)="","",TRIM(UPPER(INDEX(P_Status,ROW()-4))))</f>
        <v/>
      </c>
      <c r="G748">
        <f>IF(INDEX(L_Status,ROW()-4)="","",TRIM(UPPER(INDEX(L_Status,ROW()-4))))</f>
        <v/>
      </c>
      <c r="J748">
        <f>IF(INDEX(L_ID,ROW()-4)="","",IF(SUMPRODUCT((P_ID=INDEX(L_ID,ROW()-4))*(P_StatusN="INACTIVE"))&gt;0,1,0))</f>
        <v/>
      </c>
    </row>
    <row r="749">
      <c r="A749">
        <f>IF(INDEX(L_ID,ROW()-4)="","",IF(COUNTIF(P_ID,INDEX(L_ID,ROW()-4))&gt;0,1,0))</f>
        <v/>
      </c>
      <c r="B749">
        <f>IF(INDEX(P_Type,ROW()-4)="","",TRIM(UPPER(INDEX(P_Type,ROW()-4))))</f>
        <v/>
      </c>
      <c r="D749">
        <f>IF(INDEX(L_Type,ROW()-4)="","",TRIM(UPPER(INDEX(L_Type,ROW()-4))))</f>
        <v/>
      </c>
      <c r="E749">
        <f>IF(INDEX(P_Status,ROW()-4)="","",TRIM(UPPER(INDEX(P_Status,ROW()-4))))</f>
        <v/>
      </c>
      <c r="G749">
        <f>IF(INDEX(L_Status,ROW()-4)="","",TRIM(UPPER(INDEX(L_Status,ROW()-4))))</f>
        <v/>
      </c>
      <c r="J749">
        <f>IF(INDEX(L_ID,ROW()-4)="","",IF(SUMPRODUCT((P_ID=INDEX(L_ID,ROW()-4))*(P_StatusN="INACTIVE"))&gt;0,1,0))</f>
        <v/>
      </c>
    </row>
    <row r="750">
      <c r="A750">
        <f>IF(INDEX(L_ID,ROW()-4)="","",IF(COUNTIF(P_ID,INDEX(L_ID,ROW()-4))&gt;0,1,0))</f>
        <v/>
      </c>
      <c r="B750">
        <f>IF(INDEX(P_Type,ROW()-4)="","",TRIM(UPPER(INDEX(P_Type,ROW()-4))))</f>
        <v/>
      </c>
      <c r="D750">
        <f>IF(INDEX(L_Type,ROW()-4)="","",TRIM(UPPER(INDEX(L_Type,ROW()-4))))</f>
        <v/>
      </c>
      <c r="E750">
        <f>IF(INDEX(P_Status,ROW()-4)="","",TRIM(UPPER(INDEX(P_Status,ROW()-4))))</f>
        <v/>
      </c>
      <c r="G750">
        <f>IF(INDEX(L_Status,ROW()-4)="","",TRIM(UPPER(INDEX(L_Status,ROW()-4))))</f>
        <v/>
      </c>
      <c r="J750">
        <f>IF(INDEX(L_ID,ROW()-4)="","",IF(SUMPRODUCT((P_ID=INDEX(L_ID,ROW()-4))*(P_StatusN="INACTIVE"))&gt;0,1,0))</f>
        <v/>
      </c>
    </row>
    <row r="751">
      <c r="A751">
        <f>IF(INDEX(L_ID,ROW()-4)="","",IF(COUNTIF(P_ID,INDEX(L_ID,ROW()-4))&gt;0,1,0))</f>
        <v/>
      </c>
      <c r="B751">
        <f>IF(INDEX(P_Type,ROW()-4)="","",TRIM(UPPER(INDEX(P_Type,ROW()-4))))</f>
        <v/>
      </c>
      <c r="D751">
        <f>IF(INDEX(L_Type,ROW()-4)="","",TRIM(UPPER(INDEX(L_Type,ROW()-4))))</f>
        <v/>
      </c>
      <c r="E751">
        <f>IF(INDEX(P_Status,ROW()-4)="","",TRIM(UPPER(INDEX(P_Status,ROW()-4))))</f>
        <v/>
      </c>
      <c r="G751">
        <f>IF(INDEX(L_Status,ROW()-4)="","",TRIM(UPPER(INDEX(L_Status,ROW()-4))))</f>
        <v/>
      </c>
      <c r="J751">
        <f>IF(INDEX(L_ID,ROW()-4)="","",IF(SUMPRODUCT((P_ID=INDEX(L_ID,ROW()-4))*(P_StatusN="INACTIVE"))&gt;0,1,0))</f>
        <v/>
      </c>
    </row>
    <row r="752">
      <c r="A752">
        <f>IF(INDEX(L_ID,ROW()-4)="","",IF(COUNTIF(P_ID,INDEX(L_ID,ROW()-4))&gt;0,1,0))</f>
        <v/>
      </c>
      <c r="B752">
        <f>IF(INDEX(P_Type,ROW()-4)="","",TRIM(UPPER(INDEX(P_Type,ROW()-4))))</f>
        <v/>
      </c>
      <c r="D752">
        <f>IF(INDEX(L_Type,ROW()-4)="","",TRIM(UPPER(INDEX(L_Type,ROW()-4))))</f>
        <v/>
      </c>
      <c r="E752">
        <f>IF(INDEX(P_Status,ROW()-4)="","",TRIM(UPPER(INDEX(P_Status,ROW()-4))))</f>
        <v/>
      </c>
      <c r="G752">
        <f>IF(INDEX(L_Status,ROW()-4)="","",TRIM(UPPER(INDEX(L_Status,ROW()-4))))</f>
        <v/>
      </c>
      <c r="J752">
        <f>IF(INDEX(L_ID,ROW()-4)="","",IF(SUMPRODUCT((P_ID=INDEX(L_ID,ROW()-4))*(P_StatusN="INACTIVE"))&gt;0,1,0))</f>
        <v/>
      </c>
    </row>
    <row r="753">
      <c r="A753">
        <f>IF(INDEX(L_ID,ROW()-4)="","",IF(COUNTIF(P_ID,INDEX(L_ID,ROW()-4))&gt;0,1,0))</f>
        <v/>
      </c>
      <c r="B753">
        <f>IF(INDEX(P_Type,ROW()-4)="","",TRIM(UPPER(INDEX(P_Type,ROW()-4))))</f>
        <v/>
      </c>
      <c r="D753">
        <f>IF(INDEX(L_Type,ROW()-4)="","",TRIM(UPPER(INDEX(L_Type,ROW()-4))))</f>
        <v/>
      </c>
      <c r="E753">
        <f>IF(INDEX(P_Status,ROW()-4)="","",TRIM(UPPER(INDEX(P_Status,ROW()-4))))</f>
        <v/>
      </c>
      <c r="G753">
        <f>IF(INDEX(L_Status,ROW()-4)="","",TRIM(UPPER(INDEX(L_Status,ROW()-4))))</f>
        <v/>
      </c>
      <c r="J753">
        <f>IF(INDEX(L_ID,ROW()-4)="","",IF(SUMPRODUCT((P_ID=INDEX(L_ID,ROW()-4))*(P_StatusN="INACTIVE"))&gt;0,1,0))</f>
        <v/>
      </c>
    </row>
    <row r="754">
      <c r="A754">
        <f>IF(INDEX(L_ID,ROW()-4)="","",IF(COUNTIF(P_ID,INDEX(L_ID,ROW()-4))&gt;0,1,0))</f>
        <v/>
      </c>
      <c r="B754">
        <f>IF(INDEX(P_Type,ROW()-4)="","",TRIM(UPPER(INDEX(P_Type,ROW()-4))))</f>
        <v/>
      </c>
      <c r="D754">
        <f>IF(INDEX(L_Type,ROW()-4)="","",TRIM(UPPER(INDEX(L_Type,ROW()-4))))</f>
        <v/>
      </c>
      <c r="E754">
        <f>IF(INDEX(P_Status,ROW()-4)="","",TRIM(UPPER(INDEX(P_Status,ROW()-4))))</f>
        <v/>
      </c>
      <c r="G754">
        <f>IF(INDEX(L_Status,ROW()-4)="","",TRIM(UPPER(INDEX(L_Status,ROW()-4))))</f>
        <v/>
      </c>
      <c r="J754">
        <f>IF(INDEX(L_ID,ROW()-4)="","",IF(SUMPRODUCT((P_ID=INDEX(L_ID,ROW()-4))*(P_StatusN="INACTIVE"))&gt;0,1,0))</f>
        <v/>
      </c>
    </row>
    <row r="755">
      <c r="A755">
        <f>IF(INDEX(L_ID,ROW()-4)="","",IF(COUNTIF(P_ID,INDEX(L_ID,ROW()-4))&gt;0,1,0))</f>
        <v/>
      </c>
      <c r="B755">
        <f>IF(INDEX(P_Type,ROW()-4)="","",TRIM(UPPER(INDEX(P_Type,ROW()-4))))</f>
        <v/>
      </c>
      <c r="D755">
        <f>IF(INDEX(L_Type,ROW()-4)="","",TRIM(UPPER(INDEX(L_Type,ROW()-4))))</f>
        <v/>
      </c>
      <c r="E755">
        <f>IF(INDEX(P_Status,ROW()-4)="","",TRIM(UPPER(INDEX(P_Status,ROW()-4))))</f>
        <v/>
      </c>
      <c r="G755">
        <f>IF(INDEX(L_Status,ROW()-4)="","",TRIM(UPPER(INDEX(L_Status,ROW()-4))))</f>
        <v/>
      </c>
      <c r="J755">
        <f>IF(INDEX(L_ID,ROW()-4)="","",IF(SUMPRODUCT((P_ID=INDEX(L_ID,ROW()-4))*(P_StatusN="INACTIVE"))&gt;0,1,0))</f>
        <v/>
      </c>
    </row>
    <row r="756">
      <c r="A756">
        <f>IF(INDEX(L_ID,ROW()-4)="","",IF(COUNTIF(P_ID,INDEX(L_ID,ROW()-4))&gt;0,1,0))</f>
        <v/>
      </c>
      <c r="B756">
        <f>IF(INDEX(P_Type,ROW()-4)="","",TRIM(UPPER(INDEX(P_Type,ROW()-4))))</f>
        <v/>
      </c>
      <c r="D756">
        <f>IF(INDEX(L_Type,ROW()-4)="","",TRIM(UPPER(INDEX(L_Type,ROW()-4))))</f>
        <v/>
      </c>
      <c r="E756">
        <f>IF(INDEX(P_Status,ROW()-4)="","",TRIM(UPPER(INDEX(P_Status,ROW()-4))))</f>
        <v/>
      </c>
      <c r="G756">
        <f>IF(INDEX(L_Status,ROW()-4)="","",TRIM(UPPER(INDEX(L_Status,ROW()-4))))</f>
        <v/>
      </c>
      <c r="J756">
        <f>IF(INDEX(L_ID,ROW()-4)="","",IF(SUMPRODUCT((P_ID=INDEX(L_ID,ROW()-4))*(P_StatusN="INACTIVE"))&gt;0,1,0))</f>
        <v/>
      </c>
    </row>
    <row r="757">
      <c r="A757">
        <f>IF(INDEX(L_ID,ROW()-4)="","",IF(COUNTIF(P_ID,INDEX(L_ID,ROW()-4))&gt;0,1,0))</f>
        <v/>
      </c>
      <c r="B757">
        <f>IF(INDEX(P_Type,ROW()-4)="","",TRIM(UPPER(INDEX(P_Type,ROW()-4))))</f>
        <v/>
      </c>
      <c r="D757">
        <f>IF(INDEX(L_Type,ROW()-4)="","",TRIM(UPPER(INDEX(L_Type,ROW()-4))))</f>
        <v/>
      </c>
      <c r="E757">
        <f>IF(INDEX(P_Status,ROW()-4)="","",TRIM(UPPER(INDEX(P_Status,ROW()-4))))</f>
        <v/>
      </c>
      <c r="G757">
        <f>IF(INDEX(L_Status,ROW()-4)="","",TRIM(UPPER(INDEX(L_Status,ROW()-4))))</f>
        <v/>
      </c>
      <c r="J757">
        <f>IF(INDEX(L_ID,ROW()-4)="","",IF(SUMPRODUCT((P_ID=INDEX(L_ID,ROW()-4))*(P_StatusN="INACTIVE"))&gt;0,1,0))</f>
        <v/>
      </c>
    </row>
    <row r="758">
      <c r="A758">
        <f>IF(INDEX(L_ID,ROW()-4)="","",IF(COUNTIF(P_ID,INDEX(L_ID,ROW()-4))&gt;0,1,0))</f>
        <v/>
      </c>
      <c r="B758">
        <f>IF(INDEX(P_Type,ROW()-4)="","",TRIM(UPPER(INDEX(P_Type,ROW()-4))))</f>
        <v/>
      </c>
      <c r="D758">
        <f>IF(INDEX(L_Type,ROW()-4)="","",TRIM(UPPER(INDEX(L_Type,ROW()-4))))</f>
        <v/>
      </c>
      <c r="E758">
        <f>IF(INDEX(P_Status,ROW()-4)="","",TRIM(UPPER(INDEX(P_Status,ROW()-4))))</f>
        <v/>
      </c>
      <c r="G758">
        <f>IF(INDEX(L_Status,ROW()-4)="","",TRIM(UPPER(INDEX(L_Status,ROW()-4))))</f>
        <v/>
      </c>
      <c r="J758">
        <f>IF(INDEX(L_ID,ROW()-4)="","",IF(SUMPRODUCT((P_ID=INDEX(L_ID,ROW()-4))*(P_StatusN="INACTIVE"))&gt;0,1,0))</f>
        <v/>
      </c>
    </row>
    <row r="759">
      <c r="A759">
        <f>IF(INDEX(L_ID,ROW()-4)="","",IF(COUNTIF(P_ID,INDEX(L_ID,ROW()-4))&gt;0,1,0))</f>
        <v/>
      </c>
      <c r="B759">
        <f>IF(INDEX(P_Type,ROW()-4)="","",TRIM(UPPER(INDEX(P_Type,ROW()-4))))</f>
        <v/>
      </c>
      <c r="D759">
        <f>IF(INDEX(L_Type,ROW()-4)="","",TRIM(UPPER(INDEX(L_Type,ROW()-4))))</f>
        <v/>
      </c>
      <c r="E759">
        <f>IF(INDEX(P_Status,ROW()-4)="","",TRIM(UPPER(INDEX(P_Status,ROW()-4))))</f>
        <v/>
      </c>
      <c r="G759">
        <f>IF(INDEX(L_Status,ROW()-4)="","",TRIM(UPPER(INDEX(L_Status,ROW()-4))))</f>
        <v/>
      </c>
      <c r="J759">
        <f>IF(INDEX(L_ID,ROW()-4)="","",IF(SUMPRODUCT((P_ID=INDEX(L_ID,ROW()-4))*(P_StatusN="INACTIVE"))&gt;0,1,0))</f>
        <v/>
      </c>
    </row>
    <row r="760">
      <c r="A760">
        <f>IF(INDEX(L_ID,ROW()-4)="","",IF(COUNTIF(P_ID,INDEX(L_ID,ROW()-4))&gt;0,1,0))</f>
        <v/>
      </c>
      <c r="B760">
        <f>IF(INDEX(P_Type,ROW()-4)="","",TRIM(UPPER(INDEX(P_Type,ROW()-4))))</f>
        <v/>
      </c>
      <c r="D760">
        <f>IF(INDEX(L_Type,ROW()-4)="","",TRIM(UPPER(INDEX(L_Type,ROW()-4))))</f>
        <v/>
      </c>
      <c r="E760">
        <f>IF(INDEX(P_Status,ROW()-4)="","",TRIM(UPPER(INDEX(P_Status,ROW()-4))))</f>
        <v/>
      </c>
      <c r="G760">
        <f>IF(INDEX(L_Status,ROW()-4)="","",TRIM(UPPER(INDEX(L_Status,ROW()-4))))</f>
        <v/>
      </c>
      <c r="J760">
        <f>IF(INDEX(L_ID,ROW()-4)="","",IF(SUMPRODUCT((P_ID=INDEX(L_ID,ROW()-4))*(P_StatusN="INACTIVE"))&gt;0,1,0))</f>
        <v/>
      </c>
    </row>
    <row r="761">
      <c r="A761">
        <f>IF(INDEX(L_ID,ROW()-4)="","",IF(COUNTIF(P_ID,INDEX(L_ID,ROW()-4))&gt;0,1,0))</f>
        <v/>
      </c>
      <c r="B761">
        <f>IF(INDEX(P_Type,ROW()-4)="","",TRIM(UPPER(INDEX(P_Type,ROW()-4))))</f>
        <v/>
      </c>
      <c r="D761">
        <f>IF(INDEX(L_Type,ROW()-4)="","",TRIM(UPPER(INDEX(L_Type,ROW()-4))))</f>
        <v/>
      </c>
      <c r="E761">
        <f>IF(INDEX(P_Status,ROW()-4)="","",TRIM(UPPER(INDEX(P_Status,ROW()-4))))</f>
        <v/>
      </c>
      <c r="G761">
        <f>IF(INDEX(L_Status,ROW()-4)="","",TRIM(UPPER(INDEX(L_Status,ROW()-4))))</f>
        <v/>
      </c>
      <c r="J761">
        <f>IF(INDEX(L_ID,ROW()-4)="","",IF(SUMPRODUCT((P_ID=INDEX(L_ID,ROW()-4))*(P_StatusN="INACTIVE"))&gt;0,1,0))</f>
        <v/>
      </c>
    </row>
    <row r="762">
      <c r="A762">
        <f>IF(INDEX(L_ID,ROW()-4)="","",IF(COUNTIF(P_ID,INDEX(L_ID,ROW()-4))&gt;0,1,0))</f>
        <v/>
      </c>
      <c r="B762">
        <f>IF(INDEX(P_Type,ROW()-4)="","",TRIM(UPPER(INDEX(P_Type,ROW()-4))))</f>
        <v/>
      </c>
      <c r="D762">
        <f>IF(INDEX(L_Type,ROW()-4)="","",TRIM(UPPER(INDEX(L_Type,ROW()-4))))</f>
        <v/>
      </c>
      <c r="E762">
        <f>IF(INDEX(P_Status,ROW()-4)="","",TRIM(UPPER(INDEX(P_Status,ROW()-4))))</f>
        <v/>
      </c>
      <c r="G762">
        <f>IF(INDEX(L_Status,ROW()-4)="","",TRIM(UPPER(INDEX(L_Status,ROW()-4))))</f>
        <v/>
      </c>
      <c r="J762">
        <f>IF(INDEX(L_ID,ROW()-4)="","",IF(SUMPRODUCT((P_ID=INDEX(L_ID,ROW()-4))*(P_StatusN="INACTIVE"))&gt;0,1,0))</f>
        <v/>
      </c>
    </row>
    <row r="763">
      <c r="A763">
        <f>IF(INDEX(L_ID,ROW()-4)="","",IF(COUNTIF(P_ID,INDEX(L_ID,ROW()-4))&gt;0,1,0))</f>
        <v/>
      </c>
      <c r="B763">
        <f>IF(INDEX(P_Type,ROW()-4)="","",TRIM(UPPER(INDEX(P_Type,ROW()-4))))</f>
        <v/>
      </c>
      <c r="D763">
        <f>IF(INDEX(L_Type,ROW()-4)="","",TRIM(UPPER(INDEX(L_Type,ROW()-4))))</f>
        <v/>
      </c>
      <c r="E763">
        <f>IF(INDEX(P_Status,ROW()-4)="","",TRIM(UPPER(INDEX(P_Status,ROW()-4))))</f>
        <v/>
      </c>
      <c r="G763">
        <f>IF(INDEX(L_Status,ROW()-4)="","",TRIM(UPPER(INDEX(L_Status,ROW()-4))))</f>
        <v/>
      </c>
      <c r="J763">
        <f>IF(INDEX(L_ID,ROW()-4)="","",IF(SUMPRODUCT((P_ID=INDEX(L_ID,ROW()-4))*(P_StatusN="INACTIVE"))&gt;0,1,0))</f>
        <v/>
      </c>
    </row>
    <row r="764">
      <c r="A764">
        <f>IF(INDEX(L_ID,ROW()-4)="","",IF(COUNTIF(P_ID,INDEX(L_ID,ROW()-4))&gt;0,1,0))</f>
        <v/>
      </c>
      <c r="B764">
        <f>IF(INDEX(P_Type,ROW()-4)="","",TRIM(UPPER(INDEX(P_Type,ROW()-4))))</f>
        <v/>
      </c>
      <c r="D764">
        <f>IF(INDEX(L_Type,ROW()-4)="","",TRIM(UPPER(INDEX(L_Type,ROW()-4))))</f>
        <v/>
      </c>
      <c r="E764">
        <f>IF(INDEX(P_Status,ROW()-4)="","",TRIM(UPPER(INDEX(P_Status,ROW()-4))))</f>
        <v/>
      </c>
      <c r="G764">
        <f>IF(INDEX(L_Status,ROW()-4)="","",TRIM(UPPER(INDEX(L_Status,ROW()-4))))</f>
        <v/>
      </c>
      <c r="J764">
        <f>IF(INDEX(L_ID,ROW()-4)="","",IF(SUMPRODUCT((P_ID=INDEX(L_ID,ROW()-4))*(P_StatusN="INACTIVE"))&gt;0,1,0))</f>
        <v/>
      </c>
    </row>
    <row r="765">
      <c r="A765">
        <f>IF(INDEX(L_ID,ROW()-4)="","",IF(COUNTIF(P_ID,INDEX(L_ID,ROW()-4))&gt;0,1,0))</f>
        <v/>
      </c>
      <c r="B765">
        <f>IF(INDEX(P_Type,ROW()-4)="","",TRIM(UPPER(INDEX(P_Type,ROW()-4))))</f>
        <v/>
      </c>
      <c r="D765">
        <f>IF(INDEX(L_Type,ROW()-4)="","",TRIM(UPPER(INDEX(L_Type,ROW()-4))))</f>
        <v/>
      </c>
      <c r="E765">
        <f>IF(INDEX(P_Status,ROW()-4)="","",TRIM(UPPER(INDEX(P_Status,ROW()-4))))</f>
        <v/>
      </c>
      <c r="G765">
        <f>IF(INDEX(L_Status,ROW()-4)="","",TRIM(UPPER(INDEX(L_Status,ROW()-4))))</f>
        <v/>
      </c>
      <c r="J765">
        <f>IF(INDEX(L_ID,ROW()-4)="","",IF(SUMPRODUCT((P_ID=INDEX(L_ID,ROW()-4))*(P_StatusN="INACTIVE"))&gt;0,1,0))</f>
        <v/>
      </c>
    </row>
    <row r="766">
      <c r="A766">
        <f>IF(INDEX(L_ID,ROW()-4)="","",IF(COUNTIF(P_ID,INDEX(L_ID,ROW()-4))&gt;0,1,0))</f>
        <v/>
      </c>
      <c r="B766">
        <f>IF(INDEX(P_Type,ROW()-4)="","",TRIM(UPPER(INDEX(P_Type,ROW()-4))))</f>
        <v/>
      </c>
      <c r="D766">
        <f>IF(INDEX(L_Type,ROW()-4)="","",TRIM(UPPER(INDEX(L_Type,ROW()-4))))</f>
        <v/>
      </c>
      <c r="E766">
        <f>IF(INDEX(P_Status,ROW()-4)="","",TRIM(UPPER(INDEX(P_Status,ROW()-4))))</f>
        <v/>
      </c>
      <c r="G766">
        <f>IF(INDEX(L_Status,ROW()-4)="","",TRIM(UPPER(INDEX(L_Status,ROW()-4))))</f>
        <v/>
      </c>
      <c r="J766">
        <f>IF(INDEX(L_ID,ROW()-4)="","",IF(SUMPRODUCT((P_ID=INDEX(L_ID,ROW()-4))*(P_StatusN="INACTIVE"))&gt;0,1,0))</f>
        <v/>
      </c>
    </row>
    <row r="767">
      <c r="A767">
        <f>IF(INDEX(L_ID,ROW()-4)="","",IF(COUNTIF(P_ID,INDEX(L_ID,ROW()-4))&gt;0,1,0))</f>
        <v/>
      </c>
      <c r="B767">
        <f>IF(INDEX(P_Type,ROW()-4)="","",TRIM(UPPER(INDEX(P_Type,ROW()-4))))</f>
        <v/>
      </c>
      <c r="D767">
        <f>IF(INDEX(L_Type,ROW()-4)="","",TRIM(UPPER(INDEX(L_Type,ROW()-4))))</f>
        <v/>
      </c>
      <c r="E767">
        <f>IF(INDEX(P_Status,ROW()-4)="","",TRIM(UPPER(INDEX(P_Status,ROW()-4))))</f>
        <v/>
      </c>
      <c r="G767">
        <f>IF(INDEX(L_Status,ROW()-4)="","",TRIM(UPPER(INDEX(L_Status,ROW()-4))))</f>
        <v/>
      </c>
      <c r="J767">
        <f>IF(INDEX(L_ID,ROW()-4)="","",IF(SUMPRODUCT((P_ID=INDEX(L_ID,ROW()-4))*(P_StatusN="INACTIVE"))&gt;0,1,0))</f>
        <v/>
      </c>
    </row>
    <row r="768">
      <c r="A768">
        <f>IF(INDEX(L_ID,ROW()-4)="","",IF(COUNTIF(P_ID,INDEX(L_ID,ROW()-4))&gt;0,1,0))</f>
        <v/>
      </c>
      <c r="B768">
        <f>IF(INDEX(P_Type,ROW()-4)="","",TRIM(UPPER(INDEX(P_Type,ROW()-4))))</f>
        <v/>
      </c>
      <c r="D768">
        <f>IF(INDEX(L_Type,ROW()-4)="","",TRIM(UPPER(INDEX(L_Type,ROW()-4))))</f>
        <v/>
      </c>
      <c r="E768">
        <f>IF(INDEX(P_Status,ROW()-4)="","",TRIM(UPPER(INDEX(P_Status,ROW()-4))))</f>
        <v/>
      </c>
      <c r="G768">
        <f>IF(INDEX(L_Status,ROW()-4)="","",TRIM(UPPER(INDEX(L_Status,ROW()-4))))</f>
        <v/>
      </c>
      <c r="J768">
        <f>IF(INDEX(L_ID,ROW()-4)="","",IF(SUMPRODUCT((P_ID=INDEX(L_ID,ROW()-4))*(P_StatusN="INACTIVE"))&gt;0,1,0))</f>
        <v/>
      </c>
    </row>
    <row r="769">
      <c r="A769">
        <f>IF(INDEX(L_ID,ROW()-4)="","",IF(COUNTIF(P_ID,INDEX(L_ID,ROW()-4))&gt;0,1,0))</f>
        <v/>
      </c>
      <c r="B769">
        <f>IF(INDEX(P_Type,ROW()-4)="","",TRIM(UPPER(INDEX(P_Type,ROW()-4))))</f>
        <v/>
      </c>
      <c r="D769">
        <f>IF(INDEX(L_Type,ROW()-4)="","",TRIM(UPPER(INDEX(L_Type,ROW()-4))))</f>
        <v/>
      </c>
      <c r="E769">
        <f>IF(INDEX(P_Status,ROW()-4)="","",TRIM(UPPER(INDEX(P_Status,ROW()-4))))</f>
        <v/>
      </c>
      <c r="G769">
        <f>IF(INDEX(L_Status,ROW()-4)="","",TRIM(UPPER(INDEX(L_Status,ROW()-4))))</f>
        <v/>
      </c>
      <c r="J769">
        <f>IF(INDEX(L_ID,ROW()-4)="","",IF(SUMPRODUCT((P_ID=INDEX(L_ID,ROW()-4))*(P_StatusN="INACTIVE"))&gt;0,1,0))</f>
        <v/>
      </c>
    </row>
    <row r="770">
      <c r="A770">
        <f>IF(INDEX(L_ID,ROW()-4)="","",IF(COUNTIF(P_ID,INDEX(L_ID,ROW()-4))&gt;0,1,0))</f>
        <v/>
      </c>
      <c r="B770">
        <f>IF(INDEX(P_Type,ROW()-4)="","",TRIM(UPPER(INDEX(P_Type,ROW()-4))))</f>
        <v/>
      </c>
      <c r="D770">
        <f>IF(INDEX(L_Type,ROW()-4)="","",TRIM(UPPER(INDEX(L_Type,ROW()-4))))</f>
        <v/>
      </c>
      <c r="E770">
        <f>IF(INDEX(P_Status,ROW()-4)="","",TRIM(UPPER(INDEX(P_Status,ROW()-4))))</f>
        <v/>
      </c>
      <c r="G770">
        <f>IF(INDEX(L_Status,ROW()-4)="","",TRIM(UPPER(INDEX(L_Status,ROW()-4))))</f>
        <v/>
      </c>
      <c r="J770">
        <f>IF(INDEX(L_ID,ROW()-4)="","",IF(SUMPRODUCT((P_ID=INDEX(L_ID,ROW()-4))*(P_StatusN="INACTIVE"))&gt;0,1,0))</f>
        <v/>
      </c>
    </row>
    <row r="771">
      <c r="A771">
        <f>IF(INDEX(L_ID,ROW()-4)="","",IF(COUNTIF(P_ID,INDEX(L_ID,ROW()-4))&gt;0,1,0))</f>
        <v/>
      </c>
      <c r="B771">
        <f>IF(INDEX(P_Type,ROW()-4)="","",TRIM(UPPER(INDEX(P_Type,ROW()-4))))</f>
        <v/>
      </c>
      <c r="D771">
        <f>IF(INDEX(L_Type,ROW()-4)="","",TRIM(UPPER(INDEX(L_Type,ROW()-4))))</f>
        <v/>
      </c>
      <c r="E771">
        <f>IF(INDEX(P_Status,ROW()-4)="","",TRIM(UPPER(INDEX(P_Status,ROW()-4))))</f>
        <v/>
      </c>
      <c r="G771">
        <f>IF(INDEX(L_Status,ROW()-4)="","",TRIM(UPPER(INDEX(L_Status,ROW()-4))))</f>
        <v/>
      </c>
      <c r="J771">
        <f>IF(INDEX(L_ID,ROW()-4)="","",IF(SUMPRODUCT((P_ID=INDEX(L_ID,ROW()-4))*(P_StatusN="INACTIVE"))&gt;0,1,0))</f>
        <v/>
      </c>
    </row>
    <row r="772">
      <c r="A772">
        <f>IF(INDEX(L_ID,ROW()-4)="","",IF(COUNTIF(P_ID,INDEX(L_ID,ROW()-4))&gt;0,1,0))</f>
        <v/>
      </c>
      <c r="B772">
        <f>IF(INDEX(P_Type,ROW()-4)="","",TRIM(UPPER(INDEX(P_Type,ROW()-4))))</f>
        <v/>
      </c>
      <c r="D772">
        <f>IF(INDEX(L_Type,ROW()-4)="","",TRIM(UPPER(INDEX(L_Type,ROW()-4))))</f>
        <v/>
      </c>
      <c r="E772">
        <f>IF(INDEX(P_Status,ROW()-4)="","",TRIM(UPPER(INDEX(P_Status,ROW()-4))))</f>
        <v/>
      </c>
      <c r="G772">
        <f>IF(INDEX(L_Status,ROW()-4)="","",TRIM(UPPER(INDEX(L_Status,ROW()-4))))</f>
        <v/>
      </c>
      <c r="J772">
        <f>IF(INDEX(L_ID,ROW()-4)="","",IF(SUMPRODUCT((P_ID=INDEX(L_ID,ROW()-4))*(P_StatusN="INACTIVE"))&gt;0,1,0))</f>
        <v/>
      </c>
    </row>
    <row r="773">
      <c r="A773">
        <f>IF(INDEX(L_ID,ROW()-4)="","",IF(COUNTIF(P_ID,INDEX(L_ID,ROW()-4))&gt;0,1,0))</f>
        <v/>
      </c>
      <c r="B773">
        <f>IF(INDEX(P_Type,ROW()-4)="","",TRIM(UPPER(INDEX(P_Type,ROW()-4))))</f>
        <v/>
      </c>
      <c r="D773">
        <f>IF(INDEX(L_Type,ROW()-4)="","",TRIM(UPPER(INDEX(L_Type,ROW()-4))))</f>
        <v/>
      </c>
      <c r="E773">
        <f>IF(INDEX(P_Status,ROW()-4)="","",TRIM(UPPER(INDEX(P_Status,ROW()-4))))</f>
        <v/>
      </c>
      <c r="G773">
        <f>IF(INDEX(L_Status,ROW()-4)="","",TRIM(UPPER(INDEX(L_Status,ROW()-4))))</f>
        <v/>
      </c>
      <c r="J773">
        <f>IF(INDEX(L_ID,ROW()-4)="","",IF(SUMPRODUCT((P_ID=INDEX(L_ID,ROW()-4))*(P_StatusN="INACTIVE"))&gt;0,1,0))</f>
        <v/>
      </c>
    </row>
    <row r="774">
      <c r="A774">
        <f>IF(INDEX(L_ID,ROW()-4)="","",IF(COUNTIF(P_ID,INDEX(L_ID,ROW()-4))&gt;0,1,0))</f>
        <v/>
      </c>
      <c r="B774">
        <f>IF(INDEX(P_Type,ROW()-4)="","",TRIM(UPPER(INDEX(P_Type,ROW()-4))))</f>
        <v/>
      </c>
      <c r="D774">
        <f>IF(INDEX(L_Type,ROW()-4)="","",TRIM(UPPER(INDEX(L_Type,ROW()-4))))</f>
        <v/>
      </c>
      <c r="E774">
        <f>IF(INDEX(P_Status,ROW()-4)="","",TRIM(UPPER(INDEX(P_Status,ROW()-4))))</f>
        <v/>
      </c>
      <c r="G774">
        <f>IF(INDEX(L_Status,ROW()-4)="","",TRIM(UPPER(INDEX(L_Status,ROW()-4))))</f>
        <v/>
      </c>
      <c r="J774">
        <f>IF(INDEX(L_ID,ROW()-4)="","",IF(SUMPRODUCT((P_ID=INDEX(L_ID,ROW()-4))*(P_StatusN="INACTIVE"))&gt;0,1,0))</f>
        <v/>
      </c>
    </row>
    <row r="775">
      <c r="A775">
        <f>IF(INDEX(L_ID,ROW()-4)="","",IF(COUNTIF(P_ID,INDEX(L_ID,ROW()-4))&gt;0,1,0))</f>
        <v/>
      </c>
      <c r="B775">
        <f>IF(INDEX(P_Type,ROW()-4)="","",TRIM(UPPER(INDEX(P_Type,ROW()-4))))</f>
        <v/>
      </c>
      <c r="D775">
        <f>IF(INDEX(L_Type,ROW()-4)="","",TRIM(UPPER(INDEX(L_Type,ROW()-4))))</f>
        <v/>
      </c>
      <c r="E775">
        <f>IF(INDEX(P_Status,ROW()-4)="","",TRIM(UPPER(INDEX(P_Status,ROW()-4))))</f>
        <v/>
      </c>
      <c r="G775">
        <f>IF(INDEX(L_Status,ROW()-4)="","",TRIM(UPPER(INDEX(L_Status,ROW()-4))))</f>
        <v/>
      </c>
      <c r="J775">
        <f>IF(INDEX(L_ID,ROW()-4)="","",IF(SUMPRODUCT((P_ID=INDEX(L_ID,ROW()-4))*(P_StatusN="INACTIVE"))&gt;0,1,0))</f>
        <v/>
      </c>
    </row>
    <row r="776">
      <c r="A776">
        <f>IF(INDEX(L_ID,ROW()-4)="","",IF(COUNTIF(P_ID,INDEX(L_ID,ROW()-4))&gt;0,1,0))</f>
        <v/>
      </c>
      <c r="B776">
        <f>IF(INDEX(P_Type,ROW()-4)="","",TRIM(UPPER(INDEX(P_Type,ROW()-4))))</f>
        <v/>
      </c>
      <c r="D776">
        <f>IF(INDEX(L_Type,ROW()-4)="","",TRIM(UPPER(INDEX(L_Type,ROW()-4))))</f>
        <v/>
      </c>
      <c r="E776">
        <f>IF(INDEX(P_Status,ROW()-4)="","",TRIM(UPPER(INDEX(P_Status,ROW()-4))))</f>
        <v/>
      </c>
      <c r="G776">
        <f>IF(INDEX(L_Status,ROW()-4)="","",TRIM(UPPER(INDEX(L_Status,ROW()-4))))</f>
        <v/>
      </c>
      <c r="J776">
        <f>IF(INDEX(L_ID,ROW()-4)="","",IF(SUMPRODUCT((P_ID=INDEX(L_ID,ROW()-4))*(P_StatusN="INACTIVE"))&gt;0,1,0))</f>
        <v/>
      </c>
    </row>
    <row r="777">
      <c r="A777">
        <f>IF(INDEX(L_ID,ROW()-4)="","",IF(COUNTIF(P_ID,INDEX(L_ID,ROW()-4))&gt;0,1,0))</f>
        <v/>
      </c>
      <c r="B777">
        <f>IF(INDEX(P_Type,ROW()-4)="","",TRIM(UPPER(INDEX(P_Type,ROW()-4))))</f>
        <v/>
      </c>
      <c r="D777">
        <f>IF(INDEX(L_Type,ROW()-4)="","",TRIM(UPPER(INDEX(L_Type,ROW()-4))))</f>
        <v/>
      </c>
      <c r="E777">
        <f>IF(INDEX(P_Status,ROW()-4)="","",TRIM(UPPER(INDEX(P_Status,ROW()-4))))</f>
        <v/>
      </c>
      <c r="G777">
        <f>IF(INDEX(L_Status,ROW()-4)="","",TRIM(UPPER(INDEX(L_Status,ROW()-4))))</f>
        <v/>
      </c>
      <c r="J777">
        <f>IF(INDEX(L_ID,ROW()-4)="","",IF(SUMPRODUCT((P_ID=INDEX(L_ID,ROW()-4))*(P_StatusN="INACTIVE"))&gt;0,1,0))</f>
        <v/>
      </c>
    </row>
    <row r="778">
      <c r="A778">
        <f>IF(INDEX(L_ID,ROW()-4)="","",IF(COUNTIF(P_ID,INDEX(L_ID,ROW()-4))&gt;0,1,0))</f>
        <v/>
      </c>
      <c r="B778">
        <f>IF(INDEX(P_Type,ROW()-4)="","",TRIM(UPPER(INDEX(P_Type,ROW()-4))))</f>
        <v/>
      </c>
      <c r="D778">
        <f>IF(INDEX(L_Type,ROW()-4)="","",TRIM(UPPER(INDEX(L_Type,ROW()-4))))</f>
        <v/>
      </c>
      <c r="E778">
        <f>IF(INDEX(P_Status,ROW()-4)="","",TRIM(UPPER(INDEX(P_Status,ROW()-4))))</f>
        <v/>
      </c>
      <c r="G778">
        <f>IF(INDEX(L_Status,ROW()-4)="","",TRIM(UPPER(INDEX(L_Status,ROW()-4))))</f>
        <v/>
      </c>
      <c r="J778">
        <f>IF(INDEX(L_ID,ROW()-4)="","",IF(SUMPRODUCT((P_ID=INDEX(L_ID,ROW()-4))*(P_StatusN="INACTIVE"))&gt;0,1,0))</f>
        <v/>
      </c>
    </row>
    <row r="779">
      <c r="A779">
        <f>IF(INDEX(L_ID,ROW()-4)="","",IF(COUNTIF(P_ID,INDEX(L_ID,ROW()-4))&gt;0,1,0))</f>
        <v/>
      </c>
      <c r="B779">
        <f>IF(INDEX(P_Type,ROW()-4)="","",TRIM(UPPER(INDEX(P_Type,ROW()-4))))</f>
        <v/>
      </c>
      <c r="D779">
        <f>IF(INDEX(L_Type,ROW()-4)="","",TRIM(UPPER(INDEX(L_Type,ROW()-4))))</f>
        <v/>
      </c>
      <c r="E779">
        <f>IF(INDEX(P_Status,ROW()-4)="","",TRIM(UPPER(INDEX(P_Status,ROW()-4))))</f>
        <v/>
      </c>
      <c r="G779">
        <f>IF(INDEX(L_Status,ROW()-4)="","",TRIM(UPPER(INDEX(L_Status,ROW()-4))))</f>
        <v/>
      </c>
      <c r="J779">
        <f>IF(INDEX(L_ID,ROW()-4)="","",IF(SUMPRODUCT((P_ID=INDEX(L_ID,ROW()-4))*(P_StatusN="INACTIVE"))&gt;0,1,0))</f>
        <v/>
      </c>
    </row>
    <row r="780">
      <c r="A780">
        <f>IF(INDEX(L_ID,ROW()-4)="","",IF(COUNTIF(P_ID,INDEX(L_ID,ROW()-4))&gt;0,1,0))</f>
        <v/>
      </c>
      <c r="B780">
        <f>IF(INDEX(P_Type,ROW()-4)="","",TRIM(UPPER(INDEX(P_Type,ROW()-4))))</f>
        <v/>
      </c>
      <c r="D780">
        <f>IF(INDEX(L_Type,ROW()-4)="","",TRIM(UPPER(INDEX(L_Type,ROW()-4))))</f>
        <v/>
      </c>
      <c r="E780">
        <f>IF(INDEX(P_Status,ROW()-4)="","",TRIM(UPPER(INDEX(P_Status,ROW()-4))))</f>
        <v/>
      </c>
      <c r="G780">
        <f>IF(INDEX(L_Status,ROW()-4)="","",TRIM(UPPER(INDEX(L_Status,ROW()-4))))</f>
        <v/>
      </c>
      <c r="J780">
        <f>IF(INDEX(L_ID,ROW()-4)="","",IF(SUMPRODUCT((P_ID=INDEX(L_ID,ROW()-4))*(P_StatusN="INACTIVE"))&gt;0,1,0))</f>
        <v/>
      </c>
    </row>
    <row r="781">
      <c r="A781">
        <f>IF(INDEX(L_ID,ROW()-4)="","",IF(COUNTIF(P_ID,INDEX(L_ID,ROW()-4))&gt;0,1,0))</f>
        <v/>
      </c>
      <c r="B781">
        <f>IF(INDEX(P_Type,ROW()-4)="","",TRIM(UPPER(INDEX(P_Type,ROW()-4))))</f>
        <v/>
      </c>
      <c r="D781">
        <f>IF(INDEX(L_Type,ROW()-4)="","",TRIM(UPPER(INDEX(L_Type,ROW()-4))))</f>
        <v/>
      </c>
      <c r="E781">
        <f>IF(INDEX(P_Status,ROW()-4)="","",TRIM(UPPER(INDEX(P_Status,ROW()-4))))</f>
        <v/>
      </c>
      <c r="G781">
        <f>IF(INDEX(L_Status,ROW()-4)="","",TRIM(UPPER(INDEX(L_Status,ROW()-4))))</f>
        <v/>
      </c>
      <c r="J781">
        <f>IF(INDEX(L_ID,ROW()-4)="","",IF(SUMPRODUCT((P_ID=INDEX(L_ID,ROW()-4))*(P_StatusN="INACTIVE"))&gt;0,1,0))</f>
        <v/>
      </c>
    </row>
    <row r="782">
      <c r="A782">
        <f>IF(INDEX(L_ID,ROW()-4)="","",IF(COUNTIF(P_ID,INDEX(L_ID,ROW()-4))&gt;0,1,0))</f>
        <v/>
      </c>
      <c r="B782">
        <f>IF(INDEX(P_Type,ROW()-4)="","",TRIM(UPPER(INDEX(P_Type,ROW()-4))))</f>
        <v/>
      </c>
      <c r="D782">
        <f>IF(INDEX(L_Type,ROW()-4)="","",TRIM(UPPER(INDEX(L_Type,ROW()-4))))</f>
        <v/>
      </c>
      <c r="E782">
        <f>IF(INDEX(P_Status,ROW()-4)="","",TRIM(UPPER(INDEX(P_Status,ROW()-4))))</f>
        <v/>
      </c>
      <c r="G782">
        <f>IF(INDEX(L_Status,ROW()-4)="","",TRIM(UPPER(INDEX(L_Status,ROW()-4))))</f>
        <v/>
      </c>
      <c r="J782">
        <f>IF(INDEX(L_ID,ROW()-4)="","",IF(SUMPRODUCT((P_ID=INDEX(L_ID,ROW()-4))*(P_StatusN="INACTIVE"))&gt;0,1,0))</f>
        <v/>
      </c>
    </row>
    <row r="783">
      <c r="A783">
        <f>IF(INDEX(L_ID,ROW()-4)="","",IF(COUNTIF(P_ID,INDEX(L_ID,ROW()-4))&gt;0,1,0))</f>
        <v/>
      </c>
      <c r="B783">
        <f>IF(INDEX(P_Type,ROW()-4)="","",TRIM(UPPER(INDEX(P_Type,ROW()-4))))</f>
        <v/>
      </c>
      <c r="D783">
        <f>IF(INDEX(L_Type,ROW()-4)="","",TRIM(UPPER(INDEX(L_Type,ROW()-4))))</f>
        <v/>
      </c>
      <c r="E783">
        <f>IF(INDEX(P_Status,ROW()-4)="","",TRIM(UPPER(INDEX(P_Status,ROW()-4))))</f>
        <v/>
      </c>
      <c r="G783">
        <f>IF(INDEX(L_Status,ROW()-4)="","",TRIM(UPPER(INDEX(L_Status,ROW()-4))))</f>
        <v/>
      </c>
      <c r="J783">
        <f>IF(INDEX(L_ID,ROW()-4)="","",IF(SUMPRODUCT((P_ID=INDEX(L_ID,ROW()-4))*(P_StatusN="INACTIVE"))&gt;0,1,0))</f>
        <v/>
      </c>
    </row>
    <row r="784">
      <c r="A784">
        <f>IF(INDEX(L_ID,ROW()-4)="","",IF(COUNTIF(P_ID,INDEX(L_ID,ROW()-4))&gt;0,1,0))</f>
        <v/>
      </c>
      <c r="B784">
        <f>IF(INDEX(P_Type,ROW()-4)="","",TRIM(UPPER(INDEX(P_Type,ROW()-4))))</f>
        <v/>
      </c>
      <c r="D784">
        <f>IF(INDEX(L_Type,ROW()-4)="","",TRIM(UPPER(INDEX(L_Type,ROW()-4))))</f>
        <v/>
      </c>
      <c r="E784">
        <f>IF(INDEX(P_Status,ROW()-4)="","",TRIM(UPPER(INDEX(P_Status,ROW()-4))))</f>
        <v/>
      </c>
      <c r="G784">
        <f>IF(INDEX(L_Status,ROW()-4)="","",TRIM(UPPER(INDEX(L_Status,ROW()-4))))</f>
        <v/>
      </c>
      <c r="J784">
        <f>IF(INDEX(L_ID,ROW()-4)="","",IF(SUMPRODUCT((P_ID=INDEX(L_ID,ROW()-4))*(P_StatusN="INACTIVE"))&gt;0,1,0))</f>
        <v/>
      </c>
    </row>
    <row r="785">
      <c r="A785">
        <f>IF(INDEX(L_ID,ROW()-4)="","",IF(COUNTIF(P_ID,INDEX(L_ID,ROW()-4))&gt;0,1,0))</f>
        <v/>
      </c>
      <c r="B785">
        <f>IF(INDEX(P_Type,ROW()-4)="","",TRIM(UPPER(INDEX(P_Type,ROW()-4))))</f>
        <v/>
      </c>
      <c r="D785">
        <f>IF(INDEX(L_Type,ROW()-4)="","",TRIM(UPPER(INDEX(L_Type,ROW()-4))))</f>
        <v/>
      </c>
      <c r="E785">
        <f>IF(INDEX(P_Status,ROW()-4)="","",TRIM(UPPER(INDEX(P_Status,ROW()-4))))</f>
        <v/>
      </c>
      <c r="G785">
        <f>IF(INDEX(L_Status,ROW()-4)="","",TRIM(UPPER(INDEX(L_Status,ROW()-4))))</f>
        <v/>
      </c>
      <c r="J785">
        <f>IF(INDEX(L_ID,ROW()-4)="","",IF(SUMPRODUCT((P_ID=INDEX(L_ID,ROW()-4))*(P_StatusN="INACTIVE"))&gt;0,1,0))</f>
        <v/>
      </c>
    </row>
    <row r="786">
      <c r="A786">
        <f>IF(INDEX(L_ID,ROW()-4)="","",IF(COUNTIF(P_ID,INDEX(L_ID,ROW()-4))&gt;0,1,0))</f>
        <v/>
      </c>
      <c r="B786">
        <f>IF(INDEX(P_Type,ROW()-4)="","",TRIM(UPPER(INDEX(P_Type,ROW()-4))))</f>
        <v/>
      </c>
      <c r="D786">
        <f>IF(INDEX(L_Type,ROW()-4)="","",TRIM(UPPER(INDEX(L_Type,ROW()-4))))</f>
        <v/>
      </c>
      <c r="E786">
        <f>IF(INDEX(P_Status,ROW()-4)="","",TRIM(UPPER(INDEX(P_Status,ROW()-4))))</f>
        <v/>
      </c>
      <c r="G786">
        <f>IF(INDEX(L_Status,ROW()-4)="","",TRIM(UPPER(INDEX(L_Status,ROW()-4))))</f>
        <v/>
      </c>
      <c r="J786">
        <f>IF(INDEX(L_ID,ROW()-4)="","",IF(SUMPRODUCT((P_ID=INDEX(L_ID,ROW()-4))*(P_StatusN="INACTIVE"))&gt;0,1,0))</f>
        <v/>
      </c>
    </row>
    <row r="787">
      <c r="A787">
        <f>IF(INDEX(L_ID,ROW()-4)="","",IF(COUNTIF(P_ID,INDEX(L_ID,ROW()-4))&gt;0,1,0))</f>
        <v/>
      </c>
      <c r="B787">
        <f>IF(INDEX(P_Type,ROW()-4)="","",TRIM(UPPER(INDEX(P_Type,ROW()-4))))</f>
        <v/>
      </c>
      <c r="D787">
        <f>IF(INDEX(L_Type,ROW()-4)="","",TRIM(UPPER(INDEX(L_Type,ROW()-4))))</f>
        <v/>
      </c>
      <c r="E787">
        <f>IF(INDEX(P_Status,ROW()-4)="","",TRIM(UPPER(INDEX(P_Status,ROW()-4))))</f>
        <v/>
      </c>
      <c r="G787">
        <f>IF(INDEX(L_Status,ROW()-4)="","",TRIM(UPPER(INDEX(L_Status,ROW()-4))))</f>
        <v/>
      </c>
      <c r="J787">
        <f>IF(INDEX(L_ID,ROW()-4)="","",IF(SUMPRODUCT((P_ID=INDEX(L_ID,ROW()-4))*(P_StatusN="INACTIVE"))&gt;0,1,0))</f>
        <v/>
      </c>
    </row>
    <row r="788">
      <c r="A788">
        <f>IF(INDEX(L_ID,ROW()-4)="","",IF(COUNTIF(P_ID,INDEX(L_ID,ROW()-4))&gt;0,1,0))</f>
        <v/>
      </c>
      <c r="B788">
        <f>IF(INDEX(P_Type,ROW()-4)="","",TRIM(UPPER(INDEX(P_Type,ROW()-4))))</f>
        <v/>
      </c>
      <c r="D788">
        <f>IF(INDEX(L_Type,ROW()-4)="","",TRIM(UPPER(INDEX(L_Type,ROW()-4))))</f>
        <v/>
      </c>
      <c r="E788">
        <f>IF(INDEX(P_Status,ROW()-4)="","",TRIM(UPPER(INDEX(P_Status,ROW()-4))))</f>
        <v/>
      </c>
      <c r="G788">
        <f>IF(INDEX(L_Status,ROW()-4)="","",TRIM(UPPER(INDEX(L_Status,ROW()-4))))</f>
        <v/>
      </c>
      <c r="J788">
        <f>IF(INDEX(L_ID,ROW()-4)="","",IF(SUMPRODUCT((P_ID=INDEX(L_ID,ROW()-4))*(P_StatusN="INACTIVE"))&gt;0,1,0))</f>
        <v/>
      </c>
    </row>
    <row r="789">
      <c r="A789">
        <f>IF(INDEX(L_ID,ROW()-4)="","",IF(COUNTIF(P_ID,INDEX(L_ID,ROW()-4))&gt;0,1,0))</f>
        <v/>
      </c>
      <c r="B789">
        <f>IF(INDEX(P_Type,ROW()-4)="","",TRIM(UPPER(INDEX(P_Type,ROW()-4))))</f>
        <v/>
      </c>
      <c r="D789">
        <f>IF(INDEX(L_Type,ROW()-4)="","",TRIM(UPPER(INDEX(L_Type,ROW()-4))))</f>
        <v/>
      </c>
      <c r="E789">
        <f>IF(INDEX(P_Status,ROW()-4)="","",TRIM(UPPER(INDEX(P_Status,ROW()-4))))</f>
        <v/>
      </c>
      <c r="G789">
        <f>IF(INDEX(L_Status,ROW()-4)="","",TRIM(UPPER(INDEX(L_Status,ROW()-4))))</f>
        <v/>
      </c>
      <c r="J789">
        <f>IF(INDEX(L_ID,ROW()-4)="","",IF(SUMPRODUCT((P_ID=INDEX(L_ID,ROW()-4))*(P_StatusN="INACTIVE"))&gt;0,1,0))</f>
        <v/>
      </c>
    </row>
    <row r="790">
      <c r="A790">
        <f>IF(INDEX(L_ID,ROW()-4)="","",IF(COUNTIF(P_ID,INDEX(L_ID,ROW()-4))&gt;0,1,0))</f>
        <v/>
      </c>
      <c r="B790">
        <f>IF(INDEX(P_Type,ROW()-4)="","",TRIM(UPPER(INDEX(P_Type,ROW()-4))))</f>
        <v/>
      </c>
      <c r="D790">
        <f>IF(INDEX(L_Type,ROW()-4)="","",TRIM(UPPER(INDEX(L_Type,ROW()-4))))</f>
        <v/>
      </c>
      <c r="E790">
        <f>IF(INDEX(P_Status,ROW()-4)="","",TRIM(UPPER(INDEX(P_Status,ROW()-4))))</f>
        <v/>
      </c>
      <c r="G790">
        <f>IF(INDEX(L_Status,ROW()-4)="","",TRIM(UPPER(INDEX(L_Status,ROW()-4))))</f>
        <v/>
      </c>
      <c r="J790">
        <f>IF(INDEX(L_ID,ROW()-4)="","",IF(SUMPRODUCT((P_ID=INDEX(L_ID,ROW()-4))*(P_StatusN="INACTIVE"))&gt;0,1,0))</f>
        <v/>
      </c>
    </row>
    <row r="791">
      <c r="A791">
        <f>IF(INDEX(L_ID,ROW()-4)="","",IF(COUNTIF(P_ID,INDEX(L_ID,ROW()-4))&gt;0,1,0))</f>
        <v/>
      </c>
      <c r="B791">
        <f>IF(INDEX(P_Type,ROW()-4)="","",TRIM(UPPER(INDEX(P_Type,ROW()-4))))</f>
        <v/>
      </c>
      <c r="D791">
        <f>IF(INDEX(L_Type,ROW()-4)="","",TRIM(UPPER(INDEX(L_Type,ROW()-4))))</f>
        <v/>
      </c>
      <c r="E791">
        <f>IF(INDEX(P_Status,ROW()-4)="","",TRIM(UPPER(INDEX(P_Status,ROW()-4))))</f>
        <v/>
      </c>
      <c r="G791">
        <f>IF(INDEX(L_Status,ROW()-4)="","",TRIM(UPPER(INDEX(L_Status,ROW()-4))))</f>
        <v/>
      </c>
      <c r="J791">
        <f>IF(INDEX(L_ID,ROW()-4)="","",IF(SUMPRODUCT((P_ID=INDEX(L_ID,ROW()-4))*(P_StatusN="INACTIVE"))&gt;0,1,0))</f>
        <v/>
      </c>
    </row>
    <row r="792">
      <c r="A792">
        <f>IF(INDEX(L_ID,ROW()-4)="","",IF(COUNTIF(P_ID,INDEX(L_ID,ROW()-4))&gt;0,1,0))</f>
        <v/>
      </c>
      <c r="B792">
        <f>IF(INDEX(P_Type,ROW()-4)="","",TRIM(UPPER(INDEX(P_Type,ROW()-4))))</f>
        <v/>
      </c>
      <c r="D792">
        <f>IF(INDEX(L_Type,ROW()-4)="","",TRIM(UPPER(INDEX(L_Type,ROW()-4))))</f>
        <v/>
      </c>
      <c r="E792">
        <f>IF(INDEX(P_Status,ROW()-4)="","",TRIM(UPPER(INDEX(P_Status,ROW()-4))))</f>
        <v/>
      </c>
      <c r="G792">
        <f>IF(INDEX(L_Status,ROW()-4)="","",TRIM(UPPER(INDEX(L_Status,ROW()-4))))</f>
        <v/>
      </c>
      <c r="J792">
        <f>IF(INDEX(L_ID,ROW()-4)="","",IF(SUMPRODUCT((P_ID=INDEX(L_ID,ROW()-4))*(P_StatusN="INACTIVE"))&gt;0,1,0))</f>
        <v/>
      </c>
    </row>
    <row r="793">
      <c r="A793">
        <f>IF(INDEX(L_ID,ROW()-4)="","",IF(COUNTIF(P_ID,INDEX(L_ID,ROW()-4))&gt;0,1,0))</f>
        <v/>
      </c>
      <c r="B793">
        <f>IF(INDEX(P_Type,ROW()-4)="","",TRIM(UPPER(INDEX(P_Type,ROW()-4))))</f>
        <v/>
      </c>
      <c r="D793">
        <f>IF(INDEX(L_Type,ROW()-4)="","",TRIM(UPPER(INDEX(L_Type,ROW()-4))))</f>
        <v/>
      </c>
      <c r="E793">
        <f>IF(INDEX(P_Status,ROW()-4)="","",TRIM(UPPER(INDEX(P_Status,ROW()-4))))</f>
        <v/>
      </c>
      <c r="G793">
        <f>IF(INDEX(L_Status,ROW()-4)="","",TRIM(UPPER(INDEX(L_Status,ROW()-4))))</f>
        <v/>
      </c>
      <c r="J793">
        <f>IF(INDEX(L_ID,ROW()-4)="","",IF(SUMPRODUCT((P_ID=INDEX(L_ID,ROW()-4))*(P_StatusN="INACTIVE"))&gt;0,1,0))</f>
        <v/>
      </c>
    </row>
    <row r="794">
      <c r="A794">
        <f>IF(INDEX(L_ID,ROW()-4)="","",IF(COUNTIF(P_ID,INDEX(L_ID,ROW()-4))&gt;0,1,0))</f>
        <v/>
      </c>
      <c r="B794">
        <f>IF(INDEX(P_Type,ROW()-4)="","",TRIM(UPPER(INDEX(P_Type,ROW()-4))))</f>
        <v/>
      </c>
      <c r="D794">
        <f>IF(INDEX(L_Type,ROW()-4)="","",TRIM(UPPER(INDEX(L_Type,ROW()-4))))</f>
        <v/>
      </c>
      <c r="E794">
        <f>IF(INDEX(P_Status,ROW()-4)="","",TRIM(UPPER(INDEX(P_Status,ROW()-4))))</f>
        <v/>
      </c>
      <c r="G794">
        <f>IF(INDEX(L_Status,ROW()-4)="","",TRIM(UPPER(INDEX(L_Status,ROW()-4))))</f>
        <v/>
      </c>
      <c r="J794">
        <f>IF(INDEX(L_ID,ROW()-4)="","",IF(SUMPRODUCT((P_ID=INDEX(L_ID,ROW()-4))*(P_StatusN="INACTIVE"))&gt;0,1,0))</f>
        <v/>
      </c>
    </row>
    <row r="795">
      <c r="A795">
        <f>IF(INDEX(L_ID,ROW()-4)="","",IF(COUNTIF(P_ID,INDEX(L_ID,ROW()-4))&gt;0,1,0))</f>
        <v/>
      </c>
      <c r="B795">
        <f>IF(INDEX(P_Type,ROW()-4)="","",TRIM(UPPER(INDEX(P_Type,ROW()-4))))</f>
        <v/>
      </c>
      <c r="D795">
        <f>IF(INDEX(L_Type,ROW()-4)="","",TRIM(UPPER(INDEX(L_Type,ROW()-4))))</f>
        <v/>
      </c>
      <c r="E795">
        <f>IF(INDEX(P_Status,ROW()-4)="","",TRIM(UPPER(INDEX(P_Status,ROW()-4))))</f>
        <v/>
      </c>
      <c r="G795">
        <f>IF(INDEX(L_Status,ROW()-4)="","",TRIM(UPPER(INDEX(L_Status,ROW()-4))))</f>
        <v/>
      </c>
      <c r="J795">
        <f>IF(INDEX(L_ID,ROW()-4)="","",IF(SUMPRODUCT((P_ID=INDEX(L_ID,ROW()-4))*(P_StatusN="INACTIVE"))&gt;0,1,0))</f>
        <v/>
      </c>
    </row>
    <row r="796">
      <c r="A796">
        <f>IF(INDEX(L_ID,ROW()-4)="","",IF(COUNTIF(P_ID,INDEX(L_ID,ROW()-4))&gt;0,1,0))</f>
        <v/>
      </c>
      <c r="B796">
        <f>IF(INDEX(P_Type,ROW()-4)="","",TRIM(UPPER(INDEX(P_Type,ROW()-4))))</f>
        <v/>
      </c>
      <c r="D796">
        <f>IF(INDEX(L_Type,ROW()-4)="","",TRIM(UPPER(INDEX(L_Type,ROW()-4))))</f>
        <v/>
      </c>
      <c r="E796">
        <f>IF(INDEX(P_Status,ROW()-4)="","",TRIM(UPPER(INDEX(P_Status,ROW()-4))))</f>
        <v/>
      </c>
      <c r="G796">
        <f>IF(INDEX(L_Status,ROW()-4)="","",TRIM(UPPER(INDEX(L_Status,ROW()-4))))</f>
        <v/>
      </c>
      <c r="J796">
        <f>IF(INDEX(L_ID,ROW()-4)="","",IF(SUMPRODUCT((P_ID=INDEX(L_ID,ROW()-4))*(P_StatusN="INACTIVE"))&gt;0,1,0))</f>
        <v/>
      </c>
    </row>
    <row r="797">
      <c r="A797">
        <f>IF(INDEX(L_ID,ROW()-4)="","",IF(COUNTIF(P_ID,INDEX(L_ID,ROW()-4))&gt;0,1,0))</f>
        <v/>
      </c>
      <c r="B797">
        <f>IF(INDEX(P_Type,ROW()-4)="","",TRIM(UPPER(INDEX(P_Type,ROW()-4))))</f>
        <v/>
      </c>
      <c r="D797">
        <f>IF(INDEX(L_Type,ROW()-4)="","",TRIM(UPPER(INDEX(L_Type,ROW()-4))))</f>
        <v/>
      </c>
      <c r="E797">
        <f>IF(INDEX(P_Status,ROW()-4)="","",TRIM(UPPER(INDEX(P_Status,ROW()-4))))</f>
        <v/>
      </c>
      <c r="G797">
        <f>IF(INDEX(L_Status,ROW()-4)="","",TRIM(UPPER(INDEX(L_Status,ROW()-4))))</f>
        <v/>
      </c>
      <c r="J797">
        <f>IF(INDEX(L_ID,ROW()-4)="","",IF(SUMPRODUCT((P_ID=INDEX(L_ID,ROW()-4))*(P_StatusN="INACTIVE"))&gt;0,1,0))</f>
        <v/>
      </c>
    </row>
    <row r="798">
      <c r="A798">
        <f>IF(INDEX(L_ID,ROW()-4)="","",IF(COUNTIF(P_ID,INDEX(L_ID,ROW()-4))&gt;0,1,0))</f>
        <v/>
      </c>
      <c r="B798">
        <f>IF(INDEX(P_Type,ROW()-4)="","",TRIM(UPPER(INDEX(P_Type,ROW()-4))))</f>
        <v/>
      </c>
      <c r="D798">
        <f>IF(INDEX(L_Type,ROW()-4)="","",TRIM(UPPER(INDEX(L_Type,ROW()-4))))</f>
        <v/>
      </c>
      <c r="E798">
        <f>IF(INDEX(P_Status,ROW()-4)="","",TRIM(UPPER(INDEX(P_Status,ROW()-4))))</f>
        <v/>
      </c>
      <c r="G798">
        <f>IF(INDEX(L_Status,ROW()-4)="","",TRIM(UPPER(INDEX(L_Status,ROW()-4))))</f>
        <v/>
      </c>
      <c r="J798">
        <f>IF(INDEX(L_ID,ROW()-4)="","",IF(SUMPRODUCT((P_ID=INDEX(L_ID,ROW()-4))*(P_StatusN="INACTIVE"))&gt;0,1,0))</f>
        <v/>
      </c>
    </row>
    <row r="799">
      <c r="A799">
        <f>IF(INDEX(L_ID,ROW()-4)="","",IF(COUNTIF(P_ID,INDEX(L_ID,ROW()-4))&gt;0,1,0))</f>
        <v/>
      </c>
      <c r="B799">
        <f>IF(INDEX(P_Type,ROW()-4)="","",TRIM(UPPER(INDEX(P_Type,ROW()-4))))</f>
        <v/>
      </c>
      <c r="D799">
        <f>IF(INDEX(L_Type,ROW()-4)="","",TRIM(UPPER(INDEX(L_Type,ROW()-4))))</f>
        <v/>
      </c>
      <c r="E799">
        <f>IF(INDEX(P_Status,ROW()-4)="","",TRIM(UPPER(INDEX(P_Status,ROW()-4))))</f>
        <v/>
      </c>
      <c r="G799">
        <f>IF(INDEX(L_Status,ROW()-4)="","",TRIM(UPPER(INDEX(L_Status,ROW()-4))))</f>
        <v/>
      </c>
      <c r="J799">
        <f>IF(INDEX(L_ID,ROW()-4)="","",IF(SUMPRODUCT((P_ID=INDEX(L_ID,ROW()-4))*(P_StatusN="INACTIVE"))&gt;0,1,0))</f>
        <v/>
      </c>
    </row>
    <row r="800">
      <c r="A800">
        <f>IF(INDEX(L_ID,ROW()-4)="","",IF(COUNTIF(P_ID,INDEX(L_ID,ROW()-4))&gt;0,1,0))</f>
        <v/>
      </c>
      <c r="B800">
        <f>IF(INDEX(P_Type,ROW()-4)="","",TRIM(UPPER(INDEX(P_Type,ROW()-4))))</f>
        <v/>
      </c>
      <c r="D800">
        <f>IF(INDEX(L_Type,ROW()-4)="","",TRIM(UPPER(INDEX(L_Type,ROW()-4))))</f>
        <v/>
      </c>
      <c r="E800">
        <f>IF(INDEX(P_Status,ROW()-4)="","",TRIM(UPPER(INDEX(P_Status,ROW()-4))))</f>
        <v/>
      </c>
      <c r="G800">
        <f>IF(INDEX(L_Status,ROW()-4)="","",TRIM(UPPER(INDEX(L_Status,ROW()-4))))</f>
        <v/>
      </c>
      <c r="J800">
        <f>IF(INDEX(L_ID,ROW()-4)="","",IF(SUMPRODUCT((P_ID=INDEX(L_ID,ROW()-4))*(P_StatusN="INACTIVE"))&gt;0,1,0))</f>
        <v/>
      </c>
    </row>
    <row r="801">
      <c r="A801">
        <f>IF(INDEX(L_ID,ROW()-4)="","",IF(COUNTIF(P_ID,INDEX(L_ID,ROW()-4))&gt;0,1,0))</f>
        <v/>
      </c>
      <c r="B801">
        <f>IF(INDEX(P_Type,ROW()-4)="","",TRIM(UPPER(INDEX(P_Type,ROW()-4))))</f>
        <v/>
      </c>
      <c r="D801">
        <f>IF(INDEX(L_Type,ROW()-4)="","",TRIM(UPPER(INDEX(L_Type,ROW()-4))))</f>
        <v/>
      </c>
      <c r="E801">
        <f>IF(INDEX(P_Status,ROW()-4)="","",TRIM(UPPER(INDEX(P_Status,ROW()-4))))</f>
        <v/>
      </c>
      <c r="G801">
        <f>IF(INDEX(L_Status,ROW()-4)="","",TRIM(UPPER(INDEX(L_Status,ROW()-4))))</f>
        <v/>
      </c>
      <c r="J801">
        <f>IF(INDEX(L_ID,ROW()-4)="","",IF(SUMPRODUCT((P_ID=INDEX(L_ID,ROW()-4))*(P_StatusN="INACTIVE"))&gt;0,1,0))</f>
        <v/>
      </c>
    </row>
    <row r="802">
      <c r="A802">
        <f>IF(INDEX(L_ID,ROW()-4)="","",IF(COUNTIF(P_ID,INDEX(L_ID,ROW()-4))&gt;0,1,0))</f>
        <v/>
      </c>
      <c r="B802">
        <f>IF(INDEX(P_Type,ROW()-4)="","",TRIM(UPPER(INDEX(P_Type,ROW()-4))))</f>
        <v/>
      </c>
      <c r="D802">
        <f>IF(INDEX(L_Type,ROW()-4)="","",TRIM(UPPER(INDEX(L_Type,ROW()-4))))</f>
        <v/>
      </c>
      <c r="E802">
        <f>IF(INDEX(P_Status,ROW()-4)="","",TRIM(UPPER(INDEX(P_Status,ROW()-4))))</f>
        <v/>
      </c>
      <c r="G802">
        <f>IF(INDEX(L_Status,ROW()-4)="","",TRIM(UPPER(INDEX(L_Status,ROW()-4))))</f>
        <v/>
      </c>
      <c r="J802">
        <f>IF(INDEX(L_ID,ROW()-4)="","",IF(SUMPRODUCT((P_ID=INDEX(L_ID,ROW()-4))*(P_StatusN="INACTIVE"))&gt;0,1,0))</f>
        <v/>
      </c>
    </row>
    <row r="803">
      <c r="A803">
        <f>IF(INDEX(L_ID,ROW()-4)="","",IF(COUNTIF(P_ID,INDEX(L_ID,ROW()-4))&gt;0,1,0))</f>
        <v/>
      </c>
      <c r="B803">
        <f>IF(INDEX(P_Type,ROW()-4)="","",TRIM(UPPER(INDEX(P_Type,ROW()-4))))</f>
        <v/>
      </c>
      <c r="D803">
        <f>IF(INDEX(L_Type,ROW()-4)="","",TRIM(UPPER(INDEX(L_Type,ROW()-4))))</f>
        <v/>
      </c>
      <c r="E803">
        <f>IF(INDEX(P_Status,ROW()-4)="","",TRIM(UPPER(INDEX(P_Status,ROW()-4))))</f>
        <v/>
      </c>
      <c r="G803">
        <f>IF(INDEX(L_Status,ROW()-4)="","",TRIM(UPPER(INDEX(L_Status,ROW()-4))))</f>
        <v/>
      </c>
      <c r="J803">
        <f>IF(INDEX(L_ID,ROW()-4)="","",IF(SUMPRODUCT((P_ID=INDEX(L_ID,ROW()-4))*(P_StatusN="INACTIVE"))&gt;0,1,0))</f>
        <v/>
      </c>
    </row>
    <row r="804">
      <c r="A804">
        <f>IF(INDEX(L_ID,ROW()-4)="","",IF(COUNTIF(P_ID,INDEX(L_ID,ROW()-4))&gt;0,1,0))</f>
        <v/>
      </c>
      <c r="B804">
        <f>IF(INDEX(P_Type,ROW()-4)="","",TRIM(UPPER(INDEX(P_Type,ROW()-4))))</f>
        <v/>
      </c>
      <c r="D804">
        <f>IF(INDEX(L_Type,ROW()-4)="","",TRIM(UPPER(INDEX(L_Type,ROW()-4))))</f>
        <v/>
      </c>
      <c r="E804">
        <f>IF(INDEX(P_Status,ROW()-4)="","",TRIM(UPPER(INDEX(P_Status,ROW()-4))))</f>
        <v/>
      </c>
      <c r="G804">
        <f>IF(INDEX(L_Status,ROW()-4)="","",TRIM(UPPER(INDEX(L_Status,ROW()-4))))</f>
        <v/>
      </c>
      <c r="J804">
        <f>IF(INDEX(L_ID,ROW()-4)="","",IF(SUMPRODUCT((P_ID=INDEX(L_ID,ROW()-4))*(P_StatusN="INACTIVE"))&gt;0,1,0))</f>
        <v/>
      </c>
    </row>
    <row r="805">
      <c r="A805">
        <f>IF(INDEX(L_ID,ROW()-4)="","",IF(COUNTIF(P_ID,INDEX(L_ID,ROW()-4))&gt;0,1,0))</f>
        <v/>
      </c>
      <c r="B805">
        <f>IF(INDEX(P_Type,ROW()-4)="","",TRIM(UPPER(INDEX(P_Type,ROW()-4))))</f>
        <v/>
      </c>
      <c r="D805">
        <f>IF(INDEX(L_Type,ROW()-4)="","",TRIM(UPPER(INDEX(L_Type,ROW()-4))))</f>
        <v/>
      </c>
      <c r="E805">
        <f>IF(INDEX(P_Status,ROW()-4)="","",TRIM(UPPER(INDEX(P_Status,ROW()-4))))</f>
        <v/>
      </c>
      <c r="G805">
        <f>IF(INDEX(L_Status,ROW()-4)="","",TRIM(UPPER(INDEX(L_Status,ROW()-4))))</f>
        <v/>
      </c>
      <c r="J805">
        <f>IF(INDEX(L_ID,ROW()-4)="","",IF(SUMPRODUCT((P_ID=INDEX(L_ID,ROW()-4))*(P_StatusN="INACTIVE"))&gt;0,1,0))</f>
        <v/>
      </c>
    </row>
    <row r="806">
      <c r="A806">
        <f>IF(INDEX(L_ID,ROW()-4)="","",IF(COUNTIF(P_ID,INDEX(L_ID,ROW()-4))&gt;0,1,0))</f>
        <v/>
      </c>
      <c r="B806">
        <f>IF(INDEX(P_Type,ROW()-4)="","",TRIM(UPPER(INDEX(P_Type,ROW()-4))))</f>
        <v/>
      </c>
      <c r="D806">
        <f>IF(INDEX(L_Type,ROW()-4)="","",TRIM(UPPER(INDEX(L_Type,ROW()-4))))</f>
        <v/>
      </c>
      <c r="E806">
        <f>IF(INDEX(P_Status,ROW()-4)="","",TRIM(UPPER(INDEX(P_Status,ROW()-4))))</f>
        <v/>
      </c>
      <c r="G806">
        <f>IF(INDEX(L_Status,ROW()-4)="","",TRIM(UPPER(INDEX(L_Status,ROW()-4))))</f>
        <v/>
      </c>
      <c r="J806">
        <f>IF(INDEX(L_ID,ROW()-4)="","",IF(SUMPRODUCT((P_ID=INDEX(L_ID,ROW()-4))*(P_StatusN="INACTIVE"))&gt;0,1,0))</f>
        <v/>
      </c>
    </row>
    <row r="807">
      <c r="A807">
        <f>IF(INDEX(L_ID,ROW()-4)="","",IF(COUNTIF(P_ID,INDEX(L_ID,ROW()-4))&gt;0,1,0))</f>
        <v/>
      </c>
      <c r="B807">
        <f>IF(INDEX(P_Type,ROW()-4)="","",TRIM(UPPER(INDEX(P_Type,ROW()-4))))</f>
        <v/>
      </c>
      <c r="D807">
        <f>IF(INDEX(L_Type,ROW()-4)="","",TRIM(UPPER(INDEX(L_Type,ROW()-4))))</f>
        <v/>
      </c>
      <c r="E807">
        <f>IF(INDEX(P_Status,ROW()-4)="","",TRIM(UPPER(INDEX(P_Status,ROW()-4))))</f>
        <v/>
      </c>
      <c r="G807">
        <f>IF(INDEX(L_Status,ROW()-4)="","",TRIM(UPPER(INDEX(L_Status,ROW()-4))))</f>
        <v/>
      </c>
      <c r="J807">
        <f>IF(INDEX(L_ID,ROW()-4)="","",IF(SUMPRODUCT((P_ID=INDEX(L_ID,ROW()-4))*(P_StatusN="INACTIVE"))&gt;0,1,0))</f>
        <v/>
      </c>
    </row>
    <row r="808">
      <c r="A808">
        <f>IF(INDEX(L_ID,ROW()-4)="","",IF(COUNTIF(P_ID,INDEX(L_ID,ROW()-4))&gt;0,1,0))</f>
        <v/>
      </c>
      <c r="B808">
        <f>IF(INDEX(P_Type,ROW()-4)="","",TRIM(UPPER(INDEX(P_Type,ROW()-4))))</f>
        <v/>
      </c>
      <c r="D808">
        <f>IF(INDEX(L_Type,ROW()-4)="","",TRIM(UPPER(INDEX(L_Type,ROW()-4))))</f>
        <v/>
      </c>
      <c r="E808">
        <f>IF(INDEX(P_Status,ROW()-4)="","",TRIM(UPPER(INDEX(P_Status,ROW()-4))))</f>
        <v/>
      </c>
      <c r="G808">
        <f>IF(INDEX(L_Status,ROW()-4)="","",TRIM(UPPER(INDEX(L_Status,ROW()-4))))</f>
        <v/>
      </c>
      <c r="J808">
        <f>IF(INDEX(L_ID,ROW()-4)="","",IF(SUMPRODUCT((P_ID=INDEX(L_ID,ROW()-4))*(P_StatusN="INACTIVE"))&gt;0,1,0))</f>
        <v/>
      </c>
    </row>
    <row r="809">
      <c r="A809">
        <f>IF(INDEX(L_ID,ROW()-4)="","",IF(COUNTIF(P_ID,INDEX(L_ID,ROW()-4))&gt;0,1,0))</f>
        <v/>
      </c>
      <c r="B809">
        <f>IF(INDEX(P_Type,ROW()-4)="","",TRIM(UPPER(INDEX(P_Type,ROW()-4))))</f>
        <v/>
      </c>
      <c r="D809">
        <f>IF(INDEX(L_Type,ROW()-4)="","",TRIM(UPPER(INDEX(L_Type,ROW()-4))))</f>
        <v/>
      </c>
      <c r="E809">
        <f>IF(INDEX(P_Status,ROW()-4)="","",TRIM(UPPER(INDEX(P_Status,ROW()-4))))</f>
        <v/>
      </c>
      <c r="G809">
        <f>IF(INDEX(L_Status,ROW()-4)="","",TRIM(UPPER(INDEX(L_Status,ROW()-4))))</f>
        <v/>
      </c>
      <c r="J809">
        <f>IF(INDEX(L_ID,ROW()-4)="","",IF(SUMPRODUCT((P_ID=INDEX(L_ID,ROW()-4))*(P_StatusN="INACTIVE"))&gt;0,1,0))</f>
        <v/>
      </c>
    </row>
    <row r="810">
      <c r="A810">
        <f>IF(INDEX(L_ID,ROW()-4)="","",IF(COUNTIF(P_ID,INDEX(L_ID,ROW()-4))&gt;0,1,0))</f>
        <v/>
      </c>
      <c r="B810">
        <f>IF(INDEX(P_Type,ROW()-4)="","",TRIM(UPPER(INDEX(P_Type,ROW()-4))))</f>
        <v/>
      </c>
      <c r="D810">
        <f>IF(INDEX(L_Type,ROW()-4)="","",TRIM(UPPER(INDEX(L_Type,ROW()-4))))</f>
        <v/>
      </c>
      <c r="E810">
        <f>IF(INDEX(P_Status,ROW()-4)="","",TRIM(UPPER(INDEX(P_Status,ROW()-4))))</f>
        <v/>
      </c>
      <c r="G810">
        <f>IF(INDEX(L_Status,ROW()-4)="","",TRIM(UPPER(INDEX(L_Status,ROW()-4))))</f>
        <v/>
      </c>
      <c r="J810">
        <f>IF(INDEX(L_ID,ROW()-4)="","",IF(SUMPRODUCT((P_ID=INDEX(L_ID,ROW()-4))*(P_StatusN="INACTIVE"))&gt;0,1,0))</f>
        <v/>
      </c>
    </row>
    <row r="811">
      <c r="A811">
        <f>IF(INDEX(L_ID,ROW()-4)="","",IF(COUNTIF(P_ID,INDEX(L_ID,ROW()-4))&gt;0,1,0))</f>
        <v/>
      </c>
      <c r="B811">
        <f>IF(INDEX(P_Type,ROW()-4)="","",TRIM(UPPER(INDEX(P_Type,ROW()-4))))</f>
        <v/>
      </c>
      <c r="D811">
        <f>IF(INDEX(L_Type,ROW()-4)="","",TRIM(UPPER(INDEX(L_Type,ROW()-4))))</f>
        <v/>
      </c>
      <c r="E811">
        <f>IF(INDEX(P_Status,ROW()-4)="","",TRIM(UPPER(INDEX(P_Status,ROW()-4))))</f>
        <v/>
      </c>
      <c r="G811">
        <f>IF(INDEX(L_Status,ROW()-4)="","",TRIM(UPPER(INDEX(L_Status,ROW()-4))))</f>
        <v/>
      </c>
      <c r="J811">
        <f>IF(INDEX(L_ID,ROW()-4)="","",IF(SUMPRODUCT((P_ID=INDEX(L_ID,ROW()-4))*(P_StatusN="INACTIVE"))&gt;0,1,0))</f>
        <v/>
      </c>
    </row>
    <row r="812">
      <c r="A812">
        <f>IF(INDEX(L_ID,ROW()-4)="","",IF(COUNTIF(P_ID,INDEX(L_ID,ROW()-4))&gt;0,1,0))</f>
        <v/>
      </c>
      <c r="B812">
        <f>IF(INDEX(P_Type,ROW()-4)="","",TRIM(UPPER(INDEX(P_Type,ROW()-4))))</f>
        <v/>
      </c>
      <c r="D812">
        <f>IF(INDEX(L_Type,ROW()-4)="","",TRIM(UPPER(INDEX(L_Type,ROW()-4))))</f>
        <v/>
      </c>
      <c r="E812">
        <f>IF(INDEX(P_Status,ROW()-4)="","",TRIM(UPPER(INDEX(P_Status,ROW()-4))))</f>
        <v/>
      </c>
      <c r="G812">
        <f>IF(INDEX(L_Status,ROW()-4)="","",TRIM(UPPER(INDEX(L_Status,ROW()-4))))</f>
        <v/>
      </c>
      <c r="J812">
        <f>IF(INDEX(L_ID,ROW()-4)="","",IF(SUMPRODUCT((P_ID=INDEX(L_ID,ROW()-4))*(P_StatusN="INACTIVE"))&gt;0,1,0))</f>
        <v/>
      </c>
    </row>
    <row r="813">
      <c r="A813">
        <f>IF(INDEX(L_ID,ROW()-4)="","",IF(COUNTIF(P_ID,INDEX(L_ID,ROW()-4))&gt;0,1,0))</f>
        <v/>
      </c>
      <c r="B813">
        <f>IF(INDEX(P_Type,ROW()-4)="","",TRIM(UPPER(INDEX(P_Type,ROW()-4))))</f>
        <v/>
      </c>
      <c r="D813">
        <f>IF(INDEX(L_Type,ROW()-4)="","",TRIM(UPPER(INDEX(L_Type,ROW()-4))))</f>
        <v/>
      </c>
      <c r="E813">
        <f>IF(INDEX(P_Status,ROW()-4)="","",TRIM(UPPER(INDEX(P_Status,ROW()-4))))</f>
        <v/>
      </c>
      <c r="G813">
        <f>IF(INDEX(L_Status,ROW()-4)="","",TRIM(UPPER(INDEX(L_Status,ROW()-4))))</f>
        <v/>
      </c>
      <c r="J813">
        <f>IF(INDEX(L_ID,ROW()-4)="","",IF(SUMPRODUCT((P_ID=INDEX(L_ID,ROW()-4))*(P_StatusN="INACTIVE"))&gt;0,1,0))</f>
        <v/>
      </c>
    </row>
    <row r="814">
      <c r="A814">
        <f>IF(INDEX(L_ID,ROW()-4)="","",IF(COUNTIF(P_ID,INDEX(L_ID,ROW()-4))&gt;0,1,0))</f>
        <v/>
      </c>
      <c r="B814">
        <f>IF(INDEX(P_Type,ROW()-4)="","",TRIM(UPPER(INDEX(P_Type,ROW()-4))))</f>
        <v/>
      </c>
      <c r="D814">
        <f>IF(INDEX(L_Type,ROW()-4)="","",TRIM(UPPER(INDEX(L_Type,ROW()-4))))</f>
        <v/>
      </c>
      <c r="E814">
        <f>IF(INDEX(P_Status,ROW()-4)="","",TRIM(UPPER(INDEX(P_Status,ROW()-4))))</f>
        <v/>
      </c>
      <c r="G814">
        <f>IF(INDEX(L_Status,ROW()-4)="","",TRIM(UPPER(INDEX(L_Status,ROW()-4))))</f>
        <v/>
      </c>
      <c r="J814">
        <f>IF(INDEX(L_ID,ROW()-4)="","",IF(SUMPRODUCT((P_ID=INDEX(L_ID,ROW()-4))*(P_StatusN="INACTIVE"))&gt;0,1,0))</f>
        <v/>
      </c>
    </row>
    <row r="815">
      <c r="A815">
        <f>IF(INDEX(L_ID,ROW()-4)="","",IF(COUNTIF(P_ID,INDEX(L_ID,ROW()-4))&gt;0,1,0))</f>
        <v/>
      </c>
      <c r="B815">
        <f>IF(INDEX(P_Type,ROW()-4)="","",TRIM(UPPER(INDEX(P_Type,ROW()-4))))</f>
        <v/>
      </c>
      <c r="D815">
        <f>IF(INDEX(L_Type,ROW()-4)="","",TRIM(UPPER(INDEX(L_Type,ROW()-4))))</f>
        <v/>
      </c>
      <c r="E815">
        <f>IF(INDEX(P_Status,ROW()-4)="","",TRIM(UPPER(INDEX(P_Status,ROW()-4))))</f>
        <v/>
      </c>
      <c r="G815">
        <f>IF(INDEX(L_Status,ROW()-4)="","",TRIM(UPPER(INDEX(L_Status,ROW()-4))))</f>
        <v/>
      </c>
      <c r="J815">
        <f>IF(INDEX(L_ID,ROW()-4)="","",IF(SUMPRODUCT((P_ID=INDEX(L_ID,ROW()-4))*(P_StatusN="INACTIVE"))&gt;0,1,0))</f>
        <v/>
      </c>
    </row>
    <row r="816">
      <c r="A816">
        <f>IF(INDEX(L_ID,ROW()-4)="","",IF(COUNTIF(P_ID,INDEX(L_ID,ROW()-4))&gt;0,1,0))</f>
        <v/>
      </c>
      <c r="B816">
        <f>IF(INDEX(P_Type,ROW()-4)="","",TRIM(UPPER(INDEX(P_Type,ROW()-4))))</f>
        <v/>
      </c>
      <c r="D816">
        <f>IF(INDEX(L_Type,ROW()-4)="","",TRIM(UPPER(INDEX(L_Type,ROW()-4))))</f>
        <v/>
      </c>
      <c r="E816">
        <f>IF(INDEX(P_Status,ROW()-4)="","",TRIM(UPPER(INDEX(P_Status,ROW()-4))))</f>
        <v/>
      </c>
      <c r="G816">
        <f>IF(INDEX(L_Status,ROW()-4)="","",TRIM(UPPER(INDEX(L_Status,ROW()-4))))</f>
        <v/>
      </c>
      <c r="J816">
        <f>IF(INDEX(L_ID,ROW()-4)="","",IF(SUMPRODUCT((P_ID=INDEX(L_ID,ROW()-4))*(P_StatusN="INACTIVE"))&gt;0,1,0))</f>
        <v/>
      </c>
    </row>
    <row r="817">
      <c r="A817">
        <f>IF(INDEX(L_ID,ROW()-4)="","",IF(COUNTIF(P_ID,INDEX(L_ID,ROW()-4))&gt;0,1,0))</f>
        <v/>
      </c>
      <c r="B817">
        <f>IF(INDEX(P_Type,ROW()-4)="","",TRIM(UPPER(INDEX(P_Type,ROW()-4))))</f>
        <v/>
      </c>
      <c r="D817">
        <f>IF(INDEX(L_Type,ROW()-4)="","",TRIM(UPPER(INDEX(L_Type,ROW()-4))))</f>
        <v/>
      </c>
      <c r="E817">
        <f>IF(INDEX(P_Status,ROW()-4)="","",TRIM(UPPER(INDEX(P_Status,ROW()-4))))</f>
        <v/>
      </c>
      <c r="G817">
        <f>IF(INDEX(L_Status,ROW()-4)="","",TRIM(UPPER(INDEX(L_Status,ROW()-4))))</f>
        <v/>
      </c>
      <c r="J817">
        <f>IF(INDEX(L_ID,ROW()-4)="","",IF(SUMPRODUCT((P_ID=INDEX(L_ID,ROW()-4))*(P_StatusN="INACTIVE"))&gt;0,1,0))</f>
        <v/>
      </c>
    </row>
    <row r="818">
      <c r="A818">
        <f>IF(INDEX(L_ID,ROW()-4)="","",IF(COUNTIF(P_ID,INDEX(L_ID,ROW()-4))&gt;0,1,0))</f>
        <v/>
      </c>
      <c r="B818">
        <f>IF(INDEX(P_Type,ROW()-4)="","",TRIM(UPPER(INDEX(P_Type,ROW()-4))))</f>
        <v/>
      </c>
      <c r="D818">
        <f>IF(INDEX(L_Type,ROW()-4)="","",TRIM(UPPER(INDEX(L_Type,ROW()-4))))</f>
        <v/>
      </c>
      <c r="E818">
        <f>IF(INDEX(P_Status,ROW()-4)="","",TRIM(UPPER(INDEX(P_Status,ROW()-4))))</f>
        <v/>
      </c>
      <c r="G818">
        <f>IF(INDEX(L_Status,ROW()-4)="","",TRIM(UPPER(INDEX(L_Status,ROW()-4))))</f>
        <v/>
      </c>
      <c r="J818">
        <f>IF(INDEX(L_ID,ROW()-4)="","",IF(SUMPRODUCT((P_ID=INDEX(L_ID,ROW()-4))*(P_StatusN="INACTIVE"))&gt;0,1,0))</f>
        <v/>
      </c>
    </row>
    <row r="819">
      <c r="A819">
        <f>IF(INDEX(L_ID,ROW()-4)="","",IF(COUNTIF(P_ID,INDEX(L_ID,ROW()-4))&gt;0,1,0))</f>
        <v/>
      </c>
      <c r="B819">
        <f>IF(INDEX(P_Type,ROW()-4)="","",TRIM(UPPER(INDEX(P_Type,ROW()-4))))</f>
        <v/>
      </c>
      <c r="D819">
        <f>IF(INDEX(L_Type,ROW()-4)="","",TRIM(UPPER(INDEX(L_Type,ROW()-4))))</f>
        <v/>
      </c>
      <c r="E819">
        <f>IF(INDEX(P_Status,ROW()-4)="","",TRIM(UPPER(INDEX(P_Status,ROW()-4))))</f>
        <v/>
      </c>
      <c r="G819">
        <f>IF(INDEX(L_Status,ROW()-4)="","",TRIM(UPPER(INDEX(L_Status,ROW()-4))))</f>
        <v/>
      </c>
      <c r="J819">
        <f>IF(INDEX(L_ID,ROW()-4)="","",IF(SUMPRODUCT((P_ID=INDEX(L_ID,ROW()-4))*(P_StatusN="INACTIVE"))&gt;0,1,0))</f>
        <v/>
      </c>
    </row>
    <row r="820">
      <c r="A820">
        <f>IF(INDEX(L_ID,ROW()-4)="","",IF(COUNTIF(P_ID,INDEX(L_ID,ROW()-4))&gt;0,1,0))</f>
        <v/>
      </c>
      <c r="B820">
        <f>IF(INDEX(P_Type,ROW()-4)="","",TRIM(UPPER(INDEX(P_Type,ROW()-4))))</f>
        <v/>
      </c>
      <c r="D820">
        <f>IF(INDEX(L_Type,ROW()-4)="","",TRIM(UPPER(INDEX(L_Type,ROW()-4))))</f>
        <v/>
      </c>
      <c r="E820">
        <f>IF(INDEX(P_Status,ROW()-4)="","",TRIM(UPPER(INDEX(P_Status,ROW()-4))))</f>
        <v/>
      </c>
      <c r="G820">
        <f>IF(INDEX(L_Status,ROW()-4)="","",TRIM(UPPER(INDEX(L_Status,ROW()-4))))</f>
        <v/>
      </c>
      <c r="J820">
        <f>IF(INDEX(L_ID,ROW()-4)="","",IF(SUMPRODUCT((P_ID=INDEX(L_ID,ROW()-4))*(P_StatusN="INACTIVE"))&gt;0,1,0))</f>
        <v/>
      </c>
    </row>
    <row r="821">
      <c r="A821">
        <f>IF(INDEX(L_ID,ROW()-4)="","",IF(COUNTIF(P_ID,INDEX(L_ID,ROW()-4))&gt;0,1,0))</f>
        <v/>
      </c>
      <c r="B821">
        <f>IF(INDEX(P_Type,ROW()-4)="","",TRIM(UPPER(INDEX(P_Type,ROW()-4))))</f>
        <v/>
      </c>
      <c r="D821">
        <f>IF(INDEX(L_Type,ROW()-4)="","",TRIM(UPPER(INDEX(L_Type,ROW()-4))))</f>
        <v/>
      </c>
      <c r="E821">
        <f>IF(INDEX(P_Status,ROW()-4)="","",TRIM(UPPER(INDEX(P_Status,ROW()-4))))</f>
        <v/>
      </c>
      <c r="G821">
        <f>IF(INDEX(L_Status,ROW()-4)="","",TRIM(UPPER(INDEX(L_Status,ROW()-4))))</f>
        <v/>
      </c>
      <c r="J821">
        <f>IF(INDEX(L_ID,ROW()-4)="","",IF(SUMPRODUCT((P_ID=INDEX(L_ID,ROW()-4))*(P_StatusN="INACTIVE"))&gt;0,1,0))</f>
        <v/>
      </c>
    </row>
    <row r="822">
      <c r="A822">
        <f>IF(INDEX(L_ID,ROW()-4)="","",IF(COUNTIF(P_ID,INDEX(L_ID,ROW()-4))&gt;0,1,0))</f>
        <v/>
      </c>
      <c r="B822">
        <f>IF(INDEX(P_Type,ROW()-4)="","",TRIM(UPPER(INDEX(P_Type,ROW()-4))))</f>
        <v/>
      </c>
      <c r="D822">
        <f>IF(INDEX(L_Type,ROW()-4)="","",TRIM(UPPER(INDEX(L_Type,ROW()-4))))</f>
        <v/>
      </c>
      <c r="E822">
        <f>IF(INDEX(P_Status,ROW()-4)="","",TRIM(UPPER(INDEX(P_Status,ROW()-4))))</f>
        <v/>
      </c>
      <c r="G822">
        <f>IF(INDEX(L_Status,ROW()-4)="","",TRIM(UPPER(INDEX(L_Status,ROW()-4))))</f>
        <v/>
      </c>
      <c r="J822">
        <f>IF(INDEX(L_ID,ROW()-4)="","",IF(SUMPRODUCT((P_ID=INDEX(L_ID,ROW()-4))*(P_StatusN="INACTIVE"))&gt;0,1,0))</f>
        <v/>
      </c>
    </row>
    <row r="823">
      <c r="A823">
        <f>IF(INDEX(L_ID,ROW()-4)="","",IF(COUNTIF(P_ID,INDEX(L_ID,ROW()-4))&gt;0,1,0))</f>
        <v/>
      </c>
      <c r="B823">
        <f>IF(INDEX(P_Type,ROW()-4)="","",TRIM(UPPER(INDEX(P_Type,ROW()-4))))</f>
        <v/>
      </c>
      <c r="D823">
        <f>IF(INDEX(L_Type,ROW()-4)="","",TRIM(UPPER(INDEX(L_Type,ROW()-4))))</f>
        <v/>
      </c>
      <c r="E823">
        <f>IF(INDEX(P_Status,ROW()-4)="","",TRIM(UPPER(INDEX(P_Status,ROW()-4))))</f>
        <v/>
      </c>
      <c r="G823">
        <f>IF(INDEX(L_Status,ROW()-4)="","",TRIM(UPPER(INDEX(L_Status,ROW()-4))))</f>
        <v/>
      </c>
      <c r="J823">
        <f>IF(INDEX(L_ID,ROW()-4)="","",IF(SUMPRODUCT((P_ID=INDEX(L_ID,ROW()-4))*(P_StatusN="INACTIVE"))&gt;0,1,0))</f>
        <v/>
      </c>
    </row>
    <row r="824">
      <c r="A824">
        <f>IF(INDEX(L_ID,ROW()-4)="","",IF(COUNTIF(P_ID,INDEX(L_ID,ROW()-4))&gt;0,1,0))</f>
        <v/>
      </c>
      <c r="B824">
        <f>IF(INDEX(P_Type,ROW()-4)="","",TRIM(UPPER(INDEX(P_Type,ROW()-4))))</f>
        <v/>
      </c>
      <c r="D824">
        <f>IF(INDEX(L_Type,ROW()-4)="","",TRIM(UPPER(INDEX(L_Type,ROW()-4))))</f>
        <v/>
      </c>
      <c r="E824">
        <f>IF(INDEX(P_Status,ROW()-4)="","",TRIM(UPPER(INDEX(P_Status,ROW()-4))))</f>
        <v/>
      </c>
      <c r="G824">
        <f>IF(INDEX(L_Status,ROW()-4)="","",TRIM(UPPER(INDEX(L_Status,ROW()-4))))</f>
        <v/>
      </c>
      <c r="J824">
        <f>IF(INDEX(L_ID,ROW()-4)="","",IF(SUMPRODUCT((P_ID=INDEX(L_ID,ROW()-4))*(P_StatusN="INACTIVE"))&gt;0,1,0))</f>
        <v/>
      </c>
    </row>
    <row r="825">
      <c r="A825">
        <f>IF(INDEX(L_ID,ROW()-4)="","",IF(COUNTIF(P_ID,INDEX(L_ID,ROW()-4))&gt;0,1,0))</f>
        <v/>
      </c>
      <c r="B825">
        <f>IF(INDEX(P_Type,ROW()-4)="","",TRIM(UPPER(INDEX(P_Type,ROW()-4))))</f>
        <v/>
      </c>
      <c r="D825">
        <f>IF(INDEX(L_Type,ROW()-4)="","",TRIM(UPPER(INDEX(L_Type,ROW()-4))))</f>
        <v/>
      </c>
      <c r="E825">
        <f>IF(INDEX(P_Status,ROW()-4)="","",TRIM(UPPER(INDEX(P_Status,ROW()-4))))</f>
        <v/>
      </c>
      <c r="G825">
        <f>IF(INDEX(L_Status,ROW()-4)="","",TRIM(UPPER(INDEX(L_Status,ROW()-4))))</f>
        <v/>
      </c>
      <c r="J825">
        <f>IF(INDEX(L_ID,ROW()-4)="","",IF(SUMPRODUCT((P_ID=INDEX(L_ID,ROW()-4))*(P_StatusN="INACTIVE"))&gt;0,1,0))</f>
        <v/>
      </c>
    </row>
    <row r="826">
      <c r="A826">
        <f>IF(INDEX(L_ID,ROW()-4)="","",IF(COUNTIF(P_ID,INDEX(L_ID,ROW()-4))&gt;0,1,0))</f>
        <v/>
      </c>
      <c r="B826">
        <f>IF(INDEX(P_Type,ROW()-4)="","",TRIM(UPPER(INDEX(P_Type,ROW()-4))))</f>
        <v/>
      </c>
      <c r="D826">
        <f>IF(INDEX(L_Type,ROW()-4)="","",TRIM(UPPER(INDEX(L_Type,ROW()-4))))</f>
        <v/>
      </c>
      <c r="E826">
        <f>IF(INDEX(P_Status,ROW()-4)="","",TRIM(UPPER(INDEX(P_Status,ROW()-4))))</f>
        <v/>
      </c>
      <c r="G826">
        <f>IF(INDEX(L_Status,ROW()-4)="","",TRIM(UPPER(INDEX(L_Status,ROW()-4))))</f>
        <v/>
      </c>
      <c r="J826">
        <f>IF(INDEX(L_ID,ROW()-4)="","",IF(SUMPRODUCT((P_ID=INDEX(L_ID,ROW()-4))*(P_StatusN="INACTIVE"))&gt;0,1,0))</f>
        <v/>
      </c>
    </row>
    <row r="827">
      <c r="A827">
        <f>IF(INDEX(L_ID,ROW()-4)="","",IF(COUNTIF(P_ID,INDEX(L_ID,ROW()-4))&gt;0,1,0))</f>
        <v/>
      </c>
      <c r="B827">
        <f>IF(INDEX(P_Type,ROW()-4)="","",TRIM(UPPER(INDEX(P_Type,ROW()-4))))</f>
        <v/>
      </c>
      <c r="D827">
        <f>IF(INDEX(L_Type,ROW()-4)="","",TRIM(UPPER(INDEX(L_Type,ROW()-4))))</f>
        <v/>
      </c>
      <c r="E827">
        <f>IF(INDEX(P_Status,ROW()-4)="","",TRIM(UPPER(INDEX(P_Status,ROW()-4))))</f>
        <v/>
      </c>
      <c r="G827">
        <f>IF(INDEX(L_Status,ROW()-4)="","",TRIM(UPPER(INDEX(L_Status,ROW()-4))))</f>
        <v/>
      </c>
      <c r="J827">
        <f>IF(INDEX(L_ID,ROW()-4)="","",IF(SUMPRODUCT((P_ID=INDEX(L_ID,ROW()-4))*(P_StatusN="INACTIVE"))&gt;0,1,0))</f>
        <v/>
      </c>
    </row>
    <row r="828">
      <c r="A828">
        <f>IF(INDEX(L_ID,ROW()-4)="","",IF(COUNTIF(P_ID,INDEX(L_ID,ROW()-4))&gt;0,1,0))</f>
        <v/>
      </c>
      <c r="B828">
        <f>IF(INDEX(P_Type,ROW()-4)="","",TRIM(UPPER(INDEX(P_Type,ROW()-4))))</f>
        <v/>
      </c>
      <c r="D828">
        <f>IF(INDEX(L_Type,ROW()-4)="","",TRIM(UPPER(INDEX(L_Type,ROW()-4))))</f>
        <v/>
      </c>
      <c r="E828">
        <f>IF(INDEX(P_Status,ROW()-4)="","",TRIM(UPPER(INDEX(P_Status,ROW()-4))))</f>
        <v/>
      </c>
      <c r="G828">
        <f>IF(INDEX(L_Status,ROW()-4)="","",TRIM(UPPER(INDEX(L_Status,ROW()-4))))</f>
        <v/>
      </c>
      <c r="J828">
        <f>IF(INDEX(L_ID,ROW()-4)="","",IF(SUMPRODUCT((P_ID=INDEX(L_ID,ROW()-4))*(P_StatusN="INACTIVE"))&gt;0,1,0))</f>
        <v/>
      </c>
    </row>
    <row r="829">
      <c r="A829">
        <f>IF(INDEX(L_ID,ROW()-4)="","",IF(COUNTIF(P_ID,INDEX(L_ID,ROW()-4))&gt;0,1,0))</f>
        <v/>
      </c>
      <c r="B829">
        <f>IF(INDEX(P_Type,ROW()-4)="","",TRIM(UPPER(INDEX(P_Type,ROW()-4))))</f>
        <v/>
      </c>
      <c r="D829">
        <f>IF(INDEX(L_Type,ROW()-4)="","",TRIM(UPPER(INDEX(L_Type,ROW()-4))))</f>
        <v/>
      </c>
      <c r="E829">
        <f>IF(INDEX(P_Status,ROW()-4)="","",TRIM(UPPER(INDEX(P_Status,ROW()-4))))</f>
        <v/>
      </c>
      <c r="G829">
        <f>IF(INDEX(L_Status,ROW()-4)="","",TRIM(UPPER(INDEX(L_Status,ROW()-4))))</f>
        <v/>
      </c>
      <c r="J829">
        <f>IF(INDEX(L_ID,ROW()-4)="","",IF(SUMPRODUCT((P_ID=INDEX(L_ID,ROW()-4))*(P_StatusN="INACTIVE"))&gt;0,1,0))</f>
        <v/>
      </c>
    </row>
    <row r="830">
      <c r="A830">
        <f>IF(INDEX(L_ID,ROW()-4)="","",IF(COUNTIF(P_ID,INDEX(L_ID,ROW()-4))&gt;0,1,0))</f>
        <v/>
      </c>
      <c r="B830">
        <f>IF(INDEX(P_Type,ROW()-4)="","",TRIM(UPPER(INDEX(P_Type,ROW()-4))))</f>
        <v/>
      </c>
      <c r="D830">
        <f>IF(INDEX(L_Type,ROW()-4)="","",TRIM(UPPER(INDEX(L_Type,ROW()-4))))</f>
        <v/>
      </c>
      <c r="E830">
        <f>IF(INDEX(P_Status,ROW()-4)="","",TRIM(UPPER(INDEX(P_Status,ROW()-4))))</f>
        <v/>
      </c>
      <c r="G830">
        <f>IF(INDEX(L_Status,ROW()-4)="","",TRIM(UPPER(INDEX(L_Status,ROW()-4))))</f>
        <v/>
      </c>
      <c r="J830">
        <f>IF(INDEX(L_ID,ROW()-4)="","",IF(SUMPRODUCT((P_ID=INDEX(L_ID,ROW()-4))*(P_StatusN="INACTIVE"))&gt;0,1,0))</f>
        <v/>
      </c>
    </row>
    <row r="831">
      <c r="A831">
        <f>IF(INDEX(L_ID,ROW()-4)="","",IF(COUNTIF(P_ID,INDEX(L_ID,ROW()-4))&gt;0,1,0))</f>
        <v/>
      </c>
      <c r="B831">
        <f>IF(INDEX(P_Type,ROW()-4)="","",TRIM(UPPER(INDEX(P_Type,ROW()-4))))</f>
        <v/>
      </c>
      <c r="D831">
        <f>IF(INDEX(L_Type,ROW()-4)="","",TRIM(UPPER(INDEX(L_Type,ROW()-4))))</f>
        <v/>
      </c>
      <c r="E831">
        <f>IF(INDEX(P_Status,ROW()-4)="","",TRIM(UPPER(INDEX(P_Status,ROW()-4))))</f>
        <v/>
      </c>
      <c r="G831">
        <f>IF(INDEX(L_Status,ROW()-4)="","",TRIM(UPPER(INDEX(L_Status,ROW()-4))))</f>
        <v/>
      </c>
      <c r="J831">
        <f>IF(INDEX(L_ID,ROW()-4)="","",IF(SUMPRODUCT((P_ID=INDEX(L_ID,ROW()-4))*(P_StatusN="INACTIVE"))&gt;0,1,0))</f>
        <v/>
      </c>
    </row>
    <row r="832">
      <c r="A832">
        <f>IF(INDEX(L_ID,ROW()-4)="","",IF(COUNTIF(P_ID,INDEX(L_ID,ROW()-4))&gt;0,1,0))</f>
        <v/>
      </c>
      <c r="B832">
        <f>IF(INDEX(P_Type,ROW()-4)="","",TRIM(UPPER(INDEX(P_Type,ROW()-4))))</f>
        <v/>
      </c>
      <c r="D832">
        <f>IF(INDEX(L_Type,ROW()-4)="","",TRIM(UPPER(INDEX(L_Type,ROW()-4))))</f>
        <v/>
      </c>
      <c r="E832">
        <f>IF(INDEX(P_Status,ROW()-4)="","",TRIM(UPPER(INDEX(P_Status,ROW()-4))))</f>
        <v/>
      </c>
      <c r="G832">
        <f>IF(INDEX(L_Status,ROW()-4)="","",TRIM(UPPER(INDEX(L_Status,ROW()-4))))</f>
        <v/>
      </c>
      <c r="J832">
        <f>IF(INDEX(L_ID,ROW()-4)="","",IF(SUMPRODUCT((P_ID=INDEX(L_ID,ROW()-4))*(P_StatusN="INACTIVE"))&gt;0,1,0))</f>
        <v/>
      </c>
    </row>
    <row r="833">
      <c r="A833">
        <f>IF(INDEX(L_ID,ROW()-4)="","",IF(COUNTIF(P_ID,INDEX(L_ID,ROW()-4))&gt;0,1,0))</f>
        <v/>
      </c>
      <c r="B833">
        <f>IF(INDEX(P_Type,ROW()-4)="","",TRIM(UPPER(INDEX(P_Type,ROW()-4))))</f>
        <v/>
      </c>
      <c r="D833">
        <f>IF(INDEX(L_Type,ROW()-4)="","",TRIM(UPPER(INDEX(L_Type,ROW()-4))))</f>
        <v/>
      </c>
      <c r="E833">
        <f>IF(INDEX(P_Status,ROW()-4)="","",TRIM(UPPER(INDEX(P_Status,ROW()-4))))</f>
        <v/>
      </c>
      <c r="G833">
        <f>IF(INDEX(L_Status,ROW()-4)="","",TRIM(UPPER(INDEX(L_Status,ROW()-4))))</f>
        <v/>
      </c>
      <c r="J833">
        <f>IF(INDEX(L_ID,ROW()-4)="","",IF(SUMPRODUCT((P_ID=INDEX(L_ID,ROW()-4))*(P_StatusN="INACTIVE"))&gt;0,1,0))</f>
        <v/>
      </c>
    </row>
    <row r="834">
      <c r="A834">
        <f>IF(INDEX(L_ID,ROW()-4)="","",IF(COUNTIF(P_ID,INDEX(L_ID,ROW()-4))&gt;0,1,0))</f>
        <v/>
      </c>
      <c r="B834">
        <f>IF(INDEX(P_Type,ROW()-4)="","",TRIM(UPPER(INDEX(P_Type,ROW()-4))))</f>
        <v/>
      </c>
      <c r="D834">
        <f>IF(INDEX(L_Type,ROW()-4)="","",TRIM(UPPER(INDEX(L_Type,ROW()-4))))</f>
        <v/>
      </c>
      <c r="E834">
        <f>IF(INDEX(P_Status,ROW()-4)="","",TRIM(UPPER(INDEX(P_Status,ROW()-4))))</f>
        <v/>
      </c>
      <c r="G834">
        <f>IF(INDEX(L_Status,ROW()-4)="","",TRIM(UPPER(INDEX(L_Status,ROW()-4))))</f>
        <v/>
      </c>
      <c r="J834">
        <f>IF(INDEX(L_ID,ROW()-4)="","",IF(SUMPRODUCT((P_ID=INDEX(L_ID,ROW()-4))*(P_StatusN="INACTIVE"))&gt;0,1,0))</f>
        <v/>
      </c>
    </row>
    <row r="835">
      <c r="A835">
        <f>IF(INDEX(L_ID,ROW()-4)="","",IF(COUNTIF(P_ID,INDEX(L_ID,ROW()-4))&gt;0,1,0))</f>
        <v/>
      </c>
      <c r="B835">
        <f>IF(INDEX(P_Type,ROW()-4)="","",TRIM(UPPER(INDEX(P_Type,ROW()-4))))</f>
        <v/>
      </c>
      <c r="D835">
        <f>IF(INDEX(L_Type,ROW()-4)="","",TRIM(UPPER(INDEX(L_Type,ROW()-4))))</f>
        <v/>
      </c>
      <c r="E835">
        <f>IF(INDEX(P_Status,ROW()-4)="","",TRIM(UPPER(INDEX(P_Status,ROW()-4))))</f>
        <v/>
      </c>
      <c r="G835">
        <f>IF(INDEX(L_Status,ROW()-4)="","",TRIM(UPPER(INDEX(L_Status,ROW()-4))))</f>
        <v/>
      </c>
      <c r="J835">
        <f>IF(INDEX(L_ID,ROW()-4)="","",IF(SUMPRODUCT((P_ID=INDEX(L_ID,ROW()-4))*(P_StatusN="INACTIVE"))&gt;0,1,0))</f>
        <v/>
      </c>
    </row>
    <row r="836">
      <c r="A836">
        <f>IF(INDEX(L_ID,ROW()-4)="","",IF(COUNTIF(P_ID,INDEX(L_ID,ROW()-4))&gt;0,1,0))</f>
        <v/>
      </c>
      <c r="B836">
        <f>IF(INDEX(P_Type,ROW()-4)="","",TRIM(UPPER(INDEX(P_Type,ROW()-4))))</f>
        <v/>
      </c>
      <c r="D836">
        <f>IF(INDEX(L_Type,ROW()-4)="","",TRIM(UPPER(INDEX(L_Type,ROW()-4))))</f>
        <v/>
      </c>
      <c r="E836">
        <f>IF(INDEX(P_Status,ROW()-4)="","",TRIM(UPPER(INDEX(P_Status,ROW()-4))))</f>
        <v/>
      </c>
      <c r="G836">
        <f>IF(INDEX(L_Status,ROW()-4)="","",TRIM(UPPER(INDEX(L_Status,ROW()-4))))</f>
        <v/>
      </c>
      <c r="J836">
        <f>IF(INDEX(L_ID,ROW()-4)="","",IF(SUMPRODUCT((P_ID=INDEX(L_ID,ROW()-4))*(P_StatusN="INACTIVE"))&gt;0,1,0))</f>
        <v/>
      </c>
    </row>
    <row r="837">
      <c r="A837">
        <f>IF(INDEX(L_ID,ROW()-4)="","",IF(COUNTIF(P_ID,INDEX(L_ID,ROW()-4))&gt;0,1,0))</f>
        <v/>
      </c>
      <c r="B837">
        <f>IF(INDEX(P_Type,ROW()-4)="","",TRIM(UPPER(INDEX(P_Type,ROW()-4))))</f>
        <v/>
      </c>
      <c r="D837">
        <f>IF(INDEX(L_Type,ROW()-4)="","",TRIM(UPPER(INDEX(L_Type,ROW()-4))))</f>
        <v/>
      </c>
      <c r="E837">
        <f>IF(INDEX(P_Status,ROW()-4)="","",TRIM(UPPER(INDEX(P_Status,ROW()-4))))</f>
        <v/>
      </c>
      <c r="G837">
        <f>IF(INDEX(L_Status,ROW()-4)="","",TRIM(UPPER(INDEX(L_Status,ROW()-4))))</f>
        <v/>
      </c>
      <c r="J837">
        <f>IF(INDEX(L_ID,ROW()-4)="","",IF(SUMPRODUCT((P_ID=INDEX(L_ID,ROW()-4))*(P_StatusN="INACTIVE"))&gt;0,1,0))</f>
        <v/>
      </c>
    </row>
    <row r="838">
      <c r="A838">
        <f>IF(INDEX(L_ID,ROW()-4)="","",IF(COUNTIF(P_ID,INDEX(L_ID,ROW()-4))&gt;0,1,0))</f>
        <v/>
      </c>
      <c r="B838">
        <f>IF(INDEX(P_Type,ROW()-4)="","",TRIM(UPPER(INDEX(P_Type,ROW()-4))))</f>
        <v/>
      </c>
      <c r="D838">
        <f>IF(INDEX(L_Type,ROW()-4)="","",TRIM(UPPER(INDEX(L_Type,ROW()-4))))</f>
        <v/>
      </c>
      <c r="E838">
        <f>IF(INDEX(P_Status,ROW()-4)="","",TRIM(UPPER(INDEX(P_Status,ROW()-4))))</f>
        <v/>
      </c>
      <c r="G838">
        <f>IF(INDEX(L_Status,ROW()-4)="","",TRIM(UPPER(INDEX(L_Status,ROW()-4))))</f>
        <v/>
      </c>
      <c r="J838">
        <f>IF(INDEX(L_ID,ROW()-4)="","",IF(SUMPRODUCT((P_ID=INDEX(L_ID,ROW()-4))*(P_StatusN="INACTIVE"))&gt;0,1,0))</f>
        <v/>
      </c>
    </row>
    <row r="839">
      <c r="A839">
        <f>IF(INDEX(L_ID,ROW()-4)="","",IF(COUNTIF(P_ID,INDEX(L_ID,ROW()-4))&gt;0,1,0))</f>
        <v/>
      </c>
      <c r="B839">
        <f>IF(INDEX(P_Type,ROW()-4)="","",TRIM(UPPER(INDEX(P_Type,ROW()-4))))</f>
        <v/>
      </c>
      <c r="D839">
        <f>IF(INDEX(L_Type,ROW()-4)="","",TRIM(UPPER(INDEX(L_Type,ROW()-4))))</f>
        <v/>
      </c>
      <c r="E839">
        <f>IF(INDEX(P_Status,ROW()-4)="","",TRIM(UPPER(INDEX(P_Status,ROW()-4))))</f>
        <v/>
      </c>
      <c r="G839">
        <f>IF(INDEX(L_Status,ROW()-4)="","",TRIM(UPPER(INDEX(L_Status,ROW()-4))))</f>
        <v/>
      </c>
      <c r="J839">
        <f>IF(INDEX(L_ID,ROW()-4)="","",IF(SUMPRODUCT((P_ID=INDEX(L_ID,ROW()-4))*(P_StatusN="INACTIVE"))&gt;0,1,0))</f>
        <v/>
      </c>
    </row>
    <row r="840">
      <c r="A840">
        <f>IF(INDEX(L_ID,ROW()-4)="","",IF(COUNTIF(P_ID,INDEX(L_ID,ROW()-4))&gt;0,1,0))</f>
        <v/>
      </c>
      <c r="B840">
        <f>IF(INDEX(P_Type,ROW()-4)="","",TRIM(UPPER(INDEX(P_Type,ROW()-4))))</f>
        <v/>
      </c>
      <c r="D840">
        <f>IF(INDEX(L_Type,ROW()-4)="","",TRIM(UPPER(INDEX(L_Type,ROW()-4))))</f>
        <v/>
      </c>
      <c r="E840">
        <f>IF(INDEX(P_Status,ROW()-4)="","",TRIM(UPPER(INDEX(P_Status,ROW()-4))))</f>
        <v/>
      </c>
      <c r="G840">
        <f>IF(INDEX(L_Status,ROW()-4)="","",TRIM(UPPER(INDEX(L_Status,ROW()-4))))</f>
        <v/>
      </c>
      <c r="J840">
        <f>IF(INDEX(L_ID,ROW()-4)="","",IF(SUMPRODUCT((P_ID=INDEX(L_ID,ROW()-4))*(P_StatusN="INACTIVE"))&gt;0,1,0))</f>
        <v/>
      </c>
    </row>
    <row r="841">
      <c r="A841">
        <f>IF(INDEX(L_ID,ROW()-4)="","",IF(COUNTIF(P_ID,INDEX(L_ID,ROW()-4))&gt;0,1,0))</f>
        <v/>
      </c>
      <c r="B841">
        <f>IF(INDEX(P_Type,ROW()-4)="","",TRIM(UPPER(INDEX(P_Type,ROW()-4))))</f>
        <v/>
      </c>
      <c r="D841">
        <f>IF(INDEX(L_Type,ROW()-4)="","",TRIM(UPPER(INDEX(L_Type,ROW()-4))))</f>
        <v/>
      </c>
      <c r="E841">
        <f>IF(INDEX(P_Status,ROW()-4)="","",TRIM(UPPER(INDEX(P_Status,ROW()-4))))</f>
        <v/>
      </c>
      <c r="G841">
        <f>IF(INDEX(L_Status,ROW()-4)="","",TRIM(UPPER(INDEX(L_Status,ROW()-4))))</f>
        <v/>
      </c>
      <c r="J841">
        <f>IF(INDEX(L_ID,ROW()-4)="","",IF(SUMPRODUCT((P_ID=INDEX(L_ID,ROW()-4))*(P_StatusN="INACTIVE"))&gt;0,1,0))</f>
        <v/>
      </c>
    </row>
    <row r="842">
      <c r="A842">
        <f>IF(INDEX(L_ID,ROW()-4)="","",IF(COUNTIF(P_ID,INDEX(L_ID,ROW()-4))&gt;0,1,0))</f>
        <v/>
      </c>
      <c r="B842">
        <f>IF(INDEX(P_Type,ROW()-4)="","",TRIM(UPPER(INDEX(P_Type,ROW()-4))))</f>
        <v/>
      </c>
      <c r="D842">
        <f>IF(INDEX(L_Type,ROW()-4)="","",TRIM(UPPER(INDEX(L_Type,ROW()-4))))</f>
        <v/>
      </c>
      <c r="E842">
        <f>IF(INDEX(P_Status,ROW()-4)="","",TRIM(UPPER(INDEX(P_Status,ROW()-4))))</f>
        <v/>
      </c>
      <c r="G842">
        <f>IF(INDEX(L_Status,ROW()-4)="","",TRIM(UPPER(INDEX(L_Status,ROW()-4))))</f>
        <v/>
      </c>
      <c r="J842">
        <f>IF(INDEX(L_ID,ROW()-4)="","",IF(SUMPRODUCT((P_ID=INDEX(L_ID,ROW()-4))*(P_StatusN="INACTIVE"))&gt;0,1,0))</f>
        <v/>
      </c>
    </row>
    <row r="843">
      <c r="A843">
        <f>IF(INDEX(L_ID,ROW()-4)="","",IF(COUNTIF(P_ID,INDEX(L_ID,ROW()-4))&gt;0,1,0))</f>
        <v/>
      </c>
      <c r="B843">
        <f>IF(INDEX(P_Type,ROW()-4)="","",TRIM(UPPER(INDEX(P_Type,ROW()-4))))</f>
        <v/>
      </c>
      <c r="D843">
        <f>IF(INDEX(L_Type,ROW()-4)="","",TRIM(UPPER(INDEX(L_Type,ROW()-4))))</f>
        <v/>
      </c>
      <c r="E843">
        <f>IF(INDEX(P_Status,ROW()-4)="","",TRIM(UPPER(INDEX(P_Status,ROW()-4))))</f>
        <v/>
      </c>
      <c r="G843">
        <f>IF(INDEX(L_Status,ROW()-4)="","",TRIM(UPPER(INDEX(L_Status,ROW()-4))))</f>
        <v/>
      </c>
      <c r="J843">
        <f>IF(INDEX(L_ID,ROW()-4)="","",IF(SUMPRODUCT((P_ID=INDEX(L_ID,ROW()-4))*(P_StatusN="INACTIVE"))&gt;0,1,0))</f>
        <v/>
      </c>
    </row>
    <row r="844">
      <c r="A844">
        <f>IF(INDEX(L_ID,ROW()-4)="","",IF(COUNTIF(P_ID,INDEX(L_ID,ROW()-4))&gt;0,1,0))</f>
        <v/>
      </c>
      <c r="B844">
        <f>IF(INDEX(P_Type,ROW()-4)="","",TRIM(UPPER(INDEX(P_Type,ROW()-4))))</f>
        <v/>
      </c>
      <c r="D844">
        <f>IF(INDEX(L_Type,ROW()-4)="","",TRIM(UPPER(INDEX(L_Type,ROW()-4))))</f>
        <v/>
      </c>
      <c r="E844">
        <f>IF(INDEX(P_Status,ROW()-4)="","",TRIM(UPPER(INDEX(P_Status,ROW()-4))))</f>
        <v/>
      </c>
      <c r="G844">
        <f>IF(INDEX(L_Status,ROW()-4)="","",TRIM(UPPER(INDEX(L_Status,ROW()-4))))</f>
        <v/>
      </c>
      <c r="J844">
        <f>IF(INDEX(L_ID,ROW()-4)="","",IF(SUMPRODUCT((P_ID=INDEX(L_ID,ROW()-4))*(P_StatusN="INACTIVE"))&gt;0,1,0))</f>
        <v/>
      </c>
    </row>
    <row r="845">
      <c r="A845">
        <f>IF(INDEX(L_ID,ROW()-4)="","",IF(COUNTIF(P_ID,INDEX(L_ID,ROW()-4))&gt;0,1,0))</f>
        <v/>
      </c>
      <c r="B845">
        <f>IF(INDEX(P_Type,ROW()-4)="","",TRIM(UPPER(INDEX(P_Type,ROW()-4))))</f>
        <v/>
      </c>
      <c r="D845">
        <f>IF(INDEX(L_Type,ROW()-4)="","",TRIM(UPPER(INDEX(L_Type,ROW()-4))))</f>
        <v/>
      </c>
      <c r="E845">
        <f>IF(INDEX(P_Status,ROW()-4)="","",TRIM(UPPER(INDEX(P_Status,ROW()-4))))</f>
        <v/>
      </c>
      <c r="G845">
        <f>IF(INDEX(L_Status,ROW()-4)="","",TRIM(UPPER(INDEX(L_Status,ROW()-4))))</f>
        <v/>
      </c>
      <c r="J845">
        <f>IF(INDEX(L_ID,ROW()-4)="","",IF(SUMPRODUCT((P_ID=INDEX(L_ID,ROW()-4))*(P_StatusN="INACTIVE"))&gt;0,1,0))</f>
        <v/>
      </c>
    </row>
    <row r="846">
      <c r="A846">
        <f>IF(INDEX(L_ID,ROW()-4)="","",IF(COUNTIF(P_ID,INDEX(L_ID,ROW()-4))&gt;0,1,0))</f>
        <v/>
      </c>
      <c r="B846">
        <f>IF(INDEX(P_Type,ROW()-4)="","",TRIM(UPPER(INDEX(P_Type,ROW()-4))))</f>
        <v/>
      </c>
      <c r="D846">
        <f>IF(INDEX(L_Type,ROW()-4)="","",TRIM(UPPER(INDEX(L_Type,ROW()-4))))</f>
        <v/>
      </c>
      <c r="E846">
        <f>IF(INDEX(P_Status,ROW()-4)="","",TRIM(UPPER(INDEX(P_Status,ROW()-4))))</f>
        <v/>
      </c>
      <c r="G846">
        <f>IF(INDEX(L_Status,ROW()-4)="","",TRIM(UPPER(INDEX(L_Status,ROW()-4))))</f>
        <v/>
      </c>
      <c r="J846">
        <f>IF(INDEX(L_ID,ROW()-4)="","",IF(SUMPRODUCT((P_ID=INDEX(L_ID,ROW()-4))*(P_StatusN="INACTIVE"))&gt;0,1,0))</f>
        <v/>
      </c>
    </row>
    <row r="847">
      <c r="A847">
        <f>IF(INDEX(L_ID,ROW()-4)="","",IF(COUNTIF(P_ID,INDEX(L_ID,ROW()-4))&gt;0,1,0))</f>
        <v/>
      </c>
      <c r="B847">
        <f>IF(INDEX(P_Type,ROW()-4)="","",TRIM(UPPER(INDEX(P_Type,ROW()-4))))</f>
        <v/>
      </c>
      <c r="D847">
        <f>IF(INDEX(L_Type,ROW()-4)="","",TRIM(UPPER(INDEX(L_Type,ROW()-4))))</f>
        <v/>
      </c>
      <c r="E847">
        <f>IF(INDEX(P_Status,ROW()-4)="","",TRIM(UPPER(INDEX(P_Status,ROW()-4))))</f>
        <v/>
      </c>
      <c r="G847">
        <f>IF(INDEX(L_Status,ROW()-4)="","",TRIM(UPPER(INDEX(L_Status,ROW()-4))))</f>
        <v/>
      </c>
      <c r="J847">
        <f>IF(INDEX(L_ID,ROW()-4)="","",IF(SUMPRODUCT((P_ID=INDEX(L_ID,ROW()-4))*(P_StatusN="INACTIVE"))&gt;0,1,0))</f>
        <v/>
      </c>
    </row>
    <row r="848">
      <c r="A848">
        <f>IF(INDEX(L_ID,ROW()-4)="","",IF(COUNTIF(P_ID,INDEX(L_ID,ROW()-4))&gt;0,1,0))</f>
        <v/>
      </c>
      <c r="B848">
        <f>IF(INDEX(P_Type,ROW()-4)="","",TRIM(UPPER(INDEX(P_Type,ROW()-4))))</f>
        <v/>
      </c>
      <c r="D848">
        <f>IF(INDEX(L_Type,ROW()-4)="","",TRIM(UPPER(INDEX(L_Type,ROW()-4))))</f>
        <v/>
      </c>
      <c r="E848">
        <f>IF(INDEX(P_Status,ROW()-4)="","",TRIM(UPPER(INDEX(P_Status,ROW()-4))))</f>
        <v/>
      </c>
      <c r="G848">
        <f>IF(INDEX(L_Status,ROW()-4)="","",TRIM(UPPER(INDEX(L_Status,ROW()-4))))</f>
        <v/>
      </c>
      <c r="J848">
        <f>IF(INDEX(L_ID,ROW()-4)="","",IF(SUMPRODUCT((P_ID=INDEX(L_ID,ROW()-4))*(P_StatusN="INACTIVE"))&gt;0,1,0))</f>
        <v/>
      </c>
    </row>
    <row r="849">
      <c r="A849">
        <f>IF(INDEX(L_ID,ROW()-4)="","",IF(COUNTIF(P_ID,INDEX(L_ID,ROW()-4))&gt;0,1,0))</f>
        <v/>
      </c>
      <c r="B849">
        <f>IF(INDEX(P_Type,ROW()-4)="","",TRIM(UPPER(INDEX(P_Type,ROW()-4))))</f>
        <v/>
      </c>
      <c r="D849">
        <f>IF(INDEX(L_Type,ROW()-4)="","",TRIM(UPPER(INDEX(L_Type,ROW()-4))))</f>
        <v/>
      </c>
      <c r="E849">
        <f>IF(INDEX(P_Status,ROW()-4)="","",TRIM(UPPER(INDEX(P_Status,ROW()-4))))</f>
        <v/>
      </c>
      <c r="G849">
        <f>IF(INDEX(L_Status,ROW()-4)="","",TRIM(UPPER(INDEX(L_Status,ROW()-4))))</f>
        <v/>
      </c>
      <c r="J849">
        <f>IF(INDEX(L_ID,ROW()-4)="","",IF(SUMPRODUCT((P_ID=INDEX(L_ID,ROW()-4))*(P_StatusN="INACTIVE"))&gt;0,1,0))</f>
        <v/>
      </c>
    </row>
    <row r="850">
      <c r="A850">
        <f>IF(INDEX(L_ID,ROW()-4)="","",IF(COUNTIF(P_ID,INDEX(L_ID,ROW()-4))&gt;0,1,0))</f>
        <v/>
      </c>
      <c r="B850">
        <f>IF(INDEX(P_Type,ROW()-4)="","",TRIM(UPPER(INDEX(P_Type,ROW()-4))))</f>
        <v/>
      </c>
      <c r="D850">
        <f>IF(INDEX(L_Type,ROW()-4)="","",TRIM(UPPER(INDEX(L_Type,ROW()-4))))</f>
        <v/>
      </c>
      <c r="E850">
        <f>IF(INDEX(P_Status,ROW()-4)="","",TRIM(UPPER(INDEX(P_Status,ROW()-4))))</f>
        <v/>
      </c>
      <c r="G850">
        <f>IF(INDEX(L_Status,ROW()-4)="","",TRIM(UPPER(INDEX(L_Status,ROW()-4))))</f>
        <v/>
      </c>
      <c r="J850">
        <f>IF(INDEX(L_ID,ROW()-4)="","",IF(SUMPRODUCT((P_ID=INDEX(L_ID,ROW()-4))*(P_StatusN="INACTIVE"))&gt;0,1,0))</f>
        <v/>
      </c>
    </row>
    <row r="851">
      <c r="A851">
        <f>IF(INDEX(L_ID,ROW()-4)="","",IF(COUNTIF(P_ID,INDEX(L_ID,ROW()-4))&gt;0,1,0))</f>
        <v/>
      </c>
      <c r="B851">
        <f>IF(INDEX(P_Type,ROW()-4)="","",TRIM(UPPER(INDEX(P_Type,ROW()-4))))</f>
        <v/>
      </c>
      <c r="D851">
        <f>IF(INDEX(L_Type,ROW()-4)="","",TRIM(UPPER(INDEX(L_Type,ROW()-4))))</f>
        <v/>
      </c>
      <c r="E851">
        <f>IF(INDEX(P_Status,ROW()-4)="","",TRIM(UPPER(INDEX(P_Status,ROW()-4))))</f>
        <v/>
      </c>
      <c r="G851">
        <f>IF(INDEX(L_Status,ROW()-4)="","",TRIM(UPPER(INDEX(L_Status,ROW()-4))))</f>
        <v/>
      </c>
      <c r="J851">
        <f>IF(INDEX(L_ID,ROW()-4)="","",IF(SUMPRODUCT((P_ID=INDEX(L_ID,ROW()-4))*(P_StatusN="INACTIVE"))&gt;0,1,0))</f>
        <v/>
      </c>
    </row>
    <row r="852">
      <c r="A852">
        <f>IF(INDEX(L_ID,ROW()-4)="","",IF(COUNTIF(P_ID,INDEX(L_ID,ROW()-4))&gt;0,1,0))</f>
        <v/>
      </c>
      <c r="B852">
        <f>IF(INDEX(P_Type,ROW()-4)="","",TRIM(UPPER(INDEX(P_Type,ROW()-4))))</f>
        <v/>
      </c>
      <c r="D852">
        <f>IF(INDEX(L_Type,ROW()-4)="","",TRIM(UPPER(INDEX(L_Type,ROW()-4))))</f>
        <v/>
      </c>
      <c r="E852">
        <f>IF(INDEX(P_Status,ROW()-4)="","",TRIM(UPPER(INDEX(P_Status,ROW()-4))))</f>
        <v/>
      </c>
      <c r="G852">
        <f>IF(INDEX(L_Status,ROW()-4)="","",TRIM(UPPER(INDEX(L_Status,ROW()-4))))</f>
        <v/>
      </c>
      <c r="J852">
        <f>IF(INDEX(L_ID,ROW()-4)="","",IF(SUMPRODUCT((P_ID=INDEX(L_ID,ROW()-4))*(P_StatusN="INACTIVE"))&gt;0,1,0))</f>
        <v/>
      </c>
    </row>
    <row r="853">
      <c r="A853">
        <f>IF(INDEX(L_ID,ROW()-4)="","",IF(COUNTIF(P_ID,INDEX(L_ID,ROW()-4))&gt;0,1,0))</f>
        <v/>
      </c>
      <c r="B853">
        <f>IF(INDEX(P_Type,ROW()-4)="","",TRIM(UPPER(INDEX(P_Type,ROW()-4))))</f>
        <v/>
      </c>
      <c r="D853">
        <f>IF(INDEX(L_Type,ROW()-4)="","",TRIM(UPPER(INDEX(L_Type,ROW()-4))))</f>
        <v/>
      </c>
      <c r="E853">
        <f>IF(INDEX(P_Status,ROW()-4)="","",TRIM(UPPER(INDEX(P_Status,ROW()-4))))</f>
        <v/>
      </c>
      <c r="G853">
        <f>IF(INDEX(L_Status,ROW()-4)="","",TRIM(UPPER(INDEX(L_Status,ROW()-4))))</f>
        <v/>
      </c>
      <c r="J853">
        <f>IF(INDEX(L_ID,ROW()-4)="","",IF(SUMPRODUCT((P_ID=INDEX(L_ID,ROW()-4))*(P_StatusN="INACTIVE"))&gt;0,1,0))</f>
        <v/>
      </c>
    </row>
    <row r="854">
      <c r="A854">
        <f>IF(INDEX(L_ID,ROW()-4)="","",IF(COUNTIF(P_ID,INDEX(L_ID,ROW()-4))&gt;0,1,0))</f>
        <v/>
      </c>
      <c r="B854">
        <f>IF(INDEX(P_Type,ROW()-4)="","",TRIM(UPPER(INDEX(P_Type,ROW()-4))))</f>
        <v/>
      </c>
      <c r="D854">
        <f>IF(INDEX(L_Type,ROW()-4)="","",TRIM(UPPER(INDEX(L_Type,ROW()-4))))</f>
        <v/>
      </c>
      <c r="E854">
        <f>IF(INDEX(P_Status,ROW()-4)="","",TRIM(UPPER(INDEX(P_Status,ROW()-4))))</f>
        <v/>
      </c>
      <c r="G854">
        <f>IF(INDEX(L_Status,ROW()-4)="","",TRIM(UPPER(INDEX(L_Status,ROW()-4))))</f>
        <v/>
      </c>
      <c r="J854">
        <f>IF(INDEX(L_ID,ROW()-4)="","",IF(SUMPRODUCT((P_ID=INDEX(L_ID,ROW()-4))*(P_StatusN="INACTIVE"))&gt;0,1,0))</f>
        <v/>
      </c>
    </row>
    <row r="855">
      <c r="A855">
        <f>IF(INDEX(L_ID,ROW()-4)="","",IF(COUNTIF(P_ID,INDEX(L_ID,ROW()-4))&gt;0,1,0))</f>
        <v/>
      </c>
      <c r="B855">
        <f>IF(INDEX(P_Type,ROW()-4)="","",TRIM(UPPER(INDEX(P_Type,ROW()-4))))</f>
        <v/>
      </c>
      <c r="D855">
        <f>IF(INDEX(L_Type,ROW()-4)="","",TRIM(UPPER(INDEX(L_Type,ROW()-4))))</f>
        <v/>
      </c>
      <c r="E855">
        <f>IF(INDEX(P_Status,ROW()-4)="","",TRIM(UPPER(INDEX(P_Status,ROW()-4))))</f>
        <v/>
      </c>
      <c r="G855">
        <f>IF(INDEX(L_Status,ROW()-4)="","",TRIM(UPPER(INDEX(L_Status,ROW()-4))))</f>
        <v/>
      </c>
      <c r="J855">
        <f>IF(INDEX(L_ID,ROW()-4)="","",IF(SUMPRODUCT((P_ID=INDEX(L_ID,ROW()-4))*(P_StatusN="INACTIVE"))&gt;0,1,0))</f>
        <v/>
      </c>
    </row>
    <row r="856">
      <c r="A856">
        <f>IF(INDEX(L_ID,ROW()-4)="","",IF(COUNTIF(P_ID,INDEX(L_ID,ROW()-4))&gt;0,1,0))</f>
        <v/>
      </c>
      <c r="B856">
        <f>IF(INDEX(P_Type,ROW()-4)="","",TRIM(UPPER(INDEX(P_Type,ROW()-4))))</f>
        <v/>
      </c>
      <c r="D856">
        <f>IF(INDEX(L_Type,ROW()-4)="","",TRIM(UPPER(INDEX(L_Type,ROW()-4))))</f>
        <v/>
      </c>
      <c r="E856">
        <f>IF(INDEX(P_Status,ROW()-4)="","",TRIM(UPPER(INDEX(P_Status,ROW()-4))))</f>
        <v/>
      </c>
      <c r="G856">
        <f>IF(INDEX(L_Status,ROW()-4)="","",TRIM(UPPER(INDEX(L_Status,ROW()-4))))</f>
        <v/>
      </c>
      <c r="J856">
        <f>IF(INDEX(L_ID,ROW()-4)="","",IF(SUMPRODUCT((P_ID=INDEX(L_ID,ROW()-4))*(P_StatusN="INACTIVE"))&gt;0,1,0))</f>
        <v/>
      </c>
    </row>
    <row r="857">
      <c r="A857">
        <f>IF(INDEX(L_ID,ROW()-4)="","",IF(COUNTIF(P_ID,INDEX(L_ID,ROW()-4))&gt;0,1,0))</f>
        <v/>
      </c>
      <c r="B857">
        <f>IF(INDEX(P_Type,ROW()-4)="","",TRIM(UPPER(INDEX(P_Type,ROW()-4))))</f>
        <v/>
      </c>
      <c r="D857">
        <f>IF(INDEX(L_Type,ROW()-4)="","",TRIM(UPPER(INDEX(L_Type,ROW()-4))))</f>
        <v/>
      </c>
      <c r="E857">
        <f>IF(INDEX(P_Status,ROW()-4)="","",TRIM(UPPER(INDEX(P_Status,ROW()-4))))</f>
        <v/>
      </c>
      <c r="G857">
        <f>IF(INDEX(L_Status,ROW()-4)="","",TRIM(UPPER(INDEX(L_Status,ROW()-4))))</f>
        <v/>
      </c>
      <c r="J857">
        <f>IF(INDEX(L_ID,ROW()-4)="","",IF(SUMPRODUCT((P_ID=INDEX(L_ID,ROW()-4))*(P_StatusN="INACTIVE"))&gt;0,1,0))</f>
        <v/>
      </c>
    </row>
    <row r="858">
      <c r="A858">
        <f>IF(INDEX(L_ID,ROW()-4)="","",IF(COUNTIF(P_ID,INDEX(L_ID,ROW()-4))&gt;0,1,0))</f>
        <v/>
      </c>
      <c r="B858">
        <f>IF(INDEX(P_Type,ROW()-4)="","",TRIM(UPPER(INDEX(P_Type,ROW()-4))))</f>
        <v/>
      </c>
      <c r="D858">
        <f>IF(INDEX(L_Type,ROW()-4)="","",TRIM(UPPER(INDEX(L_Type,ROW()-4))))</f>
        <v/>
      </c>
      <c r="E858">
        <f>IF(INDEX(P_Status,ROW()-4)="","",TRIM(UPPER(INDEX(P_Status,ROW()-4))))</f>
        <v/>
      </c>
      <c r="G858">
        <f>IF(INDEX(L_Status,ROW()-4)="","",TRIM(UPPER(INDEX(L_Status,ROW()-4))))</f>
        <v/>
      </c>
      <c r="J858">
        <f>IF(INDEX(L_ID,ROW()-4)="","",IF(SUMPRODUCT((P_ID=INDEX(L_ID,ROW()-4))*(P_StatusN="INACTIVE"))&gt;0,1,0))</f>
        <v/>
      </c>
    </row>
    <row r="859">
      <c r="A859">
        <f>IF(INDEX(L_ID,ROW()-4)="","",IF(COUNTIF(P_ID,INDEX(L_ID,ROW()-4))&gt;0,1,0))</f>
        <v/>
      </c>
      <c r="B859">
        <f>IF(INDEX(P_Type,ROW()-4)="","",TRIM(UPPER(INDEX(P_Type,ROW()-4))))</f>
        <v/>
      </c>
      <c r="D859">
        <f>IF(INDEX(L_Type,ROW()-4)="","",TRIM(UPPER(INDEX(L_Type,ROW()-4))))</f>
        <v/>
      </c>
      <c r="E859">
        <f>IF(INDEX(P_Status,ROW()-4)="","",TRIM(UPPER(INDEX(P_Status,ROW()-4))))</f>
        <v/>
      </c>
      <c r="G859">
        <f>IF(INDEX(L_Status,ROW()-4)="","",TRIM(UPPER(INDEX(L_Status,ROW()-4))))</f>
        <v/>
      </c>
      <c r="J859">
        <f>IF(INDEX(L_ID,ROW()-4)="","",IF(SUMPRODUCT((P_ID=INDEX(L_ID,ROW()-4))*(P_StatusN="INACTIVE"))&gt;0,1,0))</f>
        <v/>
      </c>
    </row>
    <row r="860">
      <c r="A860">
        <f>IF(INDEX(L_ID,ROW()-4)="","",IF(COUNTIF(P_ID,INDEX(L_ID,ROW()-4))&gt;0,1,0))</f>
        <v/>
      </c>
      <c r="B860">
        <f>IF(INDEX(P_Type,ROW()-4)="","",TRIM(UPPER(INDEX(P_Type,ROW()-4))))</f>
        <v/>
      </c>
      <c r="D860">
        <f>IF(INDEX(L_Type,ROW()-4)="","",TRIM(UPPER(INDEX(L_Type,ROW()-4))))</f>
        <v/>
      </c>
      <c r="E860">
        <f>IF(INDEX(P_Status,ROW()-4)="","",TRIM(UPPER(INDEX(P_Status,ROW()-4))))</f>
        <v/>
      </c>
      <c r="G860">
        <f>IF(INDEX(L_Status,ROW()-4)="","",TRIM(UPPER(INDEX(L_Status,ROW()-4))))</f>
        <v/>
      </c>
      <c r="J860">
        <f>IF(INDEX(L_ID,ROW()-4)="","",IF(SUMPRODUCT((P_ID=INDEX(L_ID,ROW()-4))*(P_StatusN="INACTIVE"))&gt;0,1,0))</f>
        <v/>
      </c>
    </row>
    <row r="861">
      <c r="A861">
        <f>IF(INDEX(L_ID,ROW()-4)="","",IF(COUNTIF(P_ID,INDEX(L_ID,ROW()-4))&gt;0,1,0))</f>
        <v/>
      </c>
      <c r="B861">
        <f>IF(INDEX(P_Type,ROW()-4)="","",TRIM(UPPER(INDEX(P_Type,ROW()-4))))</f>
        <v/>
      </c>
      <c r="D861">
        <f>IF(INDEX(L_Type,ROW()-4)="","",TRIM(UPPER(INDEX(L_Type,ROW()-4))))</f>
        <v/>
      </c>
      <c r="E861">
        <f>IF(INDEX(P_Status,ROW()-4)="","",TRIM(UPPER(INDEX(P_Status,ROW()-4))))</f>
        <v/>
      </c>
      <c r="G861">
        <f>IF(INDEX(L_Status,ROW()-4)="","",TRIM(UPPER(INDEX(L_Status,ROW()-4))))</f>
        <v/>
      </c>
      <c r="J861">
        <f>IF(INDEX(L_ID,ROW()-4)="","",IF(SUMPRODUCT((P_ID=INDEX(L_ID,ROW()-4))*(P_StatusN="INACTIVE"))&gt;0,1,0))</f>
        <v/>
      </c>
    </row>
    <row r="862">
      <c r="A862">
        <f>IF(INDEX(L_ID,ROW()-4)="","",IF(COUNTIF(P_ID,INDEX(L_ID,ROW()-4))&gt;0,1,0))</f>
        <v/>
      </c>
      <c r="B862">
        <f>IF(INDEX(P_Type,ROW()-4)="","",TRIM(UPPER(INDEX(P_Type,ROW()-4))))</f>
        <v/>
      </c>
      <c r="D862">
        <f>IF(INDEX(L_Type,ROW()-4)="","",TRIM(UPPER(INDEX(L_Type,ROW()-4))))</f>
        <v/>
      </c>
      <c r="E862">
        <f>IF(INDEX(P_Status,ROW()-4)="","",TRIM(UPPER(INDEX(P_Status,ROW()-4))))</f>
        <v/>
      </c>
      <c r="G862">
        <f>IF(INDEX(L_Status,ROW()-4)="","",TRIM(UPPER(INDEX(L_Status,ROW()-4))))</f>
        <v/>
      </c>
      <c r="J862">
        <f>IF(INDEX(L_ID,ROW()-4)="","",IF(SUMPRODUCT((P_ID=INDEX(L_ID,ROW()-4))*(P_StatusN="INACTIVE"))&gt;0,1,0))</f>
        <v/>
      </c>
    </row>
    <row r="863">
      <c r="A863">
        <f>IF(INDEX(L_ID,ROW()-4)="","",IF(COUNTIF(P_ID,INDEX(L_ID,ROW()-4))&gt;0,1,0))</f>
        <v/>
      </c>
      <c r="B863">
        <f>IF(INDEX(P_Type,ROW()-4)="","",TRIM(UPPER(INDEX(P_Type,ROW()-4))))</f>
        <v/>
      </c>
      <c r="D863">
        <f>IF(INDEX(L_Type,ROW()-4)="","",TRIM(UPPER(INDEX(L_Type,ROW()-4))))</f>
        <v/>
      </c>
      <c r="E863">
        <f>IF(INDEX(P_Status,ROW()-4)="","",TRIM(UPPER(INDEX(P_Status,ROW()-4))))</f>
        <v/>
      </c>
      <c r="G863">
        <f>IF(INDEX(L_Status,ROW()-4)="","",TRIM(UPPER(INDEX(L_Status,ROW()-4))))</f>
        <v/>
      </c>
      <c r="J863">
        <f>IF(INDEX(L_ID,ROW()-4)="","",IF(SUMPRODUCT((P_ID=INDEX(L_ID,ROW()-4))*(P_StatusN="INACTIVE"))&gt;0,1,0))</f>
        <v/>
      </c>
    </row>
    <row r="864">
      <c r="A864">
        <f>IF(INDEX(L_ID,ROW()-4)="","",IF(COUNTIF(P_ID,INDEX(L_ID,ROW()-4))&gt;0,1,0))</f>
        <v/>
      </c>
      <c r="B864">
        <f>IF(INDEX(P_Type,ROW()-4)="","",TRIM(UPPER(INDEX(P_Type,ROW()-4))))</f>
        <v/>
      </c>
      <c r="D864">
        <f>IF(INDEX(L_Type,ROW()-4)="","",TRIM(UPPER(INDEX(L_Type,ROW()-4))))</f>
        <v/>
      </c>
      <c r="E864">
        <f>IF(INDEX(P_Status,ROW()-4)="","",TRIM(UPPER(INDEX(P_Status,ROW()-4))))</f>
        <v/>
      </c>
      <c r="G864">
        <f>IF(INDEX(L_Status,ROW()-4)="","",TRIM(UPPER(INDEX(L_Status,ROW()-4))))</f>
        <v/>
      </c>
      <c r="J864">
        <f>IF(INDEX(L_ID,ROW()-4)="","",IF(SUMPRODUCT((P_ID=INDEX(L_ID,ROW()-4))*(P_StatusN="INACTIVE"))&gt;0,1,0))</f>
        <v/>
      </c>
    </row>
    <row r="865">
      <c r="A865">
        <f>IF(INDEX(L_ID,ROW()-4)="","",IF(COUNTIF(P_ID,INDEX(L_ID,ROW()-4))&gt;0,1,0))</f>
        <v/>
      </c>
      <c r="B865">
        <f>IF(INDEX(P_Type,ROW()-4)="","",TRIM(UPPER(INDEX(P_Type,ROW()-4))))</f>
        <v/>
      </c>
      <c r="D865">
        <f>IF(INDEX(L_Type,ROW()-4)="","",TRIM(UPPER(INDEX(L_Type,ROW()-4))))</f>
        <v/>
      </c>
      <c r="E865">
        <f>IF(INDEX(P_Status,ROW()-4)="","",TRIM(UPPER(INDEX(P_Status,ROW()-4))))</f>
        <v/>
      </c>
      <c r="G865">
        <f>IF(INDEX(L_Status,ROW()-4)="","",TRIM(UPPER(INDEX(L_Status,ROW()-4))))</f>
        <v/>
      </c>
      <c r="J865">
        <f>IF(INDEX(L_ID,ROW()-4)="","",IF(SUMPRODUCT((P_ID=INDEX(L_ID,ROW()-4))*(P_StatusN="INACTIVE"))&gt;0,1,0))</f>
        <v/>
      </c>
    </row>
    <row r="866">
      <c r="A866">
        <f>IF(INDEX(L_ID,ROW()-4)="","",IF(COUNTIF(P_ID,INDEX(L_ID,ROW()-4))&gt;0,1,0))</f>
        <v/>
      </c>
      <c r="B866">
        <f>IF(INDEX(P_Type,ROW()-4)="","",TRIM(UPPER(INDEX(P_Type,ROW()-4))))</f>
        <v/>
      </c>
      <c r="D866">
        <f>IF(INDEX(L_Type,ROW()-4)="","",TRIM(UPPER(INDEX(L_Type,ROW()-4))))</f>
        <v/>
      </c>
      <c r="E866">
        <f>IF(INDEX(P_Status,ROW()-4)="","",TRIM(UPPER(INDEX(P_Status,ROW()-4))))</f>
        <v/>
      </c>
      <c r="G866">
        <f>IF(INDEX(L_Status,ROW()-4)="","",TRIM(UPPER(INDEX(L_Status,ROW()-4))))</f>
        <v/>
      </c>
      <c r="J866">
        <f>IF(INDEX(L_ID,ROW()-4)="","",IF(SUMPRODUCT((P_ID=INDEX(L_ID,ROW()-4))*(P_StatusN="INACTIVE"))&gt;0,1,0))</f>
        <v/>
      </c>
    </row>
    <row r="867">
      <c r="A867">
        <f>IF(INDEX(L_ID,ROW()-4)="","",IF(COUNTIF(P_ID,INDEX(L_ID,ROW()-4))&gt;0,1,0))</f>
        <v/>
      </c>
      <c r="B867">
        <f>IF(INDEX(P_Type,ROW()-4)="","",TRIM(UPPER(INDEX(P_Type,ROW()-4))))</f>
        <v/>
      </c>
      <c r="D867">
        <f>IF(INDEX(L_Type,ROW()-4)="","",TRIM(UPPER(INDEX(L_Type,ROW()-4))))</f>
        <v/>
      </c>
      <c r="E867">
        <f>IF(INDEX(P_Status,ROW()-4)="","",TRIM(UPPER(INDEX(P_Status,ROW()-4))))</f>
        <v/>
      </c>
      <c r="G867">
        <f>IF(INDEX(L_Status,ROW()-4)="","",TRIM(UPPER(INDEX(L_Status,ROW()-4))))</f>
        <v/>
      </c>
      <c r="J867">
        <f>IF(INDEX(L_ID,ROW()-4)="","",IF(SUMPRODUCT((P_ID=INDEX(L_ID,ROW()-4))*(P_StatusN="INACTIVE"))&gt;0,1,0))</f>
        <v/>
      </c>
    </row>
    <row r="868">
      <c r="A868">
        <f>IF(INDEX(L_ID,ROW()-4)="","",IF(COUNTIF(P_ID,INDEX(L_ID,ROW()-4))&gt;0,1,0))</f>
        <v/>
      </c>
      <c r="B868">
        <f>IF(INDEX(P_Type,ROW()-4)="","",TRIM(UPPER(INDEX(P_Type,ROW()-4))))</f>
        <v/>
      </c>
      <c r="D868">
        <f>IF(INDEX(L_Type,ROW()-4)="","",TRIM(UPPER(INDEX(L_Type,ROW()-4))))</f>
        <v/>
      </c>
      <c r="E868">
        <f>IF(INDEX(P_Status,ROW()-4)="","",TRIM(UPPER(INDEX(P_Status,ROW()-4))))</f>
        <v/>
      </c>
      <c r="G868">
        <f>IF(INDEX(L_Status,ROW()-4)="","",TRIM(UPPER(INDEX(L_Status,ROW()-4))))</f>
        <v/>
      </c>
      <c r="J868">
        <f>IF(INDEX(L_ID,ROW()-4)="","",IF(SUMPRODUCT((P_ID=INDEX(L_ID,ROW()-4))*(P_StatusN="INACTIVE"))&gt;0,1,0))</f>
        <v/>
      </c>
    </row>
    <row r="869">
      <c r="A869">
        <f>IF(INDEX(L_ID,ROW()-4)="","",IF(COUNTIF(P_ID,INDEX(L_ID,ROW()-4))&gt;0,1,0))</f>
        <v/>
      </c>
      <c r="B869">
        <f>IF(INDEX(P_Type,ROW()-4)="","",TRIM(UPPER(INDEX(P_Type,ROW()-4))))</f>
        <v/>
      </c>
      <c r="D869">
        <f>IF(INDEX(L_Type,ROW()-4)="","",TRIM(UPPER(INDEX(L_Type,ROW()-4))))</f>
        <v/>
      </c>
      <c r="E869">
        <f>IF(INDEX(P_Status,ROW()-4)="","",TRIM(UPPER(INDEX(P_Status,ROW()-4))))</f>
        <v/>
      </c>
      <c r="G869">
        <f>IF(INDEX(L_Status,ROW()-4)="","",TRIM(UPPER(INDEX(L_Status,ROW()-4))))</f>
        <v/>
      </c>
      <c r="J869">
        <f>IF(INDEX(L_ID,ROW()-4)="","",IF(SUMPRODUCT((P_ID=INDEX(L_ID,ROW()-4))*(P_StatusN="INACTIVE"))&gt;0,1,0))</f>
        <v/>
      </c>
    </row>
    <row r="870">
      <c r="A870">
        <f>IF(INDEX(L_ID,ROW()-4)="","",IF(COUNTIF(P_ID,INDEX(L_ID,ROW()-4))&gt;0,1,0))</f>
        <v/>
      </c>
      <c r="B870">
        <f>IF(INDEX(P_Type,ROW()-4)="","",TRIM(UPPER(INDEX(P_Type,ROW()-4))))</f>
        <v/>
      </c>
      <c r="D870">
        <f>IF(INDEX(L_Type,ROW()-4)="","",TRIM(UPPER(INDEX(L_Type,ROW()-4))))</f>
        <v/>
      </c>
      <c r="E870">
        <f>IF(INDEX(P_Status,ROW()-4)="","",TRIM(UPPER(INDEX(P_Status,ROW()-4))))</f>
        <v/>
      </c>
      <c r="G870">
        <f>IF(INDEX(L_Status,ROW()-4)="","",TRIM(UPPER(INDEX(L_Status,ROW()-4))))</f>
        <v/>
      </c>
      <c r="J870">
        <f>IF(INDEX(L_ID,ROW()-4)="","",IF(SUMPRODUCT((P_ID=INDEX(L_ID,ROW()-4))*(P_StatusN="INACTIVE"))&gt;0,1,0))</f>
        <v/>
      </c>
    </row>
    <row r="871">
      <c r="A871">
        <f>IF(INDEX(L_ID,ROW()-4)="","",IF(COUNTIF(P_ID,INDEX(L_ID,ROW()-4))&gt;0,1,0))</f>
        <v/>
      </c>
      <c r="B871">
        <f>IF(INDEX(P_Type,ROW()-4)="","",TRIM(UPPER(INDEX(P_Type,ROW()-4))))</f>
        <v/>
      </c>
      <c r="D871">
        <f>IF(INDEX(L_Type,ROW()-4)="","",TRIM(UPPER(INDEX(L_Type,ROW()-4))))</f>
        <v/>
      </c>
      <c r="E871">
        <f>IF(INDEX(P_Status,ROW()-4)="","",TRIM(UPPER(INDEX(P_Status,ROW()-4))))</f>
        <v/>
      </c>
      <c r="G871">
        <f>IF(INDEX(L_Status,ROW()-4)="","",TRIM(UPPER(INDEX(L_Status,ROW()-4))))</f>
        <v/>
      </c>
      <c r="J871">
        <f>IF(INDEX(L_ID,ROW()-4)="","",IF(SUMPRODUCT((P_ID=INDEX(L_ID,ROW()-4))*(P_StatusN="INACTIVE"))&gt;0,1,0))</f>
        <v/>
      </c>
    </row>
    <row r="872">
      <c r="A872">
        <f>IF(INDEX(L_ID,ROW()-4)="","",IF(COUNTIF(P_ID,INDEX(L_ID,ROW()-4))&gt;0,1,0))</f>
        <v/>
      </c>
      <c r="B872">
        <f>IF(INDEX(P_Type,ROW()-4)="","",TRIM(UPPER(INDEX(P_Type,ROW()-4))))</f>
        <v/>
      </c>
      <c r="D872">
        <f>IF(INDEX(L_Type,ROW()-4)="","",TRIM(UPPER(INDEX(L_Type,ROW()-4))))</f>
        <v/>
      </c>
      <c r="E872">
        <f>IF(INDEX(P_Status,ROW()-4)="","",TRIM(UPPER(INDEX(P_Status,ROW()-4))))</f>
        <v/>
      </c>
      <c r="G872">
        <f>IF(INDEX(L_Status,ROW()-4)="","",TRIM(UPPER(INDEX(L_Status,ROW()-4))))</f>
        <v/>
      </c>
      <c r="J872">
        <f>IF(INDEX(L_ID,ROW()-4)="","",IF(SUMPRODUCT((P_ID=INDEX(L_ID,ROW()-4))*(P_StatusN="INACTIVE"))&gt;0,1,0))</f>
        <v/>
      </c>
    </row>
    <row r="873">
      <c r="A873">
        <f>IF(INDEX(L_ID,ROW()-4)="","",IF(COUNTIF(P_ID,INDEX(L_ID,ROW()-4))&gt;0,1,0))</f>
        <v/>
      </c>
      <c r="B873">
        <f>IF(INDEX(P_Type,ROW()-4)="","",TRIM(UPPER(INDEX(P_Type,ROW()-4))))</f>
        <v/>
      </c>
      <c r="D873">
        <f>IF(INDEX(L_Type,ROW()-4)="","",TRIM(UPPER(INDEX(L_Type,ROW()-4))))</f>
        <v/>
      </c>
      <c r="E873">
        <f>IF(INDEX(P_Status,ROW()-4)="","",TRIM(UPPER(INDEX(P_Status,ROW()-4))))</f>
        <v/>
      </c>
      <c r="G873">
        <f>IF(INDEX(L_Status,ROW()-4)="","",TRIM(UPPER(INDEX(L_Status,ROW()-4))))</f>
        <v/>
      </c>
      <c r="J873">
        <f>IF(INDEX(L_ID,ROW()-4)="","",IF(SUMPRODUCT((P_ID=INDEX(L_ID,ROW()-4))*(P_StatusN="INACTIVE"))&gt;0,1,0))</f>
        <v/>
      </c>
    </row>
    <row r="874">
      <c r="A874">
        <f>IF(INDEX(L_ID,ROW()-4)="","",IF(COUNTIF(P_ID,INDEX(L_ID,ROW()-4))&gt;0,1,0))</f>
        <v/>
      </c>
      <c r="B874">
        <f>IF(INDEX(P_Type,ROW()-4)="","",TRIM(UPPER(INDEX(P_Type,ROW()-4))))</f>
        <v/>
      </c>
      <c r="D874">
        <f>IF(INDEX(L_Type,ROW()-4)="","",TRIM(UPPER(INDEX(L_Type,ROW()-4))))</f>
        <v/>
      </c>
      <c r="E874">
        <f>IF(INDEX(P_Status,ROW()-4)="","",TRIM(UPPER(INDEX(P_Status,ROW()-4))))</f>
        <v/>
      </c>
      <c r="G874">
        <f>IF(INDEX(L_Status,ROW()-4)="","",TRIM(UPPER(INDEX(L_Status,ROW()-4))))</f>
        <v/>
      </c>
      <c r="J874">
        <f>IF(INDEX(L_ID,ROW()-4)="","",IF(SUMPRODUCT((P_ID=INDEX(L_ID,ROW()-4))*(P_StatusN="INACTIVE"))&gt;0,1,0))</f>
        <v/>
      </c>
    </row>
    <row r="875">
      <c r="A875">
        <f>IF(INDEX(L_ID,ROW()-4)="","",IF(COUNTIF(P_ID,INDEX(L_ID,ROW()-4))&gt;0,1,0))</f>
        <v/>
      </c>
      <c r="B875">
        <f>IF(INDEX(P_Type,ROW()-4)="","",TRIM(UPPER(INDEX(P_Type,ROW()-4))))</f>
        <v/>
      </c>
      <c r="D875">
        <f>IF(INDEX(L_Type,ROW()-4)="","",TRIM(UPPER(INDEX(L_Type,ROW()-4))))</f>
        <v/>
      </c>
      <c r="E875">
        <f>IF(INDEX(P_Status,ROW()-4)="","",TRIM(UPPER(INDEX(P_Status,ROW()-4))))</f>
        <v/>
      </c>
      <c r="G875">
        <f>IF(INDEX(L_Status,ROW()-4)="","",TRIM(UPPER(INDEX(L_Status,ROW()-4))))</f>
        <v/>
      </c>
      <c r="J875">
        <f>IF(INDEX(L_ID,ROW()-4)="","",IF(SUMPRODUCT((P_ID=INDEX(L_ID,ROW()-4))*(P_StatusN="INACTIVE"))&gt;0,1,0))</f>
        <v/>
      </c>
    </row>
    <row r="876">
      <c r="A876">
        <f>IF(INDEX(L_ID,ROW()-4)="","",IF(COUNTIF(P_ID,INDEX(L_ID,ROW()-4))&gt;0,1,0))</f>
        <v/>
      </c>
      <c r="B876">
        <f>IF(INDEX(P_Type,ROW()-4)="","",TRIM(UPPER(INDEX(P_Type,ROW()-4))))</f>
        <v/>
      </c>
      <c r="D876">
        <f>IF(INDEX(L_Type,ROW()-4)="","",TRIM(UPPER(INDEX(L_Type,ROW()-4))))</f>
        <v/>
      </c>
      <c r="E876">
        <f>IF(INDEX(P_Status,ROW()-4)="","",TRIM(UPPER(INDEX(P_Status,ROW()-4))))</f>
        <v/>
      </c>
      <c r="G876">
        <f>IF(INDEX(L_Status,ROW()-4)="","",TRIM(UPPER(INDEX(L_Status,ROW()-4))))</f>
        <v/>
      </c>
      <c r="J876">
        <f>IF(INDEX(L_ID,ROW()-4)="","",IF(SUMPRODUCT((P_ID=INDEX(L_ID,ROW()-4))*(P_StatusN="INACTIVE"))&gt;0,1,0))</f>
        <v/>
      </c>
    </row>
    <row r="877">
      <c r="A877">
        <f>IF(INDEX(L_ID,ROW()-4)="","",IF(COUNTIF(P_ID,INDEX(L_ID,ROW()-4))&gt;0,1,0))</f>
        <v/>
      </c>
      <c r="B877">
        <f>IF(INDEX(P_Type,ROW()-4)="","",TRIM(UPPER(INDEX(P_Type,ROW()-4))))</f>
        <v/>
      </c>
      <c r="D877">
        <f>IF(INDEX(L_Type,ROW()-4)="","",TRIM(UPPER(INDEX(L_Type,ROW()-4))))</f>
        <v/>
      </c>
      <c r="E877">
        <f>IF(INDEX(P_Status,ROW()-4)="","",TRIM(UPPER(INDEX(P_Status,ROW()-4))))</f>
        <v/>
      </c>
      <c r="G877">
        <f>IF(INDEX(L_Status,ROW()-4)="","",TRIM(UPPER(INDEX(L_Status,ROW()-4))))</f>
        <v/>
      </c>
      <c r="J877">
        <f>IF(INDEX(L_ID,ROW()-4)="","",IF(SUMPRODUCT((P_ID=INDEX(L_ID,ROW()-4))*(P_StatusN="INACTIVE"))&gt;0,1,0))</f>
        <v/>
      </c>
    </row>
    <row r="878">
      <c r="A878">
        <f>IF(INDEX(L_ID,ROW()-4)="","",IF(COUNTIF(P_ID,INDEX(L_ID,ROW()-4))&gt;0,1,0))</f>
        <v/>
      </c>
      <c r="B878">
        <f>IF(INDEX(P_Type,ROW()-4)="","",TRIM(UPPER(INDEX(P_Type,ROW()-4))))</f>
        <v/>
      </c>
      <c r="D878">
        <f>IF(INDEX(L_Type,ROW()-4)="","",TRIM(UPPER(INDEX(L_Type,ROW()-4))))</f>
        <v/>
      </c>
      <c r="E878">
        <f>IF(INDEX(P_Status,ROW()-4)="","",TRIM(UPPER(INDEX(P_Status,ROW()-4))))</f>
        <v/>
      </c>
      <c r="G878">
        <f>IF(INDEX(L_Status,ROW()-4)="","",TRIM(UPPER(INDEX(L_Status,ROW()-4))))</f>
        <v/>
      </c>
      <c r="J878">
        <f>IF(INDEX(L_ID,ROW()-4)="","",IF(SUMPRODUCT((P_ID=INDEX(L_ID,ROW()-4))*(P_StatusN="INACTIVE"))&gt;0,1,0))</f>
        <v/>
      </c>
    </row>
    <row r="879">
      <c r="A879">
        <f>IF(INDEX(L_ID,ROW()-4)="","",IF(COUNTIF(P_ID,INDEX(L_ID,ROW()-4))&gt;0,1,0))</f>
        <v/>
      </c>
      <c r="B879">
        <f>IF(INDEX(P_Type,ROW()-4)="","",TRIM(UPPER(INDEX(P_Type,ROW()-4))))</f>
        <v/>
      </c>
      <c r="D879">
        <f>IF(INDEX(L_Type,ROW()-4)="","",TRIM(UPPER(INDEX(L_Type,ROW()-4))))</f>
        <v/>
      </c>
      <c r="E879">
        <f>IF(INDEX(P_Status,ROW()-4)="","",TRIM(UPPER(INDEX(P_Status,ROW()-4))))</f>
        <v/>
      </c>
      <c r="G879">
        <f>IF(INDEX(L_Status,ROW()-4)="","",TRIM(UPPER(INDEX(L_Status,ROW()-4))))</f>
        <v/>
      </c>
      <c r="J879">
        <f>IF(INDEX(L_ID,ROW()-4)="","",IF(SUMPRODUCT((P_ID=INDEX(L_ID,ROW()-4))*(P_StatusN="INACTIVE"))&gt;0,1,0))</f>
        <v/>
      </c>
    </row>
    <row r="880">
      <c r="A880">
        <f>IF(INDEX(L_ID,ROW()-4)="","",IF(COUNTIF(P_ID,INDEX(L_ID,ROW()-4))&gt;0,1,0))</f>
        <v/>
      </c>
      <c r="B880">
        <f>IF(INDEX(P_Type,ROW()-4)="","",TRIM(UPPER(INDEX(P_Type,ROW()-4))))</f>
        <v/>
      </c>
      <c r="D880">
        <f>IF(INDEX(L_Type,ROW()-4)="","",TRIM(UPPER(INDEX(L_Type,ROW()-4))))</f>
        <v/>
      </c>
      <c r="E880">
        <f>IF(INDEX(P_Status,ROW()-4)="","",TRIM(UPPER(INDEX(P_Status,ROW()-4))))</f>
        <v/>
      </c>
      <c r="G880">
        <f>IF(INDEX(L_Status,ROW()-4)="","",TRIM(UPPER(INDEX(L_Status,ROW()-4))))</f>
        <v/>
      </c>
      <c r="J880">
        <f>IF(INDEX(L_ID,ROW()-4)="","",IF(SUMPRODUCT((P_ID=INDEX(L_ID,ROW()-4))*(P_StatusN="INACTIVE"))&gt;0,1,0))</f>
        <v/>
      </c>
    </row>
    <row r="881">
      <c r="A881">
        <f>IF(INDEX(L_ID,ROW()-4)="","",IF(COUNTIF(P_ID,INDEX(L_ID,ROW()-4))&gt;0,1,0))</f>
        <v/>
      </c>
      <c r="B881">
        <f>IF(INDEX(P_Type,ROW()-4)="","",TRIM(UPPER(INDEX(P_Type,ROW()-4))))</f>
        <v/>
      </c>
      <c r="D881">
        <f>IF(INDEX(L_Type,ROW()-4)="","",TRIM(UPPER(INDEX(L_Type,ROW()-4))))</f>
        <v/>
      </c>
      <c r="E881">
        <f>IF(INDEX(P_Status,ROW()-4)="","",TRIM(UPPER(INDEX(P_Status,ROW()-4))))</f>
        <v/>
      </c>
      <c r="G881">
        <f>IF(INDEX(L_Status,ROW()-4)="","",TRIM(UPPER(INDEX(L_Status,ROW()-4))))</f>
        <v/>
      </c>
      <c r="J881">
        <f>IF(INDEX(L_ID,ROW()-4)="","",IF(SUMPRODUCT((P_ID=INDEX(L_ID,ROW()-4))*(P_StatusN="INACTIVE"))&gt;0,1,0))</f>
        <v/>
      </c>
    </row>
    <row r="882">
      <c r="A882">
        <f>IF(INDEX(L_ID,ROW()-4)="","",IF(COUNTIF(P_ID,INDEX(L_ID,ROW()-4))&gt;0,1,0))</f>
        <v/>
      </c>
      <c r="B882">
        <f>IF(INDEX(P_Type,ROW()-4)="","",TRIM(UPPER(INDEX(P_Type,ROW()-4))))</f>
        <v/>
      </c>
      <c r="D882">
        <f>IF(INDEX(L_Type,ROW()-4)="","",TRIM(UPPER(INDEX(L_Type,ROW()-4))))</f>
        <v/>
      </c>
      <c r="E882">
        <f>IF(INDEX(P_Status,ROW()-4)="","",TRIM(UPPER(INDEX(P_Status,ROW()-4))))</f>
        <v/>
      </c>
      <c r="G882">
        <f>IF(INDEX(L_Status,ROW()-4)="","",TRIM(UPPER(INDEX(L_Status,ROW()-4))))</f>
        <v/>
      </c>
      <c r="J882">
        <f>IF(INDEX(L_ID,ROW()-4)="","",IF(SUMPRODUCT((P_ID=INDEX(L_ID,ROW()-4))*(P_StatusN="INACTIVE"))&gt;0,1,0))</f>
        <v/>
      </c>
    </row>
    <row r="883">
      <c r="A883">
        <f>IF(INDEX(L_ID,ROW()-4)="","",IF(COUNTIF(P_ID,INDEX(L_ID,ROW()-4))&gt;0,1,0))</f>
        <v/>
      </c>
      <c r="B883">
        <f>IF(INDEX(P_Type,ROW()-4)="","",TRIM(UPPER(INDEX(P_Type,ROW()-4))))</f>
        <v/>
      </c>
      <c r="D883">
        <f>IF(INDEX(L_Type,ROW()-4)="","",TRIM(UPPER(INDEX(L_Type,ROW()-4))))</f>
        <v/>
      </c>
      <c r="E883">
        <f>IF(INDEX(P_Status,ROW()-4)="","",TRIM(UPPER(INDEX(P_Status,ROW()-4))))</f>
        <v/>
      </c>
      <c r="G883">
        <f>IF(INDEX(L_Status,ROW()-4)="","",TRIM(UPPER(INDEX(L_Status,ROW()-4))))</f>
        <v/>
      </c>
      <c r="J883">
        <f>IF(INDEX(L_ID,ROW()-4)="","",IF(SUMPRODUCT((P_ID=INDEX(L_ID,ROW()-4))*(P_StatusN="INACTIVE"))&gt;0,1,0))</f>
        <v/>
      </c>
    </row>
    <row r="884">
      <c r="A884">
        <f>IF(INDEX(L_ID,ROW()-4)="","",IF(COUNTIF(P_ID,INDEX(L_ID,ROW()-4))&gt;0,1,0))</f>
        <v/>
      </c>
      <c r="B884">
        <f>IF(INDEX(P_Type,ROW()-4)="","",TRIM(UPPER(INDEX(P_Type,ROW()-4))))</f>
        <v/>
      </c>
      <c r="D884">
        <f>IF(INDEX(L_Type,ROW()-4)="","",TRIM(UPPER(INDEX(L_Type,ROW()-4))))</f>
        <v/>
      </c>
      <c r="E884">
        <f>IF(INDEX(P_Status,ROW()-4)="","",TRIM(UPPER(INDEX(P_Status,ROW()-4))))</f>
        <v/>
      </c>
      <c r="G884">
        <f>IF(INDEX(L_Status,ROW()-4)="","",TRIM(UPPER(INDEX(L_Status,ROW()-4))))</f>
        <v/>
      </c>
      <c r="J884">
        <f>IF(INDEX(L_ID,ROW()-4)="","",IF(SUMPRODUCT((P_ID=INDEX(L_ID,ROW()-4))*(P_StatusN="INACTIVE"))&gt;0,1,0))</f>
        <v/>
      </c>
    </row>
    <row r="885">
      <c r="A885">
        <f>IF(INDEX(L_ID,ROW()-4)="","",IF(COUNTIF(P_ID,INDEX(L_ID,ROW()-4))&gt;0,1,0))</f>
        <v/>
      </c>
      <c r="B885">
        <f>IF(INDEX(P_Type,ROW()-4)="","",TRIM(UPPER(INDEX(P_Type,ROW()-4))))</f>
        <v/>
      </c>
      <c r="D885">
        <f>IF(INDEX(L_Type,ROW()-4)="","",TRIM(UPPER(INDEX(L_Type,ROW()-4))))</f>
        <v/>
      </c>
      <c r="E885">
        <f>IF(INDEX(P_Status,ROW()-4)="","",TRIM(UPPER(INDEX(P_Status,ROW()-4))))</f>
        <v/>
      </c>
      <c r="G885">
        <f>IF(INDEX(L_Status,ROW()-4)="","",TRIM(UPPER(INDEX(L_Status,ROW()-4))))</f>
        <v/>
      </c>
      <c r="J885">
        <f>IF(INDEX(L_ID,ROW()-4)="","",IF(SUMPRODUCT((P_ID=INDEX(L_ID,ROW()-4))*(P_StatusN="INACTIVE"))&gt;0,1,0))</f>
        <v/>
      </c>
    </row>
    <row r="886">
      <c r="A886">
        <f>IF(INDEX(L_ID,ROW()-4)="","",IF(COUNTIF(P_ID,INDEX(L_ID,ROW()-4))&gt;0,1,0))</f>
        <v/>
      </c>
      <c r="B886">
        <f>IF(INDEX(P_Type,ROW()-4)="","",TRIM(UPPER(INDEX(P_Type,ROW()-4))))</f>
        <v/>
      </c>
      <c r="D886">
        <f>IF(INDEX(L_Type,ROW()-4)="","",TRIM(UPPER(INDEX(L_Type,ROW()-4))))</f>
        <v/>
      </c>
      <c r="E886">
        <f>IF(INDEX(P_Status,ROW()-4)="","",TRIM(UPPER(INDEX(P_Status,ROW()-4))))</f>
        <v/>
      </c>
      <c r="G886">
        <f>IF(INDEX(L_Status,ROW()-4)="","",TRIM(UPPER(INDEX(L_Status,ROW()-4))))</f>
        <v/>
      </c>
      <c r="J886">
        <f>IF(INDEX(L_ID,ROW()-4)="","",IF(SUMPRODUCT((P_ID=INDEX(L_ID,ROW()-4))*(P_StatusN="INACTIVE"))&gt;0,1,0))</f>
        <v/>
      </c>
    </row>
    <row r="887">
      <c r="A887">
        <f>IF(INDEX(L_ID,ROW()-4)="","",IF(COUNTIF(P_ID,INDEX(L_ID,ROW()-4))&gt;0,1,0))</f>
        <v/>
      </c>
      <c r="B887">
        <f>IF(INDEX(P_Type,ROW()-4)="","",TRIM(UPPER(INDEX(P_Type,ROW()-4))))</f>
        <v/>
      </c>
      <c r="D887">
        <f>IF(INDEX(L_Type,ROW()-4)="","",TRIM(UPPER(INDEX(L_Type,ROW()-4))))</f>
        <v/>
      </c>
      <c r="E887">
        <f>IF(INDEX(P_Status,ROW()-4)="","",TRIM(UPPER(INDEX(P_Status,ROW()-4))))</f>
        <v/>
      </c>
      <c r="G887">
        <f>IF(INDEX(L_Status,ROW()-4)="","",TRIM(UPPER(INDEX(L_Status,ROW()-4))))</f>
        <v/>
      </c>
      <c r="J887">
        <f>IF(INDEX(L_ID,ROW()-4)="","",IF(SUMPRODUCT((P_ID=INDEX(L_ID,ROW()-4))*(P_StatusN="INACTIVE"))&gt;0,1,0))</f>
        <v/>
      </c>
    </row>
    <row r="888">
      <c r="A888">
        <f>IF(INDEX(L_ID,ROW()-4)="","",IF(COUNTIF(P_ID,INDEX(L_ID,ROW()-4))&gt;0,1,0))</f>
        <v/>
      </c>
      <c r="B888">
        <f>IF(INDEX(P_Type,ROW()-4)="","",TRIM(UPPER(INDEX(P_Type,ROW()-4))))</f>
        <v/>
      </c>
      <c r="D888">
        <f>IF(INDEX(L_Type,ROW()-4)="","",TRIM(UPPER(INDEX(L_Type,ROW()-4))))</f>
        <v/>
      </c>
      <c r="E888">
        <f>IF(INDEX(P_Status,ROW()-4)="","",TRIM(UPPER(INDEX(P_Status,ROW()-4))))</f>
        <v/>
      </c>
      <c r="G888">
        <f>IF(INDEX(L_Status,ROW()-4)="","",TRIM(UPPER(INDEX(L_Status,ROW()-4))))</f>
        <v/>
      </c>
      <c r="J888">
        <f>IF(INDEX(L_ID,ROW()-4)="","",IF(SUMPRODUCT((P_ID=INDEX(L_ID,ROW()-4))*(P_StatusN="INACTIVE"))&gt;0,1,0))</f>
        <v/>
      </c>
    </row>
    <row r="889">
      <c r="A889">
        <f>IF(INDEX(L_ID,ROW()-4)="","",IF(COUNTIF(P_ID,INDEX(L_ID,ROW()-4))&gt;0,1,0))</f>
        <v/>
      </c>
      <c r="B889">
        <f>IF(INDEX(P_Type,ROW()-4)="","",TRIM(UPPER(INDEX(P_Type,ROW()-4))))</f>
        <v/>
      </c>
      <c r="D889">
        <f>IF(INDEX(L_Type,ROW()-4)="","",TRIM(UPPER(INDEX(L_Type,ROW()-4))))</f>
        <v/>
      </c>
      <c r="E889">
        <f>IF(INDEX(P_Status,ROW()-4)="","",TRIM(UPPER(INDEX(P_Status,ROW()-4))))</f>
        <v/>
      </c>
      <c r="G889">
        <f>IF(INDEX(L_Status,ROW()-4)="","",TRIM(UPPER(INDEX(L_Status,ROW()-4))))</f>
        <v/>
      </c>
      <c r="J889">
        <f>IF(INDEX(L_ID,ROW()-4)="","",IF(SUMPRODUCT((P_ID=INDEX(L_ID,ROW()-4))*(P_StatusN="INACTIVE"))&gt;0,1,0))</f>
        <v/>
      </c>
    </row>
    <row r="890">
      <c r="A890">
        <f>IF(INDEX(L_ID,ROW()-4)="","",IF(COUNTIF(P_ID,INDEX(L_ID,ROW()-4))&gt;0,1,0))</f>
        <v/>
      </c>
      <c r="B890">
        <f>IF(INDEX(P_Type,ROW()-4)="","",TRIM(UPPER(INDEX(P_Type,ROW()-4))))</f>
        <v/>
      </c>
      <c r="D890">
        <f>IF(INDEX(L_Type,ROW()-4)="","",TRIM(UPPER(INDEX(L_Type,ROW()-4))))</f>
        <v/>
      </c>
      <c r="E890">
        <f>IF(INDEX(P_Status,ROW()-4)="","",TRIM(UPPER(INDEX(P_Status,ROW()-4))))</f>
        <v/>
      </c>
      <c r="G890">
        <f>IF(INDEX(L_Status,ROW()-4)="","",TRIM(UPPER(INDEX(L_Status,ROW()-4))))</f>
        <v/>
      </c>
      <c r="J890">
        <f>IF(INDEX(L_ID,ROW()-4)="","",IF(SUMPRODUCT((P_ID=INDEX(L_ID,ROW()-4))*(P_StatusN="INACTIVE"))&gt;0,1,0))</f>
        <v/>
      </c>
    </row>
    <row r="891">
      <c r="A891">
        <f>IF(INDEX(L_ID,ROW()-4)="","",IF(COUNTIF(P_ID,INDEX(L_ID,ROW()-4))&gt;0,1,0))</f>
        <v/>
      </c>
      <c r="B891">
        <f>IF(INDEX(P_Type,ROW()-4)="","",TRIM(UPPER(INDEX(P_Type,ROW()-4))))</f>
        <v/>
      </c>
      <c r="D891">
        <f>IF(INDEX(L_Type,ROW()-4)="","",TRIM(UPPER(INDEX(L_Type,ROW()-4))))</f>
        <v/>
      </c>
      <c r="E891">
        <f>IF(INDEX(P_Status,ROW()-4)="","",TRIM(UPPER(INDEX(P_Status,ROW()-4))))</f>
        <v/>
      </c>
      <c r="G891">
        <f>IF(INDEX(L_Status,ROW()-4)="","",TRIM(UPPER(INDEX(L_Status,ROW()-4))))</f>
        <v/>
      </c>
      <c r="J891">
        <f>IF(INDEX(L_ID,ROW()-4)="","",IF(SUMPRODUCT((P_ID=INDEX(L_ID,ROW()-4))*(P_StatusN="INACTIVE"))&gt;0,1,0))</f>
        <v/>
      </c>
    </row>
    <row r="892">
      <c r="A892">
        <f>IF(INDEX(L_ID,ROW()-4)="","",IF(COUNTIF(P_ID,INDEX(L_ID,ROW()-4))&gt;0,1,0))</f>
        <v/>
      </c>
      <c r="B892">
        <f>IF(INDEX(P_Type,ROW()-4)="","",TRIM(UPPER(INDEX(P_Type,ROW()-4))))</f>
        <v/>
      </c>
      <c r="D892">
        <f>IF(INDEX(L_Type,ROW()-4)="","",TRIM(UPPER(INDEX(L_Type,ROW()-4))))</f>
        <v/>
      </c>
      <c r="E892">
        <f>IF(INDEX(P_Status,ROW()-4)="","",TRIM(UPPER(INDEX(P_Status,ROW()-4))))</f>
        <v/>
      </c>
      <c r="G892">
        <f>IF(INDEX(L_Status,ROW()-4)="","",TRIM(UPPER(INDEX(L_Status,ROW()-4))))</f>
        <v/>
      </c>
      <c r="J892">
        <f>IF(INDEX(L_ID,ROW()-4)="","",IF(SUMPRODUCT((P_ID=INDEX(L_ID,ROW()-4))*(P_StatusN="INACTIVE"))&gt;0,1,0))</f>
        <v/>
      </c>
    </row>
    <row r="893">
      <c r="A893">
        <f>IF(INDEX(L_ID,ROW()-4)="","",IF(COUNTIF(P_ID,INDEX(L_ID,ROW()-4))&gt;0,1,0))</f>
        <v/>
      </c>
      <c r="B893">
        <f>IF(INDEX(P_Type,ROW()-4)="","",TRIM(UPPER(INDEX(P_Type,ROW()-4))))</f>
        <v/>
      </c>
      <c r="D893">
        <f>IF(INDEX(L_Type,ROW()-4)="","",TRIM(UPPER(INDEX(L_Type,ROW()-4))))</f>
        <v/>
      </c>
      <c r="E893">
        <f>IF(INDEX(P_Status,ROW()-4)="","",TRIM(UPPER(INDEX(P_Status,ROW()-4))))</f>
        <v/>
      </c>
      <c r="G893">
        <f>IF(INDEX(L_Status,ROW()-4)="","",TRIM(UPPER(INDEX(L_Status,ROW()-4))))</f>
        <v/>
      </c>
      <c r="J893">
        <f>IF(INDEX(L_ID,ROW()-4)="","",IF(SUMPRODUCT((P_ID=INDEX(L_ID,ROW()-4))*(P_StatusN="INACTIVE"))&gt;0,1,0))</f>
        <v/>
      </c>
    </row>
    <row r="894">
      <c r="A894">
        <f>IF(INDEX(L_ID,ROW()-4)="","",IF(COUNTIF(P_ID,INDEX(L_ID,ROW()-4))&gt;0,1,0))</f>
        <v/>
      </c>
      <c r="B894">
        <f>IF(INDEX(P_Type,ROW()-4)="","",TRIM(UPPER(INDEX(P_Type,ROW()-4))))</f>
        <v/>
      </c>
      <c r="D894">
        <f>IF(INDEX(L_Type,ROW()-4)="","",TRIM(UPPER(INDEX(L_Type,ROW()-4))))</f>
        <v/>
      </c>
      <c r="E894">
        <f>IF(INDEX(P_Status,ROW()-4)="","",TRIM(UPPER(INDEX(P_Status,ROW()-4))))</f>
        <v/>
      </c>
      <c r="G894">
        <f>IF(INDEX(L_Status,ROW()-4)="","",TRIM(UPPER(INDEX(L_Status,ROW()-4))))</f>
        <v/>
      </c>
      <c r="J894">
        <f>IF(INDEX(L_ID,ROW()-4)="","",IF(SUMPRODUCT((P_ID=INDEX(L_ID,ROW()-4))*(P_StatusN="INACTIVE"))&gt;0,1,0))</f>
        <v/>
      </c>
    </row>
    <row r="895">
      <c r="A895">
        <f>IF(INDEX(L_ID,ROW()-4)="","",IF(COUNTIF(P_ID,INDEX(L_ID,ROW()-4))&gt;0,1,0))</f>
        <v/>
      </c>
      <c r="B895">
        <f>IF(INDEX(P_Type,ROW()-4)="","",TRIM(UPPER(INDEX(P_Type,ROW()-4))))</f>
        <v/>
      </c>
      <c r="D895">
        <f>IF(INDEX(L_Type,ROW()-4)="","",TRIM(UPPER(INDEX(L_Type,ROW()-4))))</f>
        <v/>
      </c>
      <c r="E895">
        <f>IF(INDEX(P_Status,ROW()-4)="","",TRIM(UPPER(INDEX(P_Status,ROW()-4))))</f>
        <v/>
      </c>
      <c r="G895">
        <f>IF(INDEX(L_Status,ROW()-4)="","",TRIM(UPPER(INDEX(L_Status,ROW()-4))))</f>
        <v/>
      </c>
      <c r="J895">
        <f>IF(INDEX(L_ID,ROW()-4)="","",IF(SUMPRODUCT((P_ID=INDEX(L_ID,ROW()-4))*(P_StatusN="INACTIVE"))&gt;0,1,0))</f>
        <v/>
      </c>
    </row>
    <row r="896">
      <c r="A896">
        <f>IF(INDEX(L_ID,ROW()-4)="","",IF(COUNTIF(P_ID,INDEX(L_ID,ROW()-4))&gt;0,1,0))</f>
        <v/>
      </c>
      <c r="B896">
        <f>IF(INDEX(P_Type,ROW()-4)="","",TRIM(UPPER(INDEX(P_Type,ROW()-4))))</f>
        <v/>
      </c>
      <c r="D896">
        <f>IF(INDEX(L_Type,ROW()-4)="","",TRIM(UPPER(INDEX(L_Type,ROW()-4))))</f>
        <v/>
      </c>
      <c r="E896">
        <f>IF(INDEX(P_Status,ROW()-4)="","",TRIM(UPPER(INDEX(P_Status,ROW()-4))))</f>
        <v/>
      </c>
      <c r="G896">
        <f>IF(INDEX(L_Status,ROW()-4)="","",TRIM(UPPER(INDEX(L_Status,ROW()-4))))</f>
        <v/>
      </c>
      <c r="J896">
        <f>IF(INDEX(L_ID,ROW()-4)="","",IF(SUMPRODUCT((P_ID=INDEX(L_ID,ROW()-4))*(P_StatusN="INACTIVE"))&gt;0,1,0))</f>
        <v/>
      </c>
    </row>
    <row r="897">
      <c r="A897">
        <f>IF(INDEX(L_ID,ROW()-4)="","",IF(COUNTIF(P_ID,INDEX(L_ID,ROW()-4))&gt;0,1,0))</f>
        <v/>
      </c>
      <c r="B897">
        <f>IF(INDEX(P_Type,ROW()-4)="","",TRIM(UPPER(INDEX(P_Type,ROW()-4))))</f>
        <v/>
      </c>
      <c r="D897">
        <f>IF(INDEX(L_Type,ROW()-4)="","",TRIM(UPPER(INDEX(L_Type,ROW()-4))))</f>
        <v/>
      </c>
      <c r="E897">
        <f>IF(INDEX(P_Status,ROW()-4)="","",TRIM(UPPER(INDEX(P_Status,ROW()-4))))</f>
        <v/>
      </c>
      <c r="G897">
        <f>IF(INDEX(L_Status,ROW()-4)="","",TRIM(UPPER(INDEX(L_Status,ROW()-4))))</f>
        <v/>
      </c>
      <c r="J897">
        <f>IF(INDEX(L_ID,ROW()-4)="","",IF(SUMPRODUCT((P_ID=INDEX(L_ID,ROW()-4))*(P_StatusN="INACTIVE"))&gt;0,1,0))</f>
        <v/>
      </c>
    </row>
    <row r="898">
      <c r="A898">
        <f>IF(INDEX(L_ID,ROW()-4)="","",IF(COUNTIF(P_ID,INDEX(L_ID,ROW()-4))&gt;0,1,0))</f>
        <v/>
      </c>
      <c r="B898">
        <f>IF(INDEX(P_Type,ROW()-4)="","",TRIM(UPPER(INDEX(P_Type,ROW()-4))))</f>
        <v/>
      </c>
      <c r="D898">
        <f>IF(INDEX(L_Type,ROW()-4)="","",TRIM(UPPER(INDEX(L_Type,ROW()-4))))</f>
        <v/>
      </c>
      <c r="E898">
        <f>IF(INDEX(P_Status,ROW()-4)="","",TRIM(UPPER(INDEX(P_Status,ROW()-4))))</f>
        <v/>
      </c>
      <c r="G898">
        <f>IF(INDEX(L_Status,ROW()-4)="","",TRIM(UPPER(INDEX(L_Status,ROW()-4))))</f>
        <v/>
      </c>
      <c r="J898">
        <f>IF(INDEX(L_ID,ROW()-4)="","",IF(SUMPRODUCT((P_ID=INDEX(L_ID,ROW()-4))*(P_StatusN="INACTIVE"))&gt;0,1,0))</f>
        <v/>
      </c>
    </row>
    <row r="899">
      <c r="A899">
        <f>IF(INDEX(L_ID,ROW()-4)="","",IF(COUNTIF(P_ID,INDEX(L_ID,ROW()-4))&gt;0,1,0))</f>
        <v/>
      </c>
      <c r="B899">
        <f>IF(INDEX(P_Type,ROW()-4)="","",TRIM(UPPER(INDEX(P_Type,ROW()-4))))</f>
        <v/>
      </c>
      <c r="D899">
        <f>IF(INDEX(L_Type,ROW()-4)="","",TRIM(UPPER(INDEX(L_Type,ROW()-4))))</f>
        <v/>
      </c>
      <c r="E899">
        <f>IF(INDEX(P_Status,ROW()-4)="","",TRIM(UPPER(INDEX(P_Status,ROW()-4))))</f>
        <v/>
      </c>
      <c r="G899">
        <f>IF(INDEX(L_Status,ROW()-4)="","",TRIM(UPPER(INDEX(L_Status,ROW()-4))))</f>
        <v/>
      </c>
      <c r="J899">
        <f>IF(INDEX(L_ID,ROW()-4)="","",IF(SUMPRODUCT((P_ID=INDEX(L_ID,ROW()-4))*(P_StatusN="INACTIVE"))&gt;0,1,0))</f>
        <v/>
      </c>
    </row>
    <row r="900">
      <c r="A900">
        <f>IF(INDEX(L_ID,ROW()-4)="","",IF(COUNTIF(P_ID,INDEX(L_ID,ROW()-4))&gt;0,1,0))</f>
        <v/>
      </c>
      <c r="B900">
        <f>IF(INDEX(P_Type,ROW()-4)="","",TRIM(UPPER(INDEX(P_Type,ROW()-4))))</f>
        <v/>
      </c>
      <c r="D900">
        <f>IF(INDEX(L_Type,ROW()-4)="","",TRIM(UPPER(INDEX(L_Type,ROW()-4))))</f>
        <v/>
      </c>
      <c r="E900">
        <f>IF(INDEX(P_Status,ROW()-4)="","",TRIM(UPPER(INDEX(P_Status,ROW()-4))))</f>
        <v/>
      </c>
      <c r="G900">
        <f>IF(INDEX(L_Status,ROW()-4)="","",TRIM(UPPER(INDEX(L_Status,ROW()-4))))</f>
        <v/>
      </c>
      <c r="J900">
        <f>IF(INDEX(L_ID,ROW()-4)="","",IF(SUMPRODUCT((P_ID=INDEX(L_ID,ROW()-4))*(P_StatusN="INACTIVE"))&gt;0,1,0))</f>
        <v/>
      </c>
    </row>
    <row r="901">
      <c r="A901">
        <f>IF(INDEX(L_ID,ROW()-4)="","",IF(COUNTIF(P_ID,INDEX(L_ID,ROW()-4))&gt;0,1,0))</f>
        <v/>
      </c>
      <c r="B901">
        <f>IF(INDEX(P_Type,ROW()-4)="","",TRIM(UPPER(INDEX(P_Type,ROW()-4))))</f>
        <v/>
      </c>
      <c r="D901">
        <f>IF(INDEX(L_Type,ROW()-4)="","",TRIM(UPPER(INDEX(L_Type,ROW()-4))))</f>
        <v/>
      </c>
      <c r="E901">
        <f>IF(INDEX(P_Status,ROW()-4)="","",TRIM(UPPER(INDEX(P_Status,ROW()-4))))</f>
        <v/>
      </c>
      <c r="G901">
        <f>IF(INDEX(L_Status,ROW()-4)="","",TRIM(UPPER(INDEX(L_Status,ROW()-4))))</f>
        <v/>
      </c>
      <c r="J901">
        <f>IF(INDEX(L_ID,ROW()-4)="","",IF(SUMPRODUCT((P_ID=INDEX(L_ID,ROW()-4))*(P_StatusN="INACTIVE"))&gt;0,1,0))</f>
        <v/>
      </c>
    </row>
    <row r="902">
      <c r="A902">
        <f>IF(INDEX(L_ID,ROW()-4)="","",IF(COUNTIF(P_ID,INDEX(L_ID,ROW()-4))&gt;0,1,0))</f>
        <v/>
      </c>
      <c r="B902">
        <f>IF(INDEX(P_Type,ROW()-4)="","",TRIM(UPPER(INDEX(P_Type,ROW()-4))))</f>
        <v/>
      </c>
      <c r="D902">
        <f>IF(INDEX(L_Type,ROW()-4)="","",TRIM(UPPER(INDEX(L_Type,ROW()-4))))</f>
        <v/>
      </c>
      <c r="E902">
        <f>IF(INDEX(P_Status,ROW()-4)="","",TRIM(UPPER(INDEX(P_Status,ROW()-4))))</f>
        <v/>
      </c>
      <c r="G902">
        <f>IF(INDEX(L_Status,ROW()-4)="","",TRIM(UPPER(INDEX(L_Status,ROW()-4))))</f>
        <v/>
      </c>
      <c r="J902">
        <f>IF(INDEX(L_ID,ROW()-4)="","",IF(SUMPRODUCT((P_ID=INDEX(L_ID,ROW()-4))*(P_StatusN="INACTIVE"))&gt;0,1,0))</f>
        <v/>
      </c>
    </row>
    <row r="903">
      <c r="A903">
        <f>IF(INDEX(L_ID,ROW()-4)="","",IF(COUNTIF(P_ID,INDEX(L_ID,ROW()-4))&gt;0,1,0))</f>
        <v/>
      </c>
      <c r="B903">
        <f>IF(INDEX(P_Type,ROW()-4)="","",TRIM(UPPER(INDEX(P_Type,ROW()-4))))</f>
        <v/>
      </c>
      <c r="D903">
        <f>IF(INDEX(L_Type,ROW()-4)="","",TRIM(UPPER(INDEX(L_Type,ROW()-4))))</f>
        <v/>
      </c>
      <c r="E903">
        <f>IF(INDEX(P_Status,ROW()-4)="","",TRIM(UPPER(INDEX(P_Status,ROW()-4))))</f>
        <v/>
      </c>
      <c r="G903">
        <f>IF(INDEX(L_Status,ROW()-4)="","",TRIM(UPPER(INDEX(L_Status,ROW()-4))))</f>
        <v/>
      </c>
      <c r="J903">
        <f>IF(INDEX(L_ID,ROW()-4)="","",IF(SUMPRODUCT((P_ID=INDEX(L_ID,ROW()-4))*(P_StatusN="INACTIVE"))&gt;0,1,0))</f>
        <v/>
      </c>
    </row>
    <row r="904">
      <c r="A904">
        <f>IF(INDEX(L_ID,ROW()-4)="","",IF(COUNTIF(P_ID,INDEX(L_ID,ROW()-4))&gt;0,1,0))</f>
        <v/>
      </c>
      <c r="B904">
        <f>IF(INDEX(P_Type,ROW()-4)="","",TRIM(UPPER(INDEX(P_Type,ROW()-4))))</f>
        <v/>
      </c>
      <c r="D904">
        <f>IF(INDEX(L_Type,ROW()-4)="","",TRIM(UPPER(INDEX(L_Type,ROW()-4))))</f>
        <v/>
      </c>
      <c r="E904">
        <f>IF(INDEX(P_Status,ROW()-4)="","",TRIM(UPPER(INDEX(P_Status,ROW()-4))))</f>
        <v/>
      </c>
      <c r="G904">
        <f>IF(INDEX(L_Status,ROW()-4)="","",TRIM(UPPER(INDEX(L_Status,ROW()-4))))</f>
        <v/>
      </c>
      <c r="J904">
        <f>IF(INDEX(L_ID,ROW()-4)="","",IF(SUMPRODUCT((P_ID=INDEX(L_ID,ROW()-4))*(P_StatusN="INACTIVE"))&gt;0,1,0))</f>
        <v/>
      </c>
    </row>
    <row r="905">
      <c r="A905">
        <f>IF(INDEX(L_ID,ROW()-4)="","",IF(COUNTIF(P_ID,INDEX(L_ID,ROW()-4))&gt;0,1,0))</f>
        <v/>
      </c>
      <c r="B905">
        <f>IF(INDEX(P_Type,ROW()-4)="","",TRIM(UPPER(INDEX(P_Type,ROW()-4))))</f>
        <v/>
      </c>
      <c r="D905">
        <f>IF(INDEX(L_Type,ROW()-4)="","",TRIM(UPPER(INDEX(L_Type,ROW()-4))))</f>
        <v/>
      </c>
      <c r="E905">
        <f>IF(INDEX(P_Status,ROW()-4)="","",TRIM(UPPER(INDEX(P_Status,ROW()-4))))</f>
        <v/>
      </c>
      <c r="G905">
        <f>IF(INDEX(L_Status,ROW()-4)="","",TRIM(UPPER(INDEX(L_Status,ROW()-4))))</f>
        <v/>
      </c>
      <c r="J905">
        <f>IF(INDEX(L_ID,ROW()-4)="","",IF(SUMPRODUCT((P_ID=INDEX(L_ID,ROW()-4))*(P_StatusN="INACTIVE"))&gt;0,1,0))</f>
        <v/>
      </c>
    </row>
    <row r="906">
      <c r="A906">
        <f>IF(INDEX(L_ID,ROW()-4)="","",IF(COUNTIF(P_ID,INDEX(L_ID,ROW()-4))&gt;0,1,0))</f>
        <v/>
      </c>
      <c r="B906">
        <f>IF(INDEX(P_Type,ROW()-4)="","",TRIM(UPPER(INDEX(P_Type,ROW()-4))))</f>
        <v/>
      </c>
      <c r="D906">
        <f>IF(INDEX(L_Type,ROW()-4)="","",TRIM(UPPER(INDEX(L_Type,ROW()-4))))</f>
        <v/>
      </c>
      <c r="E906">
        <f>IF(INDEX(P_Status,ROW()-4)="","",TRIM(UPPER(INDEX(P_Status,ROW()-4))))</f>
        <v/>
      </c>
      <c r="G906">
        <f>IF(INDEX(L_Status,ROW()-4)="","",TRIM(UPPER(INDEX(L_Status,ROW()-4))))</f>
        <v/>
      </c>
      <c r="J906">
        <f>IF(INDEX(L_ID,ROW()-4)="","",IF(SUMPRODUCT((P_ID=INDEX(L_ID,ROW()-4))*(P_StatusN="INACTIVE"))&gt;0,1,0))</f>
        <v/>
      </c>
    </row>
    <row r="907">
      <c r="A907">
        <f>IF(INDEX(L_ID,ROW()-4)="","",IF(COUNTIF(P_ID,INDEX(L_ID,ROW()-4))&gt;0,1,0))</f>
        <v/>
      </c>
      <c r="B907">
        <f>IF(INDEX(P_Type,ROW()-4)="","",TRIM(UPPER(INDEX(P_Type,ROW()-4))))</f>
        <v/>
      </c>
      <c r="D907">
        <f>IF(INDEX(L_Type,ROW()-4)="","",TRIM(UPPER(INDEX(L_Type,ROW()-4))))</f>
        <v/>
      </c>
      <c r="E907">
        <f>IF(INDEX(P_Status,ROW()-4)="","",TRIM(UPPER(INDEX(P_Status,ROW()-4))))</f>
        <v/>
      </c>
      <c r="G907">
        <f>IF(INDEX(L_Status,ROW()-4)="","",TRIM(UPPER(INDEX(L_Status,ROW()-4))))</f>
        <v/>
      </c>
      <c r="J907">
        <f>IF(INDEX(L_ID,ROW()-4)="","",IF(SUMPRODUCT((P_ID=INDEX(L_ID,ROW()-4))*(P_StatusN="INACTIVE"))&gt;0,1,0))</f>
        <v/>
      </c>
    </row>
    <row r="908">
      <c r="A908">
        <f>IF(INDEX(L_ID,ROW()-4)="","",IF(COUNTIF(P_ID,INDEX(L_ID,ROW()-4))&gt;0,1,0))</f>
        <v/>
      </c>
      <c r="B908">
        <f>IF(INDEX(P_Type,ROW()-4)="","",TRIM(UPPER(INDEX(P_Type,ROW()-4))))</f>
        <v/>
      </c>
      <c r="D908">
        <f>IF(INDEX(L_Type,ROW()-4)="","",TRIM(UPPER(INDEX(L_Type,ROW()-4))))</f>
        <v/>
      </c>
      <c r="E908">
        <f>IF(INDEX(P_Status,ROW()-4)="","",TRIM(UPPER(INDEX(P_Status,ROW()-4))))</f>
        <v/>
      </c>
      <c r="G908">
        <f>IF(INDEX(L_Status,ROW()-4)="","",TRIM(UPPER(INDEX(L_Status,ROW()-4))))</f>
        <v/>
      </c>
      <c r="J908">
        <f>IF(INDEX(L_ID,ROW()-4)="","",IF(SUMPRODUCT((P_ID=INDEX(L_ID,ROW()-4))*(P_StatusN="INACTIVE"))&gt;0,1,0))</f>
        <v/>
      </c>
    </row>
    <row r="909">
      <c r="A909">
        <f>IF(INDEX(L_ID,ROW()-4)="","",IF(COUNTIF(P_ID,INDEX(L_ID,ROW()-4))&gt;0,1,0))</f>
        <v/>
      </c>
      <c r="B909">
        <f>IF(INDEX(P_Type,ROW()-4)="","",TRIM(UPPER(INDEX(P_Type,ROW()-4))))</f>
        <v/>
      </c>
      <c r="D909">
        <f>IF(INDEX(L_Type,ROW()-4)="","",TRIM(UPPER(INDEX(L_Type,ROW()-4))))</f>
        <v/>
      </c>
      <c r="E909">
        <f>IF(INDEX(P_Status,ROW()-4)="","",TRIM(UPPER(INDEX(P_Status,ROW()-4))))</f>
        <v/>
      </c>
      <c r="G909">
        <f>IF(INDEX(L_Status,ROW()-4)="","",TRIM(UPPER(INDEX(L_Status,ROW()-4))))</f>
        <v/>
      </c>
      <c r="J909">
        <f>IF(INDEX(L_ID,ROW()-4)="","",IF(SUMPRODUCT((P_ID=INDEX(L_ID,ROW()-4))*(P_StatusN="INACTIVE"))&gt;0,1,0))</f>
        <v/>
      </c>
    </row>
    <row r="910">
      <c r="A910">
        <f>IF(INDEX(L_ID,ROW()-4)="","",IF(COUNTIF(P_ID,INDEX(L_ID,ROW()-4))&gt;0,1,0))</f>
        <v/>
      </c>
      <c r="B910">
        <f>IF(INDEX(P_Type,ROW()-4)="","",TRIM(UPPER(INDEX(P_Type,ROW()-4))))</f>
        <v/>
      </c>
      <c r="D910">
        <f>IF(INDEX(L_Type,ROW()-4)="","",TRIM(UPPER(INDEX(L_Type,ROW()-4))))</f>
        <v/>
      </c>
      <c r="E910">
        <f>IF(INDEX(P_Status,ROW()-4)="","",TRIM(UPPER(INDEX(P_Status,ROW()-4))))</f>
        <v/>
      </c>
      <c r="G910">
        <f>IF(INDEX(L_Status,ROW()-4)="","",TRIM(UPPER(INDEX(L_Status,ROW()-4))))</f>
        <v/>
      </c>
      <c r="J910">
        <f>IF(INDEX(L_ID,ROW()-4)="","",IF(SUMPRODUCT((P_ID=INDEX(L_ID,ROW()-4))*(P_StatusN="INACTIVE"))&gt;0,1,0))</f>
        <v/>
      </c>
    </row>
    <row r="911">
      <c r="A911">
        <f>IF(INDEX(L_ID,ROW()-4)="","",IF(COUNTIF(P_ID,INDEX(L_ID,ROW()-4))&gt;0,1,0))</f>
        <v/>
      </c>
      <c r="B911">
        <f>IF(INDEX(P_Type,ROW()-4)="","",TRIM(UPPER(INDEX(P_Type,ROW()-4))))</f>
        <v/>
      </c>
      <c r="D911">
        <f>IF(INDEX(L_Type,ROW()-4)="","",TRIM(UPPER(INDEX(L_Type,ROW()-4))))</f>
        <v/>
      </c>
      <c r="E911">
        <f>IF(INDEX(P_Status,ROW()-4)="","",TRIM(UPPER(INDEX(P_Status,ROW()-4))))</f>
        <v/>
      </c>
      <c r="G911">
        <f>IF(INDEX(L_Status,ROW()-4)="","",TRIM(UPPER(INDEX(L_Status,ROW()-4))))</f>
        <v/>
      </c>
      <c r="J911">
        <f>IF(INDEX(L_ID,ROW()-4)="","",IF(SUMPRODUCT((P_ID=INDEX(L_ID,ROW()-4))*(P_StatusN="INACTIVE"))&gt;0,1,0))</f>
        <v/>
      </c>
    </row>
    <row r="912">
      <c r="A912">
        <f>IF(INDEX(L_ID,ROW()-4)="","",IF(COUNTIF(P_ID,INDEX(L_ID,ROW()-4))&gt;0,1,0))</f>
        <v/>
      </c>
      <c r="B912">
        <f>IF(INDEX(P_Type,ROW()-4)="","",TRIM(UPPER(INDEX(P_Type,ROW()-4))))</f>
        <v/>
      </c>
      <c r="D912">
        <f>IF(INDEX(L_Type,ROW()-4)="","",TRIM(UPPER(INDEX(L_Type,ROW()-4))))</f>
        <v/>
      </c>
      <c r="E912">
        <f>IF(INDEX(P_Status,ROW()-4)="","",TRIM(UPPER(INDEX(P_Status,ROW()-4))))</f>
        <v/>
      </c>
      <c r="G912">
        <f>IF(INDEX(L_Status,ROW()-4)="","",TRIM(UPPER(INDEX(L_Status,ROW()-4))))</f>
        <v/>
      </c>
      <c r="J912">
        <f>IF(INDEX(L_ID,ROW()-4)="","",IF(SUMPRODUCT((P_ID=INDEX(L_ID,ROW()-4))*(P_StatusN="INACTIVE"))&gt;0,1,0))</f>
        <v/>
      </c>
    </row>
    <row r="913">
      <c r="A913">
        <f>IF(INDEX(L_ID,ROW()-4)="","",IF(COUNTIF(P_ID,INDEX(L_ID,ROW()-4))&gt;0,1,0))</f>
        <v/>
      </c>
      <c r="B913">
        <f>IF(INDEX(P_Type,ROW()-4)="","",TRIM(UPPER(INDEX(P_Type,ROW()-4))))</f>
        <v/>
      </c>
      <c r="D913">
        <f>IF(INDEX(L_Type,ROW()-4)="","",TRIM(UPPER(INDEX(L_Type,ROW()-4))))</f>
        <v/>
      </c>
      <c r="E913">
        <f>IF(INDEX(P_Status,ROW()-4)="","",TRIM(UPPER(INDEX(P_Status,ROW()-4))))</f>
        <v/>
      </c>
      <c r="G913">
        <f>IF(INDEX(L_Status,ROW()-4)="","",TRIM(UPPER(INDEX(L_Status,ROW()-4))))</f>
        <v/>
      </c>
      <c r="J913">
        <f>IF(INDEX(L_ID,ROW()-4)="","",IF(SUMPRODUCT((P_ID=INDEX(L_ID,ROW()-4))*(P_StatusN="INACTIVE"))&gt;0,1,0))</f>
        <v/>
      </c>
    </row>
    <row r="914">
      <c r="A914">
        <f>IF(INDEX(L_ID,ROW()-4)="","",IF(COUNTIF(P_ID,INDEX(L_ID,ROW()-4))&gt;0,1,0))</f>
        <v/>
      </c>
      <c r="B914">
        <f>IF(INDEX(P_Type,ROW()-4)="","",TRIM(UPPER(INDEX(P_Type,ROW()-4))))</f>
        <v/>
      </c>
      <c r="D914">
        <f>IF(INDEX(L_Type,ROW()-4)="","",TRIM(UPPER(INDEX(L_Type,ROW()-4))))</f>
        <v/>
      </c>
      <c r="E914">
        <f>IF(INDEX(P_Status,ROW()-4)="","",TRIM(UPPER(INDEX(P_Status,ROW()-4))))</f>
        <v/>
      </c>
      <c r="G914">
        <f>IF(INDEX(L_Status,ROW()-4)="","",TRIM(UPPER(INDEX(L_Status,ROW()-4))))</f>
        <v/>
      </c>
      <c r="J914">
        <f>IF(INDEX(L_ID,ROW()-4)="","",IF(SUMPRODUCT((P_ID=INDEX(L_ID,ROW()-4))*(P_StatusN="INACTIVE"))&gt;0,1,0))</f>
        <v/>
      </c>
    </row>
    <row r="915">
      <c r="A915">
        <f>IF(INDEX(L_ID,ROW()-4)="","",IF(COUNTIF(P_ID,INDEX(L_ID,ROW()-4))&gt;0,1,0))</f>
        <v/>
      </c>
      <c r="B915">
        <f>IF(INDEX(P_Type,ROW()-4)="","",TRIM(UPPER(INDEX(P_Type,ROW()-4))))</f>
        <v/>
      </c>
      <c r="D915">
        <f>IF(INDEX(L_Type,ROW()-4)="","",TRIM(UPPER(INDEX(L_Type,ROW()-4))))</f>
        <v/>
      </c>
      <c r="E915">
        <f>IF(INDEX(P_Status,ROW()-4)="","",TRIM(UPPER(INDEX(P_Status,ROW()-4))))</f>
        <v/>
      </c>
      <c r="G915">
        <f>IF(INDEX(L_Status,ROW()-4)="","",TRIM(UPPER(INDEX(L_Status,ROW()-4))))</f>
        <v/>
      </c>
      <c r="J915">
        <f>IF(INDEX(L_ID,ROW()-4)="","",IF(SUMPRODUCT((P_ID=INDEX(L_ID,ROW()-4))*(P_StatusN="INACTIVE"))&gt;0,1,0))</f>
        <v/>
      </c>
    </row>
    <row r="916">
      <c r="A916">
        <f>IF(INDEX(L_ID,ROW()-4)="","",IF(COUNTIF(P_ID,INDEX(L_ID,ROW()-4))&gt;0,1,0))</f>
        <v/>
      </c>
      <c r="B916">
        <f>IF(INDEX(P_Type,ROW()-4)="","",TRIM(UPPER(INDEX(P_Type,ROW()-4))))</f>
        <v/>
      </c>
      <c r="D916">
        <f>IF(INDEX(L_Type,ROW()-4)="","",TRIM(UPPER(INDEX(L_Type,ROW()-4))))</f>
        <v/>
      </c>
      <c r="E916">
        <f>IF(INDEX(P_Status,ROW()-4)="","",TRIM(UPPER(INDEX(P_Status,ROW()-4))))</f>
        <v/>
      </c>
      <c r="G916">
        <f>IF(INDEX(L_Status,ROW()-4)="","",TRIM(UPPER(INDEX(L_Status,ROW()-4))))</f>
        <v/>
      </c>
      <c r="J916">
        <f>IF(INDEX(L_ID,ROW()-4)="","",IF(SUMPRODUCT((P_ID=INDEX(L_ID,ROW()-4))*(P_StatusN="INACTIVE"))&gt;0,1,0))</f>
        <v/>
      </c>
    </row>
    <row r="917">
      <c r="A917">
        <f>IF(INDEX(L_ID,ROW()-4)="","",IF(COUNTIF(P_ID,INDEX(L_ID,ROW()-4))&gt;0,1,0))</f>
        <v/>
      </c>
      <c r="B917">
        <f>IF(INDEX(P_Type,ROW()-4)="","",TRIM(UPPER(INDEX(P_Type,ROW()-4))))</f>
        <v/>
      </c>
      <c r="D917">
        <f>IF(INDEX(L_Type,ROW()-4)="","",TRIM(UPPER(INDEX(L_Type,ROW()-4))))</f>
        <v/>
      </c>
      <c r="E917">
        <f>IF(INDEX(P_Status,ROW()-4)="","",TRIM(UPPER(INDEX(P_Status,ROW()-4))))</f>
        <v/>
      </c>
      <c r="G917">
        <f>IF(INDEX(L_Status,ROW()-4)="","",TRIM(UPPER(INDEX(L_Status,ROW()-4))))</f>
        <v/>
      </c>
      <c r="J917">
        <f>IF(INDEX(L_ID,ROW()-4)="","",IF(SUMPRODUCT((P_ID=INDEX(L_ID,ROW()-4))*(P_StatusN="INACTIVE"))&gt;0,1,0))</f>
        <v/>
      </c>
    </row>
    <row r="918">
      <c r="A918">
        <f>IF(INDEX(L_ID,ROW()-4)="","",IF(COUNTIF(P_ID,INDEX(L_ID,ROW()-4))&gt;0,1,0))</f>
        <v/>
      </c>
      <c r="B918">
        <f>IF(INDEX(P_Type,ROW()-4)="","",TRIM(UPPER(INDEX(P_Type,ROW()-4))))</f>
        <v/>
      </c>
      <c r="D918">
        <f>IF(INDEX(L_Type,ROW()-4)="","",TRIM(UPPER(INDEX(L_Type,ROW()-4))))</f>
        <v/>
      </c>
      <c r="E918">
        <f>IF(INDEX(P_Status,ROW()-4)="","",TRIM(UPPER(INDEX(P_Status,ROW()-4))))</f>
        <v/>
      </c>
      <c r="G918">
        <f>IF(INDEX(L_Status,ROW()-4)="","",TRIM(UPPER(INDEX(L_Status,ROW()-4))))</f>
        <v/>
      </c>
      <c r="J918">
        <f>IF(INDEX(L_ID,ROW()-4)="","",IF(SUMPRODUCT((P_ID=INDEX(L_ID,ROW()-4))*(P_StatusN="INACTIVE"))&gt;0,1,0))</f>
        <v/>
      </c>
    </row>
    <row r="919">
      <c r="A919">
        <f>IF(INDEX(L_ID,ROW()-4)="","",IF(COUNTIF(P_ID,INDEX(L_ID,ROW()-4))&gt;0,1,0))</f>
        <v/>
      </c>
      <c r="B919">
        <f>IF(INDEX(P_Type,ROW()-4)="","",TRIM(UPPER(INDEX(P_Type,ROW()-4))))</f>
        <v/>
      </c>
      <c r="D919">
        <f>IF(INDEX(L_Type,ROW()-4)="","",TRIM(UPPER(INDEX(L_Type,ROW()-4))))</f>
        <v/>
      </c>
      <c r="E919">
        <f>IF(INDEX(P_Status,ROW()-4)="","",TRIM(UPPER(INDEX(P_Status,ROW()-4))))</f>
        <v/>
      </c>
      <c r="G919">
        <f>IF(INDEX(L_Status,ROW()-4)="","",TRIM(UPPER(INDEX(L_Status,ROW()-4))))</f>
        <v/>
      </c>
      <c r="J919">
        <f>IF(INDEX(L_ID,ROW()-4)="","",IF(SUMPRODUCT((P_ID=INDEX(L_ID,ROW()-4))*(P_StatusN="INACTIVE"))&gt;0,1,0))</f>
        <v/>
      </c>
    </row>
    <row r="920">
      <c r="A920">
        <f>IF(INDEX(L_ID,ROW()-4)="","",IF(COUNTIF(P_ID,INDEX(L_ID,ROW()-4))&gt;0,1,0))</f>
        <v/>
      </c>
      <c r="B920">
        <f>IF(INDEX(P_Type,ROW()-4)="","",TRIM(UPPER(INDEX(P_Type,ROW()-4))))</f>
        <v/>
      </c>
      <c r="D920">
        <f>IF(INDEX(L_Type,ROW()-4)="","",TRIM(UPPER(INDEX(L_Type,ROW()-4))))</f>
        <v/>
      </c>
      <c r="E920">
        <f>IF(INDEX(P_Status,ROW()-4)="","",TRIM(UPPER(INDEX(P_Status,ROW()-4))))</f>
        <v/>
      </c>
      <c r="G920">
        <f>IF(INDEX(L_Status,ROW()-4)="","",TRIM(UPPER(INDEX(L_Status,ROW()-4))))</f>
        <v/>
      </c>
      <c r="J920">
        <f>IF(INDEX(L_ID,ROW()-4)="","",IF(SUMPRODUCT((P_ID=INDEX(L_ID,ROW()-4))*(P_StatusN="INACTIVE"))&gt;0,1,0))</f>
        <v/>
      </c>
    </row>
    <row r="921">
      <c r="A921">
        <f>IF(INDEX(L_ID,ROW()-4)="","",IF(COUNTIF(P_ID,INDEX(L_ID,ROW()-4))&gt;0,1,0))</f>
        <v/>
      </c>
      <c r="B921">
        <f>IF(INDEX(P_Type,ROW()-4)="","",TRIM(UPPER(INDEX(P_Type,ROW()-4))))</f>
        <v/>
      </c>
      <c r="D921">
        <f>IF(INDEX(L_Type,ROW()-4)="","",TRIM(UPPER(INDEX(L_Type,ROW()-4))))</f>
        <v/>
      </c>
      <c r="E921">
        <f>IF(INDEX(P_Status,ROW()-4)="","",TRIM(UPPER(INDEX(P_Status,ROW()-4))))</f>
        <v/>
      </c>
      <c r="G921">
        <f>IF(INDEX(L_Status,ROW()-4)="","",TRIM(UPPER(INDEX(L_Status,ROW()-4))))</f>
        <v/>
      </c>
      <c r="J921">
        <f>IF(INDEX(L_ID,ROW()-4)="","",IF(SUMPRODUCT((P_ID=INDEX(L_ID,ROW()-4))*(P_StatusN="INACTIVE"))&gt;0,1,0))</f>
        <v/>
      </c>
    </row>
    <row r="922">
      <c r="A922">
        <f>IF(INDEX(L_ID,ROW()-4)="","",IF(COUNTIF(P_ID,INDEX(L_ID,ROW()-4))&gt;0,1,0))</f>
        <v/>
      </c>
      <c r="B922">
        <f>IF(INDEX(P_Type,ROW()-4)="","",TRIM(UPPER(INDEX(P_Type,ROW()-4))))</f>
        <v/>
      </c>
      <c r="D922">
        <f>IF(INDEX(L_Type,ROW()-4)="","",TRIM(UPPER(INDEX(L_Type,ROW()-4))))</f>
        <v/>
      </c>
      <c r="E922">
        <f>IF(INDEX(P_Status,ROW()-4)="","",TRIM(UPPER(INDEX(P_Status,ROW()-4))))</f>
        <v/>
      </c>
      <c r="G922">
        <f>IF(INDEX(L_Status,ROW()-4)="","",TRIM(UPPER(INDEX(L_Status,ROW()-4))))</f>
        <v/>
      </c>
      <c r="J922">
        <f>IF(INDEX(L_ID,ROW()-4)="","",IF(SUMPRODUCT((P_ID=INDEX(L_ID,ROW()-4))*(P_StatusN="INACTIVE"))&gt;0,1,0))</f>
        <v/>
      </c>
    </row>
    <row r="923">
      <c r="A923">
        <f>IF(INDEX(L_ID,ROW()-4)="","",IF(COUNTIF(P_ID,INDEX(L_ID,ROW()-4))&gt;0,1,0))</f>
        <v/>
      </c>
      <c r="B923">
        <f>IF(INDEX(P_Type,ROW()-4)="","",TRIM(UPPER(INDEX(P_Type,ROW()-4))))</f>
        <v/>
      </c>
      <c r="D923">
        <f>IF(INDEX(L_Type,ROW()-4)="","",TRIM(UPPER(INDEX(L_Type,ROW()-4))))</f>
        <v/>
      </c>
      <c r="E923">
        <f>IF(INDEX(P_Status,ROW()-4)="","",TRIM(UPPER(INDEX(P_Status,ROW()-4))))</f>
        <v/>
      </c>
      <c r="G923">
        <f>IF(INDEX(L_Status,ROW()-4)="","",TRIM(UPPER(INDEX(L_Status,ROW()-4))))</f>
        <v/>
      </c>
      <c r="J923">
        <f>IF(INDEX(L_ID,ROW()-4)="","",IF(SUMPRODUCT((P_ID=INDEX(L_ID,ROW()-4))*(P_StatusN="INACTIVE"))&gt;0,1,0))</f>
        <v/>
      </c>
    </row>
    <row r="924">
      <c r="A924">
        <f>IF(INDEX(L_ID,ROW()-4)="","",IF(COUNTIF(P_ID,INDEX(L_ID,ROW()-4))&gt;0,1,0))</f>
        <v/>
      </c>
      <c r="B924">
        <f>IF(INDEX(P_Type,ROW()-4)="","",TRIM(UPPER(INDEX(P_Type,ROW()-4))))</f>
        <v/>
      </c>
      <c r="D924">
        <f>IF(INDEX(L_Type,ROW()-4)="","",TRIM(UPPER(INDEX(L_Type,ROW()-4))))</f>
        <v/>
      </c>
      <c r="E924">
        <f>IF(INDEX(P_Status,ROW()-4)="","",TRIM(UPPER(INDEX(P_Status,ROW()-4))))</f>
        <v/>
      </c>
      <c r="G924">
        <f>IF(INDEX(L_Status,ROW()-4)="","",TRIM(UPPER(INDEX(L_Status,ROW()-4))))</f>
        <v/>
      </c>
      <c r="J924">
        <f>IF(INDEX(L_ID,ROW()-4)="","",IF(SUMPRODUCT((P_ID=INDEX(L_ID,ROW()-4))*(P_StatusN="INACTIVE"))&gt;0,1,0))</f>
        <v/>
      </c>
    </row>
    <row r="925">
      <c r="A925">
        <f>IF(INDEX(L_ID,ROW()-4)="","",IF(COUNTIF(P_ID,INDEX(L_ID,ROW()-4))&gt;0,1,0))</f>
        <v/>
      </c>
      <c r="B925">
        <f>IF(INDEX(P_Type,ROW()-4)="","",TRIM(UPPER(INDEX(P_Type,ROW()-4))))</f>
        <v/>
      </c>
      <c r="D925">
        <f>IF(INDEX(L_Type,ROW()-4)="","",TRIM(UPPER(INDEX(L_Type,ROW()-4))))</f>
        <v/>
      </c>
      <c r="E925">
        <f>IF(INDEX(P_Status,ROW()-4)="","",TRIM(UPPER(INDEX(P_Status,ROW()-4))))</f>
        <v/>
      </c>
      <c r="G925">
        <f>IF(INDEX(L_Status,ROW()-4)="","",TRIM(UPPER(INDEX(L_Status,ROW()-4))))</f>
        <v/>
      </c>
      <c r="J925">
        <f>IF(INDEX(L_ID,ROW()-4)="","",IF(SUMPRODUCT((P_ID=INDEX(L_ID,ROW()-4))*(P_StatusN="INACTIVE"))&gt;0,1,0))</f>
        <v/>
      </c>
    </row>
    <row r="926">
      <c r="A926">
        <f>IF(INDEX(L_ID,ROW()-4)="","",IF(COUNTIF(P_ID,INDEX(L_ID,ROW()-4))&gt;0,1,0))</f>
        <v/>
      </c>
      <c r="B926">
        <f>IF(INDEX(P_Type,ROW()-4)="","",TRIM(UPPER(INDEX(P_Type,ROW()-4))))</f>
        <v/>
      </c>
      <c r="D926">
        <f>IF(INDEX(L_Type,ROW()-4)="","",TRIM(UPPER(INDEX(L_Type,ROW()-4))))</f>
        <v/>
      </c>
      <c r="E926">
        <f>IF(INDEX(P_Status,ROW()-4)="","",TRIM(UPPER(INDEX(P_Status,ROW()-4))))</f>
        <v/>
      </c>
      <c r="G926">
        <f>IF(INDEX(L_Status,ROW()-4)="","",TRIM(UPPER(INDEX(L_Status,ROW()-4))))</f>
        <v/>
      </c>
      <c r="J926">
        <f>IF(INDEX(L_ID,ROW()-4)="","",IF(SUMPRODUCT((P_ID=INDEX(L_ID,ROW()-4))*(P_StatusN="INACTIVE"))&gt;0,1,0))</f>
        <v/>
      </c>
    </row>
    <row r="927">
      <c r="A927">
        <f>IF(INDEX(L_ID,ROW()-4)="","",IF(COUNTIF(P_ID,INDEX(L_ID,ROW()-4))&gt;0,1,0))</f>
        <v/>
      </c>
      <c r="B927">
        <f>IF(INDEX(P_Type,ROW()-4)="","",TRIM(UPPER(INDEX(P_Type,ROW()-4))))</f>
        <v/>
      </c>
      <c r="D927">
        <f>IF(INDEX(L_Type,ROW()-4)="","",TRIM(UPPER(INDEX(L_Type,ROW()-4))))</f>
        <v/>
      </c>
      <c r="E927">
        <f>IF(INDEX(P_Status,ROW()-4)="","",TRIM(UPPER(INDEX(P_Status,ROW()-4))))</f>
        <v/>
      </c>
      <c r="G927">
        <f>IF(INDEX(L_Status,ROW()-4)="","",TRIM(UPPER(INDEX(L_Status,ROW()-4))))</f>
        <v/>
      </c>
      <c r="J927">
        <f>IF(INDEX(L_ID,ROW()-4)="","",IF(SUMPRODUCT((P_ID=INDEX(L_ID,ROW()-4))*(P_StatusN="INACTIVE"))&gt;0,1,0))</f>
        <v/>
      </c>
    </row>
    <row r="928">
      <c r="A928">
        <f>IF(INDEX(L_ID,ROW()-4)="","",IF(COUNTIF(P_ID,INDEX(L_ID,ROW()-4))&gt;0,1,0))</f>
        <v/>
      </c>
      <c r="B928">
        <f>IF(INDEX(P_Type,ROW()-4)="","",TRIM(UPPER(INDEX(P_Type,ROW()-4))))</f>
        <v/>
      </c>
      <c r="D928">
        <f>IF(INDEX(L_Type,ROW()-4)="","",TRIM(UPPER(INDEX(L_Type,ROW()-4))))</f>
        <v/>
      </c>
      <c r="E928">
        <f>IF(INDEX(P_Status,ROW()-4)="","",TRIM(UPPER(INDEX(P_Status,ROW()-4))))</f>
        <v/>
      </c>
      <c r="G928">
        <f>IF(INDEX(L_Status,ROW()-4)="","",TRIM(UPPER(INDEX(L_Status,ROW()-4))))</f>
        <v/>
      </c>
      <c r="J928">
        <f>IF(INDEX(L_ID,ROW()-4)="","",IF(SUMPRODUCT((P_ID=INDEX(L_ID,ROW()-4))*(P_StatusN="INACTIVE"))&gt;0,1,0))</f>
        <v/>
      </c>
    </row>
    <row r="929">
      <c r="A929">
        <f>IF(INDEX(L_ID,ROW()-4)="","",IF(COUNTIF(P_ID,INDEX(L_ID,ROW()-4))&gt;0,1,0))</f>
        <v/>
      </c>
      <c r="B929">
        <f>IF(INDEX(P_Type,ROW()-4)="","",TRIM(UPPER(INDEX(P_Type,ROW()-4))))</f>
        <v/>
      </c>
      <c r="D929">
        <f>IF(INDEX(L_Type,ROW()-4)="","",TRIM(UPPER(INDEX(L_Type,ROW()-4))))</f>
        <v/>
      </c>
      <c r="E929">
        <f>IF(INDEX(P_Status,ROW()-4)="","",TRIM(UPPER(INDEX(P_Status,ROW()-4))))</f>
        <v/>
      </c>
      <c r="G929">
        <f>IF(INDEX(L_Status,ROW()-4)="","",TRIM(UPPER(INDEX(L_Status,ROW()-4))))</f>
        <v/>
      </c>
      <c r="J929">
        <f>IF(INDEX(L_ID,ROW()-4)="","",IF(SUMPRODUCT((P_ID=INDEX(L_ID,ROW()-4))*(P_StatusN="INACTIVE"))&gt;0,1,0))</f>
        <v/>
      </c>
    </row>
    <row r="930">
      <c r="A930">
        <f>IF(INDEX(L_ID,ROW()-4)="","",IF(COUNTIF(P_ID,INDEX(L_ID,ROW()-4))&gt;0,1,0))</f>
        <v/>
      </c>
      <c r="B930">
        <f>IF(INDEX(P_Type,ROW()-4)="","",TRIM(UPPER(INDEX(P_Type,ROW()-4))))</f>
        <v/>
      </c>
      <c r="D930">
        <f>IF(INDEX(L_Type,ROW()-4)="","",TRIM(UPPER(INDEX(L_Type,ROW()-4))))</f>
        <v/>
      </c>
      <c r="E930">
        <f>IF(INDEX(P_Status,ROW()-4)="","",TRIM(UPPER(INDEX(P_Status,ROW()-4))))</f>
        <v/>
      </c>
      <c r="G930">
        <f>IF(INDEX(L_Status,ROW()-4)="","",TRIM(UPPER(INDEX(L_Status,ROW()-4))))</f>
        <v/>
      </c>
      <c r="J930">
        <f>IF(INDEX(L_ID,ROW()-4)="","",IF(SUMPRODUCT((P_ID=INDEX(L_ID,ROW()-4))*(P_StatusN="INACTIVE"))&gt;0,1,0))</f>
        <v/>
      </c>
    </row>
    <row r="931">
      <c r="A931">
        <f>IF(INDEX(L_ID,ROW()-4)="","",IF(COUNTIF(P_ID,INDEX(L_ID,ROW()-4))&gt;0,1,0))</f>
        <v/>
      </c>
      <c r="B931">
        <f>IF(INDEX(P_Type,ROW()-4)="","",TRIM(UPPER(INDEX(P_Type,ROW()-4))))</f>
        <v/>
      </c>
      <c r="D931">
        <f>IF(INDEX(L_Type,ROW()-4)="","",TRIM(UPPER(INDEX(L_Type,ROW()-4))))</f>
        <v/>
      </c>
      <c r="E931">
        <f>IF(INDEX(P_Status,ROW()-4)="","",TRIM(UPPER(INDEX(P_Status,ROW()-4))))</f>
        <v/>
      </c>
      <c r="G931">
        <f>IF(INDEX(L_Status,ROW()-4)="","",TRIM(UPPER(INDEX(L_Status,ROW()-4))))</f>
        <v/>
      </c>
      <c r="J931">
        <f>IF(INDEX(L_ID,ROW()-4)="","",IF(SUMPRODUCT((P_ID=INDEX(L_ID,ROW()-4))*(P_StatusN="INACTIVE"))&gt;0,1,0))</f>
        <v/>
      </c>
    </row>
    <row r="932">
      <c r="A932">
        <f>IF(INDEX(L_ID,ROW()-4)="","",IF(COUNTIF(P_ID,INDEX(L_ID,ROW()-4))&gt;0,1,0))</f>
        <v/>
      </c>
      <c r="B932">
        <f>IF(INDEX(P_Type,ROW()-4)="","",TRIM(UPPER(INDEX(P_Type,ROW()-4))))</f>
        <v/>
      </c>
      <c r="D932">
        <f>IF(INDEX(L_Type,ROW()-4)="","",TRIM(UPPER(INDEX(L_Type,ROW()-4))))</f>
        <v/>
      </c>
      <c r="E932">
        <f>IF(INDEX(P_Status,ROW()-4)="","",TRIM(UPPER(INDEX(P_Status,ROW()-4))))</f>
        <v/>
      </c>
      <c r="G932">
        <f>IF(INDEX(L_Status,ROW()-4)="","",TRIM(UPPER(INDEX(L_Status,ROW()-4))))</f>
        <v/>
      </c>
      <c r="J932">
        <f>IF(INDEX(L_ID,ROW()-4)="","",IF(SUMPRODUCT((P_ID=INDEX(L_ID,ROW()-4))*(P_StatusN="INACTIVE"))&gt;0,1,0))</f>
        <v/>
      </c>
    </row>
    <row r="933">
      <c r="A933">
        <f>IF(INDEX(L_ID,ROW()-4)="","",IF(COUNTIF(P_ID,INDEX(L_ID,ROW()-4))&gt;0,1,0))</f>
        <v/>
      </c>
      <c r="B933">
        <f>IF(INDEX(P_Type,ROW()-4)="","",TRIM(UPPER(INDEX(P_Type,ROW()-4))))</f>
        <v/>
      </c>
      <c r="D933">
        <f>IF(INDEX(L_Type,ROW()-4)="","",TRIM(UPPER(INDEX(L_Type,ROW()-4))))</f>
        <v/>
      </c>
      <c r="E933">
        <f>IF(INDEX(P_Status,ROW()-4)="","",TRIM(UPPER(INDEX(P_Status,ROW()-4))))</f>
        <v/>
      </c>
      <c r="G933">
        <f>IF(INDEX(L_Status,ROW()-4)="","",TRIM(UPPER(INDEX(L_Status,ROW()-4))))</f>
        <v/>
      </c>
      <c r="J933">
        <f>IF(INDEX(L_ID,ROW()-4)="","",IF(SUMPRODUCT((P_ID=INDEX(L_ID,ROW()-4))*(P_StatusN="INACTIVE"))&gt;0,1,0))</f>
        <v/>
      </c>
    </row>
    <row r="934">
      <c r="A934">
        <f>IF(INDEX(L_ID,ROW()-4)="","",IF(COUNTIF(P_ID,INDEX(L_ID,ROW()-4))&gt;0,1,0))</f>
        <v/>
      </c>
      <c r="B934">
        <f>IF(INDEX(P_Type,ROW()-4)="","",TRIM(UPPER(INDEX(P_Type,ROW()-4))))</f>
        <v/>
      </c>
      <c r="D934">
        <f>IF(INDEX(L_Type,ROW()-4)="","",TRIM(UPPER(INDEX(L_Type,ROW()-4))))</f>
        <v/>
      </c>
      <c r="E934">
        <f>IF(INDEX(P_Status,ROW()-4)="","",TRIM(UPPER(INDEX(P_Status,ROW()-4))))</f>
        <v/>
      </c>
      <c r="G934">
        <f>IF(INDEX(L_Status,ROW()-4)="","",TRIM(UPPER(INDEX(L_Status,ROW()-4))))</f>
        <v/>
      </c>
      <c r="J934">
        <f>IF(INDEX(L_ID,ROW()-4)="","",IF(SUMPRODUCT((P_ID=INDEX(L_ID,ROW()-4))*(P_StatusN="INACTIVE"))&gt;0,1,0))</f>
        <v/>
      </c>
    </row>
    <row r="935">
      <c r="A935">
        <f>IF(INDEX(L_ID,ROW()-4)="","",IF(COUNTIF(P_ID,INDEX(L_ID,ROW()-4))&gt;0,1,0))</f>
        <v/>
      </c>
      <c r="B935">
        <f>IF(INDEX(P_Type,ROW()-4)="","",TRIM(UPPER(INDEX(P_Type,ROW()-4))))</f>
        <v/>
      </c>
      <c r="D935">
        <f>IF(INDEX(L_Type,ROW()-4)="","",TRIM(UPPER(INDEX(L_Type,ROW()-4))))</f>
        <v/>
      </c>
      <c r="E935">
        <f>IF(INDEX(P_Status,ROW()-4)="","",TRIM(UPPER(INDEX(P_Status,ROW()-4))))</f>
        <v/>
      </c>
      <c r="G935">
        <f>IF(INDEX(L_Status,ROW()-4)="","",TRIM(UPPER(INDEX(L_Status,ROW()-4))))</f>
        <v/>
      </c>
      <c r="J935">
        <f>IF(INDEX(L_ID,ROW()-4)="","",IF(SUMPRODUCT((P_ID=INDEX(L_ID,ROW()-4))*(P_StatusN="INACTIVE"))&gt;0,1,0))</f>
        <v/>
      </c>
    </row>
    <row r="936">
      <c r="A936">
        <f>IF(INDEX(L_ID,ROW()-4)="","",IF(COUNTIF(P_ID,INDEX(L_ID,ROW()-4))&gt;0,1,0))</f>
        <v/>
      </c>
      <c r="B936">
        <f>IF(INDEX(P_Type,ROW()-4)="","",TRIM(UPPER(INDEX(P_Type,ROW()-4))))</f>
        <v/>
      </c>
      <c r="D936">
        <f>IF(INDEX(L_Type,ROW()-4)="","",TRIM(UPPER(INDEX(L_Type,ROW()-4))))</f>
        <v/>
      </c>
      <c r="E936">
        <f>IF(INDEX(P_Status,ROW()-4)="","",TRIM(UPPER(INDEX(P_Status,ROW()-4))))</f>
        <v/>
      </c>
      <c r="G936">
        <f>IF(INDEX(L_Status,ROW()-4)="","",TRIM(UPPER(INDEX(L_Status,ROW()-4))))</f>
        <v/>
      </c>
      <c r="J936">
        <f>IF(INDEX(L_ID,ROW()-4)="","",IF(SUMPRODUCT((P_ID=INDEX(L_ID,ROW()-4))*(P_StatusN="INACTIVE"))&gt;0,1,0))</f>
        <v/>
      </c>
    </row>
    <row r="937">
      <c r="A937">
        <f>IF(INDEX(L_ID,ROW()-4)="","",IF(COUNTIF(P_ID,INDEX(L_ID,ROW()-4))&gt;0,1,0))</f>
        <v/>
      </c>
      <c r="B937">
        <f>IF(INDEX(P_Type,ROW()-4)="","",TRIM(UPPER(INDEX(P_Type,ROW()-4))))</f>
        <v/>
      </c>
      <c r="D937">
        <f>IF(INDEX(L_Type,ROW()-4)="","",TRIM(UPPER(INDEX(L_Type,ROW()-4))))</f>
        <v/>
      </c>
      <c r="E937">
        <f>IF(INDEX(P_Status,ROW()-4)="","",TRIM(UPPER(INDEX(P_Status,ROW()-4))))</f>
        <v/>
      </c>
      <c r="G937">
        <f>IF(INDEX(L_Status,ROW()-4)="","",TRIM(UPPER(INDEX(L_Status,ROW()-4))))</f>
        <v/>
      </c>
      <c r="J937">
        <f>IF(INDEX(L_ID,ROW()-4)="","",IF(SUMPRODUCT((P_ID=INDEX(L_ID,ROW()-4))*(P_StatusN="INACTIVE"))&gt;0,1,0))</f>
        <v/>
      </c>
    </row>
    <row r="938">
      <c r="A938">
        <f>IF(INDEX(L_ID,ROW()-4)="","",IF(COUNTIF(P_ID,INDEX(L_ID,ROW()-4))&gt;0,1,0))</f>
        <v/>
      </c>
      <c r="B938">
        <f>IF(INDEX(P_Type,ROW()-4)="","",TRIM(UPPER(INDEX(P_Type,ROW()-4))))</f>
        <v/>
      </c>
      <c r="D938">
        <f>IF(INDEX(L_Type,ROW()-4)="","",TRIM(UPPER(INDEX(L_Type,ROW()-4))))</f>
        <v/>
      </c>
      <c r="E938">
        <f>IF(INDEX(P_Status,ROW()-4)="","",TRIM(UPPER(INDEX(P_Status,ROW()-4))))</f>
        <v/>
      </c>
      <c r="G938">
        <f>IF(INDEX(L_Status,ROW()-4)="","",TRIM(UPPER(INDEX(L_Status,ROW()-4))))</f>
        <v/>
      </c>
      <c r="J938">
        <f>IF(INDEX(L_ID,ROW()-4)="","",IF(SUMPRODUCT((P_ID=INDEX(L_ID,ROW()-4))*(P_StatusN="INACTIVE"))&gt;0,1,0))</f>
        <v/>
      </c>
    </row>
    <row r="939">
      <c r="A939">
        <f>IF(INDEX(L_ID,ROW()-4)="","",IF(COUNTIF(P_ID,INDEX(L_ID,ROW()-4))&gt;0,1,0))</f>
        <v/>
      </c>
      <c r="B939">
        <f>IF(INDEX(P_Type,ROW()-4)="","",TRIM(UPPER(INDEX(P_Type,ROW()-4))))</f>
        <v/>
      </c>
      <c r="D939">
        <f>IF(INDEX(L_Type,ROW()-4)="","",TRIM(UPPER(INDEX(L_Type,ROW()-4))))</f>
        <v/>
      </c>
      <c r="E939">
        <f>IF(INDEX(P_Status,ROW()-4)="","",TRIM(UPPER(INDEX(P_Status,ROW()-4))))</f>
        <v/>
      </c>
      <c r="G939">
        <f>IF(INDEX(L_Status,ROW()-4)="","",TRIM(UPPER(INDEX(L_Status,ROW()-4))))</f>
        <v/>
      </c>
      <c r="J939">
        <f>IF(INDEX(L_ID,ROW()-4)="","",IF(SUMPRODUCT((P_ID=INDEX(L_ID,ROW()-4))*(P_StatusN="INACTIVE"))&gt;0,1,0))</f>
        <v/>
      </c>
    </row>
    <row r="940">
      <c r="A940">
        <f>IF(INDEX(L_ID,ROW()-4)="","",IF(COUNTIF(P_ID,INDEX(L_ID,ROW()-4))&gt;0,1,0))</f>
        <v/>
      </c>
      <c r="B940">
        <f>IF(INDEX(P_Type,ROW()-4)="","",TRIM(UPPER(INDEX(P_Type,ROW()-4))))</f>
        <v/>
      </c>
      <c r="D940">
        <f>IF(INDEX(L_Type,ROW()-4)="","",TRIM(UPPER(INDEX(L_Type,ROW()-4))))</f>
        <v/>
      </c>
      <c r="E940">
        <f>IF(INDEX(P_Status,ROW()-4)="","",TRIM(UPPER(INDEX(P_Status,ROW()-4))))</f>
        <v/>
      </c>
      <c r="G940">
        <f>IF(INDEX(L_Status,ROW()-4)="","",TRIM(UPPER(INDEX(L_Status,ROW()-4))))</f>
        <v/>
      </c>
      <c r="J940">
        <f>IF(INDEX(L_ID,ROW()-4)="","",IF(SUMPRODUCT((P_ID=INDEX(L_ID,ROW()-4))*(P_StatusN="INACTIVE"))&gt;0,1,0))</f>
        <v/>
      </c>
    </row>
    <row r="941">
      <c r="A941">
        <f>IF(INDEX(L_ID,ROW()-4)="","",IF(COUNTIF(P_ID,INDEX(L_ID,ROW()-4))&gt;0,1,0))</f>
        <v/>
      </c>
      <c r="B941">
        <f>IF(INDEX(P_Type,ROW()-4)="","",TRIM(UPPER(INDEX(P_Type,ROW()-4))))</f>
        <v/>
      </c>
      <c r="D941">
        <f>IF(INDEX(L_Type,ROW()-4)="","",TRIM(UPPER(INDEX(L_Type,ROW()-4))))</f>
        <v/>
      </c>
      <c r="E941">
        <f>IF(INDEX(P_Status,ROW()-4)="","",TRIM(UPPER(INDEX(P_Status,ROW()-4))))</f>
        <v/>
      </c>
      <c r="G941">
        <f>IF(INDEX(L_Status,ROW()-4)="","",TRIM(UPPER(INDEX(L_Status,ROW()-4))))</f>
        <v/>
      </c>
      <c r="J941">
        <f>IF(INDEX(L_ID,ROW()-4)="","",IF(SUMPRODUCT((P_ID=INDEX(L_ID,ROW()-4))*(P_StatusN="INACTIVE"))&gt;0,1,0))</f>
        <v/>
      </c>
    </row>
    <row r="942">
      <c r="A942">
        <f>IF(INDEX(L_ID,ROW()-4)="","",IF(COUNTIF(P_ID,INDEX(L_ID,ROW()-4))&gt;0,1,0))</f>
        <v/>
      </c>
      <c r="B942">
        <f>IF(INDEX(P_Type,ROW()-4)="","",TRIM(UPPER(INDEX(P_Type,ROW()-4))))</f>
        <v/>
      </c>
      <c r="D942">
        <f>IF(INDEX(L_Type,ROW()-4)="","",TRIM(UPPER(INDEX(L_Type,ROW()-4))))</f>
        <v/>
      </c>
      <c r="E942">
        <f>IF(INDEX(P_Status,ROW()-4)="","",TRIM(UPPER(INDEX(P_Status,ROW()-4))))</f>
        <v/>
      </c>
      <c r="G942">
        <f>IF(INDEX(L_Status,ROW()-4)="","",TRIM(UPPER(INDEX(L_Status,ROW()-4))))</f>
        <v/>
      </c>
      <c r="J942">
        <f>IF(INDEX(L_ID,ROW()-4)="","",IF(SUMPRODUCT((P_ID=INDEX(L_ID,ROW()-4))*(P_StatusN="INACTIVE"))&gt;0,1,0))</f>
        <v/>
      </c>
    </row>
    <row r="943">
      <c r="A943">
        <f>IF(INDEX(L_ID,ROW()-4)="","",IF(COUNTIF(P_ID,INDEX(L_ID,ROW()-4))&gt;0,1,0))</f>
        <v/>
      </c>
      <c r="B943">
        <f>IF(INDEX(P_Type,ROW()-4)="","",TRIM(UPPER(INDEX(P_Type,ROW()-4))))</f>
        <v/>
      </c>
      <c r="D943">
        <f>IF(INDEX(L_Type,ROW()-4)="","",TRIM(UPPER(INDEX(L_Type,ROW()-4))))</f>
        <v/>
      </c>
      <c r="E943">
        <f>IF(INDEX(P_Status,ROW()-4)="","",TRIM(UPPER(INDEX(P_Status,ROW()-4))))</f>
        <v/>
      </c>
      <c r="G943">
        <f>IF(INDEX(L_Status,ROW()-4)="","",TRIM(UPPER(INDEX(L_Status,ROW()-4))))</f>
        <v/>
      </c>
      <c r="J943">
        <f>IF(INDEX(L_ID,ROW()-4)="","",IF(SUMPRODUCT((P_ID=INDEX(L_ID,ROW()-4))*(P_StatusN="INACTIVE"))&gt;0,1,0))</f>
        <v/>
      </c>
    </row>
    <row r="944">
      <c r="A944">
        <f>IF(INDEX(L_ID,ROW()-4)="","",IF(COUNTIF(P_ID,INDEX(L_ID,ROW()-4))&gt;0,1,0))</f>
        <v/>
      </c>
      <c r="B944">
        <f>IF(INDEX(P_Type,ROW()-4)="","",TRIM(UPPER(INDEX(P_Type,ROW()-4))))</f>
        <v/>
      </c>
      <c r="D944">
        <f>IF(INDEX(L_Type,ROW()-4)="","",TRIM(UPPER(INDEX(L_Type,ROW()-4))))</f>
        <v/>
      </c>
      <c r="E944">
        <f>IF(INDEX(P_Status,ROW()-4)="","",TRIM(UPPER(INDEX(P_Status,ROW()-4))))</f>
        <v/>
      </c>
      <c r="G944">
        <f>IF(INDEX(L_Status,ROW()-4)="","",TRIM(UPPER(INDEX(L_Status,ROW()-4))))</f>
        <v/>
      </c>
      <c r="J944">
        <f>IF(INDEX(L_ID,ROW()-4)="","",IF(SUMPRODUCT((P_ID=INDEX(L_ID,ROW()-4))*(P_StatusN="INACTIVE"))&gt;0,1,0))</f>
        <v/>
      </c>
    </row>
    <row r="945">
      <c r="A945">
        <f>IF(INDEX(L_ID,ROW()-4)="","",IF(COUNTIF(P_ID,INDEX(L_ID,ROW()-4))&gt;0,1,0))</f>
        <v/>
      </c>
      <c r="B945">
        <f>IF(INDEX(P_Type,ROW()-4)="","",TRIM(UPPER(INDEX(P_Type,ROW()-4))))</f>
        <v/>
      </c>
      <c r="D945">
        <f>IF(INDEX(L_Type,ROW()-4)="","",TRIM(UPPER(INDEX(L_Type,ROW()-4))))</f>
        <v/>
      </c>
      <c r="E945">
        <f>IF(INDEX(P_Status,ROW()-4)="","",TRIM(UPPER(INDEX(P_Status,ROW()-4))))</f>
        <v/>
      </c>
      <c r="G945">
        <f>IF(INDEX(L_Status,ROW()-4)="","",TRIM(UPPER(INDEX(L_Status,ROW()-4))))</f>
        <v/>
      </c>
      <c r="J945">
        <f>IF(INDEX(L_ID,ROW()-4)="","",IF(SUMPRODUCT((P_ID=INDEX(L_ID,ROW()-4))*(P_StatusN="INACTIVE"))&gt;0,1,0))</f>
        <v/>
      </c>
    </row>
    <row r="946">
      <c r="A946">
        <f>IF(INDEX(L_ID,ROW()-4)="","",IF(COUNTIF(P_ID,INDEX(L_ID,ROW()-4))&gt;0,1,0))</f>
        <v/>
      </c>
      <c r="B946">
        <f>IF(INDEX(P_Type,ROW()-4)="","",TRIM(UPPER(INDEX(P_Type,ROW()-4))))</f>
        <v/>
      </c>
      <c r="D946">
        <f>IF(INDEX(L_Type,ROW()-4)="","",TRIM(UPPER(INDEX(L_Type,ROW()-4))))</f>
        <v/>
      </c>
      <c r="E946">
        <f>IF(INDEX(P_Status,ROW()-4)="","",TRIM(UPPER(INDEX(P_Status,ROW()-4))))</f>
        <v/>
      </c>
      <c r="G946">
        <f>IF(INDEX(L_Status,ROW()-4)="","",TRIM(UPPER(INDEX(L_Status,ROW()-4))))</f>
        <v/>
      </c>
      <c r="J946">
        <f>IF(INDEX(L_ID,ROW()-4)="","",IF(SUMPRODUCT((P_ID=INDEX(L_ID,ROW()-4))*(P_StatusN="INACTIVE"))&gt;0,1,0))</f>
        <v/>
      </c>
    </row>
    <row r="947">
      <c r="A947">
        <f>IF(INDEX(L_ID,ROW()-4)="","",IF(COUNTIF(P_ID,INDEX(L_ID,ROW()-4))&gt;0,1,0))</f>
        <v/>
      </c>
      <c r="B947">
        <f>IF(INDEX(P_Type,ROW()-4)="","",TRIM(UPPER(INDEX(P_Type,ROW()-4))))</f>
        <v/>
      </c>
      <c r="D947">
        <f>IF(INDEX(L_Type,ROW()-4)="","",TRIM(UPPER(INDEX(L_Type,ROW()-4))))</f>
        <v/>
      </c>
      <c r="E947">
        <f>IF(INDEX(P_Status,ROW()-4)="","",TRIM(UPPER(INDEX(P_Status,ROW()-4))))</f>
        <v/>
      </c>
      <c r="G947">
        <f>IF(INDEX(L_Status,ROW()-4)="","",TRIM(UPPER(INDEX(L_Status,ROW()-4))))</f>
        <v/>
      </c>
      <c r="J947">
        <f>IF(INDEX(L_ID,ROW()-4)="","",IF(SUMPRODUCT((P_ID=INDEX(L_ID,ROW()-4))*(P_StatusN="INACTIVE"))&gt;0,1,0))</f>
        <v/>
      </c>
    </row>
    <row r="948">
      <c r="A948">
        <f>IF(INDEX(L_ID,ROW()-4)="","",IF(COUNTIF(P_ID,INDEX(L_ID,ROW()-4))&gt;0,1,0))</f>
        <v/>
      </c>
      <c r="B948">
        <f>IF(INDEX(P_Type,ROW()-4)="","",TRIM(UPPER(INDEX(P_Type,ROW()-4))))</f>
        <v/>
      </c>
      <c r="D948">
        <f>IF(INDEX(L_Type,ROW()-4)="","",TRIM(UPPER(INDEX(L_Type,ROW()-4))))</f>
        <v/>
      </c>
      <c r="E948">
        <f>IF(INDEX(P_Status,ROW()-4)="","",TRIM(UPPER(INDEX(P_Status,ROW()-4))))</f>
        <v/>
      </c>
      <c r="G948">
        <f>IF(INDEX(L_Status,ROW()-4)="","",TRIM(UPPER(INDEX(L_Status,ROW()-4))))</f>
        <v/>
      </c>
      <c r="J948">
        <f>IF(INDEX(L_ID,ROW()-4)="","",IF(SUMPRODUCT((P_ID=INDEX(L_ID,ROW()-4))*(P_StatusN="INACTIVE"))&gt;0,1,0))</f>
        <v/>
      </c>
    </row>
    <row r="949">
      <c r="A949">
        <f>IF(INDEX(L_ID,ROW()-4)="","",IF(COUNTIF(P_ID,INDEX(L_ID,ROW()-4))&gt;0,1,0))</f>
        <v/>
      </c>
      <c r="B949">
        <f>IF(INDEX(P_Type,ROW()-4)="","",TRIM(UPPER(INDEX(P_Type,ROW()-4))))</f>
        <v/>
      </c>
      <c r="D949">
        <f>IF(INDEX(L_Type,ROW()-4)="","",TRIM(UPPER(INDEX(L_Type,ROW()-4))))</f>
        <v/>
      </c>
      <c r="E949">
        <f>IF(INDEX(P_Status,ROW()-4)="","",TRIM(UPPER(INDEX(P_Status,ROW()-4))))</f>
        <v/>
      </c>
      <c r="G949">
        <f>IF(INDEX(L_Status,ROW()-4)="","",TRIM(UPPER(INDEX(L_Status,ROW()-4))))</f>
        <v/>
      </c>
      <c r="J949">
        <f>IF(INDEX(L_ID,ROW()-4)="","",IF(SUMPRODUCT((P_ID=INDEX(L_ID,ROW()-4))*(P_StatusN="INACTIVE"))&gt;0,1,0))</f>
        <v/>
      </c>
    </row>
    <row r="950">
      <c r="A950">
        <f>IF(INDEX(L_ID,ROW()-4)="","",IF(COUNTIF(P_ID,INDEX(L_ID,ROW()-4))&gt;0,1,0))</f>
        <v/>
      </c>
      <c r="B950">
        <f>IF(INDEX(P_Type,ROW()-4)="","",TRIM(UPPER(INDEX(P_Type,ROW()-4))))</f>
        <v/>
      </c>
      <c r="D950">
        <f>IF(INDEX(L_Type,ROW()-4)="","",TRIM(UPPER(INDEX(L_Type,ROW()-4))))</f>
        <v/>
      </c>
      <c r="E950">
        <f>IF(INDEX(P_Status,ROW()-4)="","",TRIM(UPPER(INDEX(P_Status,ROW()-4))))</f>
        <v/>
      </c>
      <c r="G950">
        <f>IF(INDEX(L_Status,ROW()-4)="","",TRIM(UPPER(INDEX(L_Status,ROW()-4))))</f>
        <v/>
      </c>
      <c r="J950">
        <f>IF(INDEX(L_ID,ROW()-4)="","",IF(SUMPRODUCT((P_ID=INDEX(L_ID,ROW()-4))*(P_StatusN="INACTIVE"))&gt;0,1,0))</f>
        <v/>
      </c>
    </row>
    <row r="951">
      <c r="A951">
        <f>IF(INDEX(L_ID,ROW()-4)="","",IF(COUNTIF(P_ID,INDEX(L_ID,ROW()-4))&gt;0,1,0))</f>
        <v/>
      </c>
      <c r="B951">
        <f>IF(INDEX(P_Type,ROW()-4)="","",TRIM(UPPER(INDEX(P_Type,ROW()-4))))</f>
        <v/>
      </c>
      <c r="D951">
        <f>IF(INDEX(L_Type,ROW()-4)="","",TRIM(UPPER(INDEX(L_Type,ROW()-4))))</f>
        <v/>
      </c>
      <c r="E951">
        <f>IF(INDEX(P_Status,ROW()-4)="","",TRIM(UPPER(INDEX(P_Status,ROW()-4))))</f>
        <v/>
      </c>
      <c r="G951">
        <f>IF(INDEX(L_Status,ROW()-4)="","",TRIM(UPPER(INDEX(L_Status,ROW()-4))))</f>
        <v/>
      </c>
      <c r="J951">
        <f>IF(INDEX(L_ID,ROW()-4)="","",IF(SUMPRODUCT((P_ID=INDEX(L_ID,ROW()-4))*(P_StatusN="INACTIVE"))&gt;0,1,0))</f>
        <v/>
      </c>
    </row>
    <row r="952">
      <c r="A952">
        <f>IF(INDEX(L_ID,ROW()-4)="","",IF(COUNTIF(P_ID,INDEX(L_ID,ROW()-4))&gt;0,1,0))</f>
        <v/>
      </c>
      <c r="B952">
        <f>IF(INDEX(P_Type,ROW()-4)="","",TRIM(UPPER(INDEX(P_Type,ROW()-4))))</f>
        <v/>
      </c>
      <c r="D952">
        <f>IF(INDEX(L_Type,ROW()-4)="","",TRIM(UPPER(INDEX(L_Type,ROW()-4))))</f>
        <v/>
      </c>
      <c r="E952">
        <f>IF(INDEX(P_Status,ROW()-4)="","",TRIM(UPPER(INDEX(P_Status,ROW()-4))))</f>
        <v/>
      </c>
      <c r="G952">
        <f>IF(INDEX(L_Status,ROW()-4)="","",TRIM(UPPER(INDEX(L_Status,ROW()-4))))</f>
        <v/>
      </c>
      <c r="J952">
        <f>IF(INDEX(L_ID,ROW()-4)="","",IF(SUMPRODUCT((P_ID=INDEX(L_ID,ROW()-4))*(P_StatusN="INACTIVE"))&gt;0,1,0))</f>
        <v/>
      </c>
    </row>
    <row r="953">
      <c r="A953">
        <f>IF(INDEX(L_ID,ROW()-4)="","",IF(COUNTIF(P_ID,INDEX(L_ID,ROW()-4))&gt;0,1,0))</f>
        <v/>
      </c>
      <c r="B953">
        <f>IF(INDEX(P_Type,ROW()-4)="","",TRIM(UPPER(INDEX(P_Type,ROW()-4))))</f>
        <v/>
      </c>
      <c r="D953">
        <f>IF(INDEX(L_Type,ROW()-4)="","",TRIM(UPPER(INDEX(L_Type,ROW()-4))))</f>
        <v/>
      </c>
      <c r="E953">
        <f>IF(INDEX(P_Status,ROW()-4)="","",TRIM(UPPER(INDEX(P_Status,ROW()-4))))</f>
        <v/>
      </c>
      <c r="G953">
        <f>IF(INDEX(L_Status,ROW()-4)="","",TRIM(UPPER(INDEX(L_Status,ROW()-4))))</f>
        <v/>
      </c>
      <c r="J953">
        <f>IF(INDEX(L_ID,ROW()-4)="","",IF(SUMPRODUCT((P_ID=INDEX(L_ID,ROW()-4))*(P_StatusN="INACTIVE"))&gt;0,1,0))</f>
        <v/>
      </c>
    </row>
    <row r="954">
      <c r="A954">
        <f>IF(INDEX(L_ID,ROW()-4)="","",IF(COUNTIF(P_ID,INDEX(L_ID,ROW()-4))&gt;0,1,0))</f>
        <v/>
      </c>
      <c r="B954">
        <f>IF(INDEX(P_Type,ROW()-4)="","",TRIM(UPPER(INDEX(P_Type,ROW()-4))))</f>
        <v/>
      </c>
      <c r="D954">
        <f>IF(INDEX(L_Type,ROW()-4)="","",TRIM(UPPER(INDEX(L_Type,ROW()-4))))</f>
        <v/>
      </c>
      <c r="E954">
        <f>IF(INDEX(P_Status,ROW()-4)="","",TRIM(UPPER(INDEX(P_Status,ROW()-4))))</f>
        <v/>
      </c>
      <c r="G954">
        <f>IF(INDEX(L_Status,ROW()-4)="","",TRIM(UPPER(INDEX(L_Status,ROW()-4))))</f>
        <v/>
      </c>
      <c r="J954">
        <f>IF(INDEX(L_ID,ROW()-4)="","",IF(SUMPRODUCT((P_ID=INDEX(L_ID,ROW()-4))*(P_StatusN="INACTIVE"))&gt;0,1,0))</f>
        <v/>
      </c>
    </row>
    <row r="955">
      <c r="A955">
        <f>IF(INDEX(L_ID,ROW()-4)="","",IF(COUNTIF(P_ID,INDEX(L_ID,ROW()-4))&gt;0,1,0))</f>
        <v/>
      </c>
      <c r="B955">
        <f>IF(INDEX(P_Type,ROW()-4)="","",TRIM(UPPER(INDEX(P_Type,ROW()-4))))</f>
        <v/>
      </c>
      <c r="D955">
        <f>IF(INDEX(L_Type,ROW()-4)="","",TRIM(UPPER(INDEX(L_Type,ROW()-4))))</f>
        <v/>
      </c>
      <c r="E955">
        <f>IF(INDEX(P_Status,ROW()-4)="","",TRIM(UPPER(INDEX(P_Status,ROW()-4))))</f>
        <v/>
      </c>
      <c r="G955">
        <f>IF(INDEX(L_Status,ROW()-4)="","",TRIM(UPPER(INDEX(L_Status,ROW()-4))))</f>
        <v/>
      </c>
      <c r="J955">
        <f>IF(INDEX(L_ID,ROW()-4)="","",IF(SUMPRODUCT((P_ID=INDEX(L_ID,ROW()-4))*(P_StatusN="INACTIVE"))&gt;0,1,0))</f>
        <v/>
      </c>
    </row>
    <row r="956">
      <c r="A956">
        <f>IF(INDEX(L_ID,ROW()-4)="","",IF(COUNTIF(P_ID,INDEX(L_ID,ROW()-4))&gt;0,1,0))</f>
        <v/>
      </c>
      <c r="B956">
        <f>IF(INDEX(P_Type,ROW()-4)="","",TRIM(UPPER(INDEX(P_Type,ROW()-4))))</f>
        <v/>
      </c>
      <c r="D956">
        <f>IF(INDEX(L_Type,ROW()-4)="","",TRIM(UPPER(INDEX(L_Type,ROW()-4))))</f>
        <v/>
      </c>
      <c r="E956">
        <f>IF(INDEX(P_Status,ROW()-4)="","",TRIM(UPPER(INDEX(P_Status,ROW()-4))))</f>
        <v/>
      </c>
      <c r="G956">
        <f>IF(INDEX(L_Status,ROW()-4)="","",TRIM(UPPER(INDEX(L_Status,ROW()-4))))</f>
        <v/>
      </c>
      <c r="J956">
        <f>IF(INDEX(L_ID,ROW()-4)="","",IF(SUMPRODUCT((P_ID=INDEX(L_ID,ROW()-4))*(P_StatusN="INACTIVE"))&gt;0,1,0))</f>
        <v/>
      </c>
    </row>
    <row r="957">
      <c r="A957">
        <f>IF(INDEX(L_ID,ROW()-4)="","",IF(COUNTIF(P_ID,INDEX(L_ID,ROW()-4))&gt;0,1,0))</f>
        <v/>
      </c>
      <c r="B957">
        <f>IF(INDEX(P_Type,ROW()-4)="","",TRIM(UPPER(INDEX(P_Type,ROW()-4))))</f>
        <v/>
      </c>
      <c r="D957">
        <f>IF(INDEX(L_Type,ROW()-4)="","",TRIM(UPPER(INDEX(L_Type,ROW()-4))))</f>
        <v/>
      </c>
      <c r="E957">
        <f>IF(INDEX(P_Status,ROW()-4)="","",TRIM(UPPER(INDEX(P_Status,ROW()-4))))</f>
        <v/>
      </c>
      <c r="G957">
        <f>IF(INDEX(L_Status,ROW()-4)="","",TRIM(UPPER(INDEX(L_Status,ROW()-4))))</f>
        <v/>
      </c>
      <c r="J957">
        <f>IF(INDEX(L_ID,ROW()-4)="","",IF(SUMPRODUCT((P_ID=INDEX(L_ID,ROW()-4))*(P_StatusN="INACTIVE"))&gt;0,1,0))</f>
        <v/>
      </c>
    </row>
    <row r="958">
      <c r="A958">
        <f>IF(INDEX(L_ID,ROW()-4)="","",IF(COUNTIF(P_ID,INDEX(L_ID,ROW()-4))&gt;0,1,0))</f>
        <v/>
      </c>
      <c r="B958">
        <f>IF(INDEX(P_Type,ROW()-4)="","",TRIM(UPPER(INDEX(P_Type,ROW()-4))))</f>
        <v/>
      </c>
      <c r="D958">
        <f>IF(INDEX(L_Type,ROW()-4)="","",TRIM(UPPER(INDEX(L_Type,ROW()-4))))</f>
        <v/>
      </c>
      <c r="E958">
        <f>IF(INDEX(P_Status,ROW()-4)="","",TRIM(UPPER(INDEX(P_Status,ROW()-4))))</f>
        <v/>
      </c>
      <c r="G958">
        <f>IF(INDEX(L_Status,ROW()-4)="","",TRIM(UPPER(INDEX(L_Status,ROW()-4))))</f>
        <v/>
      </c>
      <c r="J958">
        <f>IF(INDEX(L_ID,ROW()-4)="","",IF(SUMPRODUCT((P_ID=INDEX(L_ID,ROW()-4))*(P_StatusN="INACTIVE"))&gt;0,1,0))</f>
        <v/>
      </c>
    </row>
    <row r="959">
      <c r="A959">
        <f>IF(INDEX(L_ID,ROW()-4)="","",IF(COUNTIF(P_ID,INDEX(L_ID,ROW()-4))&gt;0,1,0))</f>
        <v/>
      </c>
      <c r="B959">
        <f>IF(INDEX(P_Type,ROW()-4)="","",TRIM(UPPER(INDEX(P_Type,ROW()-4))))</f>
        <v/>
      </c>
      <c r="D959">
        <f>IF(INDEX(L_Type,ROW()-4)="","",TRIM(UPPER(INDEX(L_Type,ROW()-4))))</f>
        <v/>
      </c>
      <c r="E959">
        <f>IF(INDEX(P_Status,ROW()-4)="","",TRIM(UPPER(INDEX(P_Status,ROW()-4))))</f>
        <v/>
      </c>
      <c r="G959">
        <f>IF(INDEX(L_Status,ROW()-4)="","",TRIM(UPPER(INDEX(L_Status,ROW()-4))))</f>
        <v/>
      </c>
      <c r="J959">
        <f>IF(INDEX(L_ID,ROW()-4)="","",IF(SUMPRODUCT((P_ID=INDEX(L_ID,ROW()-4))*(P_StatusN="INACTIVE"))&gt;0,1,0))</f>
        <v/>
      </c>
    </row>
    <row r="960">
      <c r="A960">
        <f>IF(INDEX(L_ID,ROW()-4)="","",IF(COUNTIF(P_ID,INDEX(L_ID,ROW()-4))&gt;0,1,0))</f>
        <v/>
      </c>
      <c r="B960">
        <f>IF(INDEX(P_Type,ROW()-4)="","",TRIM(UPPER(INDEX(P_Type,ROW()-4))))</f>
        <v/>
      </c>
      <c r="D960">
        <f>IF(INDEX(L_Type,ROW()-4)="","",TRIM(UPPER(INDEX(L_Type,ROW()-4))))</f>
        <v/>
      </c>
      <c r="E960">
        <f>IF(INDEX(P_Status,ROW()-4)="","",TRIM(UPPER(INDEX(P_Status,ROW()-4))))</f>
        <v/>
      </c>
      <c r="G960">
        <f>IF(INDEX(L_Status,ROW()-4)="","",TRIM(UPPER(INDEX(L_Status,ROW()-4))))</f>
        <v/>
      </c>
      <c r="J960">
        <f>IF(INDEX(L_ID,ROW()-4)="","",IF(SUMPRODUCT((P_ID=INDEX(L_ID,ROW()-4))*(P_StatusN="INACTIVE"))&gt;0,1,0))</f>
        <v/>
      </c>
    </row>
    <row r="961">
      <c r="A961">
        <f>IF(INDEX(L_ID,ROW()-4)="","",IF(COUNTIF(P_ID,INDEX(L_ID,ROW()-4))&gt;0,1,0))</f>
        <v/>
      </c>
      <c r="B961">
        <f>IF(INDEX(P_Type,ROW()-4)="","",TRIM(UPPER(INDEX(P_Type,ROW()-4))))</f>
        <v/>
      </c>
      <c r="D961">
        <f>IF(INDEX(L_Type,ROW()-4)="","",TRIM(UPPER(INDEX(L_Type,ROW()-4))))</f>
        <v/>
      </c>
      <c r="E961">
        <f>IF(INDEX(P_Status,ROW()-4)="","",TRIM(UPPER(INDEX(P_Status,ROW()-4))))</f>
        <v/>
      </c>
      <c r="G961">
        <f>IF(INDEX(L_Status,ROW()-4)="","",TRIM(UPPER(INDEX(L_Status,ROW()-4))))</f>
        <v/>
      </c>
      <c r="J961">
        <f>IF(INDEX(L_ID,ROW()-4)="","",IF(SUMPRODUCT((P_ID=INDEX(L_ID,ROW()-4))*(P_StatusN="INACTIVE"))&gt;0,1,0))</f>
        <v/>
      </c>
    </row>
    <row r="962">
      <c r="A962">
        <f>IF(INDEX(L_ID,ROW()-4)="","",IF(COUNTIF(P_ID,INDEX(L_ID,ROW()-4))&gt;0,1,0))</f>
        <v/>
      </c>
      <c r="B962">
        <f>IF(INDEX(P_Type,ROW()-4)="","",TRIM(UPPER(INDEX(P_Type,ROW()-4))))</f>
        <v/>
      </c>
      <c r="D962">
        <f>IF(INDEX(L_Type,ROW()-4)="","",TRIM(UPPER(INDEX(L_Type,ROW()-4))))</f>
        <v/>
      </c>
      <c r="E962">
        <f>IF(INDEX(P_Status,ROW()-4)="","",TRIM(UPPER(INDEX(P_Status,ROW()-4))))</f>
        <v/>
      </c>
      <c r="G962">
        <f>IF(INDEX(L_Status,ROW()-4)="","",TRIM(UPPER(INDEX(L_Status,ROW()-4))))</f>
        <v/>
      </c>
      <c r="J962">
        <f>IF(INDEX(L_ID,ROW()-4)="","",IF(SUMPRODUCT((P_ID=INDEX(L_ID,ROW()-4))*(P_StatusN="INACTIVE"))&gt;0,1,0))</f>
        <v/>
      </c>
    </row>
    <row r="963">
      <c r="A963">
        <f>IF(INDEX(L_ID,ROW()-4)="","",IF(COUNTIF(P_ID,INDEX(L_ID,ROW()-4))&gt;0,1,0))</f>
        <v/>
      </c>
      <c r="B963">
        <f>IF(INDEX(P_Type,ROW()-4)="","",TRIM(UPPER(INDEX(P_Type,ROW()-4))))</f>
        <v/>
      </c>
      <c r="D963">
        <f>IF(INDEX(L_Type,ROW()-4)="","",TRIM(UPPER(INDEX(L_Type,ROW()-4))))</f>
        <v/>
      </c>
      <c r="E963">
        <f>IF(INDEX(P_Status,ROW()-4)="","",TRIM(UPPER(INDEX(P_Status,ROW()-4))))</f>
        <v/>
      </c>
      <c r="G963">
        <f>IF(INDEX(L_Status,ROW()-4)="","",TRIM(UPPER(INDEX(L_Status,ROW()-4))))</f>
        <v/>
      </c>
      <c r="J963">
        <f>IF(INDEX(L_ID,ROW()-4)="","",IF(SUMPRODUCT((P_ID=INDEX(L_ID,ROW()-4))*(P_StatusN="INACTIVE"))&gt;0,1,0))</f>
        <v/>
      </c>
    </row>
    <row r="964">
      <c r="A964">
        <f>IF(INDEX(L_ID,ROW()-4)="","",IF(COUNTIF(P_ID,INDEX(L_ID,ROW()-4))&gt;0,1,0))</f>
        <v/>
      </c>
      <c r="B964">
        <f>IF(INDEX(P_Type,ROW()-4)="","",TRIM(UPPER(INDEX(P_Type,ROW()-4))))</f>
        <v/>
      </c>
      <c r="D964">
        <f>IF(INDEX(L_Type,ROW()-4)="","",TRIM(UPPER(INDEX(L_Type,ROW()-4))))</f>
        <v/>
      </c>
      <c r="E964">
        <f>IF(INDEX(P_Status,ROW()-4)="","",TRIM(UPPER(INDEX(P_Status,ROW()-4))))</f>
        <v/>
      </c>
      <c r="G964">
        <f>IF(INDEX(L_Status,ROW()-4)="","",TRIM(UPPER(INDEX(L_Status,ROW()-4))))</f>
        <v/>
      </c>
      <c r="J964">
        <f>IF(INDEX(L_ID,ROW()-4)="","",IF(SUMPRODUCT((P_ID=INDEX(L_ID,ROW()-4))*(P_StatusN="INACTIVE"))&gt;0,1,0))</f>
        <v/>
      </c>
    </row>
    <row r="965">
      <c r="A965">
        <f>IF(INDEX(L_ID,ROW()-4)="","",IF(COUNTIF(P_ID,INDEX(L_ID,ROW()-4))&gt;0,1,0))</f>
        <v/>
      </c>
      <c r="B965">
        <f>IF(INDEX(P_Type,ROW()-4)="","",TRIM(UPPER(INDEX(P_Type,ROW()-4))))</f>
        <v/>
      </c>
      <c r="D965">
        <f>IF(INDEX(L_Type,ROW()-4)="","",TRIM(UPPER(INDEX(L_Type,ROW()-4))))</f>
        <v/>
      </c>
      <c r="E965">
        <f>IF(INDEX(P_Status,ROW()-4)="","",TRIM(UPPER(INDEX(P_Status,ROW()-4))))</f>
        <v/>
      </c>
      <c r="G965">
        <f>IF(INDEX(L_Status,ROW()-4)="","",TRIM(UPPER(INDEX(L_Status,ROW()-4))))</f>
        <v/>
      </c>
      <c r="J965">
        <f>IF(INDEX(L_ID,ROW()-4)="","",IF(SUMPRODUCT((P_ID=INDEX(L_ID,ROW()-4))*(P_StatusN="INACTIVE"))&gt;0,1,0))</f>
        <v/>
      </c>
    </row>
    <row r="966">
      <c r="A966">
        <f>IF(INDEX(L_ID,ROW()-4)="","",IF(COUNTIF(P_ID,INDEX(L_ID,ROW()-4))&gt;0,1,0))</f>
        <v/>
      </c>
      <c r="B966">
        <f>IF(INDEX(P_Type,ROW()-4)="","",TRIM(UPPER(INDEX(P_Type,ROW()-4))))</f>
        <v/>
      </c>
      <c r="D966">
        <f>IF(INDEX(L_Type,ROW()-4)="","",TRIM(UPPER(INDEX(L_Type,ROW()-4))))</f>
        <v/>
      </c>
      <c r="E966">
        <f>IF(INDEX(P_Status,ROW()-4)="","",TRIM(UPPER(INDEX(P_Status,ROW()-4))))</f>
        <v/>
      </c>
      <c r="G966">
        <f>IF(INDEX(L_Status,ROW()-4)="","",TRIM(UPPER(INDEX(L_Status,ROW()-4))))</f>
        <v/>
      </c>
      <c r="J966">
        <f>IF(INDEX(L_ID,ROW()-4)="","",IF(SUMPRODUCT((P_ID=INDEX(L_ID,ROW()-4))*(P_StatusN="INACTIVE"))&gt;0,1,0))</f>
        <v/>
      </c>
    </row>
    <row r="967">
      <c r="A967">
        <f>IF(INDEX(L_ID,ROW()-4)="","",IF(COUNTIF(P_ID,INDEX(L_ID,ROW()-4))&gt;0,1,0))</f>
        <v/>
      </c>
      <c r="B967">
        <f>IF(INDEX(P_Type,ROW()-4)="","",TRIM(UPPER(INDEX(P_Type,ROW()-4))))</f>
        <v/>
      </c>
      <c r="D967">
        <f>IF(INDEX(L_Type,ROW()-4)="","",TRIM(UPPER(INDEX(L_Type,ROW()-4))))</f>
        <v/>
      </c>
      <c r="E967">
        <f>IF(INDEX(P_Status,ROW()-4)="","",TRIM(UPPER(INDEX(P_Status,ROW()-4))))</f>
        <v/>
      </c>
      <c r="G967">
        <f>IF(INDEX(L_Status,ROW()-4)="","",TRIM(UPPER(INDEX(L_Status,ROW()-4))))</f>
        <v/>
      </c>
      <c r="J967">
        <f>IF(INDEX(L_ID,ROW()-4)="","",IF(SUMPRODUCT((P_ID=INDEX(L_ID,ROW()-4))*(P_StatusN="INACTIVE"))&gt;0,1,0))</f>
        <v/>
      </c>
    </row>
    <row r="968">
      <c r="A968">
        <f>IF(INDEX(L_ID,ROW()-4)="","",IF(COUNTIF(P_ID,INDEX(L_ID,ROW()-4))&gt;0,1,0))</f>
        <v/>
      </c>
      <c r="B968">
        <f>IF(INDEX(P_Type,ROW()-4)="","",TRIM(UPPER(INDEX(P_Type,ROW()-4))))</f>
        <v/>
      </c>
      <c r="D968">
        <f>IF(INDEX(L_Type,ROW()-4)="","",TRIM(UPPER(INDEX(L_Type,ROW()-4))))</f>
        <v/>
      </c>
      <c r="E968">
        <f>IF(INDEX(P_Status,ROW()-4)="","",TRIM(UPPER(INDEX(P_Status,ROW()-4))))</f>
        <v/>
      </c>
      <c r="G968">
        <f>IF(INDEX(L_Status,ROW()-4)="","",TRIM(UPPER(INDEX(L_Status,ROW()-4))))</f>
        <v/>
      </c>
      <c r="J968">
        <f>IF(INDEX(L_ID,ROW()-4)="","",IF(SUMPRODUCT((P_ID=INDEX(L_ID,ROW()-4))*(P_StatusN="INACTIVE"))&gt;0,1,0))</f>
        <v/>
      </c>
    </row>
    <row r="969">
      <c r="A969">
        <f>IF(INDEX(L_ID,ROW()-4)="","",IF(COUNTIF(P_ID,INDEX(L_ID,ROW()-4))&gt;0,1,0))</f>
        <v/>
      </c>
      <c r="B969">
        <f>IF(INDEX(P_Type,ROW()-4)="","",TRIM(UPPER(INDEX(P_Type,ROW()-4))))</f>
        <v/>
      </c>
      <c r="D969">
        <f>IF(INDEX(L_Type,ROW()-4)="","",TRIM(UPPER(INDEX(L_Type,ROW()-4))))</f>
        <v/>
      </c>
      <c r="E969">
        <f>IF(INDEX(P_Status,ROW()-4)="","",TRIM(UPPER(INDEX(P_Status,ROW()-4))))</f>
        <v/>
      </c>
      <c r="G969">
        <f>IF(INDEX(L_Status,ROW()-4)="","",TRIM(UPPER(INDEX(L_Status,ROW()-4))))</f>
        <v/>
      </c>
      <c r="J969">
        <f>IF(INDEX(L_ID,ROW()-4)="","",IF(SUMPRODUCT((P_ID=INDEX(L_ID,ROW()-4))*(P_StatusN="INACTIVE"))&gt;0,1,0))</f>
        <v/>
      </c>
    </row>
    <row r="970">
      <c r="A970">
        <f>IF(INDEX(L_ID,ROW()-4)="","",IF(COUNTIF(P_ID,INDEX(L_ID,ROW()-4))&gt;0,1,0))</f>
        <v/>
      </c>
      <c r="B970">
        <f>IF(INDEX(P_Type,ROW()-4)="","",TRIM(UPPER(INDEX(P_Type,ROW()-4))))</f>
        <v/>
      </c>
      <c r="D970">
        <f>IF(INDEX(L_Type,ROW()-4)="","",TRIM(UPPER(INDEX(L_Type,ROW()-4))))</f>
        <v/>
      </c>
      <c r="E970">
        <f>IF(INDEX(P_Status,ROW()-4)="","",TRIM(UPPER(INDEX(P_Status,ROW()-4))))</f>
        <v/>
      </c>
      <c r="G970">
        <f>IF(INDEX(L_Status,ROW()-4)="","",TRIM(UPPER(INDEX(L_Status,ROW()-4))))</f>
        <v/>
      </c>
      <c r="J970">
        <f>IF(INDEX(L_ID,ROW()-4)="","",IF(SUMPRODUCT((P_ID=INDEX(L_ID,ROW()-4))*(P_StatusN="INACTIVE"))&gt;0,1,0))</f>
        <v/>
      </c>
    </row>
    <row r="971">
      <c r="A971">
        <f>IF(INDEX(L_ID,ROW()-4)="","",IF(COUNTIF(P_ID,INDEX(L_ID,ROW()-4))&gt;0,1,0))</f>
        <v/>
      </c>
      <c r="B971">
        <f>IF(INDEX(P_Type,ROW()-4)="","",TRIM(UPPER(INDEX(P_Type,ROW()-4))))</f>
        <v/>
      </c>
      <c r="D971">
        <f>IF(INDEX(L_Type,ROW()-4)="","",TRIM(UPPER(INDEX(L_Type,ROW()-4))))</f>
        <v/>
      </c>
      <c r="E971">
        <f>IF(INDEX(P_Status,ROW()-4)="","",TRIM(UPPER(INDEX(P_Status,ROW()-4))))</f>
        <v/>
      </c>
      <c r="G971">
        <f>IF(INDEX(L_Status,ROW()-4)="","",TRIM(UPPER(INDEX(L_Status,ROW()-4))))</f>
        <v/>
      </c>
      <c r="J971">
        <f>IF(INDEX(L_ID,ROW()-4)="","",IF(SUMPRODUCT((P_ID=INDEX(L_ID,ROW()-4))*(P_StatusN="INACTIVE"))&gt;0,1,0))</f>
        <v/>
      </c>
    </row>
    <row r="972">
      <c r="A972">
        <f>IF(INDEX(L_ID,ROW()-4)="","",IF(COUNTIF(P_ID,INDEX(L_ID,ROW()-4))&gt;0,1,0))</f>
        <v/>
      </c>
      <c r="B972">
        <f>IF(INDEX(P_Type,ROW()-4)="","",TRIM(UPPER(INDEX(P_Type,ROW()-4))))</f>
        <v/>
      </c>
      <c r="D972">
        <f>IF(INDEX(L_Type,ROW()-4)="","",TRIM(UPPER(INDEX(L_Type,ROW()-4))))</f>
        <v/>
      </c>
      <c r="E972">
        <f>IF(INDEX(P_Status,ROW()-4)="","",TRIM(UPPER(INDEX(P_Status,ROW()-4))))</f>
        <v/>
      </c>
      <c r="G972">
        <f>IF(INDEX(L_Status,ROW()-4)="","",TRIM(UPPER(INDEX(L_Status,ROW()-4))))</f>
        <v/>
      </c>
      <c r="J972">
        <f>IF(INDEX(L_ID,ROW()-4)="","",IF(SUMPRODUCT((P_ID=INDEX(L_ID,ROW()-4))*(P_StatusN="INACTIVE"))&gt;0,1,0))</f>
        <v/>
      </c>
    </row>
    <row r="973">
      <c r="A973">
        <f>IF(INDEX(L_ID,ROW()-4)="","",IF(COUNTIF(P_ID,INDEX(L_ID,ROW()-4))&gt;0,1,0))</f>
        <v/>
      </c>
      <c r="B973">
        <f>IF(INDEX(P_Type,ROW()-4)="","",TRIM(UPPER(INDEX(P_Type,ROW()-4))))</f>
        <v/>
      </c>
      <c r="D973">
        <f>IF(INDEX(L_Type,ROW()-4)="","",TRIM(UPPER(INDEX(L_Type,ROW()-4))))</f>
        <v/>
      </c>
      <c r="E973">
        <f>IF(INDEX(P_Status,ROW()-4)="","",TRIM(UPPER(INDEX(P_Status,ROW()-4))))</f>
        <v/>
      </c>
      <c r="G973">
        <f>IF(INDEX(L_Status,ROW()-4)="","",TRIM(UPPER(INDEX(L_Status,ROW()-4))))</f>
        <v/>
      </c>
      <c r="J973">
        <f>IF(INDEX(L_ID,ROW()-4)="","",IF(SUMPRODUCT((P_ID=INDEX(L_ID,ROW()-4))*(P_StatusN="INACTIVE"))&gt;0,1,0))</f>
        <v/>
      </c>
    </row>
    <row r="974">
      <c r="A974">
        <f>IF(INDEX(L_ID,ROW()-4)="","",IF(COUNTIF(P_ID,INDEX(L_ID,ROW()-4))&gt;0,1,0))</f>
        <v/>
      </c>
      <c r="B974">
        <f>IF(INDEX(P_Type,ROW()-4)="","",TRIM(UPPER(INDEX(P_Type,ROW()-4))))</f>
        <v/>
      </c>
      <c r="D974">
        <f>IF(INDEX(L_Type,ROW()-4)="","",TRIM(UPPER(INDEX(L_Type,ROW()-4))))</f>
        <v/>
      </c>
      <c r="E974">
        <f>IF(INDEX(P_Status,ROW()-4)="","",TRIM(UPPER(INDEX(P_Status,ROW()-4))))</f>
        <v/>
      </c>
      <c r="G974">
        <f>IF(INDEX(L_Status,ROW()-4)="","",TRIM(UPPER(INDEX(L_Status,ROW()-4))))</f>
        <v/>
      </c>
      <c r="J974">
        <f>IF(INDEX(L_ID,ROW()-4)="","",IF(SUMPRODUCT((P_ID=INDEX(L_ID,ROW()-4))*(P_StatusN="INACTIVE"))&gt;0,1,0))</f>
        <v/>
      </c>
    </row>
    <row r="975">
      <c r="A975">
        <f>IF(INDEX(L_ID,ROW()-4)="","",IF(COUNTIF(P_ID,INDEX(L_ID,ROW()-4))&gt;0,1,0))</f>
        <v/>
      </c>
      <c r="B975">
        <f>IF(INDEX(P_Type,ROW()-4)="","",TRIM(UPPER(INDEX(P_Type,ROW()-4))))</f>
        <v/>
      </c>
      <c r="D975">
        <f>IF(INDEX(L_Type,ROW()-4)="","",TRIM(UPPER(INDEX(L_Type,ROW()-4))))</f>
        <v/>
      </c>
      <c r="E975">
        <f>IF(INDEX(P_Status,ROW()-4)="","",TRIM(UPPER(INDEX(P_Status,ROW()-4))))</f>
        <v/>
      </c>
      <c r="G975">
        <f>IF(INDEX(L_Status,ROW()-4)="","",TRIM(UPPER(INDEX(L_Status,ROW()-4))))</f>
        <v/>
      </c>
      <c r="J975">
        <f>IF(INDEX(L_ID,ROW()-4)="","",IF(SUMPRODUCT((P_ID=INDEX(L_ID,ROW()-4))*(P_StatusN="INACTIVE"))&gt;0,1,0))</f>
        <v/>
      </c>
    </row>
    <row r="976">
      <c r="A976">
        <f>IF(INDEX(L_ID,ROW()-4)="","",IF(COUNTIF(P_ID,INDEX(L_ID,ROW()-4))&gt;0,1,0))</f>
        <v/>
      </c>
      <c r="B976">
        <f>IF(INDEX(P_Type,ROW()-4)="","",TRIM(UPPER(INDEX(P_Type,ROW()-4))))</f>
        <v/>
      </c>
      <c r="D976">
        <f>IF(INDEX(L_Type,ROW()-4)="","",TRIM(UPPER(INDEX(L_Type,ROW()-4))))</f>
        <v/>
      </c>
      <c r="E976">
        <f>IF(INDEX(P_Status,ROW()-4)="","",TRIM(UPPER(INDEX(P_Status,ROW()-4))))</f>
        <v/>
      </c>
      <c r="G976">
        <f>IF(INDEX(L_Status,ROW()-4)="","",TRIM(UPPER(INDEX(L_Status,ROW()-4))))</f>
        <v/>
      </c>
      <c r="J976">
        <f>IF(INDEX(L_ID,ROW()-4)="","",IF(SUMPRODUCT((P_ID=INDEX(L_ID,ROW()-4))*(P_StatusN="INACTIVE"))&gt;0,1,0))</f>
        <v/>
      </c>
    </row>
    <row r="977">
      <c r="A977">
        <f>IF(INDEX(L_ID,ROW()-4)="","",IF(COUNTIF(P_ID,INDEX(L_ID,ROW()-4))&gt;0,1,0))</f>
        <v/>
      </c>
      <c r="B977">
        <f>IF(INDEX(P_Type,ROW()-4)="","",TRIM(UPPER(INDEX(P_Type,ROW()-4))))</f>
        <v/>
      </c>
      <c r="D977">
        <f>IF(INDEX(L_Type,ROW()-4)="","",TRIM(UPPER(INDEX(L_Type,ROW()-4))))</f>
        <v/>
      </c>
      <c r="E977">
        <f>IF(INDEX(P_Status,ROW()-4)="","",TRIM(UPPER(INDEX(P_Status,ROW()-4))))</f>
        <v/>
      </c>
      <c r="G977">
        <f>IF(INDEX(L_Status,ROW()-4)="","",TRIM(UPPER(INDEX(L_Status,ROW()-4))))</f>
        <v/>
      </c>
      <c r="J977">
        <f>IF(INDEX(L_ID,ROW()-4)="","",IF(SUMPRODUCT((P_ID=INDEX(L_ID,ROW()-4))*(P_StatusN="INACTIVE"))&gt;0,1,0))</f>
        <v/>
      </c>
    </row>
    <row r="978">
      <c r="A978">
        <f>IF(INDEX(L_ID,ROW()-4)="","",IF(COUNTIF(P_ID,INDEX(L_ID,ROW()-4))&gt;0,1,0))</f>
        <v/>
      </c>
      <c r="B978">
        <f>IF(INDEX(P_Type,ROW()-4)="","",TRIM(UPPER(INDEX(P_Type,ROW()-4))))</f>
        <v/>
      </c>
      <c r="D978">
        <f>IF(INDEX(L_Type,ROW()-4)="","",TRIM(UPPER(INDEX(L_Type,ROW()-4))))</f>
        <v/>
      </c>
      <c r="E978">
        <f>IF(INDEX(P_Status,ROW()-4)="","",TRIM(UPPER(INDEX(P_Status,ROW()-4))))</f>
        <v/>
      </c>
      <c r="G978">
        <f>IF(INDEX(L_Status,ROW()-4)="","",TRIM(UPPER(INDEX(L_Status,ROW()-4))))</f>
        <v/>
      </c>
      <c r="J978">
        <f>IF(INDEX(L_ID,ROW()-4)="","",IF(SUMPRODUCT((P_ID=INDEX(L_ID,ROW()-4))*(P_StatusN="INACTIVE"))&gt;0,1,0))</f>
        <v/>
      </c>
    </row>
    <row r="979">
      <c r="A979">
        <f>IF(INDEX(L_ID,ROW()-4)="","",IF(COUNTIF(P_ID,INDEX(L_ID,ROW()-4))&gt;0,1,0))</f>
        <v/>
      </c>
      <c r="B979">
        <f>IF(INDEX(P_Type,ROW()-4)="","",TRIM(UPPER(INDEX(P_Type,ROW()-4))))</f>
        <v/>
      </c>
      <c r="D979">
        <f>IF(INDEX(L_Type,ROW()-4)="","",TRIM(UPPER(INDEX(L_Type,ROW()-4))))</f>
        <v/>
      </c>
      <c r="E979">
        <f>IF(INDEX(P_Status,ROW()-4)="","",TRIM(UPPER(INDEX(P_Status,ROW()-4))))</f>
        <v/>
      </c>
      <c r="G979">
        <f>IF(INDEX(L_Status,ROW()-4)="","",TRIM(UPPER(INDEX(L_Status,ROW()-4))))</f>
        <v/>
      </c>
      <c r="J979">
        <f>IF(INDEX(L_ID,ROW()-4)="","",IF(SUMPRODUCT((P_ID=INDEX(L_ID,ROW()-4))*(P_StatusN="INACTIVE"))&gt;0,1,0))</f>
        <v/>
      </c>
    </row>
    <row r="980">
      <c r="A980">
        <f>IF(INDEX(L_ID,ROW()-4)="","",IF(COUNTIF(P_ID,INDEX(L_ID,ROW()-4))&gt;0,1,0))</f>
        <v/>
      </c>
      <c r="B980">
        <f>IF(INDEX(P_Type,ROW()-4)="","",TRIM(UPPER(INDEX(P_Type,ROW()-4))))</f>
        <v/>
      </c>
      <c r="D980">
        <f>IF(INDEX(L_Type,ROW()-4)="","",TRIM(UPPER(INDEX(L_Type,ROW()-4))))</f>
        <v/>
      </c>
      <c r="E980">
        <f>IF(INDEX(P_Status,ROW()-4)="","",TRIM(UPPER(INDEX(P_Status,ROW()-4))))</f>
        <v/>
      </c>
      <c r="G980">
        <f>IF(INDEX(L_Status,ROW()-4)="","",TRIM(UPPER(INDEX(L_Status,ROW()-4))))</f>
        <v/>
      </c>
      <c r="J980">
        <f>IF(INDEX(L_ID,ROW()-4)="","",IF(SUMPRODUCT((P_ID=INDEX(L_ID,ROW()-4))*(P_StatusN="INACTIVE"))&gt;0,1,0))</f>
        <v/>
      </c>
    </row>
    <row r="981">
      <c r="A981">
        <f>IF(INDEX(L_ID,ROW()-4)="","",IF(COUNTIF(P_ID,INDEX(L_ID,ROW()-4))&gt;0,1,0))</f>
        <v/>
      </c>
      <c r="B981">
        <f>IF(INDEX(P_Type,ROW()-4)="","",TRIM(UPPER(INDEX(P_Type,ROW()-4))))</f>
        <v/>
      </c>
      <c r="D981">
        <f>IF(INDEX(L_Type,ROW()-4)="","",TRIM(UPPER(INDEX(L_Type,ROW()-4))))</f>
        <v/>
      </c>
      <c r="E981">
        <f>IF(INDEX(P_Status,ROW()-4)="","",TRIM(UPPER(INDEX(P_Status,ROW()-4))))</f>
        <v/>
      </c>
      <c r="G981">
        <f>IF(INDEX(L_Status,ROW()-4)="","",TRIM(UPPER(INDEX(L_Status,ROW()-4))))</f>
        <v/>
      </c>
      <c r="J981">
        <f>IF(INDEX(L_ID,ROW()-4)="","",IF(SUMPRODUCT((P_ID=INDEX(L_ID,ROW()-4))*(P_StatusN="INACTIVE"))&gt;0,1,0))</f>
        <v/>
      </c>
    </row>
    <row r="982">
      <c r="A982">
        <f>IF(INDEX(L_ID,ROW()-4)="","",IF(COUNTIF(P_ID,INDEX(L_ID,ROW()-4))&gt;0,1,0))</f>
        <v/>
      </c>
      <c r="B982">
        <f>IF(INDEX(P_Type,ROW()-4)="","",TRIM(UPPER(INDEX(P_Type,ROW()-4))))</f>
        <v/>
      </c>
      <c r="D982">
        <f>IF(INDEX(L_Type,ROW()-4)="","",TRIM(UPPER(INDEX(L_Type,ROW()-4))))</f>
        <v/>
      </c>
      <c r="E982">
        <f>IF(INDEX(P_Status,ROW()-4)="","",TRIM(UPPER(INDEX(P_Status,ROW()-4))))</f>
        <v/>
      </c>
      <c r="G982">
        <f>IF(INDEX(L_Status,ROW()-4)="","",TRIM(UPPER(INDEX(L_Status,ROW()-4))))</f>
        <v/>
      </c>
      <c r="J982">
        <f>IF(INDEX(L_ID,ROW()-4)="","",IF(SUMPRODUCT((P_ID=INDEX(L_ID,ROW()-4))*(P_StatusN="INACTIVE"))&gt;0,1,0))</f>
        <v/>
      </c>
    </row>
    <row r="983">
      <c r="A983">
        <f>IF(INDEX(L_ID,ROW()-4)="","",IF(COUNTIF(P_ID,INDEX(L_ID,ROW()-4))&gt;0,1,0))</f>
        <v/>
      </c>
      <c r="B983">
        <f>IF(INDEX(P_Type,ROW()-4)="","",TRIM(UPPER(INDEX(P_Type,ROW()-4))))</f>
        <v/>
      </c>
      <c r="D983">
        <f>IF(INDEX(L_Type,ROW()-4)="","",TRIM(UPPER(INDEX(L_Type,ROW()-4))))</f>
        <v/>
      </c>
      <c r="E983">
        <f>IF(INDEX(P_Status,ROW()-4)="","",TRIM(UPPER(INDEX(P_Status,ROW()-4))))</f>
        <v/>
      </c>
      <c r="G983">
        <f>IF(INDEX(L_Status,ROW()-4)="","",TRIM(UPPER(INDEX(L_Status,ROW()-4))))</f>
        <v/>
      </c>
      <c r="J983">
        <f>IF(INDEX(L_ID,ROW()-4)="","",IF(SUMPRODUCT((P_ID=INDEX(L_ID,ROW()-4))*(P_StatusN="INACTIVE"))&gt;0,1,0))</f>
        <v/>
      </c>
    </row>
    <row r="984">
      <c r="A984">
        <f>IF(INDEX(L_ID,ROW()-4)="","",IF(COUNTIF(P_ID,INDEX(L_ID,ROW()-4))&gt;0,1,0))</f>
        <v/>
      </c>
      <c r="B984">
        <f>IF(INDEX(P_Type,ROW()-4)="","",TRIM(UPPER(INDEX(P_Type,ROW()-4))))</f>
        <v/>
      </c>
      <c r="D984">
        <f>IF(INDEX(L_Type,ROW()-4)="","",TRIM(UPPER(INDEX(L_Type,ROW()-4))))</f>
        <v/>
      </c>
      <c r="E984">
        <f>IF(INDEX(P_Status,ROW()-4)="","",TRIM(UPPER(INDEX(P_Status,ROW()-4))))</f>
        <v/>
      </c>
      <c r="G984">
        <f>IF(INDEX(L_Status,ROW()-4)="","",TRIM(UPPER(INDEX(L_Status,ROW()-4))))</f>
        <v/>
      </c>
      <c r="J984">
        <f>IF(INDEX(L_ID,ROW()-4)="","",IF(SUMPRODUCT((P_ID=INDEX(L_ID,ROW()-4))*(P_StatusN="INACTIVE"))&gt;0,1,0))</f>
        <v/>
      </c>
    </row>
    <row r="985">
      <c r="A985">
        <f>IF(INDEX(L_ID,ROW()-4)="","",IF(COUNTIF(P_ID,INDEX(L_ID,ROW()-4))&gt;0,1,0))</f>
        <v/>
      </c>
      <c r="B985">
        <f>IF(INDEX(P_Type,ROW()-4)="","",TRIM(UPPER(INDEX(P_Type,ROW()-4))))</f>
        <v/>
      </c>
      <c r="D985">
        <f>IF(INDEX(L_Type,ROW()-4)="","",TRIM(UPPER(INDEX(L_Type,ROW()-4))))</f>
        <v/>
      </c>
      <c r="E985">
        <f>IF(INDEX(P_Status,ROW()-4)="","",TRIM(UPPER(INDEX(P_Status,ROW()-4))))</f>
        <v/>
      </c>
      <c r="G985">
        <f>IF(INDEX(L_Status,ROW()-4)="","",TRIM(UPPER(INDEX(L_Status,ROW()-4))))</f>
        <v/>
      </c>
      <c r="J985">
        <f>IF(INDEX(L_ID,ROW()-4)="","",IF(SUMPRODUCT((P_ID=INDEX(L_ID,ROW()-4))*(P_StatusN="INACTIVE"))&gt;0,1,0))</f>
        <v/>
      </c>
    </row>
    <row r="986">
      <c r="A986">
        <f>IF(INDEX(L_ID,ROW()-4)="","",IF(COUNTIF(P_ID,INDEX(L_ID,ROW()-4))&gt;0,1,0))</f>
        <v/>
      </c>
      <c r="B986">
        <f>IF(INDEX(P_Type,ROW()-4)="","",TRIM(UPPER(INDEX(P_Type,ROW()-4))))</f>
        <v/>
      </c>
      <c r="D986">
        <f>IF(INDEX(L_Type,ROW()-4)="","",TRIM(UPPER(INDEX(L_Type,ROW()-4))))</f>
        <v/>
      </c>
      <c r="E986">
        <f>IF(INDEX(P_Status,ROW()-4)="","",TRIM(UPPER(INDEX(P_Status,ROW()-4))))</f>
        <v/>
      </c>
      <c r="G986">
        <f>IF(INDEX(L_Status,ROW()-4)="","",TRIM(UPPER(INDEX(L_Status,ROW()-4))))</f>
        <v/>
      </c>
      <c r="J986">
        <f>IF(INDEX(L_ID,ROW()-4)="","",IF(SUMPRODUCT((P_ID=INDEX(L_ID,ROW()-4))*(P_StatusN="INACTIVE"))&gt;0,1,0))</f>
        <v/>
      </c>
    </row>
    <row r="987">
      <c r="A987">
        <f>IF(INDEX(L_ID,ROW()-4)="","",IF(COUNTIF(P_ID,INDEX(L_ID,ROW()-4))&gt;0,1,0))</f>
        <v/>
      </c>
      <c r="B987">
        <f>IF(INDEX(P_Type,ROW()-4)="","",TRIM(UPPER(INDEX(P_Type,ROW()-4))))</f>
        <v/>
      </c>
      <c r="D987">
        <f>IF(INDEX(L_Type,ROW()-4)="","",TRIM(UPPER(INDEX(L_Type,ROW()-4))))</f>
        <v/>
      </c>
      <c r="E987">
        <f>IF(INDEX(P_Status,ROW()-4)="","",TRIM(UPPER(INDEX(P_Status,ROW()-4))))</f>
        <v/>
      </c>
      <c r="G987">
        <f>IF(INDEX(L_Status,ROW()-4)="","",TRIM(UPPER(INDEX(L_Status,ROW()-4))))</f>
        <v/>
      </c>
      <c r="J987">
        <f>IF(INDEX(L_ID,ROW()-4)="","",IF(SUMPRODUCT((P_ID=INDEX(L_ID,ROW()-4))*(P_StatusN="INACTIVE"))&gt;0,1,0))</f>
        <v/>
      </c>
    </row>
    <row r="988">
      <c r="A988">
        <f>IF(INDEX(L_ID,ROW()-4)="","",IF(COUNTIF(P_ID,INDEX(L_ID,ROW()-4))&gt;0,1,0))</f>
        <v/>
      </c>
      <c r="B988">
        <f>IF(INDEX(P_Type,ROW()-4)="","",TRIM(UPPER(INDEX(P_Type,ROW()-4))))</f>
        <v/>
      </c>
      <c r="D988">
        <f>IF(INDEX(L_Type,ROW()-4)="","",TRIM(UPPER(INDEX(L_Type,ROW()-4))))</f>
        <v/>
      </c>
      <c r="E988">
        <f>IF(INDEX(P_Status,ROW()-4)="","",TRIM(UPPER(INDEX(P_Status,ROW()-4))))</f>
        <v/>
      </c>
      <c r="G988">
        <f>IF(INDEX(L_Status,ROW()-4)="","",TRIM(UPPER(INDEX(L_Status,ROW()-4))))</f>
        <v/>
      </c>
      <c r="J988">
        <f>IF(INDEX(L_ID,ROW()-4)="","",IF(SUMPRODUCT((P_ID=INDEX(L_ID,ROW()-4))*(P_StatusN="INACTIVE"))&gt;0,1,0))</f>
        <v/>
      </c>
    </row>
    <row r="989">
      <c r="A989">
        <f>IF(INDEX(L_ID,ROW()-4)="","",IF(COUNTIF(P_ID,INDEX(L_ID,ROW()-4))&gt;0,1,0))</f>
        <v/>
      </c>
      <c r="B989">
        <f>IF(INDEX(P_Type,ROW()-4)="","",TRIM(UPPER(INDEX(P_Type,ROW()-4))))</f>
        <v/>
      </c>
      <c r="D989">
        <f>IF(INDEX(L_Type,ROW()-4)="","",TRIM(UPPER(INDEX(L_Type,ROW()-4))))</f>
        <v/>
      </c>
      <c r="E989">
        <f>IF(INDEX(P_Status,ROW()-4)="","",TRIM(UPPER(INDEX(P_Status,ROW()-4))))</f>
        <v/>
      </c>
      <c r="G989">
        <f>IF(INDEX(L_Status,ROW()-4)="","",TRIM(UPPER(INDEX(L_Status,ROW()-4))))</f>
        <v/>
      </c>
      <c r="J989">
        <f>IF(INDEX(L_ID,ROW()-4)="","",IF(SUMPRODUCT((P_ID=INDEX(L_ID,ROW()-4))*(P_StatusN="INACTIVE"))&gt;0,1,0))</f>
        <v/>
      </c>
    </row>
    <row r="990">
      <c r="A990">
        <f>IF(INDEX(L_ID,ROW()-4)="","",IF(COUNTIF(P_ID,INDEX(L_ID,ROW()-4))&gt;0,1,0))</f>
        <v/>
      </c>
      <c r="B990">
        <f>IF(INDEX(P_Type,ROW()-4)="","",TRIM(UPPER(INDEX(P_Type,ROW()-4))))</f>
        <v/>
      </c>
      <c r="D990">
        <f>IF(INDEX(L_Type,ROW()-4)="","",TRIM(UPPER(INDEX(L_Type,ROW()-4))))</f>
        <v/>
      </c>
      <c r="E990">
        <f>IF(INDEX(P_Status,ROW()-4)="","",TRIM(UPPER(INDEX(P_Status,ROW()-4))))</f>
        <v/>
      </c>
      <c r="G990">
        <f>IF(INDEX(L_Status,ROW()-4)="","",TRIM(UPPER(INDEX(L_Status,ROW()-4))))</f>
        <v/>
      </c>
      <c r="J990">
        <f>IF(INDEX(L_ID,ROW()-4)="","",IF(SUMPRODUCT((P_ID=INDEX(L_ID,ROW()-4))*(P_StatusN="INACTIVE"))&gt;0,1,0))</f>
        <v/>
      </c>
    </row>
    <row r="991">
      <c r="A991">
        <f>IF(INDEX(L_ID,ROW()-4)="","",IF(COUNTIF(P_ID,INDEX(L_ID,ROW()-4))&gt;0,1,0))</f>
        <v/>
      </c>
      <c r="B991">
        <f>IF(INDEX(P_Type,ROW()-4)="","",TRIM(UPPER(INDEX(P_Type,ROW()-4))))</f>
        <v/>
      </c>
      <c r="D991">
        <f>IF(INDEX(L_Type,ROW()-4)="","",TRIM(UPPER(INDEX(L_Type,ROW()-4))))</f>
        <v/>
      </c>
      <c r="E991">
        <f>IF(INDEX(P_Status,ROW()-4)="","",TRIM(UPPER(INDEX(P_Status,ROW()-4))))</f>
        <v/>
      </c>
      <c r="G991">
        <f>IF(INDEX(L_Status,ROW()-4)="","",TRIM(UPPER(INDEX(L_Status,ROW()-4))))</f>
        <v/>
      </c>
      <c r="J991">
        <f>IF(INDEX(L_ID,ROW()-4)="","",IF(SUMPRODUCT((P_ID=INDEX(L_ID,ROW()-4))*(P_StatusN="INACTIVE"))&gt;0,1,0))</f>
        <v/>
      </c>
    </row>
    <row r="992">
      <c r="A992">
        <f>IF(INDEX(L_ID,ROW()-4)="","",IF(COUNTIF(P_ID,INDEX(L_ID,ROW()-4))&gt;0,1,0))</f>
        <v/>
      </c>
      <c r="B992">
        <f>IF(INDEX(P_Type,ROW()-4)="","",TRIM(UPPER(INDEX(P_Type,ROW()-4))))</f>
        <v/>
      </c>
      <c r="D992">
        <f>IF(INDEX(L_Type,ROW()-4)="","",TRIM(UPPER(INDEX(L_Type,ROW()-4))))</f>
        <v/>
      </c>
      <c r="E992">
        <f>IF(INDEX(P_Status,ROW()-4)="","",TRIM(UPPER(INDEX(P_Status,ROW()-4))))</f>
        <v/>
      </c>
      <c r="G992">
        <f>IF(INDEX(L_Status,ROW()-4)="","",TRIM(UPPER(INDEX(L_Status,ROW()-4))))</f>
        <v/>
      </c>
      <c r="J992">
        <f>IF(INDEX(L_ID,ROW()-4)="","",IF(SUMPRODUCT((P_ID=INDEX(L_ID,ROW()-4))*(P_StatusN="INACTIVE"))&gt;0,1,0))</f>
        <v/>
      </c>
    </row>
    <row r="993">
      <c r="A993">
        <f>IF(INDEX(L_ID,ROW()-4)="","",IF(COUNTIF(P_ID,INDEX(L_ID,ROW()-4))&gt;0,1,0))</f>
        <v/>
      </c>
      <c r="B993">
        <f>IF(INDEX(P_Type,ROW()-4)="","",TRIM(UPPER(INDEX(P_Type,ROW()-4))))</f>
        <v/>
      </c>
      <c r="D993">
        <f>IF(INDEX(L_Type,ROW()-4)="","",TRIM(UPPER(INDEX(L_Type,ROW()-4))))</f>
        <v/>
      </c>
      <c r="E993">
        <f>IF(INDEX(P_Status,ROW()-4)="","",TRIM(UPPER(INDEX(P_Status,ROW()-4))))</f>
        <v/>
      </c>
      <c r="G993">
        <f>IF(INDEX(L_Status,ROW()-4)="","",TRIM(UPPER(INDEX(L_Status,ROW()-4))))</f>
        <v/>
      </c>
      <c r="J993">
        <f>IF(INDEX(L_ID,ROW()-4)="","",IF(SUMPRODUCT((P_ID=INDEX(L_ID,ROW()-4))*(P_StatusN="INACTIVE"))&gt;0,1,0))</f>
        <v/>
      </c>
    </row>
    <row r="994">
      <c r="A994">
        <f>IF(INDEX(L_ID,ROW()-4)="","",IF(COUNTIF(P_ID,INDEX(L_ID,ROW()-4))&gt;0,1,0))</f>
        <v/>
      </c>
      <c r="B994">
        <f>IF(INDEX(P_Type,ROW()-4)="","",TRIM(UPPER(INDEX(P_Type,ROW()-4))))</f>
        <v/>
      </c>
      <c r="D994">
        <f>IF(INDEX(L_Type,ROW()-4)="","",TRIM(UPPER(INDEX(L_Type,ROW()-4))))</f>
        <v/>
      </c>
      <c r="E994">
        <f>IF(INDEX(P_Status,ROW()-4)="","",TRIM(UPPER(INDEX(P_Status,ROW()-4))))</f>
        <v/>
      </c>
      <c r="G994">
        <f>IF(INDEX(L_Status,ROW()-4)="","",TRIM(UPPER(INDEX(L_Status,ROW()-4))))</f>
        <v/>
      </c>
      <c r="J994">
        <f>IF(INDEX(L_ID,ROW()-4)="","",IF(SUMPRODUCT((P_ID=INDEX(L_ID,ROW()-4))*(P_StatusN="INACTIVE"))&gt;0,1,0))</f>
        <v/>
      </c>
    </row>
    <row r="995">
      <c r="A995">
        <f>IF(INDEX(L_ID,ROW()-4)="","",IF(COUNTIF(P_ID,INDEX(L_ID,ROW()-4))&gt;0,1,0))</f>
        <v/>
      </c>
      <c r="B995">
        <f>IF(INDEX(P_Type,ROW()-4)="","",TRIM(UPPER(INDEX(P_Type,ROW()-4))))</f>
        <v/>
      </c>
      <c r="D995">
        <f>IF(INDEX(L_Type,ROW()-4)="","",TRIM(UPPER(INDEX(L_Type,ROW()-4))))</f>
        <v/>
      </c>
      <c r="E995">
        <f>IF(INDEX(P_Status,ROW()-4)="","",TRIM(UPPER(INDEX(P_Status,ROW()-4))))</f>
        <v/>
      </c>
      <c r="G995">
        <f>IF(INDEX(L_Status,ROW()-4)="","",TRIM(UPPER(INDEX(L_Status,ROW()-4))))</f>
        <v/>
      </c>
      <c r="J995">
        <f>IF(INDEX(L_ID,ROW()-4)="","",IF(SUMPRODUCT((P_ID=INDEX(L_ID,ROW()-4))*(P_StatusN="INACTIVE"))&gt;0,1,0))</f>
        <v/>
      </c>
    </row>
    <row r="996">
      <c r="A996">
        <f>IF(INDEX(L_ID,ROW()-4)="","",IF(COUNTIF(P_ID,INDEX(L_ID,ROW()-4))&gt;0,1,0))</f>
        <v/>
      </c>
      <c r="B996">
        <f>IF(INDEX(P_Type,ROW()-4)="","",TRIM(UPPER(INDEX(P_Type,ROW()-4))))</f>
        <v/>
      </c>
      <c r="D996">
        <f>IF(INDEX(L_Type,ROW()-4)="","",TRIM(UPPER(INDEX(L_Type,ROW()-4))))</f>
        <v/>
      </c>
      <c r="E996">
        <f>IF(INDEX(P_Status,ROW()-4)="","",TRIM(UPPER(INDEX(P_Status,ROW()-4))))</f>
        <v/>
      </c>
      <c r="G996">
        <f>IF(INDEX(L_Status,ROW()-4)="","",TRIM(UPPER(INDEX(L_Status,ROW()-4))))</f>
        <v/>
      </c>
      <c r="J996">
        <f>IF(INDEX(L_ID,ROW()-4)="","",IF(SUMPRODUCT((P_ID=INDEX(L_ID,ROW()-4))*(P_StatusN="INACTIVE"))&gt;0,1,0))</f>
        <v/>
      </c>
    </row>
    <row r="997">
      <c r="A997">
        <f>IF(INDEX(L_ID,ROW()-4)="","",IF(COUNTIF(P_ID,INDEX(L_ID,ROW()-4))&gt;0,1,0))</f>
        <v/>
      </c>
      <c r="B997">
        <f>IF(INDEX(P_Type,ROW()-4)="","",TRIM(UPPER(INDEX(P_Type,ROW()-4))))</f>
        <v/>
      </c>
      <c r="D997">
        <f>IF(INDEX(L_Type,ROW()-4)="","",TRIM(UPPER(INDEX(L_Type,ROW()-4))))</f>
        <v/>
      </c>
      <c r="E997">
        <f>IF(INDEX(P_Status,ROW()-4)="","",TRIM(UPPER(INDEX(P_Status,ROW()-4))))</f>
        <v/>
      </c>
      <c r="G997">
        <f>IF(INDEX(L_Status,ROW()-4)="","",TRIM(UPPER(INDEX(L_Status,ROW()-4))))</f>
        <v/>
      </c>
      <c r="J997">
        <f>IF(INDEX(L_ID,ROW()-4)="","",IF(SUMPRODUCT((P_ID=INDEX(L_ID,ROW()-4))*(P_StatusN="INACTIVE"))&gt;0,1,0))</f>
        <v/>
      </c>
    </row>
    <row r="998">
      <c r="A998">
        <f>IF(INDEX(L_ID,ROW()-4)="","",IF(COUNTIF(P_ID,INDEX(L_ID,ROW()-4))&gt;0,1,0))</f>
        <v/>
      </c>
      <c r="B998">
        <f>IF(INDEX(P_Type,ROW()-4)="","",TRIM(UPPER(INDEX(P_Type,ROW()-4))))</f>
        <v/>
      </c>
      <c r="D998">
        <f>IF(INDEX(L_Type,ROW()-4)="","",TRIM(UPPER(INDEX(L_Type,ROW()-4))))</f>
        <v/>
      </c>
      <c r="E998">
        <f>IF(INDEX(P_Status,ROW()-4)="","",TRIM(UPPER(INDEX(P_Status,ROW()-4))))</f>
        <v/>
      </c>
      <c r="G998">
        <f>IF(INDEX(L_Status,ROW()-4)="","",TRIM(UPPER(INDEX(L_Status,ROW()-4))))</f>
        <v/>
      </c>
      <c r="J998">
        <f>IF(INDEX(L_ID,ROW()-4)="","",IF(SUMPRODUCT((P_ID=INDEX(L_ID,ROW()-4))*(P_StatusN="INACTIVE"))&gt;0,1,0))</f>
        <v/>
      </c>
    </row>
    <row r="999">
      <c r="A999">
        <f>IF(INDEX(L_ID,ROW()-4)="","",IF(COUNTIF(P_ID,INDEX(L_ID,ROW()-4))&gt;0,1,0))</f>
        <v/>
      </c>
      <c r="B999">
        <f>IF(INDEX(P_Type,ROW()-4)="","",TRIM(UPPER(INDEX(P_Type,ROW()-4))))</f>
        <v/>
      </c>
      <c r="D999">
        <f>IF(INDEX(L_Type,ROW()-4)="","",TRIM(UPPER(INDEX(L_Type,ROW()-4))))</f>
        <v/>
      </c>
      <c r="E999">
        <f>IF(INDEX(P_Status,ROW()-4)="","",TRIM(UPPER(INDEX(P_Status,ROW()-4))))</f>
        <v/>
      </c>
      <c r="G999">
        <f>IF(INDEX(L_Status,ROW()-4)="","",TRIM(UPPER(INDEX(L_Status,ROW()-4))))</f>
        <v/>
      </c>
      <c r="J999">
        <f>IF(INDEX(L_ID,ROW()-4)="","",IF(SUMPRODUCT((P_ID=INDEX(L_ID,ROW()-4))*(P_StatusN="INACTIVE"))&gt;0,1,0))</f>
        <v/>
      </c>
    </row>
    <row r="1000">
      <c r="A1000">
        <f>IF(INDEX(L_ID,ROW()-4)="","",IF(COUNTIF(P_ID,INDEX(L_ID,ROW()-4))&gt;0,1,0))</f>
        <v/>
      </c>
      <c r="B1000">
        <f>IF(INDEX(P_Type,ROW()-4)="","",TRIM(UPPER(INDEX(P_Type,ROW()-4))))</f>
        <v/>
      </c>
      <c r="D1000">
        <f>IF(INDEX(L_Type,ROW()-4)="","",TRIM(UPPER(INDEX(L_Type,ROW()-4))))</f>
        <v/>
      </c>
      <c r="E1000">
        <f>IF(INDEX(P_Status,ROW()-4)="","",TRIM(UPPER(INDEX(P_Status,ROW()-4))))</f>
        <v/>
      </c>
      <c r="G1000">
        <f>IF(INDEX(L_Status,ROW()-4)="","",TRIM(UPPER(INDEX(L_Status,ROW()-4))))</f>
        <v/>
      </c>
      <c r="J1000">
        <f>IF(INDEX(L_ID,ROW()-4)="","",IF(SUMPRODUCT((P_ID=INDEX(L_ID,ROW()-4))*(P_StatusN="INACTIVE"))&gt;0,1,0))</f>
        <v/>
      </c>
    </row>
    <row r="1001">
      <c r="A1001">
        <f>IF(INDEX(L_ID,ROW()-4)="","",IF(COUNTIF(P_ID,INDEX(L_ID,ROW()-4))&gt;0,1,0))</f>
        <v/>
      </c>
      <c r="B1001">
        <f>IF(INDEX(P_Type,ROW()-4)="","",TRIM(UPPER(INDEX(P_Type,ROW()-4))))</f>
        <v/>
      </c>
      <c r="D1001">
        <f>IF(INDEX(L_Type,ROW()-4)="","",TRIM(UPPER(INDEX(L_Type,ROW()-4))))</f>
        <v/>
      </c>
      <c r="E1001">
        <f>IF(INDEX(P_Status,ROW()-4)="","",TRIM(UPPER(INDEX(P_Status,ROW()-4))))</f>
        <v/>
      </c>
      <c r="G1001">
        <f>IF(INDEX(L_Status,ROW()-4)="","",TRIM(UPPER(INDEX(L_Status,ROW()-4))))</f>
        <v/>
      </c>
      <c r="J1001">
        <f>IF(INDEX(L_ID,ROW()-4)="","",IF(SUMPRODUCT((P_ID=INDEX(L_ID,ROW()-4))*(P_StatusN="INACTIVE"))&gt;0,1,0))</f>
        <v/>
      </c>
    </row>
    <row r="1002">
      <c r="A1002">
        <f>IF(INDEX(L_ID,ROW()-4)="","",IF(COUNTIF(P_ID,INDEX(L_ID,ROW()-4))&gt;0,1,0))</f>
        <v/>
      </c>
      <c r="B1002">
        <f>IF(INDEX(P_Type,ROW()-4)="","",TRIM(UPPER(INDEX(P_Type,ROW()-4))))</f>
        <v/>
      </c>
      <c r="D1002">
        <f>IF(INDEX(L_Type,ROW()-4)="","",TRIM(UPPER(INDEX(L_Type,ROW()-4))))</f>
        <v/>
      </c>
      <c r="E1002">
        <f>IF(INDEX(P_Status,ROW()-4)="","",TRIM(UPPER(INDEX(P_Status,ROW()-4))))</f>
        <v/>
      </c>
      <c r="G1002">
        <f>IF(INDEX(L_Status,ROW()-4)="","",TRIM(UPPER(INDEX(L_Status,ROW()-4))))</f>
        <v/>
      </c>
      <c r="J1002">
        <f>IF(INDEX(L_ID,ROW()-4)="","",IF(SUMPRODUCT((P_ID=INDEX(L_ID,ROW()-4))*(P_StatusN="INACTIVE"))&gt;0,1,0))</f>
        <v/>
      </c>
    </row>
    <row r="1003">
      <c r="A1003">
        <f>IF(INDEX(L_ID,ROW()-4)="","",IF(COUNTIF(P_ID,INDEX(L_ID,ROW()-4))&gt;0,1,0))</f>
        <v/>
      </c>
      <c r="B1003">
        <f>IF(INDEX(P_Type,ROW()-4)="","",TRIM(UPPER(INDEX(P_Type,ROW()-4))))</f>
        <v/>
      </c>
      <c r="D1003">
        <f>IF(INDEX(L_Type,ROW()-4)="","",TRIM(UPPER(INDEX(L_Type,ROW()-4))))</f>
        <v/>
      </c>
      <c r="E1003">
        <f>IF(INDEX(P_Status,ROW()-4)="","",TRIM(UPPER(INDEX(P_Status,ROW()-4))))</f>
        <v/>
      </c>
      <c r="G1003">
        <f>IF(INDEX(L_Status,ROW()-4)="","",TRIM(UPPER(INDEX(L_Status,ROW()-4))))</f>
        <v/>
      </c>
      <c r="J1003">
        <f>IF(INDEX(L_ID,ROW()-4)="","",IF(SUMPRODUCT((P_ID=INDEX(L_ID,ROW()-4))*(P_StatusN="INACTIVE"))&gt;0,1,0))</f>
        <v/>
      </c>
    </row>
    <row r="1004">
      <c r="A1004">
        <f>IF(INDEX(L_ID,ROW()-4)="","",IF(COUNTIF(P_ID,INDEX(L_ID,ROW()-4))&gt;0,1,0))</f>
        <v/>
      </c>
      <c r="B1004">
        <f>IF(INDEX(P_Type,ROW()-4)="","",TRIM(UPPER(INDEX(P_Type,ROW()-4))))</f>
        <v/>
      </c>
      <c r="D1004">
        <f>IF(INDEX(L_Type,ROW()-4)="","",TRIM(UPPER(INDEX(L_Type,ROW()-4))))</f>
        <v/>
      </c>
      <c r="E1004">
        <f>IF(INDEX(P_Status,ROW()-4)="","",TRIM(UPPER(INDEX(P_Status,ROW()-4))))</f>
        <v/>
      </c>
      <c r="G1004">
        <f>IF(INDEX(L_Status,ROW()-4)="","",TRIM(UPPER(INDEX(L_Status,ROW()-4))))</f>
        <v/>
      </c>
      <c r="J1004">
        <f>IF(INDEX(L_ID,ROW()-4)="","",IF(SUMPRODUCT((P_ID=INDEX(L_ID,ROW()-4))*(P_StatusN="INACTIVE"))&gt;0,1,0))</f>
        <v/>
      </c>
    </row>
    <row r="1005">
      <c r="A1005">
        <f>IF(INDEX(L_ID,ROW()-4)="","",IF(COUNTIF(P_ID,INDEX(L_ID,ROW()-4))&gt;0,1,0))</f>
        <v/>
      </c>
      <c r="B1005">
        <f>IF(INDEX(P_Type,ROW()-4)="","",TRIM(UPPER(INDEX(P_Type,ROW()-4))))</f>
        <v/>
      </c>
      <c r="D1005">
        <f>IF(INDEX(L_Type,ROW()-4)="","",TRIM(UPPER(INDEX(L_Type,ROW()-4))))</f>
        <v/>
      </c>
      <c r="E1005">
        <f>IF(INDEX(P_Status,ROW()-4)="","",TRIM(UPPER(INDEX(P_Status,ROW()-4))))</f>
        <v/>
      </c>
      <c r="G1005">
        <f>IF(INDEX(L_Status,ROW()-4)="","",TRIM(UPPER(INDEX(L_Status,ROW()-4))))</f>
        <v/>
      </c>
      <c r="J1005">
        <f>IF(INDEX(L_ID,ROW()-4)="","",IF(SUMPRODUCT((P_ID=INDEX(L_ID,ROW()-4))*(P_StatusN="INACTIVE"))&gt;0,1,0))</f>
        <v/>
      </c>
    </row>
    <row r="1006">
      <c r="A1006">
        <f>IF(INDEX(L_ID,ROW()-4)="","",IF(COUNTIF(P_ID,INDEX(L_ID,ROW()-4))&gt;0,1,0))</f>
        <v/>
      </c>
      <c r="B1006">
        <f>IF(INDEX(P_Type,ROW()-4)="","",TRIM(UPPER(INDEX(P_Type,ROW()-4))))</f>
        <v/>
      </c>
      <c r="D1006">
        <f>IF(INDEX(L_Type,ROW()-4)="","",TRIM(UPPER(INDEX(L_Type,ROW()-4))))</f>
        <v/>
      </c>
      <c r="E1006">
        <f>IF(INDEX(P_Status,ROW()-4)="","",TRIM(UPPER(INDEX(P_Status,ROW()-4))))</f>
        <v/>
      </c>
      <c r="G1006">
        <f>IF(INDEX(L_Status,ROW()-4)="","",TRIM(UPPER(INDEX(L_Status,ROW()-4))))</f>
        <v/>
      </c>
      <c r="J1006">
        <f>IF(INDEX(L_ID,ROW()-4)="","",IF(SUMPRODUCT((P_ID=INDEX(L_ID,ROW()-4))*(P_StatusN="INACTIVE"))&gt;0,1,0))</f>
        <v/>
      </c>
    </row>
    <row r="1007">
      <c r="A1007">
        <f>IF(INDEX(L_ID,ROW()-4)="","",IF(COUNTIF(P_ID,INDEX(L_ID,ROW()-4))&gt;0,1,0))</f>
        <v/>
      </c>
      <c r="B1007">
        <f>IF(INDEX(P_Type,ROW()-4)="","",TRIM(UPPER(INDEX(P_Type,ROW()-4))))</f>
        <v/>
      </c>
      <c r="D1007">
        <f>IF(INDEX(L_Type,ROW()-4)="","",TRIM(UPPER(INDEX(L_Type,ROW()-4))))</f>
        <v/>
      </c>
      <c r="E1007">
        <f>IF(INDEX(P_Status,ROW()-4)="","",TRIM(UPPER(INDEX(P_Status,ROW()-4))))</f>
        <v/>
      </c>
      <c r="G1007">
        <f>IF(INDEX(L_Status,ROW()-4)="","",TRIM(UPPER(INDEX(L_Status,ROW()-4))))</f>
        <v/>
      </c>
      <c r="J1007">
        <f>IF(INDEX(L_ID,ROW()-4)="","",IF(SUMPRODUCT((P_ID=INDEX(L_ID,ROW()-4))*(P_StatusN="INACTIVE"))&gt;0,1,0))</f>
        <v/>
      </c>
    </row>
    <row r="1008">
      <c r="A1008">
        <f>IF(INDEX(L_ID,ROW()-4)="","",IF(COUNTIF(P_ID,INDEX(L_ID,ROW()-4))&gt;0,1,0))</f>
        <v/>
      </c>
      <c r="B1008">
        <f>IF(INDEX(P_Type,ROW()-4)="","",TRIM(UPPER(INDEX(P_Type,ROW()-4))))</f>
        <v/>
      </c>
      <c r="D1008">
        <f>IF(INDEX(L_Type,ROW()-4)="","",TRIM(UPPER(INDEX(L_Type,ROW()-4))))</f>
        <v/>
      </c>
      <c r="E1008">
        <f>IF(INDEX(P_Status,ROW()-4)="","",TRIM(UPPER(INDEX(P_Status,ROW()-4))))</f>
        <v/>
      </c>
      <c r="G1008">
        <f>IF(INDEX(L_Status,ROW()-4)="","",TRIM(UPPER(INDEX(L_Status,ROW()-4))))</f>
        <v/>
      </c>
      <c r="J1008">
        <f>IF(INDEX(L_ID,ROW()-4)="","",IF(SUMPRODUCT((P_ID=INDEX(L_ID,ROW()-4))*(P_StatusN="INACTIVE"))&gt;0,1,0))</f>
        <v/>
      </c>
    </row>
    <row r="1009">
      <c r="A1009">
        <f>IF(INDEX(L_ID,ROW()-4)="","",IF(COUNTIF(P_ID,INDEX(L_ID,ROW()-4))&gt;0,1,0))</f>
        <v/>
      </c>
      <c r="B1009">
        <f>IF(INDEX(P_Type,ROW()-4)="","",TRIM(UPPER(INDEX(P_Type,ROW()-4))))</f>
        <v/>
      </c>
      <c r="D1009">
        <f>IF(INDEX(L_Type,ROW()-4)="","",TRIM(UPPER(INDEX(L_Type,ROW()-4))))</f>
        <v/>
      </c>
      <c r="E1009">
        <f>IF(INDEX(P_Status,ROW()-4)="","",TRIM(UPPER(INDEX(P_Status,ROW()-4))))</f>
        <v/>
      </c>
      <c r="G1009">
        <f>IF(INDEX(L_Status,ROW()-4)="","",TRIM(UPPER(INDEX(L_Status,ROW()-4))))</f>
        <v/>
      </c>
      <c r="J1009">
        <f>IF(INDEX(L_ID,ROW()-4)="","",IF(SUMPRODUCT((P_ID=INDEX(L_ID,ROW()-4))*(P_StatusN="INACTIVE"))&gt;0,1,0))</f>
        <v/>
      </c>
    </row>
    <row r="1010">
      <c r="A1010">
        <f>IF(INDEX(L_ID,ROW()-4)="","",IF(COUNTIF(P_ID,INDEX(L_ID,ROW()-4))&gt;0,1,0))</f>
        <v/>
      </c>
      <c r="B1010">
        <f>IF(INDEX(P_Type,ROW()-4)="","",TRIM(UPPER(INDEX(P_Type,ROW()-4))))</f>
        <v/>
      </c>
      <c r="D1010">
        <f>IF(INDEX(L_Type,ROW()-4)="","",TRIM(UPPER(INDEX(L_Type,ROW()-4))))</f>
        <v/>
      </c>
      <c r="E1010">
        <f>IF(INDEX(P_Status,ROW()-4)="","",TRIM(UPPER(INDEX(P_Status,ROW()-4))))</f>
        <v/>
      </c>
      <c r="G1010">
        <f>IF(INDEX(L_Status,ROW()-4)="","",TRIM(UPPER(INDEX(L_Status,ROW()-4))))</f>
        <v/>
      </c>
      <c r="J1010">
        <f>IF(INDEX(L_ID,ROW()-4)="","",IF(SUMPRODUCT((P_ID=INDEX(L_ID,ROW()-4))*(P_StatusN="INACTIVE"))&gt;0,1,0))</f>
        <v/>
      </c>
    </row>
    <row r="1011">
      <c r="A1011">
        <f>IF(INDEX(L_ID,ROW()-4)="","",IF(COUNTIF(P_ID,INDEX(L_ID,ROW()-4))&gt;0,1,0))</f>
        <v/>
      </c>
      <c r="B1011">
        <f>IF(INDEX(P_Type,ROW()-4)="","",TRIM(UPPER(INDEX(P_Type,ROW()-4))))</f>
        <v/>
      </c>
      <c r="D1011">
        <f>IF(INDEX(L_Type,ROW()-4)="","",TRIM(UPPER(INDEX(L_Type,ROW()-4))))</f>
        <v/>
      </c>
      <c r="E1011">
        <f>IF(INDEX(P_Status,ROW()-4)="","",TRIM(UPPER(INDEX(P_Status,ROW()-4))))</f>
        <v/>
      </c>
      <c r="G1011">
        <f>IF(INDEX(L_Status,ROW()-4)="","",TRIM(UPPER(INDEX(L_Status,ROW()-4))))</f>
        <v/>
      </c>
      <c r="J1011">
        <f>IF(INDEX(L_ID,ROW()-4)="","",IF(SUMPRODUCT((P_ID=INDEX(L_ID,ROW()-4))*(P_StatusN="INACTIVE"))&gt;0,1,0))</f>
        <v/>
      </c>
    </row>
    <row r="1012">
      <c r="A1012">
        <f>IF(INDEX(L_ID,ROW()-4)="","",IF(COUNTIF(P_ID,INDEX(L_ID,ROW()-4))&gt;0,1,0))</f>
        <v/>
      </c>
      <c r="B1012">
        <f>IF(INDEX(P_Type,ROW()-4)="","",TRIM(UPPER(INDEX(P_Type,ROW()-4))))</f>
        <v/>
      </c>
      <c r="D1012">
        <f>IF(INDEX(L_Type,ROW()-4)="","",TRIM(UPPER(INDEX(L_Type,ROW()-4))))</f>
        <v/>
      </c>
      <c r="E1012">
        <f>IF(INDEX(P_Status,ROW()-4)="","",TRIM(UPPER(INDEX(P_Status,ROW()-4))))</f>
        <v/>
      </c>
      <c r="G1012">
        <f>IF(INDEX(L_Status,ROW()-4)="","",TRIM(UPPER(INDEX(L_Status,ROW()-4))))</f>
        <v/>
      </c>
      <c r="J1012">
        <f>IF(INDEX(L_ID,ROW()-4)="","",IF(SUMPRODUCT((P_ID=INDEX(L_ID,ROW()-4))*(P_StatusN="INACTIVE"))&gt;0,1,0))</f>
        <v/>
      </c>
    </row>
    <row r="1013">
      <c r="A1013">
        <f>IF(INDEX(L_ID,ROW()-4)="","",IF(COUNTIF(P_ID,INDEX(L_ID,ROW()-4))&gt;0,1,0))</f>
        <v/>
      </c>
      <c r="B1013">
        <f>IF(INDEX(P_Type,ROW()-4)="","",TRIM(UPPER(INDEX(P_Type,ROW()-4))))</f>
        <v/>
      </c>
      <c r="D1013">
        <f>IF(INDEX(L_Type,ROW()-4)="","",TRIM(UPPER(INDEX(L_Type,ROW()-4))))</f>
        <v/>
      </c>
      <c r="E1013">
        <f>IF(INDEX(P_Status,ROW()-4)="","",TRIM(UPPER(INDEX(P_Status,ROW()-4))))</f>
        <v/>
      </c>
      <c r="G1013">
        <f>IF(INDEX(L_Status,ROW()-4)="","",TRIM(UPPER(INDEX(L_Status,ROW()-4))))</f>
        <v/>
      </c>
      <c r="J1013">
        <f>IF(INDEX(L_ID,ROW()-4)="","",IF(SUMPRODUCT((P_ID=INDEX(L_ID,ROW()-4))*(P_StatusN="INACTIVE"))&gt;0,1,0))</f>
        <v/>
      </c>
    </row>
    <row r="1014">
      <c r="A1014">
        <f>IF(INDEX(L_ID,ROW()-4)="","",IF(COUNTIF(P_ID,INDEX(L_ID,ROW()-4))&gt;0,1,0))</f>
        <v/>
      </c>
      <c r="B1014">
        <f>IF(INDEX(P_Type,ROW()-4)="","",TRIM(UPPER(INDEX(P_Type,ROW()-4))))</f>
        <v/>
      </c>
      <c r="D1014">
        <f>IF(INDEX(L_Type,ROW()-4)="","",TRIM(UPPER(INDEX(L_Type,ROW()-4))))</f>
        <v/>
      </c>
      <c r="E1014">
        <f>IF(INDEX(P_Status,ROW()-4)="","",TRIM(UPPER(INDEX(P_Status,ROW()-4))))</f>
        <v/>
      </c>
      <c r="G1014">
        <f>IF(INDEX(L_Status,ROW()-4)="","",TRIM(UPPER(INDEX(L_Status,ROW()-4))))</f>
        <v/>
      </c>
      <c r="J1014">
        <f>IF(INDEX(L_ID,ROW()-4)="","",IF(SUMPRODUCT((P_ID=INDEX(L_ID,ROW()-4))*(P_StatusN="INACTIVE"))&gt;0,1,0))</f>
        <v/>
      </c>
    </row>
    <row r="1015">
      <c r="A1015">
        <f>IF(INDEX(L_ID,ROW()-4)="","",IF(COUNTIF(P_ID,INDEX(L_ID,ROW()-4))&gt;0,1,0))</f>
        <v/>
      </c>
      <c r="B1015">
        <f>IF(INDEX(P_Type,ROW()-4)="","",TRIM(UPPER(INDEX(P_Type,ROW()-4))))</f>
        <v/>
      </c>
      <c r="D1015">
        <f>IF(INDEX(L_Type,ROW()-4)="","",TRIM(UPPER(INDEX(L_Type,ROW()-4))))</f>
        <v/>
      </c>
      <c r="E1015">
        <f>IF(INDEX(P_Status,ROW()-4)="","",TRIM(UPPER(INDEX(P_Status,ROW()-4))))</f>
        <v/>
      </c>
      <c r="G1015">
        <f>IF(INDEX(L_Status,ROW()-4)="","",TRIM(UPPER(INDEX(L_Status,ROW()-4))))</f>
        <v/>
      </c>
      <c r="J1015">
        <f>IF(INDEX(L_ID,ROW()-4)="","",IF(SUMPRODUCT((P_ID=INDEX(L_ID,ROW()-4))*(P_StatusN="INACTIVE"))&gt;0,1,0))</f>
        <v/>
      </c>
    </row>
    <row r="1016">
      <c r="A1016">
        <f>IF(INDEX(L_ID,ROW()-4)="","",IF(COUNTIF(P_ID,INDEX(L_ID,ROW()-4))&gt;0,1,0))</f>
        <v/>
      </c>
      <c r="B1016">
        <f>IF(INDEX(P_Type,ROW()-4)="","",TRIM(UPPER(INDEX(P_Type,ROW()-4))))</f>
        <v/>
      </c>
      <c r="D1016">
        <f>IF(INDEX(L_Type,ROW()-4)="","",TRIM(UPPER(INDEX(L_Type,ROW()-4))))</f>
        <v/>
      </c>
      <c r="E1016">
        <f>IF(INDEX(P_Status,ROW()-4)="","",TRIM(UPPER(INDEX(P_Status,ROW()-4))))</f>
        <v/>
      </c>
      <c r="G1016">
        <f>IF(INDEX(L_Status,ROW()-4)="","",TRIM(UPPER(INDEX(L_Status,ROW()-4))))</f>
        <v/>
      </c>
      <c r="J1016">
        <f>IF(INDEX(L_ID,ROW()-4)="","",IF(SUMPRODUCT((P_ID=INDEX(L_ID,ROW()-4))*(P_StatusN="INACTIVE"))&gt;0,1,0))</f>
        <v/>
      </c>
    </row>
    <row r="1017">
      <c r="A1017">
        <f>IF(INDEX(L_ID,ROW()-4)="","",IF(COUNTIF(P_ID,INDEX(L_ID,ROW()-4))&gt;0,1,0))</f>
        <v/>
      </c>
      <c r="B1017">
        <f>IF(INDEX(P_Type,ROW()-4)="","",TRIM(UPPER(INDEX(P_Type,ROW()-4))))</f>
        <v/>
      </c>
      <c r="D1017">
        <f>IF(INDEX(L_Type,ROW()-4)="","",TRIM(UPPER(INDEX(L_Type,ROW()-4))))</f>
        <v/>
      </c>
      <c r="E1017">
        <f>IF(INDEX(P_Status,ROW()-4)="","",TRIM(UPPER(INDEX(P_Status,ROW()-4))))</f>
        <v/>
      </c>
      <c r="G1017">
        <f>IF(INDEX(L_Status,ROW()-4)="","",TRIM(UPPER(INDEX(L_Status,ROW()-4))))</f>
        <v/>
      </c>
      <c r="J1017">
        <f>IF(INDEX(L_ID,ROW()-4)="","",IF(SUMPRODUCT((P_ID=INDEX(L_ID,ROW()-4))*(P_StatusN="INACTIVE"))&gt;0,1,0))</f>
        <v/>
      </c>
    </row>
    <row r="1018">
      <c r="A1018">
        <f>IF(INDEX(L_ID,ROW()-4)="","",IF(COUNTIF(P_ID,INDEX(L_ID,ROW()-4))&gt;0,1,0))</f>
        <v/>
      </c>
      <c r="B1018">
        <f>IF(INDEX(P_Type,ROW()-4)="","",TRIM(UPPER(INDEX(P_Type,ROW()-4))))</f>
        <v/>
      </c>
      <c r="D1018">
        <f>IF(INDEX(L_Type,ROW()-4)="","",TRIM(UPPER(INDEX(L_Type,ROW()-4))))</f>
        <v/>
      </c>
      <c r="E1018">
        <f>IF(INDEX(P_Status,ROW()-4)="","",TRIM(UPPER(INDEX(P_Status,ROW()-4))))</f>
        <v/>
      </c>
      <c r="G1018">
        <f>IF(INDEX(L_Status,ROW()-4)="","",TRIM(UPPER(INDEX(L_Status,ROW()-4))))</f>
        <v/>
      </c>
      <c r="J1018">
        <f>IF(INDEX(L_ID,ROW()-4)="","",IF(SUMPRODUCT((P_ID=INDEX(L_ID,ROW()-4))*(P_StatusN="INACTIVE"))&gt;0,1,0))</f>
        <v/>
      </c>
    </row>
    <row r="1019">
      <c r="A1019">
        <f>IF(INDEX(L_ID,ROW()-4)="","",IF(COUNTIF(P_ID,INDEX(L_ID,ROW()-4))&gt;0,1,0))</f>
        <v/>
      </c>
      <c r="B1019">
        <f>IF(INDEX(P_Type,ROW()-4)="","",TRIM(UPPER(INDEX(P_Type,ROW()-4))))</f>
        <v/>
      </c>
      <c r="D1019">
        <f>IF(INDEX(L_Type,ROW()-4)="","",TRIM(UPPER(INDEX(L_Type,ROW()-4))))</f>
        <v/>
      </c>
      <c r="E1019">
        <f>IF(INDEX(P_Status,ROW()-4)="","",TRIM(UPPER(INDEX(P_Status,ROW()-4))))</f>
        <v/>
      </c>
      <c r="G1019">
        <f>IF(INDEX(L_Status,ROW()-4)="","",TRIM(UPPER(INDEX(L_Status,ROW()-4))))</f>
        <v/>
      </c>
      <c r="J1019">
        <f>IF(INDEX(L_ID,ROW()-4)="","",IF(SUMPRODUCT((P_ID=INDEX(L_ID,ROW()-4))*(P_StatusN="INACTIVE"))&gt;0,1,0))</f>
        <v/>
      </c>
    </row>
    <row r="1020">
      <c r="A1020">
        <f>IF(INDEX(L_ID,ROW()-4)="","",IF(COUNTIF(P_ID,INDEX(L_ID,ROW()-4))&gt;0,1,0))</f>
        <v/>
      </c>
      <c r="B1020">
        <f>IF(INDEX(P_Type,ROW()-4)="","",TRIM(UPPER(INDEX(P_Type,ROW()-4))))</f>
        <v/>
      </c>
      <c r="D1020">
        <f>IF(INDEX(L_Type,ROW()-4)="","",TRIM(UPPER(INDEX(L_Type,ROW()-4))))</f>
        <v/>
      </c>
      <c r="E1020">
        <f>IF(INDEX(P_Status,ROW()-4)="","",TRIM(UPPER(INDEX(P_Status,ROW()-4))))</f>
        <v/>
      </c>
      <c r="G1020">
        <f>IF(INDEX(L_Status,ROW()-4)="","",TRIM(UPPER(INDEX(L_Status,ROW()-4))))</f>
        <v/>
      </c>
      <c r="J1020">
        <f>IF(INDEX(L_ID,ROW()-4)="","",IF(SUMPRODUCT((P_ID=INDEX(L_ID,ROW()-4))*(P_StatusN="INACTIVE"))&gt;0,1,0))</f>
        <v/>
      </c>
    </row>
    <row r="1021">
      <c r="A1021">
        <f>IF(INDEX(L_ID,ROW()-4)="","",IF(COUNTIF(P_ID,INDEX(L_ID,ROW()-4))&gt;0,1,0))</f>
        <v/>
      </c>
      <c r="B1021">
        <f>IF(INDEX(P_Type,ROW()-4)="","",TRIM(UPPER(INDEX(P_Type,ROW()-4))))</f>
        <v/>
      </c>
      <c r="D1021">
        <f>IF(INDEX(L_Type,ROW()-4)="","",TRIM(UPPER(INDEX(L_Type,ROW()-4))))</f>
        <v/>
      </c>
      <c r="E1021">
        <f>IF(INDEX(P_Status,ROW()-4)="","",TRIM(UPPER(INDEX(P_Status,ROW()-4))))</f>
        <v/>
      </c>
      <c r="G1021">
        <f>IF(INDEX(L_Status,ROW()-4)="","",TRIM(UPPER(INDEX(L_Status,ROW()-4))))</f>
        <v/>
      </c>
      <c r="J1021">
        <f>IF(INDEX(L_ID,ROW()-4)="","",IF(SUMPRODUCT((P_ID=INDEX(L_ID,ROW()-4))*(P_StatusN="INACTIVE"))&gt;0,1,0))</f>
        <v/>
      </c>
    </row>
    <row r="1022">
      <c r="A1022">
        <f>IF(INDEX(L_ID,ROW()-4)="","",IF(COUNTIF(P_ID,INDEX(L_ID,ROW()-4))&gt;0,1,0))</f>
        <v/>
      </c>
      <c r="B1022">
        <f>IF(INDEX(P_Type,ROW()-4)="","",TRIM(UPPER(INDEX(P_Type,ROW()-4))))</f>
        <v/>
      </c>
      <c r="D1022">
        <f>IF(INDEX(L_Type,ROW()-4)="","",TRIM(UPPER(INDEX(L_Type,ROW()-4))))</f>
        <v/>
      </c>
      <c r="E1022">
        <f>IF(INDEX(P_Status,ROW()-4)="","",TRIM(UPPER(INDEX(P_Status,ROW()-4))))</f>
        <v/>
      </c>
      <c r="G1022">
        <f>IF(INDEX(L_Status,ROW()-4)="","",TRIM(UPPER(INDEX(L_Status,ROW()-4))))</f>
        <v/>
      </c>
      <c r="J1022">
        <f>IF(INDEX(L_ID,ROW()-4)="","",IF(SUMPRODUCT((P_ID=INDEX(L_ID,ROW()-4))*(P_StatusN="INACTIVE"))&gt;0,1,0))</f>
        <v/>
      </c>
    </row>
    <row r="1023">
      <c r="A1023">
        <f>IF(INDEX(L_ID,ROW()-4)="","",IF(COUNTIF(P_ID,INDEX(L_ID,ROW()-4))&gt;0,1,0))</f>
        <v/>
      </c>
      <c r="B1023">
        <f>IF(INDEX(P_Type,ROW()-4)="","",TRIM(UPPER(INDEX(P_Type,ROW()-4))))</f>
        <v/>
      </c>
      <c r="D1023">
        <f>IF(INDEX(L_Type,ROW()-4)="","",TRIM(UPPER(INDEX(L_Type,ROW()-4))))</f>
        <v/>
      </c>
      <c r="E1023">
        <f>IF(INDEX(P_Status,ROW()-4)="","",TRIM(UPPER(INDEX(P_Status,ROW()-4))))</f>
        <v/>
      </c>
      <c r="G1023">
        <f>IF(INDEX(L_Status,ROW()-4)="","",TRIM(UPPER(INDEX(L_Status,ROW()-4))))</f>
        <v/>
      </c>
      <c r="J1023">
        <f>IF(INDEX(L_ID,ROW()-4)="","",IF(SUMPRODUCT((P_ID=INDEX(L_ID,ROW()-4))*(P_StatusN="INACTIVE"))&gt;0,1,0))</f>
        <v/>
      </c>
    </row>
    <row r="1024">
      <c r="A1024">
        <f>IF(INDEX(L_ID,ROW()-4)="","",IF(COUNTIF(P_ID,INDEX(L_ID,ROW()-4))&gt;0,1,0))</f>
        <v/>
      </c>
      <c r="B1024">
        <f>IF(INDEX(P_Type,ROW()-4)="","",TRIM(UPPER(INDEX(P_Type,ROW()-4))))</f>
        <v/>
      </c>
      <c r="D1024">
        <f>IF(INDEX(L_Type,ROW()-4)="","",TRIM(UPPER(INDEX(L_Type,ROW()-4))))</f>
        <v/>
      </c>
      <c r="E1024">
        <f>IF(INDEX(P_Status,ROW()-4)="","",TRIM(UPPER(INDEX(P_Status,ROW()-4))))</f>
        <v/>
      </c>
      <c r="G1024">
        <f>IF(INDEX(L_Status,ROW()-4)="","",TRIM(UPPER(INDEX(L_Status,ROW()-4))))</f>
        <v/>
      </c>
      <c r="J1024">
        <f>IF(INDEX(L_ID,ROW()-4)="","",IF(SUMPRODUCT((P_ID=INDEX(L_ID,ROW()-4))*(P_StatusN="INACTIVE"))&gt;0,1,0))</f>
        <v/>
      </c>
    </row>
    <row r="1025">
      <c r="A1025">
        <f>IF(INDEX(L_ID,ROW()-4)="","",IF(COUNTIF(P_ID,INDEX(L_ID,ROW()-4))&gt;0,1,0))</f>
        <v/>
      </c>
      <c r="B1025">
        <f>IF(INDEX(P_Type,ROW()-4)="","",TRIM(UPPER(INDEX(P_Type,ROW()-4))))</f>
        <v/>
      </c>
      <c r="D1025">
        <f>IF(INDEX(L_Type,ROW()-4)="","",TRIM(UPPER(INDEX(L_Type,ROW()-4))))</f>
        <v/>
      </c>
      <c r="E1025">
        <f>IF(INDEX(P_Status,ROW()-4)="","",TRIM(UPPER(INDEX(P_Status,ROW()-4))))</f>
        <v/>
      </c>
      <c r="G1025">
        <f>IF(INDEX(L_Status,ROW()-4)="","",TRIM(UPPER(INDEX(L_Status,ROW()-4))))</f>
        <v/>
      </c>
      <c r="J1025">
        <f>IF(INDEX(L_ID,ROW()-4)="","",IF(SUMPRODUCT((P_ID=INDEX(L_ID,ROW()-4))*(P_StatusN="INACTIVE"))&gt;0,1,0))</f>
        <v/>
      </c>
    </row>
    <row r="1026">
      <c r="A1026">
        <f>IF(INDEX(L_ID,ROW()-4)="","",IF(COUNTIF(P_ID,INDEX(L_ID,ROW()-4))&gt;0,1,0))</f>
        <v/>
      </c>
      <c r="B1026">
        <f>IF(INDEX(P_Type,ROW()-4)="","",TRIM(UPPER(INDEX(P_Type,ROW()-4))))</f>
        <v/>
      </c>
      <c r="D1026">
        <f>IF(INDEX(L_Type,ROW()-4)="","",TRIM(UPPER(INDEX(L_Type,ROW()-4))))</f>
        <v/>
      </c>
      <c r="E1026">
        <f>IF(INDEX(P_Status,ROW()-4)="","",TRIM(UPPER(INDEX(P_Status,ROW()-4))))</f>
        <v/>
      </c>
      <c r="G1026">
        <f>IF(INDEX(L_Status,ROW()-4)="","",TRIM(UPPER(INDEX(L_Status,ROW()-4))))</f>
        <v/>
      </c>
      <c r="J1026">
        <f>IF(INDEX(L_ID,ROW()-4)="","",IF(SUMPRODUCT((P_ID=INDEX(L_ID,ROW()-4))*(P_StatusN="INACTIVE"))&gt;0,1,0))</f>
        <v/>
      </c>
    </row>
    <row r="1027">
      <c r="A1027">
        <f>IF(INDEX(L_ID,ROW()-4)="","",IF(COUNTIF(P_ID,INDEX(L_ID,ROW()-4))&gt;0,1,0))</f>
        <v/>
      </c>
      <c r="B1027">
        <f>IF(INDEX(P_Type,ROW()-4)="","",TRIM(UPPER(INDEX(P_Type,ROW()-4))))</f>
        <v/>
      </c>
      <c r="D1027">
        <f>IF(INDEX(L_Type,ROW()-4)="","",TRIM(UPPER(INDEX(L_Type,ROW()-4))))</f>
        <v/>
      </c>
      <c r="E1027">
        <f>IF(INDEX(P_Status,ROW()-4)="","",TRIM(UPPER(INDEX(P_Status,ROW()-4))))</f>
        <v/>
      </c>
      <c r="G1027">
        <f>IF(INDEX(L_Status,ROW()-4)="","",TRIM(UPPER(INDEX(L_Status,ROW()-4))))</f>
        <v/>
      </c>
      <c r="J1027">
        <f>IF(INDEX(L_ID,ROW()-4)="","",IF(SUMPRODUCT((P_ID=INDEX(L_ID,ROW()-4))*(P_StatusN="INACTIVE"))&gt;0,1,0))</f>
        <v/>
      </c>
    </row>
    <row r="1028">
      <c r="A1028">
        <f>IF(INDEX(L_ID,ROW()-4)="","",IF(COUNTIF(P_ID,INDEX(L_ID,ROW()-4))&gt;0,1,0))</f>
        <v/>
      </c>
      <c r="B1028">
        <f>IF(INDEX(P_Type,ROW()-4)="","",TRIM(UPPER(INDEX(P_Type,ROW()-4))))</f>
        <v/>
      </c>
      <c r="D1028">
        <f>IF(INDEX(L_Type,ROW()-4)="","",TRIM(UPPER(INDEX(L_Type,ROW()-4))))</f>
        <v/>
      </c>
      <c r="E1028">
        <f>IF(INDEX(P_Status,ROW()-4)="","",TRIM(UPPER(INDEX(P_Status,ROW()-4))))</f>
        <v/>
      </c>
      <c r="G1028">
        <f>IF(INDEX(L_Status,ROW()-4)="","",TRIM(UPPER(INDEX(L_Status,ROW()-4))))</f>
        <v/>
      </c>
      <c r="J1028">
        <f>IF(INDEX(L_ID,ROW()-4)="","",IF(SUMPRODUCT((P_ID=INDEX(L_ID,ROW()-4))*(P_StatusN="INACTIVE"))&gt;0,1,0))</f>
        <v/>
      </c>
    </row>
    <row r="1029">
      <c r="A1029">
        <f>IF(INDEX(L_ID,ROW()-4)="","",IF(COUNTIF(P_ID,INDEX(L_ID,ROW()-4))&gt;0,1,0))</f>
        <v/>
      </c>
      <c r="B1029">
        <f>IF(INDEX(P_Type,ROW()-4)="","",TRIM(UPPER(INDEX(P_Type,ROW()-4))))</f>
        <v/>
      </c>
      <c r="D1029">
        <f>IF(INDEX(L_Type,ROW()-4)="","",TRIM(UPPER(INDEX(L_Type,ROW()-4))))</f>
        <v/>
      </c>
      <c r="E1029">
        <f>IF(INDEX(P_Status,ROW()-4)="","",TRIM(UPPER(INDEX(P_Status,ROW()-4))))</f>
        <v/>
      </c>
      <c r="G1029">
        <f>IF(INDEX(L_Status,ROW()-4)="","",TRIM(UPPER(INDEX(L_Status,ROW()-4))))</f>
        <v/>
      </c>
      <c r="J1029">
        <f>IF(INDEX(L_ID,ROW()-4)="","",IF(SUMPRODUCT((P_ID=INDEX(L_ID,ROW()-4))*(P_StatusN="INACTIVE"))&gt;0,1,0))</f>
        <v/>
      </c>
    </row>
    <row r="1030">
      <c r="A1030">
        <f>IF(INDEX(L_ID,ROW()-4)="","",IF(COUNTIF(P_ID,INDEX(L_ID,ROW()-4))&gt;0,1,0))</f>
        <v/>
      </c>
      <c r="B1030">
        <f>IF(INDEX(P_Type,ROW()-4)="","",TRIM(UPPER(INDEX(P_Type,ROW()-4))))</f>
        <v/>
      </c>
      <c r="D1030">
        <f>IF(INDEX(L_Type,ROW()-4)="","",TRIM(UPPER(INDEX(L_Type,ROW()-4))))</f>
        <v/>
      </c>
      <c r="E1030">
        <f>IF(INDEX(P_Status,ROW()-4)="","",TRIM(UPPER(INDEX(P_Status,ROW()-4))))</f>
        <v/>
      </c>
      <c r="G1030">
        <f>IF(INDEX(L_Status,ROW()-4)="","",TRIM(UPPER(INDEX(L_Status,ROW()-4))))</f>
        <v/>
      </c>
      <c r="J1030">
        <f>IF(INDEX(L_ID,ROW()-4)="","",IF(SUMPRODUCT((P_ID=INDEX(L_ID,ROW()-4))*(P_StatusN="INACTIVE"))&gt;0,1,0))</f>
        <v/>
      </c>
    </row>
    <row r="1031">
      <c r="A1031">
        <f>IF(INDEX(L_ID,ROW()-4)="","",IF(COUNTIF(P_ID,INDEX(L_ID,ROW()-4))&gt;0,1,0))</f>
        <v/>
      </c>
      <c r="B1031">
        <f>IF(INDEX(P_Type,ROW()-4)="","",TRIM(UPPER(INDEX(P_Type,ROW()-4))))</f>
        <v/>
      </c>
      <c r="D1031">
        <f>IF(INDEX(L_Type,ROW()-4)="","",TRIM(UPPER(INDEX(L_Type,ROW()-4))))</f>
        <v/>
      </c>
      <c r="E1031">
        <f>IF(INDEX(P_Status,ROW()-4)="","",TRIM(UPPER(INDEX(P_Status,ROW()-4))))</f>
        <v/>
      </c>
      <c r="G1031">
        <f>IF(INDEX(L_Status,ROW()-4)="","",TRIM(UPPER(INDEX(L_Status,ROW()-4))))</f>
        <v/>
      </c>
      <c r="J1031">
        <f>IF(INDEX(L_ID,ROW()-4)="","",IF(SUMPRODUCT((P_ID=INDEX(L_ID,ROW()-4))*(P_StatusN="INACTIVE"))&gt;0,1,0))</f>
        <v/>
      </c>
    </row>
    <row r="1032">
      <c r="A1032">
        <f>IF(INDEX(L_ID,ROW()-4)="","",IF(COUNTIF(P_ID,INDEX(L_ID,ROW()-4))&gt;0,1,0))</f>
        <v/>
      </c>
      <c r="B1032">
        <f>IF(INDEX(P_Type,ROW()-4)="","",TRIM(UPPER(INDEX(P_Type,ROW()-4))))</f>
        <v/>
      </c>
      <c r="D1032">
        <f>IF(INDEX(L_Type,ROW()-4)="","",TRIM(UPPER(INDEX(L_Type,ROW()-4))))</f>
        <v/>
      </c>
      <c r="E1032">
        <f>IF(INDEX(P_Status,ROW()-4)="","",TRIM(UPPER(INDEX(P_Status,ROW()-4))))</f>
        <v/>
      </c>
      <c r="G1032">
        <f>IF(INDEX(L_Status,ROW()-4)="","",TRIM(UPPER(INDEX(L_Status,ROW()-4))))</f>
        <v/>
      </c>
      <c r="J1032">
        <f>IF(INDEX(L_ID,ROW()-4)="","",IF(SUMPRODUCT((P_ID=INDEX(L_ID,ROW()-4))*(P_StatusN="INACTIVE"))&gt;0,1,0))</f>
        <v/>
      </c>
    </row>
    <row r="1033">
      <c r="A1033">
        <f>IF(INDEX(L_ID,ROW()-4)="","",IF(COUNTIF(P_ID,INDEX(L_ID,ROW()-4))&gt;0,1,0))</f>
        <v/>
      </c>
      <c r="B1033">
        <f>IF(INDEX(P_Type,ROW()-4)="","",TRIM(UPPER(INDEX(P_Type,ROW()-4))))</f>
        <v/>
      </c>
      <c r="D1033">
        <f>IF(INDEX(L_Type,ROW()-4)="","",TRIM(UPPER(INDEX(L_Type,ROW()-4))))</f>
        <v/>
      </c>
      <c r="E1033">
        <f>IF(INDEX(P_Status,ROW()-4)="","",TRIM(UPPER(INDEX(P_Status,ROW()-4))))</f>
        <v/>
      </c>
      <c r="G1033">
        <f>IF(INDEX(L_Status,ROW()-4)="","",TRIM(UPPER(INDEX(L_Status,ROW()-4))))</f>
        <v/>
      </c>
      <c r="J1033">
        <f>IF(INDEX(L_ID,ROW()-4)="","",IF(SUMPRODUCT((P_ID=INDEX(L_ID,ROW()-4))*(P_StatusN="INACTIVE"))&gt;0,1,0))</f>
        <v/>
      </c>
    </row>
    <row r="1034">
      <c r="A1034">
        <f>IF(INDEX(L_ID,ROW()-4)="","",IF(COUNTIF(P_ID,INDEX(L_ID,ROW()-4))&gt;0,1,0))</f>
        <v/>
      </c>
      <c r="B1034">
        <f>IF(INDEX(P_Type,ROW()-4)="","",TRIM(UPPER(INDEX(P_Type,ROW()-4))))</f>
        <v/>
      </c>
      <c r="D1034">
        <f>IF(INDEX(L_Type,ROW()-4)="","",TRIM(UPPER(INDEX(L_Type,ROW()-4))))</f>
        <v/>
      </c>
      <c r="E1034">
        <f>IF(INDEX(P_Status,ROW()-4)="","",TRIM(UPPER(INDEX(P_Status,ROW()-4))))</f>
        <v/>
      </c>
      <c r="G1034">
        <f>IF(INDEX(L_Status,ROW()-4)="","",TRIM(UPPER(INDEX(L_Status,ROW()-4))))</f>
        <v/>
      </c>
      <c r="J1034">
        <f>IF(INDEX(L_ID,ROW()-4)="","",IF(SUMPRODUCT((P_ID=INDEX(L_ID,ROW()-4))*(P_StatusN="INACTIVE"))&gt;0,1,0))</f>
        <v/>
      </c>
    </row>
    <row r="1035">
      <c r="A1035">
        <f>IF(INDEX(L_ID,ROW()-4)="","",IF(COUNTIF(P_ID,INDEX(L_ID,ROW()-4))&gt;0,1,0))</f>
        <v/>
      </c>
      <c r="B1035">
        <f>IF(INDEX(P_Type,ROW()-4)="","",TRIM(UPPER(INDEX(P_Type,ROW()-4))))</f>
        <v/>
      </c>
      <c r="D1035">
        <f>IF(INDEX(L_Type,ROW()-4)="","",TRIM(UPPER(INDEX(L_Type,ROW()-4))))</f>
        <v/>
      </c>
      <c r="E1035">
        <f>IF(INDEX(P_Status,ROW()-4)="","",TRIM(UPPER(INDEX(P_Status,ROW()-4))))</f>
        <v/>
      </c>
      <c r="G1035">
        <f>IF(INDEX(L_Status,ROW()-4)="","",TRIM(UPPER(INDEX(L_Status,ROW()-4))))</f>
        <v/>
      </c>
      <c r="J1035">
        <f>IF(INDEX(L_ID,ROW()-4)="","",IF(SUMPRODUCT((P_ID=INDEX(L_ID,ROW()-4))*(P_StatusN="INACTIVE"))&gt;0,1,0))</f>
        <v/>
      </c>
    </row>
    <row r="1036">
      <c r="A1036">
        <f>IF(INDEX(L_ID,ROW()-4)="","",IF(COUNTIF(P_ID,INDEX(L_ID,ROW()-4))&gt;0,1,0))</f>
        <v/>
      </c>
      <c r="B1036">
        <f>IF(INDEX(P_Type,ROW()-4)="","",TRIM(UPPER(INDEX(P_Type,ROW()-4))))</f>
        <v/>
      </c>
      <c r="D1036">
        <f>IF(INDEX(L_Type,ROW()-4)="","",TRIM(UPPER(INDEX(L_Type,ROW()-4))))</f>
        <v/>
      </c>
      <c r="E1036">
        <f>IF(INDEX(P_Status,ROW()-4)="","",TRIM(UPPER(INDEX(P_Status,ROW()-4))))</f>
        <v/>
      </c>
      <c r="G1036">
        <f>IF(INDEX(L_Status,ROW()-4)="","",TRIM(UPPER(INDEX(L_Status,ROW()-4))))</f>
        <v/>
      </c>
      <c r="J1036">
        <f>IF(INDEX(L_ID,ROW()-4)="","",IF(SUMPRODUCT((P_ID=INDEX(L_ID,ROW()-4))*(P_StatusN="INACTIVE"))&gt;0,1,0))</f>
        <v/>
      </c>
    </row>
    <row r="1037">
      <c r="A1037">
        <f>IF(INDEX(L_ID,ROW()-4)="","",IF(COUNTIF(P_ID,INDEX(L_ID,ROW()-4))&gt;0,1,0))</f>
        <v/>
      </c>
      <c r="B1037">
        <f>IF(INDEX(P_Type,ROW()-4)="","",TRIM(UPPER(INDEX(P_Type,ROW()-4))))</f>
        <v/>
      </c>
      <c r="D1037">
        <f>IF(INDEX(L_Type,ROW()-4)="","",TRIM(UPPER(INDEX(L_Type,ROW()-4))))</f>
        <v/>
      </c>
      <c r="E1037">
        <f>IF(INDEX(P_Status,ROW()-4)="","",TRIM(UPPER(INDEX(P_Status,ROW()-4))))</f>
        <v/>
      </c>
      <c r="G1037">
        <f>IF(INDEX(L_Status,ROW()-4)="","",TRIM(UPPER(INDEX(L_Status,ROW()-4))))</f>
        <v/>
      </c>
      <c r="J1037">
        <f>IF(INDEX(L_ID,ROW()-4)="","",IF(SUMPRODUCT((P_ID=INDEX(L_ID,ROW()-4))*(P_StatusN="INACTIVE"))&gt;0,1,0))</f>
        <v/>
      </c>
    </row>
    <row r="1038">
      <c r="A1038">
        <f>IF(INDEX(L_ID,ROW()-4)="","",IF(COUNTIF(P_ID,INDEX(L_ID,ROW()-4))&gt;0,1,0))</f>
        <v/>
      </c>
      <c r="B1038">
        <f>IF(INDEX(P_Type,ROW()-4)="","",TRIM(UPPER(INDEX(P_Type,ROW()-4))))</f>
        <v/>
      </c>
      <c r="D1038">
        <f>IF(INDEX(L_Type,ROW()-4)="","",TRIM(UPPER(INDEX(L_Type,ROW()-4))))</f>
        <v/>
      </c>
      <c r="E1038">
        <f>IF(INDEX(P_Status,ROW()-4)="","",TRIM(UPPER(INDEX(P_Status,ROW()-4))))</f>
        <v/>
      </c>
      <c r="G1038">
        <f>IF(INDEX(L_Status,ROW()-4)="","",TRIM(UPPER(INDEX(L_Status,ROW()-4))))</f>
        <v/>
      </c>
      <c r="J1038">
        <f>IF(INDEX(L_ID,ROW()-4)="","",IF(SUMPRODUCT((P_ID=INDEX(L_ID,ROW()-4))*(P_StatusN="INACTIVE"))&gt;0,1,0))</f>
        <v/>
      </c>
    </row>
    <row r="1039">
      <c r="A1039">
        <f>IF(INDEX(L_ID,ROW()-4)="","",IF(COUNTIF(P_ID,INDEX(L_ID,ROW()-4))&gt;0,1,0))</f>
        <v/>
      </c>
      <c r="B1039">
        <f>IF(INDEX(P_Type,ROW()-4)="","",TRIM(UPPER(INDEX(P_Type,ROW()-4))))</f>
        <v/>
      </c>
      <c r="D1039">
        <f>IF(INDEX(L_Type,ROW()-4)="","",TRIM(UPPER(INDEX(L_Type,ROW()-4))))</f>
        <v/>
      </c>
      <c r="E1039">
        <f>IF(INDEX(P_Status,ROW()-4)="","",TRIM(UPPER(INDEX(P_Status,ROW()-4))))</f>
        <v/>
      </c>
      <c r="G1039">
        <f>IF(INDEX(L_Status,ROW()-4)="","",TRIM(UPPER(INDEX(L_Status,ROW()-4))))</f>
        <v/>
      </c>
      <c r="J1039">
        <f>IF(INDEX(L_ID,ROW()-4)="","",IF(SUMPRODUCT((P_ID=INDEX(L_ID,ROW()-4))*(P_StatusN="INACTIVE"))&gt;0,1,0))</f>
        <v/>
      </c>
    </row>
    <row r="1040">
      <c r="A1040">
        <f>IF(INDEX(L_ID,ROW()-4)="","",IF(COUNTIF(P_ID,INDEX(L_ID,ROW()-4))&gt;0,1,0))</f>
        <v/>
      </c>
      <c r="B1040">
        <f>IF(INDEX(P_Type,ROW()-4)="","",TRIM(UPPER(INDEX(P_Type,ROW()-4))))</f>
        <v/>
      </c>
      <c r="D1040">
        <f>IF(INDEX(L_Type,ROW()-4)="","",TRIM(UPPER(INDEX(L_Type,ROW()-4))))</f>
        <v/>
      </c>
      <c r="E1040">
        <f>IF(INDEX(P_Status,ROW()-4)="","",TRIM(UPPER(INDEX(P_Status,ROW()-4))))</f>
        <v/>
      </c>
      <c r="G1040">
        <f>IF(INDEX(L_Status,ROW()-4)="","",TRIM(UPPER(INDEX(L_Status,ROW()-4))))</f>
        <v/>
      </c>
      <c r="J1040">
        <f>IF(INDEX(L_ID,ROW()-4)="","",IF(SUMPRODUCT((P_ID=INDEX(L_ID,ROW()-4))*(P_StatusN="INACTIVE"))&gt;0,1,0))</f>
        <v/>
      </c>
    </row>
    <row r="1041">
      <c r="A1041">
        <f>IF(INDEX(L_ID,ROW()-4)="","",IF(COUNTIF(P_ID,INDEX(L_ID,ROW()-4))&gt;0,1,0))</f>
        <v/>
      </c>
      <c r="B1041">
        <f>IF(INDEX(P_Type,ROW()-4)="","",TRIM(UPPER(INDEX(P_Type,ROW()-4))))</f>
        <v/>
      </c>
      <c r="D1041">
        <f>IF(INDEX(L_Type,ROW()-4)="","",TRIM(UPPER(INDEX(L_Type,ROW()-4))))</f>
        <v/>
      </c>
      <c r="E1041">
        <f>IF(INDEX(P_Status,ROW()-4)="","",TRIM(UPPER(INDEX(P_Status,ROW()-4))))</f>
        <v/>
      </c>
      <c r="G1041">
        <f>IF(INDEX(L_Status,ROW()-4)="","",TRIM(UPPER(INDEX(L_Status,ROW()-4))))</f>
        <v/>
      </c>
      <c r="J1041">
        <f>IF(INDEX(L_ID,ROW()-4)="","",IF(SUMPRODUCT((P_ID=INDEX(L_ID,ROW()-4))*(P_StatusN="INACTIVE"))&gt;0,1,0))</f>
        <v/>
      </c>
    </row>
    <row r="1042">
      <c r="A1042">
        <f>IF(INDEX(L_ID,ROW()-4)="","",IF(COUNTIF(P_ID,INDEX(L_ID,ROW()-4))&gt;0,1,0))</f>
        <v/>
      </c>
      <c r="B1042">
        <f>IF(INDEX(P_Type,ROW()-4)="","",TRIM(UPPER(INDEX(P_Type,ROW()-4))))</f>
        <v/>
      </c>
      <c r="D1042">
        <f>IF(INDEX(L_Type,ROW()-4)="","",TRIM(UPPER(INDEX(L_Type,ROW()-4))))</f>
        <v/>
      </c>
      <c r="E1042">
        <f>IF(INDEX(P_Status,ROW()-4)="","",TRIM(UPPER(INDEX(P_Status,ROW()-4))))</f>
        <v/>
      </c>
      <c r="G1042">
        <f>IF(INDEX(L_Status,ROW()-4)="","",TRIM(UPPER(INDEX(L_Status,ROW()-4))))</f>
        <v/>
      </c>
      <c r="J1042">
        <f>IF(INDEX(L_ID,ROW()-4)="","",IF(SUMPRODUCT((P_ID=INDEX(L_ID,ROW()-4))*(P_StatusN="INACTIVE"))&gt;0,1,0))</f>
        <v/>
      </c>
    </row>
    <row r="1043">
      <c r="A1043">
        <f>IF(INDEX(L_ID,ROW()-4)="","",IF(COUNTIF(P_ID,INDEX(L_ID,ROW()-4))&gt;0,1,0))</f>
        <v/>
      </c>
      <c r="B1043">
        <f>IF(INDEX(P_Type,ROW()-4)="","",TRIM(UPPER(INDEX(P_Type,ROW()-4))))</f>
        <v/>
      </c>
      <c r="D1043">
        <f>IF(INDEX(L_Type,ROW()-4)="","",TRIM(UPPER(INDEX(L_Type,ROW()-4))))</f>
        <v/>
      </c>
      <c r="E1043">
        <f>IF(INDEX(P_Status,ROW()-4)="","",TRIM(UPPER(INDEX(P_Status,ROW()-4))))</f>
        <v/>
      </c>
      <c r="G1043">
        <f>IF(INDEX(L_Status,ROW()-4)="","",TRIM(UPPER(INDEX(L_Status,ROW()-4))))</f>
        <v/>
      </c>
      <c r="J1043">
        <f>IF(INDEX(L_ID,ROW()-4)="","",IF(SUMPRODUCT((P_ID=INDEX(L_ID,ROW()-4))*(P_StatusN="INACTIVE"))&gt;0,1,0))</f>
        <v/>
      </c>
    </row>
    <row r="1044">
      <c r="A1044">
        <f>IF(INDEX(L_ID,ROW()-4)="","",IF(COUNTIF(P_ID,INDEX(L_ID,ROW()-4))&gt;0,1,0))</f>
        <v/>
      </c>
      <c r="B1044">
        <f>IF(INDEX(P_Type,ROW()-4)="","",TRIM(UPPER(INDEX(P_Type,ROW()-4))))</f>
        <v/>
      </c>
      <c r="D1044">
        <f>IF(INDEX(L_Type,ROW()-4)="","",TRIM(UPPER(INDEX(L_Type,ROW()-4))))</f>
        <v/>
      </c>
      <c r="E1044">
        <f>IF(INDEX(P_Status,ROW()-4)="","",TRIM(UPPER(INDEX(P_Status,ROW()-4))))</f>
        <v/>
      </c>
      <c r="G1044">
        <f>IF(INDEX(L_Status,ROW()-4)="","",TRIM(UPPER(INDEX(L_Status,ROW()-4))))</f>
        <v/>
      </c>
      <c r="J1044">
        <f>IF(INDEX(L_ID,ROW()-4)="","",IF(SUMPRODUCT((P_ID=INDEX(L_ID,ROW()-4))*(P_StatusN="INACTIVE"))&gt;0,1,0))</f>
        <v/>
      </c>
    </row>
    <row r="1045">
      <c r="A1045">
        <f>IF(INDEX(L_ID,ROW()-4)="","",IF(COUNTIF(P_ID,INDEX(L_ID,ROW()-4))&gt;0,1,0))</f>
        <v/>
      </c>
      <c r="B1045">
        <f>IF(INDEX(P_Type,ROW()-4)="","",TRIM(UPPER(INDEX(P_Type,ROW()-4))))</f>
        <v/>
      </c>
      <c r="D1045">
        <f>IF(INDEX(L_Type,ROW()-4)="","",TRIM(UPPER(INDEX(L_Type,ROW()-4))))</f>
        <v/>
      </c>
      <c r="E1045">
        <f>IF(INDEX(P_Status,ROW()-4)="","",TRIM(UPPER(INDEX(P_Status,ROW()-4))))</f>
        <v/>
      </c>
      <c r="G1045">
        <f>IF(INDEX(L_Status,ROW()-4)="","",TRIM(UPPER(INDEX(L_Status,ROW()-4))))</f>
        <v/>
      </c>
      <c r="J1045">
        <f>IF(INDEX(L_ID,ROW()-4)="","",IF(SUMPRODUCT((P_ID=INDEX(L_ID,ROW()-4))*(P_StatusN="INACTIVE"))&gt;0,1,0))</f>
        <v/>
      </c>
    </row>
    <row r="1046">
      <c r="A1046">
        <f>IF(INDEX(L_ID,ROW()-4)="","",IF(COUNTIF(P_ID,INDEX(L_ID,ROW()-4))&gt;0,1,0))</f>
        <v/>
      </c>
      <c r="B1046">
        <f>IF(INDEX(P_Type,ROW()-4)="","",TRIM(UPPER(INDEX(P_Type,ROW()-4))))</f>
        <v/>
      </c>
      <c r="D1046">
        <f>IF(INDEX(L_Type,ROW()-4)="","",TRIM(UPPER(INDEX(L_Type,ROW()-4))))</f>
        <v/>
      </c>
      <c r="E1046">
        <f>IF(INDEX(P_Status,ROW()-4)="","",TRIM(UPPER(INDEX(P_Status,ROW()-4))))</f>
        <v/>
      </c>
      <c r="G1046">
        <f>IF(INDEX(L_Status,ROW()-4)="","",TRIM(UPPER(INDEX(L_Status,ROW()-4))))</f>
        <v/>
      </c>
      <c r="J1046">
        <f>IF(INDEX(L_ID,ROW()-4)="","",IF(SUMPRODUCT((P_ID=INDEX(L_ID,ROW()-4))*(P_StatusN="INACTIVE"))&gt;0,1,0))</f>
        <v/>
      </c>
    </row>
    <row r="1047">
      <c r="A1047">
        <f>IF(INDEX(L_ID,ROW()-4)="","",IF(COUNTIF(P_ID,INDEX(L_ID,ROW()-4))&gt;0,1,0))</f>
        <v/>
      </c>
      <c r="B1047">
        <f>IF(INDEX(P_Type,ROW()-4)="","",TRIM(UPPER(INDEX(P_Type,ROW()-4))))</f>
        <v/>
      </c>
      <c r="D1047">
        <f>IF(INDEX(L_Type,ROW()-4)="","",TRIM(UPPER(INDEX(L_Type,ROW()-4))))</f>
        <v/>
      </c>
      <c r="E1047">
        <f>IF(INDEX(P_Status,ROW()-4)="","",TRIM(UPPER(INDEX(P_Status,ROW()-4))))</f>
        <v/>
      </c>
      <c r="G1047">
        <f>IF(INDEX(L_Status,ROW()-4)="","",TRIM(UPPER(INDEX(L_Status,ROW()-4))))</f>
        <v/>
      </c>
      <c r="J1047">
        <f>IF(INDEX(L_ID,ROW()-4)="","",IF(SUMPRODUCT((P_ID=INDEX(L_ID,ROW()-4))*(P_StatusN="INACTIVE"))&gt;0,1,0))</f>
        <v/>
      </c>
    </row>
    <row r="1048">
      <c r="A1048">
        <f>IF(INDEX(L_ID,ROW()-4)="","",IF(COUNTIF(P_ID,INDEX(L_ID,ROW()-4))&gt;0,1,0))</f>
        <v/>
      </c>
      <c r="B1048">
        <f>IF(INDEX(P_Type,ROW()-4)="","",TRIM(UPPER(INDEX(P_Type,ROW()-4))))</f>
        <v/>
      </c>
      <c r="D1048">
        <f>IF(INDEX(L_Type,ROW()-4)="","",TRIM(UPPER(INDEX(L_Type,ROW()-4))))</f>
        <v/>
      </c>
      <c r="E1048">
        <f>IF(INDEX(P_Status,ROW()-4)="","",TRIM(UPPER(INDEX(P_Status,ROW()-4))))</f>
        <v/>
      </c>
      <c r="G1048">
        <f>IF(INDEX(L_Status,ROW()-4)="","",TRIM(UPPER(INDEX(L_Status,ROW()-4))))</f>
        <v/>
      </c>
      <c r="J1048">
        <f>IF(INDEX(L_ID,ROW()-4)="","",IF(SUMPRODUCT((P_ID=INDEX(L_ID,ROW()-4))*(P_StatusN="INACTIVE"))&gt;0,1,0))</f>
        <v/>
      </c>
    </row>
    <row r="1049">
      <c r="A1049">
        <f>IF(INDEX(L_ID,ROW()-4)="","",IF(COUNTIF(P_ID,INDEX(L_ID,ROW()-4))&gt;0,1,0))</f>
        <v/>
      </c>
      <c r="B1049">
        <f>IF(INDEX(P_Type,ROW()-4)="","",TRIM(UPPER(INDEX(P_Type,ROW()-4))))</f>
        <v/>
      </c>
      <c r="D1049">
        <f>IF(INDEX(L_Type,ROW()-4)="","",TRIM(UPPER(INDEX(L_Type,ROW()-4))))</f>
        <v/>
      </c>
      <c r="E1049">
        <f>IF(INDEX(P_Status,ROW()-4)="","",TRIM(UPPER(INDEX(P_Status,ROW()-4))))</f>
        <v/>
      </c>
      <c r="G1049">
        <f>IF(INDEX(L_Status,ROW()-4)="","",TRIM(UPPER(INDEX(L_Status,ROW()-4))))</f>
        <v/>
      </c>
      <c r="J1049">
        <f>IF(INDEX(L_ID,ROW()-4)="","",IF(SUMPRODUCT((P_ID=INDEX(L_ID,ROW()-4))*(P_StatusN="INACTIVE"))&gt;0,1,0))</f>
        <v/>
      </c>
    </row>
    <row r="1050">
      <c r="A1050">
        <f>IF(INDEX(L_ID,ROW()-4)="","",IF(COUNTIF(P_ID,INDEX(L_ID,ROW()-4))&gt;0,1,0))</f>
        <v/>
      </c>
      <c r="B1050">
        <f>IF(INDEX(P_Type,ROW()-4)="","",TRIM(UPPER(INDEX(P_Type,ROW()-4))))</f>
        <v/>
      </c>
      <c r="D1050">
        <f>IF(INDEX(L_Type,ROW()-4)="","",TRIM(UPPER(INDEX(L_Type,ROW()-4))))</f>
        <v/>
      </c>
      <c r="E1050">
        <f>IF(INDEX(P_Status,ROW()-4)="","",TRIM(UPPER(INDEX(P_Status,ROW()-4))))</f>
        <v/>
      </c>
      <c r="G1050">
        <f>IF(INDEX(L_Status,ROW()-4)="","",TRIM(UPPER(INDEX(L_Status,ROW()-4))))</f>
        <v/>
      </c>
      <c r="J1050">
        <f>IF(INDEX(L_ID,ROW()-4)="","",IF(SUMPRODUCT((P_ID=INDEX(L_ID,ROW()-4))*(P_StatusN="INACTIVE"))&gt;0,1,0))</f>
        <v/>
      </c>
    </row>
    <row r="1051">
      <c r="A1051">
        <f>IF(INDEX(L_ID,ROW()-4)="","",IF(COUNTIF(P_ID,INDEX(L_ID,ROW()-4))&gt;0,1,0))</f>
        <v/>
      </c>
      <c r="B1051">
        <f>IF(INDEX(P_Type,ROW()-4)="","",TRIM(UPPER(INDEX(P_Type,ROW()-4))))</f>
        <v/>
      </c>
      <c r="D1051">
        <f>IF(INDEX(L_Type,ROW()-4)="","",TRIM(UPPER(INDEX(L_Type,ROW()-4))))</f>
        <v/>
      </c>
      <c r="E1051">
        <f>IF(INDEX(P_Status,ROW()-4)="","",TRIM(UPPER(INDEX(P_Status,ROW()-4))))</f>
        <v/>
      </c>
      <c r="G1051">
        <f>IF(INDEX(L_Status,ROW()-4)="","",TRIM(UPPER(INDEX(L_Status,ROW()-4))))</f>
        <v/>
      </c>
      <c r="J1051">
        <f>IF(INDEX(L_ID,ROW()-4)="","",IF(SUMPRODUCT((P_ID=INDEX(L_ID,ROW()-4))*(P_StatusN="INACTIVE"))&gt;0,1,0))</f>
        <v/>
      </c>
    </row>
    <row r="1052">
      <c r="A1052">
        <f>IF(INDEX(L_ID,ROW()-4)="","",IF(COUNTIF(P_ID,INDEX(L_ID,ROW()-4))&gt;0,1,0))</f>
        <v/>
      </c>
      <c r="B1052">
        <f>IF(INDEX(P_Type,ROW()-4)="","",TRIM(UPPER(INDEX(P_Type,ROW()-4))))</f>
        <v/>
      </c>
      <c r="D1052">
        <f>IF(INDEX(L_Type,ROW()-4)="","",TRIM(UPPER(INDEX(L_Type,ROW()-4))))</f>
        <v/>
      </c>
      <c r="E1052">
        <f>IF(INDEX(P_Status,ROW()-4)="","",TRIM(UPPER(INDEX(P_Status,ROW()-4))))</f>
        <v/>
      </c>
      <c r="G1052">
        <f>IF(INDEX(L_Status,ROW()-4)="","",TRIM(UPPER(INDEX(L_Status,ROW()-4))))</f>
        <v/>
      </c>
      <c r="J1052">
        <f>IF(INDEX(L_ID,ROW()-4)="","",IF(SUMPRODUCT((P_ID=INDEX(L_ID,ROW()-4))*(P_StatusN="INACTIVE"))&gt;0,1,0))</f>
        <v/>
      </c>
    </row>
    <row r="1053">
      <c r="A1053">
        <f>IF(INDEX(L_ID,ROW()-4)="","",IF(COUNTIF(P_ID,INDEX(L_ID,ROW()-4))&gt;0,1,0))</f>
        <v/>
      </c>
      <c r="B1053">
        <f>IF(INDEX(P_Type,ROW()-4)="","",TRIM(UPPER(INDEX(P_Type,ROW()-4))))</f>
        <v/>
      </c>
      <c r="D1053">
        <f>IF(INDEX(L_Type,ROW()-4)="","",TRIM(UPPER(INDEX(L_Type,ROW()-4))))</f>
        <v/>
      </c>
      <c r="E1053">
        <f>IF(INDEX(P_Status,ROW()-4)="","",TRIM(UPPER(INDEX(P_Status,ROW()-4))))</f>
        <v/>
      </c>
      <c r="G1053">
        <f>IF(INDEX(L_Status,ROW()-4)="","",TRIM(UPPER(INDEX(L_Status,ROW()-4))))</f>
        <v/>
      </c>
      <c r="J1053">
        <f>IF(INDEX(L_ID,ROW()-4)="","",IF(SUMPRODUCT((P_ID=INDEX(L_ID,ROW()-4))*(P_StatusN="INACTIVE"))&gt;0,1,0))</f>
        <v/>
      </c>
    </row>
    <row r="1054">
      <c r="A1054">
        <f>IF(INDEX(L_ID,ROW()-4)="","",IF(COUNTIF(P_ID,INDEX(L_ID,ROW()-4))&gt;0,1,0))</f>
        <v/>
      </c>
      <c r="B1054">
        <f>IF(INDEX(P_Type,ROW()-4)="","",TRIM(UPPER(INDEX(P_Type,ROW()-4))))</f>
        <v/>
      </c>
      <c r="D1054">
        <f>IF(INDEX(L_Type,ROW()-4)="","",TRIM(UPPER(INDEX(L_Type,ROW()-4))))</f>
        <v/>
      </c>
      <c r="E1054">
        <f>IF(INDEX(P_Status,ROW()-4)="","",TRIM(UPPER(INDEX(P_Status,ROW()-4))))</f>
        <v/>
      </c>
      <c r="G1054">
        <f>IF(INDEX(L_Status,ROW()-4)="","",TRIM(UPPER(INDEX(L_Status,ROW()-4))))</f>
        <v/>
      </c>
      <c r="J1054">
        <f>IF(INDEX(L_ID,ROW()-4)="","",IF(SUMPRODUCT((P_ID=INDEX(L_ID,ROW()-4))*(P_StatusN="INACTIVE"))&gt;0,1,0))</f>
        <v/>
      </c>
    </row>
    <row r="1055">
      <c r="A1055">
        <f>IF(INDEX(L_ID,ROW()-4)="","",IF(COUNTIF(P_ID,INDEX(L_ID,ROW()-4))&gt;0,1,0))</f>
        <v/>
      </c>
      <c r="B1055">
        <f>IF(INDEX(P_Type,ROW()-4)="","",TRIM(UPPER(INDEX(P_Type,ROW()-4))))</f>
        <v/>
      </c>
      <c r="D1055">
        <f>IF(INDEX(L_Type,ROW()-4)="","",TRIM(UPPER(INDEX(L_Type,ROW()-4))))</f>
        <v/>
      </c>
      <c r="E1055">
        <f>IF(INDEX(P_Status,ROW()-4)="","",TRIM(UPPER(INDEX(P_Status,ROW()-4))))</f>
        <v/>
      </c>
      <c r="G1055">
        <f>IF(INDEX(L_Status,ROW()-4)="","",TRIM(UPPER(INDEX(L_Status,ROW()-4))))</f>
        <v/>
      </c>
      <c r="J1055">
        <f>IF(INDEX(L_ID,ROW()-4)="","",IF(SUMPRODUCT((P_ID=INDEX(L_ID,ROW()-4))*(P_StatusN="INACTIVE"))&gt;0,1,0))</f>
        <v/>
      </c>
    </row>
    <row r="1056">
      <c r="A1056">
        <f>IF(INDEX(L_ID,ROW()-4)="","",IF(COUNTIF(P_ID,INDEX(L_ID,ROW()-4))&gt;0,1,0))</f>
        <v/>
      </c>
      <c r="B1056">
        <f>IF(INDEX(P_Type,ROW()-4)="","",TRIM(UPPER(INDEX(P_Type,ROW()-4))))</f>
        <v/>
      </c>
      <c r="D1056">
        <f>IF(INDEX(L_Type,ROW()-4)="","",TRIM(UPPER(INDEX(L_Type,ROW()-4))))</f>
        <v/>
      </c>
      <c r="E1056">
        <f>IF(INDEX(P_Status,ROW()-4)="","",TRIM(UPPER(INDEX(P_Status,ROW()-4))))</f>
        <v/>
      </c>
      <c r="G1056">
        <f>IF(INDEX(L_Status,ROW()-4)="","",TRIM(UPPER(INDEX(L_Status,ROW()-4))))</f>
        <v/>
      </c>
      <c r="J1056">
        <f>IF(INDEX(L_ID,ROW()-4)="","",IF(SUMPRODUCT((P_ID=INDEX(L_ID,ROW()-4))*(P_StatusN="INACTIVE"))&gt;0,1,0))</f>
        <v/>
      </c>
    </row>
    <row r="1057">
      <c r="A1057">
        <f>IF(INDEX(L_ID,ROW()-4)="","",IF(COUNTIF(P_ID,INDEX(L_ID,ROW()-4))&gt;0,1,0))</f>
        <v/>
      </c>
      <c r="B1057">
        <f>IF(INDEX(P_Type,ROW()-4)="","",TRIM(UPPER(INDEX(P_Type,ROW()-4))))</f>
        <v/>
      </c>
      <c r="D1057">
        <f>IF(INDEX(L_Type,ROW()-4)="","",TRIM(UPPER(INDEX(L_Type,ROW()-4))))</f>
        <v/>
      </c>
      <c r="E1057">
        <f>IF(INDEX(P_Status,ROW()-4)="","",TRIM(UPPER(INDEX(P_Status,ROW()-4))))</f>
        <v/>
      </c>
      <c r="G1057">
        <f>IF(INDEX(L_Status,ROW()-4)="","",TRIM(UPPER(INDEX(L_Status,ROW()-4))))</f>
        <v/>
      </c>
      <c r="J1057">
        <f>IF(INDEX(L_ID,ROW()-4)="","",IF(SUMPRODUCT((P_ID=INDEX(L_ID,ROW()-4))*(P_StatusN="INACTIVE"))&gt;0,1,0))</f>
        <v/>
      </c>
    </row>
    <row r="1058">
      <c r="A1058">
        <f>IF(INDEX(L_ID,ROW()-4)="","",IF(COUNTIF(P_ID,INDEX(L_ID,ROW()-4))&gt;0,1,0))</f>
        <v/>
      </c>
      <c r="B1058">
        <f>IF(INDEX(P_Type,ROW()-4)="","",TRIM(UPPER(INDEX(P_Type,ROW()-4))))</f>
        <v/>
      </c>
      <c r="D1058">
        <f>IF(INDEX(L_Type,ROW()-4)="","",TRIM(UPPER(INDEX(L_Type,ROW()-4))))</f>
        <v/>
      </c>
      <c r="E1058">
        <f>IF(INDEX(P_Status,ROW()-4)="","",TRIM(UPPER(INDEX(P_Status,ROW()-4))))</f>
        <v/>
      </c>
      <c r="G1058">
        <f>IF(INDEX(L_Status,ROW()-4)="","",TRIM(UPPER(INDEX(L_Status,ROW()-4))))</f>
        <v/>
      </c>
      <c r="J1058">
        <f>IF(INDEX(L_ID,ROW()-4)="","",IF(SUMPRODUCT((P_ID=INDEX(L_ID,ROW()-4))*(P_StatusN="INACTIVE"))&gt;0,1,0))</f>
        <v/>
      </c>
    </row>
    <row r="1059">
      <c r="A1059">
        <f>IF(INDEX(L_ID,ROW()-4)="","",IF(COUNTIF(P_ID,INDEX(L_ID,ROW()-4))&gt;0,1,0))</f>
        <v/>
      </c>
      <c r="B1059">
        <f>IF(INDEX(P_Type,ROW()-4)="","",TRIM(UPPER(INDEX(P_Type,ROW()-4))))</f>
        <v/>
      </c>
      <c r="D1059">
        <f>IF(INDEX(L_Type,ROW()-4)="","",TRIM(UPPER(INDEX(L_Type,ROW()-4))))</f>
        <v/>
      </c>
      <c r="E1059">
        <f>IF(INDEX(P_Status,ROW()-4)="","",TRIM(UPPER(INDEX(P_Status,ROW()-4))))</f>
        <v/>
      </c>
      <c r="G1059">
        <f>IF(INDEX(L_Status,ROW()-4)="","",TRIM(UPPER(INDEX(L_Status,ROW()-4))))</f>
        <v/>
      </c>
      <c r="J1059">
        <f>IF(INDEX(L_ID,ROW()-4)="","",IF(SUMPRODUCT((P_ID=INDEX(L_ID,ROW()-4))*(P_StatusN="INACTIVE"))&gt;0,1,0))</f>
        <v/>
      </c>
    </row>
    <row r="1060">
      <c r="A1060">
        <f>IF(INDEX(L_ID,ROW()-4)="","",IF(COUNTIF(P_ID,INDEX(L_ID,ROW()-4))&gt;0,1,0))</f>
        <v/>
      </c>
      <c r="B1060">
        <f>IF(INDEX(P_Type,ROW()-4)="","",TRIM(UPPER(INDEX(P_Type,ROW()-4))))</f>
        <v/>
      </c>
      <c r="D1060">
        <f>IF(INDEX(L_Type,ROW()-4)="","",TRIM(UPPER(INDEX(L_Type,ROW()-4))))</f>
        <v/>
      </c>
      <c r="E1060">
        <f>IF(INDEX(P_Status,ROW()-4)="","",TRIM(UPPER(INDEX(P_Status,ROW()-4))))</f>
        <v/>
      </c>
      <c r="G1060">
        <f>IF(INDEX(L_Status,ROW()-4)="","",TRIM(UPPER(INDEX(L_Status,ROW()-4))))</f>
        <v/>
      </c>
      <c r="J1060">
        <f>IF(INDEX(L_ID,ROW()-4)="","",IF(SUMPRODUCT((P_ID=INDEX(L_ID,ROW()-4))*(P_StatusN="INACTIVE"))&gt;0,1,0))</f>
        <v/>
      </c>
    </row>
    <row r="1061">
      <c r="A1061">
        <f>IF(INDEX(L_ID,ROW()-4)="","",IF(COUNTIF(P_ID,INDEX(L_ID,ROW()-4))&gt;0,1,0))</f>
        <v/>
      </c>
      <c r="B1061">
        <f>IF(INDEX(P_Type,ROW()-4)="","",TRIM(UPPER(INDEX(P_Type,ROW()-4))))</f>
        <v/>
      </c>
      <c r="D1061">
        <f>IF(INDEX(L_Type,ROW()-4)="","",TRIM(UPPER(INDEX(L_Type,ROW()-4))))</f>
        <v/>
      </c>
      <c r="E1061">
        <f>IF(INDEX(P_Status,ROW()-4)="","",TRIM(UPPER(INDEX(P_Status,ROW()-4))))</f>
        <v/>
      </c>
      <c r="G1061">
        <f>IF(INDEX(L_Status,ROW()-4)="","",TRIM(UPPER(INDEX(L_Status,ROW()-4))))</f>
        <v/>
      </c>
      <c r="J1061">
        <f>IF(INDEX(L_ID,ROW()-4)="","",IF(SUMPRODUCT((P_ID=INDEX(L_ID,ROW()-4))*(P_StatusN="INACTIVE"))&gt;0,1,0))</f>
        <v/>
      </c>
    </row>
    <row r="1062">
      <c r="A1062">
        <f>IF(INDEX(L_ID,ROW()-4)="","",IF(COUNTIF(P_ID,INDEX(L_ID,ROW()-4))&gt;0,1,0))</f>
        <v/>
      </c>
      <c r="B1062">
        <f>IF(INDEX(P_Type,ROW()-4)="","",TRIM(UPPER(INDEX(P_Type,ROW()-4))))</f>
        <v/>
      </c>
      <c r="D1062">
        <f>IF(INDEX(L_Type,ROW()-4)="","",TRIM(UPPER(INDEX(L_Type,ROW()-4))))</f>
        <v/>
      </c>
      <c r="E1062">
        <f>IF(INDEX(P_Status,ROW()-4)="","",TRIM(UPPER(INDEX(P_Status,ROW()-4))))</f>
        <v/>
      </c>
      <c r="G1062">
        <f>IF(INDEX(L_Status,ROW()-4)="","",TRIM(UPPER(INDEX(L_Status,ROW()-4))))</f>
        <v/>
      </c>
      <c r="J1062">
        <f>IF(INDEX(L_ID,ROW()-4)="","",IF(SUMPRODUCT((P_ID=INDEX(L_ID,ROW()-4))*(P_StatusN="INACTIVE"))&gt;0,1,0))</f>
        <v/>
      </c>
    </row>
    <row r="1063">
      <c r="A1063">
        <f>IF(INDEX(L_ID,ROW()-4)="","",IF(COUNTIF(P_ID,INDEX(L_ID,ROW()-4))&gt;0,1,0))</f>
        <v/>
      </c>
      <c r="B1063">
        <f>IF(INDEX(P_Type,ROW()-4)="","",TRIM(UPPER(INDEX(P_Type,ROW()-4))))</f>
        <v/>
      </c>
      <c r="D1063">
        <f>IF(INDEX(L_Type,ROW()-4)="","",TRIM(UPPER(INDEX(L_Type,ROW()-4))))</f>
        <v/>
      </c>
      <c r="E1063">
        <f>IF(INDEX(P_Status,ROW()-4)="","",TRIM(UPPER(INDEX(P_Status,ROW()-4))))</f>
        <v/>
      </c>
      <c r="G1063">
        <f>IF(INDEX(L_Status,ROW()-4)="","",TRIM(UPPER(INDEX(L_Status,ROW()-4))))</f>
        <v/>
      </c>
      <c r="J1063">
        <f>IF(INDEX(L_ID,ROW()-4)="","",IF(SUMPRODUCT((P_ID=INDEX(L_ID,ROW()-4))*(P_StatusN="INACTIVE"))&gt;0,1,0))</f>
        <v/>
      </c>
    </row>
    <row r="1064">
      <c r="A1064">
        <f>IF(INDEX(L_ID,ROW()-4)="","",IF(COUNTIF(P_ID,INDEX(L_ID,ROW()-4))&gt;0,1,0))</f>
        <v/>
      </c>
      <c r="B1064">
        <f>IF(INDEX(P_Type,ROW()-4)="","",TRIM(UPPER(INDEX(P_Type,ROW()-4))))</f>
        <v/>
      </c>
      <c r="D1064">
        <f>IF(INDEX(L_Type,ROW()-4)="","",TRIM(UPPER(INDEX(L_Type,ROW()-4))))</f>
        <v/>
      </c>
      <c r="E1064">
        <f>IF(INDEX(P_Status,ROW()-4)="","",TRIM(UPPER(INDEX(P_Status,ROW()-4))))</f>
        <v/>
      </c>
      <c r="G1064">
        <f>IF(INDEX(L_Status,ROW()-4)="","",TRIM(UPPER(INDEX(L_Status,ROW()-4))))</f>
        <v/>
      </c>
      <c r="J1064">
        <f>IF(INDEX(L_ID,ROW()-4)="","",IF(SUMPRODUCT((P_ID=INDEX(L_ID,ROW()-4))*(P_StatusN="INACTIVE"))&gt;0,1,0))</f>
        <v/>
      </c>
    </row>
    <row r="1065">
      <c r="A1065">
        <f>IF(INDEX(L_ID,ROW()-4)="","",IF(COUNTIF(P_ID,INDEX(L_ID,ROW()-4))&gt;0,1,0))</f>
        <v/>
      </c>
      <c r="B1065">
        <f>IF(INDEX(P_Type,ROW()-4)="","",TRIM(UPPER(INDEX(P_Type,ROW()-4))))</f>
        <v/>
      </c>
      <c r="D1065">
        <f>IF(INDEX(L_Type,ROW()-4)="","",TRIM(UPPER(INDEX(L_Type,ROW()-4))))</f>
        <v/>
      </c>
      <c r="E1065">
        <f>IF(INDEX(P_Status,ROW()-4)="","",TRIM(UPPER(INDEX(P_Status,ROW()-4))))</f>
        <v/>
      </c>
      <c r="G1065">
        <f>IF(INDEX(L_Status,ROW()-4)="","",TRIM(UPPER(INDEX(L_Status,ROW()-4))))</f>
        <v/>
      </c>
      <c r="J1065">
        <f>IF(INDEX(L_ID,ROW()-4)="","",IF(SUMPRODUCT((P_ID=INDEX(L_ID,ROW()-4))*(P_StatusN="INACTIVE"))&gt;0,1,0))</f>
        <v/>
      </c>
    </row>
    <row r="1066">
      <c r="A1066">
        <f>IF(INDEX(L_ID,ROW()-4)="","",IF(COUNTIF(P_ID,INDEX(L_ID,ROW()-4))&gt;0,1,0))</f>
        <v/>
      </c>
      <c r="B1066">
        <f>IF(INDEX(P_Type,ROW()-4)="","",TRIM(UPPER(INDEX(P_Type,ROW()-4))))</f>
        <v/>
      </c>
      <c r="D1066">
        <f>IF(INDEX(L_Type,ROW()-4)="","",TRIM(UPPER(INDEX(L_Type,ROW()-4))))</f>
        <v/>
      </c>
      <c r="E1066">
        <f>IF(INDEX(P_Status,ROW()-4)="","",TRIM(UPPER(INDEX(P_Status,ROW()-4))))</f>
        <v/>
      </c>
      <c r="G1066">
        <f>IF(INDEX(L_Status,ROW()-4)="","",TRIM(UPPER(INDEX(L_Status,ROW()-4))))</f>
        <v/>
      </c>
      <c r="J1066">
        <f>IF(INDEX(L_ID,ROW()-4)="","",IF(SUMPRODUCT((P_ID=INDEX(L_ID,ROW()-4))*(P_StatusN="INACTIVE"))&gt;0,1,0))</f>
        <v/>
      </c>
    </row>
    <row r="1067">
      <c r="A1067">
        <f>IF(INDEX(L_ID,ROW()-4)="","",IF(COUNTIF(P_ID,INDEX(L_ID,ROW()-4))&gt;0,1,0))</f>
        <v/>
      </c>
      <c r="B1067">
        <f>IF(INDEX(P_Type,ROW()-4)="","",TRIM(UPPER(INDEX(P_Type,ROW()-4))))</f>
        <v/>
      </c>
      <c r="D1067">
        <f>IF(INDEX(L_Type,ROW()-4)="","",TRIM(UPPER(INDEX(L_Type,ROW()-4))))</f>
        <v/>
      </c>
      <c r="E1067">
        <f>IF(INDEX(P_Status,ROW()-4)="","",TRIM(UPPER(INDEX(P_Status,ROW()-4))))</f>
        <v/>
      </c>
      <c r="G1067">
        <f>IF(INDEX(L_Status,ROW()-4)="","",TRIM(UPPER(INDEX(L_Status,ROW()-4))))</f>
        <v/>
      </c>
      <c r="J1067">
        <f>IF(INDEX(L_ID,ROW()-4)="","",IF(SUMPRODUCT((P_ID=INDEX(L_ID,ROW()-4))*(P_StatusN="INACTIVE"))&gt;0,1,0))</f>
        <v/>
      </c>
    </row>
    <row r="1068">
      <c r="A1068">
        <f>IF(INDEX(L_ID,ROW()-4)="","",IF(COUNTIF(P_ID,INDEX(L_ID,ROW()-4))&gt;0,1,0))</f>
        <v/>
      </c>
      <c r="B1068">
        <f>IF(INDEX(P_Type,ROW()-4)="","",TRIM(UPPER(INDEX(P_Type,ROW()-4))))</f>
        <v/>
      </c>
      <c r="D1068">
        <f>IF(INDEX(L_Type,ROW()-4)="","",TRIM(UPPER(INDEX(L_Type,ROW()-4))))</f>
        <v/>
      </c>
      <c r="E1068">
        <f>IF(INDEX(P_Status,ROW()-4)="","",TRIM(UPPER(INDEX(P_Status,ROW()-4))))</f>
        <v/>
      </c>
      <c r="G1068">
        <f>IF(INDEX(L_Status,ROW()-4)="","",TRIM(UPPER(INDEX(L_Status,ROW()-4))))</f>
        <v/>
      </c>
      <c r="J1068">
        <f>IF(INDEX(L_ID,ROW()-4)="","",IF(SUMPRODUCT((P_ID=INDEX(L_ID,ROW()-4))*(P_StatusN="INACTIVE"))&gt;0,1,0))</f>
        <v/>
      </c>
    </row>
    <row r="1069">
      <c r="A1069">
        <f>IF(INDEX(L_ID,ROW()-4)="","",IF(COUNTIF(P_ID,INDEX(L_ID,ROW()-4))&gt;0,1,0))</f>
        <v/>
      </c>
      <c r="B1069">
        <f>IF(INDEX(P_Type,ROW()-4)="","",TRIM(UPPER(INDEX(P_Type,ROW()-4))))</f>
        <v/>
      </c>
      <c r="D1069">
        <f>IF(INDEX(L_Type,ROW()-4)="","",TRIM(UPPER(INDEX(L_Type,ROW()-4))))</f>
        <v/>
      </c>
      <c r="E1069">
        <f>IF(INDEX(P_Status,ROW()-4)="","",TRIM(UPPER(INDEX(P_Status,ROW()-4))))</f>
        <v/>
      </c>
      <c r="G1069">
        <f>IF(INDEX(L_Status,ROW()-4)="","",TRIM(UPPER(INDEX(L_Status,ROW()-4))))</f>
        <v/>
      </c>
      <c r="J1069">
        <f>IF(INDEX(L_ID,ROW()-4)="","",IF(SUMPRODUCT((P_ID=INDEX(L_ID,ROW()-4))*(P_StatusN="INACTIVE"))&gt;0,1,0))</f>
        <v/>
      </c>
    </row>
    <row r="1070">
      <c r="A1070">
        <f>IF(INDEX(L_ID,ROW()-4)="","",IF(COUNTIF(P_ID,INDEX(L_ID,ROW()-4))&gt;0,1,0))</f>
        <v/>
      </c>
      <c r="B1070">
        <f>IF(INDEX(P_Type,ROW()-4)="","",TRIM(UPPER(INDEX(P_Type,ROW()-4))))</f>
        <v/>
      </c>
      <c r="D1070">
        <f>IF(INDEX(L_Type,ROW()-4)="","",TRIM(UPPER(INDEX(L_Type,ROW()-4))))</f>
        <v/>
      </c>
      <c r="E1070">
        <f>IF(INDEX(P_Status,ROW()-4)="","",TRIM(UPPER(INDEX(P_Status,ROW()-4))))</f>
        <v/>
      </c>
      <c r="G1070">
        <f>IF(INDEX(L_Status,ROW()-4)="","",TRIM(UPPER(INDEX(L_Status,ROW()-4))))</f>
        <v/>
      </c>
      <c r="J1070">
        <f>IF(INDEX(L_ID,ROW()-4)="","",IF(SUMPRODUCT((P_ID=INDEX(L_ID,ROW()-4))*(P_StatusN="INACTIVE"))&gt;0,1,0))</f>
        <v/>
      </c>
    </row>
    <row r="1071">
      <c r="A1071">
        <f>IF(INDEX(L_ID,ROW()-4)="","",IF(COUNTIF(P_ID,INDEX(L_ID,ROW()-4))&gt;0,1,0))</f>
        <v/>
      </c>
      <c r="B1071">
        <f>IF(INDEX(P_Type,ROW()-4)="","",TRIM(UPPER(INDEX(P_Type,ROW()-4))))</f>
        <v/>
      </c>
      <c r="D1071">
        <f>IF(INDEX(L_Type,ROW()-4)="","",TRIM(UPPER(INDEX(L_Type,ROW()-4))))</f>
        <v/>
      </c>
      <c r="E1071">
        <f>IF(INDEX(P_Status,ROW()-4)="","",TRIM(UPPER(INDEX(P_Status,ROW()-4))))</f>
        <v/>
      </c>
      <c r="G1071">
        <f>IF(INDEX(L_Status,ROW()-4)="","",TRIM(UPPER(INDEX(L_Status,ROW()-4))))</f>
        <v/>
      </c>
      <c r="J1071">
        <f>IF(INDEX(L_ID,ROW()-4)="","",IF(SUMPRODUCT((P_ID=INDEX(L_ID,ROW()-4))*(P_StatusN="INACTIVE"))&gt;0,1,0))</f>
        <v/>
      </c>
    </row>
    <row r="1072">
      <c r="A1072">
        <f>IF(INDEX(L_ID,ROW()-4)="","",IF(COUNTIF(P_ID,INDEX(L_ID,ROW()-4))&gt;0,1,0))</f>
        <v/>
      </c>
      <c r="B1072">
        <f>IF(INDEX(P_Type,ROW()-4)="","",TRIM(UPPER(INDEX(P_Type,ROW()-4))))</f>
        <v/>
      </c>
      <c r="D1072">
        <f>IF(INDEX(L_Type,ROW()-4)="","",TRIM(UPPER(INDEX(L_Type,ROW()-4))))</f>
        <v/>
      </c>
      <c r="E1072">
        <f>IF(INDEX(P_Status,ROW()-4)="","",TRIM(UPPER(INDEX(P_Status,ROW()-4))))</f>
        <v/>
      </c>
      <c r="G1072">
        <f>IF(INDEX(L_Status,ROW()-4)="","",TRIM(UPPER(INDEX(L_Status,ROW()-4))))</f>
        <v/>
      </c>
      <c r="J1072">
        <f>IF(INDEX(L_ID,ROW()-4)="","",IF(SUMPRODUCT((P_ID=INDEX(L_ID,ROW()-4))*(P_StatusN="INACTIVE"))&gt;0,1,0))</f>
        <v/>
      </c>
    </row>
    <row r="1073">
      <c r="A1073">
        <f>IF(INDEX(L_ID,ROW()-4)="","",IF(COUNTIF(P_ID,INDEX(L_ID,ROW()-4))&gt;0,1,0))</f>
        <v/>
      </c>
      <c r="B1073">
        <f>IF(INDEX(P_Type,ROW()-4)="","",TRIM(UPPER(INDEX(P_Type,ROW()-4))))</f>
        <v/>
      </c>
      <c r="D1073">
        <f>IF(INDEX(L_Type,ROW()-4)="","",TRIM(UPPER(INDEX(L_Type,ROW()-4))))</f>
        <v/>
      </c>
      <c r="E1073">
        <f>IF(INDEX(P_Status,ROW()-4)="","",TRIM(UPPER(INDEX(P_Status,ROW()-4))))</f>
        <v/>
      </c>
      <c r="G1073">
        <f>IF(INDEX(L_Status,ROW()-4)="","",TRIM(UPPER(INDEX(L_Status,ROW()-4))))</f>
        <v/>
      </c>
      <c r="J1073">
        <f>IF(INDEX(L_ID,ROW()-4)="","",IF(SUMPRODUCT((P_ID=INDEX(L_ID,ROW()-4))*(P_StatusN="INACTIVE"))&gt;0,1,0))</f>
        <v/>
      </c>
    </row>
    <row r="1074">
      <c r="A1074">
        <f>IF(INDEX(L_ID,ROW()-4)="","",IF(COUNTIF(P_ID,INDEX(L_ID,ROW()-4))&gt;0,1,0))</f>
        <v/>
      </c>
      <c r="B1074">
        <f>IF(INDEX(P_Type,ROW()-4)="","",TRIM(UPPER(INDEX(P_Type,ROW()-4))))</f>
        <v/>
      </c>
      <c r="D1074">
        <f>IF(INDEX(L_Type,ROW()-4)="","",TRIM(UPPER(INDEX(L_Type,ROW()-4))))</f>
        <v/>
      </c>
      <c r="E1074">
        <f>IF(INDEX(P_Status,ROW()-4)="","",TRIM(UPPER(INDEX(P_Status,ROW()-4))))</f>
        <v/>
      </c>
      <c r="G1074">
        <f>IF(INDEX(L_Status,ROW()-4)="","",TRIM(UPPER(INDEX(L_Status,ROW()-4))))</f>
        <v/>
      </c>
      <c r="J1074">
        <f>IF(INDEX(L_ID,ROW()-4)="","",IF(SUMPRODUCT((P_ID=INDEX(L_ID,ROW()-4))*(P_StatusN="INACTIVE"))&gt;0,1,0))</f>
        <v/>
      </c>
    </row>
    <row r="1075">
      <c r="A1075">
        <f>IF(INDEX(L_ID,ROW()-4)="","",IF(COUNTIF(P_ID,INDEX(L_ID,ROW()-4))&gt;0,1,0))</f>
        <v/>
      </c>
      <c r="B1075">
        <f>IF(INDEX(P_Type,ROW()-4)="","",TRIM(UPPER(INDEX(P_Type,ROW()-4))))</f>
        <v/>
      </c>
      <c r="D1075">
        <f>IF(INDEX(L_Type,ROW()-4)="","",TRIM(UPPER(INDEX(L_Type,ROW()-4))))</f>
        <v/>
      </c>
      <c r="E1075">
        <f>IF(INDEX(P_Status,ROW()-4)="","",TRIM(UPPER(INDEX(P_Status,ROW()-4))))</f>
        <v/>
      </c>
      <c r="G1075">
        <f>IF(INDEX(L_Status,ROW()-4)="","",TRIM(UPPER(INDEX(L_Status,ROW()-4))))</f>
        <v/>
      </c>
      <c r="J1075">
        <f>IF(INDEX(L_ID,ROW()-4)="","",IF(SUMPRODUCT((P_ID=INDEX(L_ID,ROW()-4))*(P_StatusN="INACTIVE"))&gt;0,1,0))</f>
        <v/>
      </c>
    </row>
    <row r="1076">
      <c r="A1076">
        <f>IF(INDEX(L_ID,ROW()-4)="","",IF(COUNTIF(P_ID,INDEX(L_ID,ROW()-4))&gt;0,1,0))</f>
        <v/>
      </c>
      <c r="B1076">
        <f>IF(INDEX(P_Type,ROW()-4)="","",TRIM(UPPER(INDEX(P_Type,ROW()-4))))</f>
        <v/>
      </c>
      <c r="D1076">
        <f>IF(INDEX(L_Type,ROW()-4)="","",TRIM(UPPER(INDEX(L_Type,ROW()-4))))</f>
        <v/>
      </c>
      <c r="E1076">
        <f>IF(INDEX(P_Status,ROW()-4)="","",TRIM(UPPER(INDEX(P_Status,ROW()-4))))</f>
        <v/>
      </c>
      <c r="G1076">
        <f>IF(INDEX(L_Status,ROW()-4)="","",TRIM(UPPER(INDEX(L_Status,ROW()-4))))</f>
        <v/>
      </c>
      <c r="J1076">
        <f>IF(INDEX(L_ID,ROW()-4)="","",IF(SUMPRODUCT((P_ID=INDEX(L_ID,ROW()-4))*(P_StatusN="INACTIVE"))&gt;0,1,0))</f>
        <v/>
      </c>
    </row>
    <row r="1077">
      <c r="A1077">
        <f>IF(INDEX(L_ID,ROW()-4)="","",IF(COUNTIF(P_ID,INDEX(L_ID,ROW()-4))&gt;0,1,0))</f>
        <v/>
      </c>
      <c r="B1077">
        <f>IF(INDEX(P_Type,ROW()-4)="","",TRIM(UPPER(INDEX(P_Type,ROW()-4))))</f>
        <v/>
      </c>
      <c r="D1077">
        <f>IF(INDEX(L_Type,ROW()-4)="","",TRIM(UPPER(INDEX(L_Type,ROW()-4))))</f>
        <v/>
      </c>
      <c r="E1077">
        <f>IF(INDEX(P_Status,ROW()-4)="","",TRIM(UPPER(INDEX(P_Status,ROW()-4))))</f>
        <v/>
      </c>
      <c r="G1077">
        <f>IF(INDEX(L_Status,ROW()-4)="","",TRIM(UPPER(INDEX(L_Status,ROW()-4))))</f>
        <v/>
      </c>
      <c r="J1077">
        <f>IF(INDEX(L_ID,ROW()-4)="","",IF(SUMPRODUCT((P_ID=INDEX(L_ID,ROW()-4))*(P_StatusN="INACTIVE"))&gt;0,1,0))</f>
        <v/>
      </c>
    </row>
    <row r="1078">
      <c r="A1078">
        <f>IF(INDEX(L_ID,ROW()-4)="","",IF(COUNTIF(P_ID,INDEX(L_ID,ROW()-4))&gt;0,1,0))</f>
        <v/>
      </c>
      <c r="B1078">
        <f>IF(INDEX(P_Type,ROW()-4)="","",TRIM(UPPER(INDEX(P_Type,ROW()-4))))</f>
        <v/>
      </c>
      <c r="D1078">
        <f>IF(INDEX(L_Type,ROW()-4)="","",TRIM(UPPER(INDEX(L_Type,ROW()-4))))</f>
        <v/>
      </c>
      <c r="E1078">
        <f>IF(INDEX(P_Status,ROW()-4)="","",TRIM(UPPER(INDEX(P_Status,ROW()-4))))</f>
        <v/>
      </c>
      <c r="G1078">
        <f>IF(INDEX(L_Status,ROW()-4)="","",TRIM(UPPER(INDEX(L_Status,ROW()-4))))</f>
        <v/>
      </c>
      <c r="J1078">
        <f>IF(INDEX(L_ID,ROW()-4)="","",IF(SUMPRODUCT((P_ID=INDEX(L_ID,ROW()-4))*(P_StatusN="INACTIVE"))&gt;0,1,0))</f>
        <v/>
      </c>
    </row>
    <row r="1079">
      <c r="A1079">
        <f>IF(INDEX(L_ID,ROW()-4)="","",IF(COUNTIF(P_ID,INDEX(L_ID,ROW()-4))&gt;0,1,0))</f>
        <v/>
      </c>
      <c r="B1079">
        <f>IF(INDEX(P_Type,ROW()-4)="","",TRIM(UPPER(INDEX(P_Type,ROW()-4))))</f>
        <v/>
      </c>
      <c r="D1079">
        <f>IF(INDEX(L_Type,ROW()-4)="","",TRIM(UPPER(INDEX(L_Type,ROW()-4))))</f>
        <v/>
      </c>
      <c r="E1079">
        <f>IF(INDEX(P_Status,ROW()-4)="","",TRIM(UPPER(INDEX(P_Status,ROW()-4))))</f>
        <v/>
      </c>
      <c r="G1079">
        <f>IF(INDEX(L_Status,ROW()-4)="","",TRIM(UPPER(INDEX(L_Status,ROW()-4))))</f>
        <v/>
      </c>
      <c r="J1079">
        <f>IF(INDEX(L_ID,ROW()-4)="","",IF(SUMPRODUCT((P_ID=INDEX(L_ID,ROW()-4))*(P_StatusN="INACTIVE"))&gt;0,1,0))</f>
        <v/>
      </c>
    </row>
    <row r="1080">
      <c r="A1080">
        <f>IF(INDEX(L_ID,ROW()-4)="","",IF(COUNTIF(P_ID,INDEX(L_ID,ROW()-4))&gt;0,1,0))</f>
        <v/>
      </c>
      <c r="B1080">
        <f>IF(INDEX(P_Type,ROW()-4)="","",TRIM(UPPER(INDEX(P_Type,ROW()-4))))</f>
        <v/>
      </c>
      <c r="D1080">
        <f>IF(INDEX(L_Type,ROW()-4)="","",TRIM(UPPER(INDEX(L_Type,ROW()-4))))</f>
        <v/>
      </c>
      <c r="E1080">
        <f>IF(INDEX(P_Status,ROW()-4)="","",TRIM(UPPER(INDEX(P_Status,ROW()-4))))</f>
        <v/>
      </c>
      <c r="G1080">
        <f>IF(INDEX(L_Status,ROW()-4)="","",TRIM(UPPER(INDEX(L_Status,ROW()-4))))</f>
        <v/>
      </c>
      <c r="J1080">
        <f>IF(INDEX(L_ID,ROW()-4)="","",IF(SUMPRODUCT((P_ID=INDEX(L_ID,ROW()-4))*(P_StatusN="INACTIVE"))&gt;0,1,0))</f>
        <v/>
      </c>
    </row>
    <row r="1081">
      <c r="A1081">
        <f>IF(INDEX(L_ID,ROW()-4)="","",IF(COUNTIF(P_ID,INDEX(L_ID,ROW()-4))&gt;0,1,0))</f>
        <v/>
      </c>
      <c r="B1081">
        <f>IF(INDEX(P_Type,ROW()-4)="","",TRIM(UPPER(INDEX(P_Type,ROW()-4))))</f>
        <v/>
      </c>
      <c r="D1081">
        <f>IF(INDEX(L_Type,ROW()-4)="","",TRIM(UPPER(INDEX(L_Type,ROW()-4))))</f>
        <v/>
      </c>
      <c r="E1081">
        <f>IF(INDEX(P_Status,ROW()-4)="","",TRIM(UPPER(INDEX(P_Status,ROW()-4))))</f>
        <v/>
      </c>
      <c r="G1081">
        <f>IF(INDEX(L_Status,ROW()-4)="","",TRIM(UPPER(INDEX(L_Status,ROW()-4))))</f>
        <v/>
      </c>
      <c r="J1081">
        <f>IF(INDEX(L_ID,ROW()-4)="","",IF(SUMPRODUCT((P_ID=INDEX(L_ID,ROW()-4))*(P_StatusN="INACTIVE"))&gt;0,1,0))</f>
        <v/>
      </c>
    </row>
    <row r="1082">
      <c r="A1082">
        <f>IF(INDEX(L_ID,ROW()-4)="","",IF(COUNTIF(P_ID,INDEX(L_ID,ROW()-4))&gt;0,1,0))</f>
        <v/>
      </c>
      <c r="B1082">
        <f>IF(INDEX(P_Type,ROW()-4)="","",TRIM(UPPER(INDEX(P_Type,ROW()-4))))</f>
        <v/>
      </c>
      <c r="D1082">
        <f>IF(INDEX(L_Type,ROW()-4)="","",TRIM(UPPER(INDEX(L_Type,ROW()-4))))</f>
        <v/>
      </c>
      <c r="E1082">
        <f>IF(INDEX(P_Status,ROW()-4)="","",TRIM(UPPER(INDEX(P_Status,ROW()-4))))</f>
        <v/>
      </c>
      <c r="G1082">
        <f>IF(INDEX(L_Status,ROW()-4)="","",TRIM(UPPER(INDEX(L_Status,ROW()-4))))</f>
        <v/>
      </c>
      <c r="J1082">
        <f>IF(INDEX(L_ID,ROW()-4)="","",IF(SUMPRODUCT((P_ID=INDEX(L_ID,ROW()-4))*(P_StatusN="INACTIVE"))&gt;0,1,0))</f>
        <v/>
      </c>
    </row>
    <row r="1083">
      <c r="A1083">
        <f>IF(INDEX(L_ID,ROW()-4)="","",IF(COUNTIF(P_ID,INDEX(L_ID,ROW()-4))&gt;0,1,0))</f>
        <v/>
      </c>
      <c r="B1083">
        <f>IF(INDEX(P_Type,ROW()-4)="","",TRIM(UPPER(INDEX(P_Type,ROW()-4))))</f>
        <v/>
      </c>
      <c r="D1083">
        <f>IF(INDEX(L_Type,ROW()-4)="","",TRIM(UPPER(INDEX(L_Type,ROW()-4))))</f>
        <v/>
      </c>
      <c r="E1083">
        <f>IF(INDEX(P_Status,ROW()-4)="","",TRIM(UPPER(INDEX(P_Status,ROW()-4))))</f>
        <v/>
      </c>
      <c r="G1083">
        <f>IF(INDEX(L_Status,ROW()-4)="","",TRIM(UPPER(INDEX(L_Status,ROW()-4))))</f>
        <v/>
      </c>
      <c r="J1083">
        <f>IF(INDEX(L_ID,ROW()-4)="","",IF(SUMPRODUCT((P_ID=INDEX(L_ID,ROW()-4))*(P_StatusN="INACTIVE"))&gt;0,1,0))</f>
        <v/>
      </c>
    </row>
    <row r="1084">
      <c r="A1084">
        <f>IF(INDEX(L_ID,ROW()-4)="","",IF(COUNTIF(P_ID,INDEX(L_ID,ROW()-4))&gt;0,1,0))</f>
        <v/>
      </c>
      <c r="B1084">
        <f>IF(INDEX(P_Type,ROW()-4)="","",TRIM(UPPER(INDEX(P_Type,ROW()-4))))</f>
        <v/>
      </c>
      <c r="D1084">
        <f>IF(INDEX(L_Type,ROW()-4)="","",TRIM(UPPER(INDEX(L_Type,ROW()-4))))</f>
        <v/>
      </c>
      <c r="E1084">
        <f>IF(INDEX(P_Status,ROW()-4)="","",TRIM(UPPER(INDEX(P_Status,ROW()-4))))</f>
        <v/>
      </c>
      <c r="G1084">
        <f>IF(INDEX(L_Status,ROW()-4)="","",TRIM(UPPER(INDEX(L_Status,ROW()-4))))</f>
        <v/>
      </c>
      <c r="J1084">
        <f>IF(INDEX(L_ID,ROW()-4)="","",IF(SUMPRODUCT((P_ID=INDEX(L_ID,ROW()-4))*(P_StatusN="INACTIVE"))&gt;0,1,0))</f>
        <v/>
      </c>
    </row>
    <row r="1085">
      <c r="A1085">
        <f>IF(INDEX(L_ID,ROW()-4)="","",IF(COUNTIF(P_ID,INDEX(L_ID,ROW()-4))&gt;0,1,0))</f>
        <v/>
      </c>
      <c r="B1085">
        <f>IF(INDEX(P_Type,ROW()-4)="","",TRIM(UPPER(INDEX(P_Type,ROW()-4))))</f>
        <v/>
      </c>
      <c r="D1085">
        <f>IF(INDEX(L_Type,ROW()-4)="","",TRIM(UPPER(INDEX(L_Type,ROW()-4))))</f>
        <v/>
      </c>
      <c r="E1085">
        <f>IF(INDEX(P_Status,ROW()-4)="","",TRIM(UPPER(INDEX(P_Status,ROW()-4))))</f>
        <v/>
      </c>
      <c r="G1085">
        <f>IF(INDEX(L_Status,ROW()-4)="","",TRIM(UPPER(INDEX(L_Status,ROW()-4))))</f>
        <v/>
      </c>
      <c r="J1085">
        <f>IF(INDEX(L_ID,ROW()-4)="","",IF(SUMPRODUCT((P_ID=INDEX(L_ID,ROW()-4))*(P_StatusN="INACTIVE"))&gt;0,1,0))</f>
        <v/>
      </c>
    </row>
    <row r="1086">
      <c r="A1086">
        <f>IF(INDEX(L_ID,ROW()-4)="","",IF(COUNTIF(P_ID,INDEX(L_ID,ROW()-4))&gt;0,1,0))</f>
        <v/>
      </c>
      <c r="B1086">
        <f>IF(INDEX(P_Type,ROW()-4)="","",TRIM(UPPER(INDEX(P_Type,ROW()-4))))</f>
        <v/>
      </c>
      <c r="D1086">
        <f>IF(INDEX(L_Type,ROW()-4)="","",TRIM(UPPER(INDEX(L_Type,ROW()-4))))</f>
        <v/>
      </c>
      <c r="E1086">
        <f>IF(INDEX(P_Status,ROW()-4)="","",TRIM(UPPER(INDEX(P_Status,ROW()-4))))</f>
        <v/>
      </c>
      <c r="G1086">
        <f>IF(INDEX(L_Status,ROW()-4)="","",TRIM(UPPER(INDEX(L_Status,ROW()-4))))</f>
        <v/>
      </c>
      <c r="J1086">
        <f>IF(INDEX(L_ID,ROW()-4)="","",IF(SUMPRODUCT((P_ID=INDEX(L_ID,ROW()-4))*(P_StatusN="INACTIVE"))&gt;0,1,0))</f>
        <v/>
      </c>
    </row>
    <row r="1087">
      <c r="A1087">
        <f>IF(INDEX(L_ID,ROW()-4)="","",IF(COUNTIF(P_ID,INDEX(L_ID,ROW()-4))&gt;0,1,0))</f>
        <v/>
      </c>
      <c r="B1087">
        <f>IF(INDEX(P_Type,ROW()-4)="","",TRIM(UPPER(INDEX(P_Type,ROW()-4))))</f>
        <v/>
      </c>
      <c r="D1087">
        <f>IF(INDEX(L_Type,ROW()-4)="","",TRIM(UPPER(INDEX(L_Type,ROW()-4))))</f>
        <v/>
      </c>
      <c r="E1087">
        <f>IF(INDEX(P_Status,ROW()-4)="","",TRIM(UPPER(INDEX(P_Status,ROW()-4))))</f>
        <v/>
      </c>
      <c r="G1087">
        <f>IF(INDEX(L_Status,ROW()-4)="","",TRIM(UPPER(INDEX(L_Status,ROW()-4))))</f>
        <v/>
      </c>
      <c r="J1087">
        <f>IF(INDEX(L_ID,ROW()-4)="","",IF(SUMPRODUCT((P_ID=INDEX(L_ID,ROW()-4))*(P_StatusN="INACTIVE"))&gt;0,1,0))</f>
        <v/>
      </c>
    </row>
    <row r="1088">
      <c r="A1088">
        <f>IF(INDEX(L_ID,ROW()-4)="","",IF(COUNTIF(P_ID,INDEX(L_ID,ROW()-4))&gt;0,1,0))</f>
        <v/>
      </c>
      <c r="B1088">
        <f>IF(INDEX(P_Type,ROW()-4)="","",TRIM(UPPER(INDEX(P_Type,ROW()-4))))</f>
        <v/>
      </c>
      <c r="D1088">
        <f>IF(INDEX(L_Type,ROW()-4)="","",TRIM(UPPER(INDEX(L_Type,ROW()-4))))</f>
        <v/>
      </c>
      <c r="E1088">
        <f>IF(INDEX(P_Status,ROW()-4)="","",TRIM(UPPER(INDEX(P_Status,ROW()-4))))</f>
        <v/>
      </c>
      <c r="G1088">
        <f>IF(INDEX(L_Status,ROW()-4)="","",TRIM(UPPER(INDEX(L_Status,ROW()-4))))</f>
        <v/>
      </c>
      <c r="J1088">
        <f>IF(INDEX(L_ID,ROW()-4)="","",IF(SUMPRODUCT((P_ID=INDEX(L_ID,ROW()-4))*(P_StatusN="INACTIVE"))&gt;0,1,0))</f>
        <v/>
      </c>
    </row>
    <row r="1089">
      <c r="A1089">
        <f>IF(INDEX(L_ID,ROW()-4)="","",IF(COUNTIF(P_ID,INDEX(L_ID,ROW()-4))&gt;0,1,0))</f>
        <v/>
      </c>
      <c r="B1089">
        <f>IF(INDEX(P_Type,ROW()-4)="","",TRIM(UPPER(INDEX(P_Type,ROW()-4))))</f>
        <v/>
      </c>
      <c r="D1089">
        <f>IF(INDEX(L_Type,ROW()-4)="","",TRIM(UPPER(INDEX(L_Type,ROW()-4))))</f>
        <v/>
      </c>
      <c r="E1089">
        <f>IF(INDEX(P_Status,ROW()-4)="","",TRIM(UPPER(INDEX(P_Status,ROW()-4))))</f>
        <v/>
      </c>
      <c r="G1089">
        <f>IF(INDEX(L_Status,ROW()-4)="","",TRIM(UPPER(INDEX(L_Status,ROW()-4))))</f>
        <v/>
      </c>
      <c r="J1089">
        <f>IF(INDEX(L_ID,ROW()-4)="","",IF(SUMPRODUCT((P_ID=INDEX(L_ID,ROW()-4))*(P_StatusN="INACTIVE"))&gt;0,1,0))</f>
        <v/>
      </c>
    </row>
    <row r="1090">
      <c r="A1090">
        <f>IF(INDEX(L_ID,ROW()-4)="","",IF(COUNTIF(P_ID,INDEX(L_ID,ROW()-4))&gt;0,1,0))</f>
        <v/>
      </c>
      <c r="B1090">
        <f>IF(INDEX(P_Type,ROW()-4)="","",TRIM(UPPER(INDEX(P_Type,ROW()-4))))</f>
        <v/>
      </c>
      <c r="D1090">
        <f>IF(INDEX(L_Type,ROW()-4)="","",TRIM(UPPER(INDEX(L_Type,ROW()-4))))</f>
        <v/>
      </c>
      <c r="E1090">
        <f>IF(INDEX(P_Status,ROW()-4)="","",TRIM(UPPER(INDEX(P_Status,ROW()-4))))</f>
        <v/>
      </c>
      <c r="G1090">
        <f>IF(INDEX(L_Status,ROW()-4)="","",TRIM(UPPER(INDEX(L_Status,ROW()-4))))</f>
        <v/>
      </c>
      <c r="J1090">
        <f>IF(INDEX(L_ID,ROW()-4)="","",IF(SUMPRODUCT((P_ID=INDEX(L_ID,ROW()-4))*(P_StatusN="INACTIVE"))&gt;0,1,0))</f>
        <v/>
      </c>
    </row>
    <row r="1091">
      <c r="A1091">
        <f>IF(INDEX(L_ID,ROW()-4)="","",IF(COUNTIF(P_ID,INDEX(L_ID,ROW()-4))&gt;0,1,0))</f>
        <v/>
      </c>
      <c r="B1091">
        <f>IF(INDEX(P_Type,ROW()-4)="","",TRIM(UPPER(INDEX(P_Type,ROW()-4))))</f>
        <v/>
      </c>
      <c r="D1091">
        <f>IF(INDEX(L_Type,ROW()-4)="","",TRIM(UPPER(INDEX(L_Type,ROW()-4))))</f>
        <v/>
      </c>
      <c r="E1091">
        <f>IF(INDEX(P_Status,ROW()-4)="","",TRIM(UPPER(INDEX(P_Status,ROW()-4))))</f>
        <v/>
      </c>
      <c r="G1091">
        <f>IF(INDEX(L_Status,ROW()-4)="","",TRIM(UPPER(INDEX(L_Status,ROW()-4))))</f>
        <v/>
      </c>
      <c r="J1091">
        <f>IF(INDEX(L_ID,ROW()-4)="","",IF(SUMPRODUCT((P_ID=INDEX(L_ID,ROW()-4))*(P_StatusN="INACTIVE"))&gt;0,1,0))</f>
        <v/>
      </c>
    </row>
    <row r="1092">
      <c r="A1092">
        <f>IF(INDEX(L_ID,ROW()-4)="","",IF(COUNTIF(P_ID,INDEX(L_ID,ROW()-4))&gt;0,1,0))</f>
        <v/>
      </c>
      <c r="B1092">
        <f>IF(INDEX(P_Type,ROW()-4)="","",TRIM(UPPER(INDEX(P_Type,ROW()-4))))</f>
        <v/>
      </c>
      <c r="D1092">
        <f>IF(INDEX(L_Type,ROW()-4)="","",TRIM(UPPER(INDEX(L_Type,ROW()-4))))</f>
        <v/>
      </c>
      <c r="E1092">
        <f>IF(INDEX(P_Status,ROW()-4)="","",TRIM(UPPER(INDEX(P_Status,ROW()-4))))</f>
        <v/>
      </c>
      <c r="G1092">
        <f>IF(INDEX(L_Status,ROW()-4)="","",TRIM(UPPER(INDEX(L_Status,ROW()-4))))</f>
        <v/>
      </c>
      <c r="J1092">
        <f>IF(INDEX(L_ID,ROW()-4)="","",IF(SUMPRODUCT((P_ID=INDEX(L_ID,ROW()-4))*(P_StatusN="INACTIVE"))&gt;0,1,0))</f>
        <v/>
      </c>
    </row>
    <row r="1093">
      <c r="A1093">
        <f>IF(INDEX(L_ID,ROW()-4)="","",IF(COUNTIF(P_ID,INDEX(L_ID,ROW()-4))&gt;0,1,0))</f>
        <v/>
      </c>
      <c r="B1093">
        <f>IF(INDEX(P_Type,ROW()-4)="","",TRIM(UPPER(INDEX(P_Type,ROW()-4))))</f>
        <v/>
      </c>
      <c r="D1093">
        <f>IF(INDEX(L_Type,ROW()-4)="","",TRIM(UPPER(INDEX(L_Type,ROW()-4))))</f>
        <v/>
      </c>
      <c r="E1093">
        <f>IF(INDEX(P_Status,ROW()-4)="","",TRIM(UPPER(INDEX(P_Status,ROW()-4))))</f>
        <v/>
      </c>
      <c r="G1093">
        <f>IF(INDEX(L_Status,ROW()-4)="","",TRIM(UPPER(INDEX(L_Status,ROW()-4))))</f>
        <v/>
      </c>
      <c r="J1093">
        <f>IF(INDEX(L_ID,ROW()-4)="","",IF(SUMPRODUCT((P_ID=INDEX(L_ID,ROW()-4))*(P_StatusN="INACTIVE"))&gt;0,1,0))</f>
        <v/>
      </c>
    </row>
    <row r="1094">
      <c r="A1094">
        <f>IF(INDEX(L_ID,ROW()-4)="","",IF(COUNTIF(P_ID,INDEX(L_ID,ROW()-4))&gt;0,1,0))</f>
        <v/>
      </c>
      <c r="B1094">
        <f>IF(INDEX(P_Type,ROW()-4)="","",TRIM(UPPER(INDEX(P_Type,ROW()-4))))</f>
        <v/>
      </c>
      <c r="D1094">
        <f>IF(INDEX(L_Type,ROW()-4)="","",TRIM(UPPER(INDEX(L_Type,ROW()-4))))</f>
        <v/>
      </c>
      <c r="E1094">
        <f>IF(INDEX(P_Status,ROW()-4)="","",TRIM(UPPER(INDEX(P_Status,ROW()-4))))</f>
        <v/>
      </c>
      <c r="G1094">
        <f>IF(INDEX(L_Status,ROW()-4)="","",TRIM(UPPER(INDEX(L_Status,ROW()-4))))</f>
        <v/>
      </c>
      <c r="J1094">
        <f>IF(INDEX(L_ID,ROW()-4)="","",IF(SUMPRODUCT((P_ID=INDEX(L_ID,ROW()-4))*(P_StatusN="INACTIVE"))&gt;0,1,0))</f>
        <v/>
      </c>
    </row>
    <row r="1095">
      <c r="A1095">
        <f>IF(INDEX(L_ID,ROW()-4)="","",IF(COUNTIF(P_ID,INDEX(L_ID,ROW()-4))&gt;0,1,0))</f>
        <v/>
      </c>
      <c r="B1095">
        <f>IF(INDEX(P_Type,ROW()-4)="","",TRIM(UPPER(INDEX(P_Type,ROW()-4))))</f>
        <v/>
      </c>
      <c r="D1095">
        <f>IF(INDEX(L_Type,ROW()-4)="","",TRIM(UPPER(INDEX(L_Type,ROW()-4))))</f>
        <v/>
      </c>
      <c r="E1095">
        <f>IF(INDEX(P_Status,ROW()-4)="","",TRIM(UPPER(INDEX(P_Status,ROW()-4))))</f>
        <v/>
      </c>
      <c r="G1095">
        <f>IF(INDEX(L_Status,ROW()-4)="","",TRIM(UPPER(INDEX(L_Status,ROW()-4))))</f>
        <v/>
      </c>
      <c r="J1095">
        <f>IF(INDEX(L_ID,ROW()-4)="","",IF(SUMPRODUCT((P_ID=INDEX(L_ID,ROW()-4))*(P_StatusN="INACTIVE"))&gt;0,1,0))</f>
        <v/>
      </c>
    </row>
    <row r="1096">
      <c r="A1096">
        <f>IF(INDEX(L_ID,ROW()-4)="","",IF(COUNTIF(P_ID,INDEX(L_ID,ROW()-4))&gt;0,1,0))</f>
        <v/>
      </c>
      <c r="B1096">
        <f>IF(INDEX(P_Type,ROW()-4)="","",TRIM(UPPER(INDEX(P_Type,ROW()-4))))</f>
        <v/>
      </c>
      <c r="D1096">
        <f>IF(INDEX(L_Type,ROW()-4)="","",TRIM(UPPER(INDEX(L_Type,ROW()-4))))</f>
        <v/>
      </c>
      <c r="E1096">
        <f>IF(INDEX(P_Status,ROW()-4)="","",TRIM(UPPER(INDEX(P_Status,ROW()-4))))</f>
        <v/>
      </c>
      <c r="G1096">
        <f>IF(INDEX(L_Status,ROW()-4)="","",TRIM(UPPER(INDEX(L_Status,ROW()-4))))</f>
        <v/>
      </c>
      <c r="J1096">
        <f>IF(INDEX(L_ID,ROW()-4)="","",IF(SUMPRODUCT((P_ID=INDEX(L_ID,ROW()-4))*(P_StatusN="INACTIVE"))&gt;0,1,0))</f>
        <v/>
      </c>
    </row>
    <row r="1097">
      <c r="A1097">
        <f>IF(INDEX(L_ID,ROW()-4)="","",IF(COUNTIF(P_ID,INDEX(L_ID,ROW()-4))&gt;0,1,0))</f>
        <v/>
      </c>
      <c r="B1097">
        <f>IF(INDEX(P_Type,ROW()-4)="","",TRIM(UPPER(INDEX(P_Type,ROW()-4))))</f>
        <v/>
      </c>
      <c r="D1097">
        <f>IF(INDEX(L_Type,ROW()-4)="","",TRIM(UPPER(INDEX(L_Type,ROW()-4))))</f>
        <v/>
      </c>
      <c r="E1097">
        <f>IF(INDEX(P_Status,ROW()-4)="","",TRIM(UPPER(INDEX(P_Status,ROW()-4))))</f>
        <v/>
      </c>
      <c r="G1097">
        <f>IF(INDEX(L_Status,ROW()-4)="","",TRIM(UPPER(INDEX(L_Status,ROW()-4))))</f>
        <v/>
      </c>
      <c r="J1097">
        <f>IF(INDEX(L_ID,ROW()-4)="","",IF(SUMPRODUCT((P_ID=INDEX(L_ID,ROW()-4))*(P_StatusN="INACTIVE"))&gt;0,1,0))</f>
        <v/>
      </c>
    </row>
    <row r="1098">
      <c r="A1098">
        <f>IF(INDEX(L_ID,ROW()-4)="","",IF(COUNTIF(P_ID,INDEX(L_ID,ROW()-4))&gt;0,1,0))</f>
        <v/>
      </c>
      <c r="B1098">
        <f>IF(INDEX(P_Type,ROW()-4)="","",TRIM(UPPER(INDEX(P_Type,ROW()-4))))</f>
        <v/>
      </c>
      <c r="D1098">
        <f>IF(INDEX(L_Type,ROW()-4)="","",TRIM(UPPER(INDEX(L_Type,ROW()-4))))</f>
        <v/>
      </c>
      <c r="E1098">
        <f>IF(INDEX(P_Status,ROW()-4)="","",TRIM(UPPER(INDEX(P_Status,ROW()-4))))</f>
        <v/>
      </c>
      <c r="G1098">
        <f>IF(INDEX(L_Status,ROW()-4)="","",TRIM(UPPER(INDEX(L_Status,ROW()-4))))</f>
        <v/>
      </c>
      <c r="J1098">
        <f>IF(INDEX(L_ID,ROW()-4)="","",IF(SUMPRODUCT((P_ID=INDEX(L_ID,ROW()-4))*(P_StatusN="INACTIVE"))&gt;0,1,0))</f>
        <v/>
      </c>
    </row>
    <row r="1099">
      <c r="A1099">
        <f>IF(INDEX(L_ID,ROW()-4)="","",IF(COUNTIF(P_ID,INDEX(L_ID,ROW()-4))&gt;0,1,0))</f>
        <v/>
      </c>
      <c r="B1099">
        <f>IF(INDEX(P_Type,ROW()-4)="","",TRIM(UPPER(INDEX(P_Type,ROW()-4))))</f>
        <v/>
      </c>
      <c r="D1099">
        <f>IF(INDEX(L_Type,ROW()-4)="","",TRIM(UPPER(INDEX(L_Type,ROW()-4))))</f>
        <v/>
      </c>
      <c r="E1099">
        <f>IF(INDEX(P_Status,ROW()-4)="","",TRIM(UPPER(INDEX(P_Status,ROW()-4))))</f>
        <v/>
      </c>
      <c r="G1099">
        <f>IF(INDEX(L_Status,ROW()-4)="","",TRIM(UPPER(INDEX(L_Status,ROW()-4))))</f>
        <v/>
      </c>
      <c r="J1099">
        <f>IF(INDEX(L_ID,ROW()-4)="","",IF(SUMPRODUCT((P_ID=INDEX(L_ID,ROW()-4))*(P_StatusN="INACTIVE"))&gt;0,1,0))</f>
        <v/>
      </c>
    </row>
    <row r="1100">
      <c r="A1100">
        <f>IF(INDEX(L_ID,ROW()-4)="","",IF(COUNTIF(P_ID,INDEX(L_ID,ROW()-4))&gt;0,1,0))</f>
        <v/>
      </c>
      <c r="B1100">
        <f>IF(INDEX(P_Type,ROW()-4)="","",TRIM(UPPER(INDEX(P_Type,ROW()-4))))</f>
        <v/>
      </c>
      <c r="D1100">
        <f>IF(INDEX(L_Type,ROW()-4)="","",TRIM(UPPER(INDEX(L_Type,ROW()-4))))</f>
        <v/>
      </c>
      <c r="E1100">
        <f>IF(INDEX(P_Status,ROW()-4)="","",TRIM(UPPER(INDEX(P_Status,ROW()-4))))</f>
        <v/>
      </c>
      <c r="G1100">
        <f>IF(INDEX(L_Status,ROW()-4)="","",TRIM(UPPER(INDEX(L_Status,ROW()-4))))</f>
        <v/>
      </c>
      <c r="J1100">
        <f>IF(INDEX(L_ID,ROW()-4)="","",IF(SUMPRODUCT((P_ID=INDEX(L_ID,ROW()-4))*(P_StatusN="INACTIVE"))&gt;0,1,0))</f>
        <v/>
      </c>
    </row>
    <row r="1101">
      <c r="A1101">
        <f>IF(INDEX(L_ID,ROW()-4)="","",IF(COUNTIF(P_ID,INDEX(L_ID,ROW()-4))&gt;0,1,0))</f>
        <v/>
      </c>
      <c r="B1101">
        <f>IF(INDEX(P_Type,ROW()-4)="","",TRIM(UPPER(INDEX(P_Type,ROW()-4))))</f>
        <v/>
      </c>
      <c r="D1101">
        <f>IF(INDEX(L_Type,ROW()-4)="","",TRIM(UPPER(INDEX(L_Type,ROW()-4))))</f>
        <v/>
      </c>
      <c r="E1101">
        <f>IF(INDEX(P_Status,ROW()-4)="","",TRIM(UPPER(INDEX(P_Status,ROW()-4))))</f>
        <v/>
      </c>
      <c r="G1101">
        <f>IF(INDEX(L_Status,ROW()-4)="","",TRIM(UPPER(INDEX(L_Status,ROW()-4))))</f>
        <v/>
      </c>
      <c r="J1101">
        <f>IF(INDEX(L_ID,ROW()-4)="","",IF(SUMPRODUCT((P_ID=INDEX(L_ID,ROW()-4))*(P_StatusN="INACTIVE"))&gt;0,1,0))</f>
        <v/>
      </c>
    </row>
    <row r="1102">
      <c r="A1102">
        <f>IF(INDEX(L_ID,ROW()-4)="","",IF(COUNTIF(P_ID,INDEX(L_ID,ROW()-4))&gt;0,1,0))</f>
        <v/>
      </c>
      <c r="B1102">
        <f>IF(INDEX(P_Type,ROW()-4)="","",TRIM(UPPER(INDEX(P_Type,ROW()-4))))</f>
        <v/>
      </c>
      <c r="D1102">
        <f>IF(INDEX(L_Type,ROW()-4)="","",TRIM(UPPER(INDEX(L_Type,ROW()-4))))</f>
        <v/>
      </c>
      <c r="E1102">
        <f>IF(INDEX(P_Status,ROW()-4)="","",TRIM(UPPER(INDEX(P_Status,ROW()-4))))</f>
        <v/>
      </c>
      <c r="G1102">
        <f>IF(INDEX(L_Status,ROW()-4)="","",TRIM(UPPER(INDEX(L_Status,ROW()-4))))</f>
        <v/>
      </c>
      <c r="J1102">
        <f>IF(INDEX(L_ID,ROW()-4)="","",IF(SUMPRODUCT((P_ID=INDEX(L_ID,ROW()-4))*(P_StatusN="INACTIVE"))&gt;0,1,0))</f>
        <v/>
      </c>
    </row>
    <row r="1103">
      <c r="A1103">
        <f>IF(INDEX(L_ID,ROW()-4)="","",IF(COUNTIF(P_ID,INDEX(L_ID,ROW()-4))&gt;0,1,0))</f>
        <v/>
      </c>
      <c r="B1103">
        <f>IF(INDEX(P_Type,ROW()-4)="","",TRIM(UPPER(INDEX(P_Type,ROW()-4))))</f>
        <v/>
      </c>
      <c r="D1103">
        <f>IF(INDEX(L_Type,ROW()-4)="","",TRIM(UPPER(INDEX(L_Type,ROW()-4))))</f>
        <v/>
      </c>
      <c r="E1103">
        <f>IF(INDEX(P_Status,ROW()-4)="","",TRIM(UPPER(INDEX(P_Status,ROW()-4))))</f>
        <v/>
      </c>
      <c r="G1103">
        <f>IF(INDEX(L_Status,ROW()-4)="","",TRIM(UPPER(INDEX(L_Status,ROW()-4))))</f>
        <v/>
      </c>
      <c r="J1103">
        <f>IF(INDEX(L_ID,ROW()-4)="","",IF(SUMPRODUCT((P_ID=INDEX(L_ID,ROW()-4))*(P_StatusN="INACTIVE"))&gt;0,1,0))</f>
        <v/>
      </c>
    </row>
    <row r="1104">
      <c r="A1104">
        <f>IF(INDEX(L_ID,ROW()-4)="","",IF(COUNTIF(P_ID,INDEX(L_ID,ROW()-4))&gt;0,1,0))</f>
        <v/>
      </c>
      <c r="B1104">
        <f>IF(INDEX(P_Type,ROW()-4)="","",TRIM(UPPER(INDEX(P_Type,ROW()-4))))</f>
        <v/>
      </c>
      <c r="D1104">
        <f>IF(INDEX(L_Type,ROW()-4)="","",TRIM(UPPER(INDEX(L_Type,ROW()-4))))</f>
        <v/>
      </c>
      <c r="E1104">
        <f>IF(INDEX(P_Status,ROW()-4)="","",TRIM(UPPER(INDEX(P_Status,ROW()-4))))</f>
        <v/>
      </c>
      <c r="G1104">
        <f>IF(INDEX(L_Status,ROW()-4)="","",TRIM(UPPER(INDEX(L_Status,ROW()-4))))</f>
        <v/>
      </c>
      <c r="J1104">
        <f>IF(INDEX(L_ID,ROW()-4)="","",IF(SUMPRODUCT((P_ID=INDEX(L_ID,ROW()-4))*(P_StatusN="INACTIVE"))&gt;0,1,0))</f>
        <v/>
      </c>
    </row>
    <row r="1105">
      <c r="A1105">
        <f>IF(INDEX(L_ID,ROW()-4)="","",IF(COUNTIF(P_ID,INDEX(L_ID,ROW()-4))&gt;0,1,0))</f>
        <v/>
      </c>
      <c r="B1105">
        <f>IF(INDEX(P_Type,ROW()-4)="","",TRIM(UPPER(INDEX(P_Type,ROW()-4))))</f>
        <v/>
      </c>
      <c r="D1105">
        <f>IF(INDEX(L_Type,ROW()-4)="","",TRIM(UPPER(INDEX(L_Type,ROW()-4))))</f>
        <v/>
      </c>
      <c r="E1105">
        <f>IF(INDEX(P_Status,ROW()-4)="","",TRIM(UPPER(INDEX(P_Status,ROW()-4))))</f>
        <v/>
      </c>
      <c r="G1105">
        <f>IF(INDEX(L_Status,ROW()-4)="","",TRIM(UPPER(INDEX(L_Status,ROW()-4))))</f>
        <v/>
      </c>
      <c r="J1105">
        <f>IF(INDEX(L_ID,ROW()-4)="","",IF(SUMPRODUCT((P_ID=INDEX(L_ID,ROW()-4))*(P_StatusN="INACTIVE"))&gt;0,1,0))</f>
        <v/>
      </c>
    </row>
    <row r="1106">
      <c r="A1106">
        <f>IF(INDEX(L_ID,ROW()-4)="","",IF(COUNTIF(P_ID,INDEX(L_ID,ROW()-4))&gt;0,1,0))</f>
        <v/>
      </c>
      <c r="B1106">
        <f>IF(INDEX(P_Type,ROW()-4)="","",TRIM(UPPER(INDEX(P_Type,ROW()-4))))</f>
        <v/>
      </c>
      <c r="D1106">
        <f>IF(INDEX(L_Type,ROW()-4)="","",TRIM(UPPER(INDEX(L_Type,ROW()-4))))</f>
        <v/>
      </c>
      <c r="E1106">
        <f>IF(INDEX(P_Status,ROW()-4)="","",TRIM(UPPER(INDEX(P_Status,ROW()-4))))</f>
        <v/>
      </c>
      <c r="G1106">
        <f>IF(INDEX(L_Status,ROW()-4)="","",TRIM(UPPER(INDEX(L_Status,ROW()-4))))</f>
        <v/>
      </c>
      <c r="J1106">
        <f>IF(INDEX(L_ID,ROW()-4)="","",IF(SUMPRODUCT((P_ID=INDEX(L_ID,ROW()-4))*(P_StatusN="INACTIVE"))&gt;0,1,0))</f>
        <v/>
      </c>
    </row>
    <row r="1107">
      <c r="A1107">
        <f>IF(INDEX(L_ID,ROW()-4)="","",IF(COUNTIF(P_ID,INDEX(L_ID,ROW()-4))&gt;0,1,0))</f>
        <v/>
      </c>
      <c r="B1107">
        <f>IF(INDEX(P_Type,ROW()-4)="","",TRIM(UPPER(INDEX(P_Type,ROW()-4))))</f>
        <v/>
      </c>
      <c r="D1107">
        <f>IF(INDEX(L_Type,ROW()-4)="","",TRIM(UPPER(INDEX(L_Type,ROW()-4))))</f>
        <v/>
      </c>
      <c r="E1107">
        <f>IF(INDEX(P_Status,ROW()-4)="","",TRIM(UPPER(INDEX(P_Status,ROW()-4))))</f>
        <v/>
      </c>
      <c r="G1107">
        <f>IF(INDEX(L_Status,ROW()-4)="","",TRIM(UPPER(INDEX(L_Status,ROW()-4))))</f>
        <v/>
      </c>
      <c r="J1107">
        <f>IF(INDEX(L_ID,ROW()-4)="","",IF(SUMPRODUCT((P_ID=INDEX(L_ID,ROW()-4))*(P_StatusN="INACTIVE"))&gt;0,1,0))</f>
        <v/>
      </c>
    </row>
    <row r="1108">
      <c r="A1108">
        <f>IF(INDEX(L_ID,ROW()-4)="","",IF(COUNTIF(P_ID,INDEX(L_ID,ROW()-4))&gt;0,1,0))</f>
        <v/>
      </c>
      <c r="B1108">
        <f>IF(INDEX(P_Type,ROW()-4)="","",TRIM(UPPER(INDEX(P_Type,ROW()-4))))</f>
        <v/>
      </c>
      <c r="D1108">
        <f>IF(INDEX(L_Type,ROW()-4)="","",TRIM(UPPER(INDEX(L_Type,ROW()-4))))</f>
        <v/>
      </c>
      <c r="E1108">
        <f>IF(INDEX(P_Status,ROW()-4)="","",TRIM(UPPER(INDEX(P_Status,ROW()-4))))</f>
        <v/>
      </c>
      <c r="G1108">
        <f>IF(INDEX(L_Status,ROW()-4)="","",TRIM(UPPER(INDEX(L_Status,ROW()-4))))</f>
        <v/>
      </c>
      <c r="J1108">
        <f>IF(INDEX(L_ID,ROW()-4)="","",IF(SUMPRODUCT((P_ID=INDEX(L_ID,ROW()-4))*(P_StatusN="INACTIVE"))&gt;0,1,0))</f>
        <v/>
      </c>
    </row>
    <row r="1109">
      <c r="A1109">
        <f>IF(INDEX(L_ID,ROW()-4)="","",IF(COUNTIF(P_ID,INDEX(L_ID,ROW()-4))&gt;0,1,0))</f>
        <v/>
      </c>
      <c r="B1109">
        <f>IF(INDEX(P_Type,ROW()-4)="","",TRIM(UPPER(INDEX(P_Type,ROW()-4))))</f>
        <v/>
      </c>
      <c r="D1109">
        <f>IF(INDEX(L_Type,ROW()-4)="","",TRIM(UPPER(INDEX(L_Type,ROW()-4))))</f>
        <v/>
      </c>
      <c r="E1109">
        <f>IF(INDEX(P_Status,ROW()-4)="","",TRIM(UPPER(INDEX(P_Status,ROW()-4))))</f>
        <v/>
      </c>
      <c r="G1109">
        <f>IF(INDEX(L_Status,ROW()-4)="","",TRIM(UPPER(INDEX(L_Status,ROW()-4))))</f>
        <v/>
      </c>
      <c r="J1109">
        <f>IF(INDEX(L_ID,ROW()-4)="","",IF(SUMPRODUCT((P_ID=INDEX(L_ID,ROW()-4))*(P_StatusN="INACTIVE"))&gt;0,1,0))</f>
        <v/>
      </c>
    </row>
    <row r="1110">
      <c r="A1110">
        <f>IF(INDEX(L_ID,ROW()-4)="","",IF(COUNTIF(P_ID,INDEX(L_ID,ROW()-4))&gt;0,1,0))</f>
        <v/>
      </c>
      <c r="B1110">
        <f>IF(INDEX(P_Type,ROW()-4)="","",TRIM(UPPER(INDEX(P_Type,ROW()-4))))</f>
        <v/>
      </c>
      <c r="D1110">
        <f>IF(INDEX(L_Type,ROW()-4)="","",TRIM(UPPER(INDEX(L_Type,ROW()-4))))</f>
        <v/>
      </c>
      <c r="E1110">
        <f>IF(INDEX(P_Status,ROW()-4)="","",TRIM(UPPER(INDEX(P_Status,ROW()-4))))</f>
        <v/>
      </c>
      <c r="G1110">
        <f>IF(INDEX(L_Status,ROW()-4)="","",TRIM(UPPER(INDEX(L_Status,ROW()-4))))</f>
        <v/>
      </c>
      <c r="J1110">
        <f>IF(INDEX(L_ID,ROW()-4)="","",IF(SUMPRODUCT((P_ID=INDEX(L_ID,ROW()-4))*(P_StatusN="INACTIVE"))&gt;0,1,0))</f>
        <v/>
      </c>
    </row>
    <row r="1111">
      <c r="A1111">
        <f>IF(INDEX(L_ID,ROW()-4)="","",IF(COUNTIF(P_ID,INDEX(L_ID,ROW()-4))&gt;0,1,0))</f>
        <v/>
      </c>
      <c r="B1111">
        <f>IF(INDEX(P_Type,ROW()-4)="","",TRIM(UPPER(INDEX(P_Type,ROW()-4))))</f>
        <v/>
      </c>
      <c r="D1111">
        <f>IF(INDEX(L_Type,ROW()-4)="","",TRIM(UPPER(INDEX(L_Type,ROW()-4))))</f>
        <v/>
      </c>
      <c r="E1111">
        <f>IF(INDEX(P_Status,ROW()-4)="","",TRIM(UPPER(INDEX(P_Status,ROW()-4))))</f>
        <v/>
      </c>
      <c r="G1111">
        <f>IF(INDEX(L_Status,ROW()-4)="","",TRIM(UPPER(INDEX(L_Status,ROW()-4))))</f>
        <v/>
      </c>
      <c r="J1111">
        <f>IF(INDEX(L_ID,ROW()-4)="","",IF(SUMPRODUCT((P_ID=INDEX(L_ID,ROW()-4))*(P_StatusN="INACTIVE"))&gt;0,1,0))</f>
        <v/>
      </c>
    </row>
    <row r="1112">
      <c r="A1112">
        <f>IF(INDEX(L_ID,ROW()-4)="","",IF(COUNTIF(P_ID,INDEX(L_ID,ROW()-4))&gt;0,1,0))</f>
        <v/>
      </c>
      <c r="B1112">
        <f>IF(INDEX(P_Type,ROW()-4)="","",TRIM(UPPER(INDEX(P_Type,ROW()-4))))</f>
        <v/>
      </c>
      <c r="D1112">
        <f>IF(INDEX(L_Type,ROW()-4)="","",TRIM(UPPER(INDEX(L_Type,ROW()-4))))</f>
        <v/>
      </c>
      <c r="E1112">
        <f>IF(INDEX(P_Status,ROW()-4)="","",TRIM(UPPER(INDEX(P_Status,ROW()-4))))</f>
        <v/>
      </c>
      <c r="G1112">
        <f>IF(INDEX(L_Status,ROW()-4)="","",TRIM(UPPER(INDEX(L_Status,ROW()-4))))</f>
        <v/>
      </c>
      <c r="J1112">
        <f>IF(INDEX(L_ID,ROW()-4)="","",IF(SUMPRODUCT((P_ID=INDEX(L_ID,ROW()-4))*(P_StatusN="INACTIVE"))&gt;0,1,0))</f>
        <v/>
      </c>
    </row>
    <row r="1113">
      <c r="A1113">
        <f>IF(INDEX(L_ID,ROW()-4)="","",IF(COUNTIF(P_ID,INDEX(L_ID,ROW()-4))&gt;0,1,0))</f>
        <v/>
      </c>
      <c r="B1113">
        <f>IF(INDEX(P_Type,ROW()-4)="","",TRIM(UPPER(INDEX(P_Type,ROW()-4))))</f>
        <v/>
      </c>
      <c r="D1113">
        <f>IF(INDEX(L_Type,ROW()-4)="","",TRIM(UPPER(INDEX(L_Type,ROW()-4))))</f>
        <v/>
      </c>
      <c r="E1113">
        <f>IF(INDEX(P_Status,ROW()-4)="","",TRIM(UPPER(INDEX(P_Status,ROW()-4))))</f>
        <v/>
      </c>
      <c r="G1113">
        <f>IF(INDEX(L_Status,ROW()-4)="","",TRIM(UPPER(INDEX(L_Status,ROW()-4))))</f>
        <v/>
      </c>
      <c r="J1113">
        <f>IF(INDEX(L_ID,ROW()-4)="","",IF(SUMPRODUCT((P_ID=INDEX(L_ID,ROW()-4))*(P_StatusN="INACTIVE"))&gt;0,1,0))</f>
        <v/>
      </c>
    </row>
    <row r="1114">
      <c r="A1114">
        <f>IF(INDEX(L_ID,ROW()-4)="","",IF(COUNTIF(P_ID,INDEX(L_ID,ROW()-4))&gt;0,1,0))</f>
        <v/>
      </c>
      <c r="B1114">
        <f>IF(INDEX(P_Type,ROW()-4)="","",TRIM(UPPER(INDEX(P_Type,ROW()-4))))</f>
        <v/>
      </c>
      <c r="D1114">
        <f>IF(INDEX(L_Type,ROW()-4)="","",TRIM(UPPER(INDEX(L_Type,ROW()-4))))</f>
        <v/>
      </c>
      <c r="E1114">
        <f>IF(INDEX(P_Status,ROW()-4)="","",TRIM(UPPER(INDEX(P_Status,ROW()-4))))</f>
        <v/>
      </c>
      <c r="G1114">
        <f>IF(INDEX(L_Status,ROW()-4)="","",TRIM(UPPER(INDEX(L_Status,ROW()-4))))</f>
        <v/>
      </c>
      <c r="J1114">
        <f>IF(INDEX(L_ID,ROW()-4)="","",IF(SUMPRODUCT((P_ID=INDEX(L_ID,ROW()-4))*(P_StatusN="INACTIVE"))&gt;0,1,0))</f>
        <v/>
      </c>
    </row>
    <row r="1115">
      <c r="A1115">
        <f>IF(INDEX(L_ID,ROW()-4)="","",IF(COUNTIF(P_ID,INDEX(L_ID,ROW()-4))&gt;0,1,0))</f>
        <v/>
      </c>
      <c r="B1115">
        <f>IF(INDEX(P_Type,ROW()-4)="","",TRIM(UPPER(INDEX(P_Type,ROW()-4))))</f>
        <v/>
      </c>
      <c r="D1115">
        <f>IF(INDEX(L_Type,ROW()-4)="","",TRIM(UPPER(INDEX(L_Type,ROW()-4))))</f>
        <v/>
      </c>
      <c r="E1115">
        <f>IF(INDEX(P_Status,ROW()-4)="","",TRIM(UPPER(INDEX(P_Status,ROW()-4))))</f>
        <v/>
      </c>
      <c r="G1115">
        <f>IF(INDEX(L_Status,ROW()-4)="","",TRIM(UPPER(INDEX(L_Status,ROW()-4))))</f>
        <v/>
      </c>
      <c r="J1115">
        <f>IF(INDEX(L_ID,ROW()-4)="","",IF(SUMPRODUCT((P_ID=INDEX(L_ID,ROW()-4))*(P_StatusN="INACTIVE"))&gt;0,1,0))</f>
        <v/>
      </c>
    </row>
    <row r="1116">
      <c r="A1116">
        <f>IF(INDEX(L_ID,ROW()-4)="","",IF(COUNTIF(P_ID,INDEX(L_ID,ROW()-4))&gt;0,1,0))</f>
        <v/>
      </c>
      <c r="B1116">
        <f>IF(INDEX(P_Type,ROW()-4)="","",TRIM(UPPER(INDEX(P_Type,ROW()-4))))</f>
        <v/>
      </c>
      <c r="D1116">
        <f>IF(INDEX(L_Type,ROW()-4)="","",TRIM(UPPER(INDEX(L_Type,ROW()-4))))</f>
        <v/>
      </c>
      <c r="E1116">
        <f>IF(INDEX(P_Status,ROW()-4)="","",TRIM(UPPER(INDEX(P_Status,ROW()-4))))</f>
        <v/>
      </c>
      <c r="G1116">
        <f>IF(INDEX(L_Status,ROW()-4)="","",TRIM(UPPER(INDEX(L_Status,ROW()-4))))</f>
        <v/>
      </c>
      <c r="J1116">
        <f>IF(INDEX(L_ID,ROW()-4)="","",IF(SUMPRODUCT((P_ID=INDEX(L_ID,ROW()-4))*(P_StatusN="INACTIVE"))&gt;0,1,0))</f>
        <v/>
      </c>
    </row>
    <row r="1117">
      <c r="A1117">
        <f>IF(INDEX(L_ID,ROW()-4)="","",IF(COUNTIF(P_ID,INDEX(L_ID,ROW()-4))&gt;0,1,0))</f>
        <v/>
      </c>
      <c r="B1117">
        <f>IF(INDEX(P_Type,ROW()-4)="","",TRIM(UPPER(INDEX(P_Type,ROW()-4))))</f>
        <v/>
      </c>
      <c r="D1117">
        <f>IF(INDEX(L_Type,ROW()-4)="","",TRIM(UPPER(INDEX(L_Type,ROW()-4))))</f>
        <v/>
      </c>
      <c r="E1117">
        <f>IF(INDEX(P_Status,ROW()-4)="","",TRIM(UPPER(INDEX(P_Status,ROW()-4))))</f>
        <v/>
      </c>
      <c r="G1117">
        <f>IF(INDEX(L_Status,ROW()-4)="","",TRIM(UPPER(INDEX(L_Status,ROW()-4))))</f>
        <v/>
      </c>
      <c r="J1117">
        <f>IF(INDEX(L_ID,ROW()-4)="","",IF(SUMPRODUCT((P_ID=INDEX(L_ID,ROW()-4))*(P_StatusN="INACTIVE"))&gt;0,1,0))</f>
        <v/>
      </c>
    </row>
    <row r="1118">
      <c r="A1118">
        <f>IF(INDEX(L_ID,ROW()-4)="","",IF(COUNTIF(P_ID,INDEX(L_ID,ROW()-4))&gt;0,1,0))</f>
        <v/>
      </c>
      <c r="B1118">
        <f>IF(INDEX(P_Type,ROW()-4)="","",TRIM(UPPER(INDEX(P_Type,ROW()-4))))</f>
        <v/>
      </c>
      <c r="D1118">
        <f>IF(INDEX(L_Type,ROW()-4)="","",TRIM(UPPER(INDEX(L_Type,ROW()-4))))</f>
        <v/>
      </c>
      <c r="E1118">
        <f>IF(INDEX(P_Status,ROW()-4)="","",TRIM(UPPER(INDEX(P_Status,ROW()-4))))</f>
        <v/>
      </c>
      <c r="G1118">
        <f>IF(INDEX(L_Status,ROW()-4)="","",TRIM(UPPER(INDEX(L_Status,ROW()-4))))</f>
        <v/>
      </c>
      <c r="J1118">
        <f>IF(INDEX(L_ID,ROW()-4)="","",IF(SUMPRODUCT((P_ID=INDEX(L_ID,ROW()-4))*(P_StatusN="INACTIVE"))&gt;0,1,0))</f>
        <v/>
      </c>
    </row>
    <row r="1119">
      <c r="A1119">
        <f>IF(INDEX(L_ID,ROW()-4)="","",IF(COUNTIF(P_ID,INDEX(L_ID,ROW()-4))&gt;0,1,0))</f>
        <v/>
      </c>
      <c r="B1119">
        <f>IF(INDEX(P_Type,ROW()-4)="","",TRIM(UPPER(INDEX(P_Type,ROW()-4))))</f>
        <v/>
      </c>
      <c r="D1119">
        <f>IF(INDEX(L_Type,ROW()-4)="","",TRIM(UPPER(INDEX(L_Type,ROW()-4))))</f>
        <v/>
      </c>
      <c r="E1119">
        <f>IF(INDEX(P_Status,ROW()-4)="","",TRIM(UPPER(INDEX(P_Status,ROW()-4))))</f>
        <v/>
      </c>
      <c r="G1119">
        <f>IF(INDEX(L_Status,ROW()-4)="","",TRIM(UPPER(INDEX(L_Status,ROW()-4))))</f>
        <v/>
      </c>
      <c r="J1119">
        <f>IF(INDEX(L_ID,ROW()-4)="","",IF(SUMPRODUCT((P_ID=INDEX(L_ID,ROW()-4))*(P_StatusN="INACTIVE"))&gt;0,1,0))</f>
        <v/>
      </c>
    </row>
    <row r="1120">
      <c r="A1120">
        <f>IF(INDEX(L_ID,ROW()-4)="","",IF(COUNTIF(P_ID,INDEX(L_ID,ROW()-4))&gt;0,1,0))</f>
        <v/>
      </c>
      <c r="B1120">
        <f>IF(INDEX(P_Type,ROW()-4)="","",TRIM(UPPER(INDEX(P_Type,ROW()-4))))</f>
        <v/>
      </c>
      <c r="D1120">
        <f>IF(INDEX(L_Type,ROW()-4)="","",TRIM(UPPER(INDEX(L_Type,ROW()-4))))</f>
        <v/>
      </c>
      <c r="E1120">
        <f>IF(INDEX(P_Status,ROW()-4)="","",TRIM(UPPER(INDEX(P_Status,ROW()-4))))</f>
        <v/>
      </c>
      <c r="G1120">
        <f>IF(INDEX(L_Status,ROW()-4)="","",TRIM(UPPER(INDEX(L_Status,ROW()-4))))</f>
        <v/>
      </c>
      <c r="J1120">
        <f>IF(INDEX(L_ID,ROW()-4)="","",IF(SUMPRODUCT((P_ID=INDEX(L_ID,ROW()-4))*(P_StatusN="INACTIVE"))&gt;0,1,0))</f>
        <v/>
      </c>
    </row>
    <row r="1121">
      <c r="A1121">
        <f>IF(INDEX(L_ID,ROW()-4)="","",IF(COUNTIF(P_ID,INDEX(L_ID,ROW()-4))&gt;0,1,0))</f>
        <v/>
      </c>
      <c r="B1121">
        <f>IF(INDEX(P_Type,ROW()-4)="","",TRIM(UPPER(INDEX(P_Type,ROW()-4))))</f>
        <v/>
      </c>
      <c r="D1121">
        <f>IF(INDEX(L_Type,ROW()-4)="","",TRIM(UPPER(INDEX(L_Type,ROW()-4))))</f>
        <v/>
      </c>
      <c r="E1121">
        <f>IF(INDEX(P_Status,ROW()-4)="","",TRIM(UPPER(INDEX(P_Status,ROW()-4))))</f>
        <v/>
      </c>
      <c r="G1121">
        <f>IF(INDEX(L_Status,ROW()-4)="","",TRIM(UPPER(INDEX(L_Status,ROW()-4))))</f>
        <v/>
      </c>
      <c r="J1121">
        <f>IF(INDEX(L_ID,ROW()-4)="","",IF(SUMPRODUCT((P_ID=INDEX(L_ID,ROW()-4))*(P_StatusN="INACTIVE"))&gt;0,1,0))</f>
        <v/>
      </c>
    </row>
    <row r="1122">
      <c r="A1122">
        <f>IF(INDEX(L_ID,ROW()-4)="","",IF(COUNTIF(P_ID,INDEX(L_ID,ROW()-4))&gt;0,1,0))</f>
        <v/>
      </c>
      <c r="B1122">
        <f>IF(INDEX(P_Type,ROW()-4)="","",TRIM(UPPER(INDEX(P_Type,ROW()-4))))</f>
        <v/>
      </c>
      <c r="D1122">
        <f>IF(INDEX(L_Type,ROW()-4)="","",TRIM(UPPER(INDEX(L_Type,ROW()-4))))</f>
        <v/>
      </c>
      <c r="E1122">
        <f>IF(INDEX(P_Status,ROW()-4)="","",TRIM(UPPER(INDEX(P_Status,ROW()-4))))</f>
        <v/>
      </c>
      <c r="G1122">
        <f>IF(INDEX(L_Status,ROW()-4)="","",TRIM(UPPER(INDEX(L_Status,ROW()-4))))</f>
        <v/>
      </c>
      <c r="J1122">
        <f>IF(INDEX(L_ID,ROW()-4)="","",IF(SUMPRODUCT((P_ID=INDEX(L_ID,ROW()-4))*(P_StatusN="INACTIVE"))&gt;0,1,0))</f>
        <v/>
      </c>
    </row>
    <row r="1123">
      <c r="A1123">
        <f>IF(INDEX(L_ID,ROW()-4)="","",IF(COUNTIF(P_ID,INDEX(L_ID,ROW()-4))&gt;0,1,0))</f>
        <v/>
      </c>
      <c r="B1123">
        <f>IF(INDEX(P_Type,ROW()-4)="","",TRIM(UPPER(INDEX(P_Type,ROW()-4))))</f>
        <v/>
      </c>
      <c r="D1123">
        <f>IF(INDEX(L_Type,ROW()-4)="","",TRIM(UPPER(INDEX(L_Type,ROW()-4))))</f>
        <v/>
      </c>
      <c r="E1123">
        <f>IF(INDEX(P_Status,ROW()-4)="","",TRIM(UPPER(INDEX(P_Status,ROW()-4))))</f>
        <v/>
      </c>
      <c r="G1123">
        <f>IF(INDEX(L_Status,ROW()-4)="","",TRIM(UPPER(INDEX(L_Status,ROW()-4))))</f>
        <v/>
      </c>
      <c r="J1123">
        <f>IF(INDEX(L_ID,ROW()-4)="","",IF(SUMPRODUCT((P_ID=INDEX(L_ID,ROW()-4))*(P_StatusN="INACTIVE"))&gt;0,1,0))</f>
        <v/>
      </c>
    </row>
    <row r="1124">
      <c r="A1124">
        <f>IF(INDEX(L_ID,ROW()-4)="","",IF(COUNTIF(P_ID,INDEX(L_ID,ROW()-4))&gt;0,1,0))</f>
        <v/>
      </c>
      <c r="B1124">
        <f>IF(INDEX(P_Type,ROW()-4)="","",TRIM(UPPER(INDEX(P_Type,ROW()-4))))</f>
        <v/>
      </c>
      <c r="D1124">
        <f>IF(INDEX(L_Type,ROW()-4)="","",TRIM(UPPER(INDEX(L_Type,ROW()-4))))</f>
        <v/>
      </c>
      <c r="E1124">
        <f>IF(INDEX(P_Status,ROW()-4)="","",TRIM(UPPER(INDEX(P_Status,ROW()-4))))</f>
        <v/>
      </c>
      <c r="G1124">
        <f>IF(INDEX(L_Status,ROW()-4)="","",TRIM(UPPER(INDEX(L_Status,ROW()-4))))</f>
        <v/>
      </c>
      <c r="J1124">
        <f>IF(INDEX(L_ID,ROW()-4)="","",IF(SUMPRODUCT((P_ID=INDEX(L_ID,ROW()-4))*(P_StatusN="INACTIVE"))&gt;0,1,0))</f>
        <v/>
      </c>
    </row>
    <row r="1125">
      <c r="A1125">
        <f>IF(INDEX(L_ID,ROW()-4)="","",IF(COUNTIF(P_ID,INDEX(L_ID,ROW()-4))&gt;0,1,0))</f>
        <v/>
      </c>
      <c r="B1125">
        <f>IF(INDEX(P_Type,ROW()-4)="","",TRIM(UPPER(INDEX(P_Type,ROW()-4))))</f>
        <v/>
      </c>
      <c r="D1125">
        <f>IF(INDEX(L_Type,ROW()-4)="","",TRIM(UPPER(INDEX(L_Type,ROW()-4))))</f>
        <v/>
      </c>
      <c r="E1125">
        <f>IF(INDEX(P_Status,ROW()-4)="","",TRIM(UPPER(INDEX(P_Status,ROW()-4))))</f>
        <v/>
      </c>
      <c r="G1125">
        <f>IF(INDEX(L_Status,ROW()-4)="","",TRIM(UPPER(INDEX(L_Status,ROW()-4))))</f>
        <v/>
      </c>
      <c r="J1125">
        <f>IF(INDEX(L_ID,ROW()-4)="","",IF(SUMPRODUCT((P_ID=INDEX(L_ID,ROW()-4))*(P_StatusN="INACTIVE"))&gt;0,1,0))</f>
        <v/>
      </c>
    </row>
    <row r="1126">
      <c r="A1126">
        <f>IF(INDEX(L_ID,ROW()-4)="","",IF(COUNTIF(P_ID,INDEX(L_ID,ROW()-4))&gt;0,1,0))</f>
        <v/>
      </c>
      <c r="B1126">
        <f>IF(INDEX(P_Type,ROW()-4)="","",TRIM(UPPER(INDEX(P_Type,ROW()-4))))</f>
        <v/>
      </c>
      <c r="D1126">
        <f>IF(INDEX(L_Type,ROW()-4)="","",TRIM(UPPER(INDEX(L_Type,ROW()-4))))</f>
        <v/>
      </c>
      <c r="E1126">
        <f>IF(INDEX(P_Status,ROW()-4)="","",TRIM(UPPER(INDEX(P_Status,ROW()-4))))</f>
        <v/>
      </c>
      <c r="G1126">
        <f>IF(INDEX(L_Status,ROW()-4)="","",TRIM(UPPER(INDEX(L_Status,ROW()-4))))</f>
        <v/>
      </c>
      <c r="J1126">
        <f>IF(INDEX(L_ID,ROW()-4)="","",IF(SUMPRODUCT((P_ID=INDEX(L_ID,ROW()-4))*(P_StatusN="INACTIVE"))&gt;0,1,0))</f>
        <v/>
      </c>
    </row>
    <row r="1127">
      <c r="A1127">
        <f>IF(INDEX(L_ID,ROW()-4)="","",IF(COUNTIF(P_ID,INDEX(L_ID,ROW()-4))&gt;0,1,0))</f>
        <v/>
      </c>
      <c r="B1127">
        <f>IF(INDEX(P_Type,ROW()-4)="","",TRIM(UPPER(INDEX(P_Type,ROW()-4))))</f>
        <v/>
      </c>
      <c r="D1127">
        <f>IF(INDEX(L_Type,ROW()-4)="","",TRIM(UPPER(INDEX(L_Type,ROW()-4))))</f>
        <v/>
      </c>
      <c r="E1127">
        <f>IF(INDEX(P_Status,ROW()-4)="","",TRIM(UPPER(INDEX(P_Status,ROW()-4))))</f>
        <v/>
      </c>
      <c r="G1127">
        <f>IF(INDEX(L_Status,ROW()-4)="","",TRIM(UPPER(INDEX(L_Status,ROW()-4))))</f>
        <v/>
      </c>
      <c r="J1127">
        <f>IF(INDEX(L_ID,ROW()-4)="","",IF(SUMPRODUCT((P_ID=INDEX(L_ID,ROW()-4))*(P_StatusN="INACTIVE"))&gt;0,1,0))</f>
        <v/>
      </c>
    </row>
    <row r="1128">
      <c r="A1128">
        <f>IF(INDEX(L_ID,ROW()-4)="","",IF(COUNTIF(P_ID,INDEX(L_ID,ROW()-4))&gt;0,1,0))</f>
        <v/>
      </c>
      <c r="B1128">
        <f>IF(INDEX(P_Type,ROW()-4)="","",TRIM(UPPER(INDEX(P_Type,ROW()-4))))</f>
        <v/>
      </c>
      <c r="D1128">
        <f>IF(INDEX(L_Type,ROW()-4)="","",TRIM(UPPER(INDEX(L_Type,ROW()-4))))</f>
        <v/>
      </c>
      <c r="E1128">
        <f>IF(INDEX(P_Status,ROW()-4)="","",TRIM(UPPER(INDEX(P_Status,ROW()-4))))</f>
        <v/>
      </c>
      <c r="G1128">
        <f>IF(INDEX(L_Status,ROW()-4)="","",TRIM(UPPER(INDEX(L_Status,ROW()-4))))</f>
        <v/>
      </c>
      <c r="J1128">
        <f>IF(INDEX(L_ID,ROW()-4)="","",IF(SUMPRODUCT((P_ID=INDEX(L_ID,ROW()-4))*(P_StatusN="INACTIVE"))&gt;0,1,0))</f>
        <v/>
      </c>
    </row>
    <row r="1129">
      <c r="A1129">
        <f>IF(INDEX(L_ID,ROW()-4)="","",IF(COUNTIF(P_ID,INDEX(L_ID,ROW()-4))&gt;0,1,0))</f>
        <v/>
      </c>
      <c r="B1129">
        <f>IF(INDEX(P_Type,ROW()-4)="","",TRIM(UPPER(INDEX(P_Type,ROW()-4))))</f>
        <v/>
      </c>
      <c r="D1129">
        <f>IF(INDEX(L_Type,ROW()-4)="","",TRIM(UPPER(INDEX(L_Type,ROW()-4))))</f>
        <v/>
      </c>
      <c r="E1129">
        <f>IF(INDEX(P_Status,ROW()-4)="","",TRIM(UPPER(INDEX(P_Status,ROW()-4))))</f>
        <v/>
      </c>
      <c r="G1129">
        <f>IF(INDEX(L_Status,ROW()-4)="","",TRIM(UPPER(INDEX(L_Status,ROW()-4))))</f>
        <v/>
      </c>
      <c r="J1129">
        <f>IF(INDEX(L_ID,ROW()-4)="","",IF(SUMPRODUCT((P_ID=INDEX(L_ID,ROW()-4))*(P_StatusN="INACTIVE"))&gt;0,1,0))</f>
        <v/>
      </c>
    </row>
    <row r="1130">
      <c r="A1130">
        <f>IF(INDEX(L_ID,ROW()-4)="","",IF(COUNTIF(P_ID,INDEX(L_ID,ROW()-4))&gt;0,1,0))</f>
        <v/>
      </c>
      <c r="B1130">
        <f>IF(INDEX(P_Type,ROW()-4)="","",TRIM(UPPER(INDEX(P_Type,ROW()-4))))</f>
        <v/>
      </c>
      <c r="D1130">
        <f>IF(INDEX(L_Type,ROW()-4)="","",TRIM(UPPER(INDEX(L_Type,ROW()-4))))</f>
        <v/>
      </c>
      <c r="E1130">
        <f>IF(INDEX(P_Status,ROW()-4)="","",TRIM(UPPER(INDEX(P_Status,ROW()-4))))</f>
        <v/>
      </c>
      <c r="G1130">
        <f>IF(INDEX(L_Status,ROW()-4)="","",TRIM(UPPER(INDEX(L_Status,ROW()-4))))</f>
        <v/>
      </c>
      <c r="J1130">
        <f>IF(INDEX(L_ID,ROW()-4)="","",IF(SUMPRODUCT((P_ID=INDEX(L_ID,ROW()-4))*(P_StatusN="INACTIVE"))&gt;0,1,0))</f>
        <v/>
      </c>
    </row>
    <row r="1131">
      <c r="A1131">
        <f>IF(INDEX(L_ID,ROW()-4)="","",IF(COUNTIF(P_ID,INDEX(L_ID,ROW()-4))&gt;0,1,0))</f>
        <v/>
      </c>
      <c r="B1131">
        <f>IF(INDEX(P_Type,ROW()-4)="","",TRIM(UPPER(INDEX(P_Type,ROW()-4))))</f>
        <v/>
      </c>
      <c r="D1131">
        <f>IF(INDEX(L_Type,ROW()-4)="","",TRIM(UPPER(INDEX(L_Type,ROW()-4))))</f>
        <v/>
      </c>
      <c r="E1131">
        <f>IF(INDEX(P_Status,ROW()-4)="","",TRIM(UPPER(INDEX(P_Status,ROW()-4))))</f>
        <v/>
      </c>
      <c r="G1131">
        <f>IF(INDEX(L_Status,ROW()-4)="","",TRIM(UPPER(INDEX(L_Status,ROW()-4))))</f>
        <v/>
      </c>
      <c r="J1131">
        <f>IF(INDEX(L_ID,ROW()-4)="","",IF(SUMPRODUCT((P_ID=INDEX(L_ID,ROW()-4))*(P_StatusN="INACTIVE"))&gt;0,1,0))</f>
        <v/>
      </c>
    </row>
    <row r="1132">
      <c r="A1132">
        <f>IF(INDEX(L_ID,ROW()-4)="","",IF(COUNTIF(P_ID,INDEX(L_ID,ROW()-4))&gt;0,1,0))</f>
        <v/>
      </c>
      <c r="B1132">
        <f>IF(INDEX(P_Type,ROW()-4)="","",TRIM(UPPER(INDEX(P_Type,ROW()-4))))</f>
        <v/>
      </c>
      <c r="D1132">
        <f>IF(INDEX(L_Type,ROW()-4)="","",TRIM(UPPER(INDEX(L_Type,ROW()-4))))</f>
        <v/>
      </c>
      <c r="E1132">
        <f>IF(INDEX(P_Status,ROW()-4)="","",TRIM(UPPER(INDEX(P_Status,ROW()-4))))</f>
        <v/>
      </c>
      <c r="G1132">
        <f>IF(INDEX(L_Status,ROW()-4)="","",TRIM(UPPER(INDEX(L_Status,ROW()-4))))</f>
        <v/>
      </c>
      <c r="J1132">
        <f>IF(INDEX(L_ID,ROW()-4)="","",IF(SUMPRODUCT((P_ID=INDEX(L_ID,ROW()-4))*(P_StatusN="INACTIVE"))&gt;0,1,0))</f>
        <v/>
      </c>
    </row>
    <row r="1133">
      <c r="A1133">
        <f>IF(INDEX(L_ID,ROW()-4)="","",IF(COUNTIF(P_ID,INDEX(L_ID,ROW()-4))&gt;0,1,0))</f>
        <v/>
      </c>
      <c r="B1133">
        <f>IF(INDEX(P_Type,ROW()-4)="","",TRIM(UPPER(INDEX(P_Type,ROW()-4))))</f>
        <v/>
      </c>
      <c r="D1133">
        <f>IF(INDEX(L_Type,ROW()-4)="","",TRIM(UPPER(INDEX(L_Type,ROW()-4))))</f>
        <v/>
      </c>
      <c r="E1133">
        <f>IF(INDEX(P_Status,ROW()-4)="","",TRIM(UPPER(INDEX(P_Status,ROW()-4))))</f>
        <v/>
      </c>
      <c r="G1133">
        <f>IF(INDEX(L_Status,ROW()-4)="","",TRIM(UPPER(INDEX(L_Status,ROW()-4))))</f>
        <v/>
      </c>
      <c r="J1133">
        <f>IF(INDEX(L_ID,ROW()-4)="","",IF(SUMPRODUCT((P_ID=INDEX(L_ID,ROW()-4))*(P_StatusN="INACTIVE"))&gt;0,1,0))</f>
        <v/>
      </c>
    </row>
    <row r="1134">
      <c r="A1134">
        <f>IF(INDEX(L_ID,ROW()-4)="","",IF(COUNTIF(P_ID,INDEX(L_ID,ROW()-4))&gt;0,1,0))</f>
        <v/>
      </c>
      <c r="B1134">
        <f>IF(INDEX(P_Type,ROW()-4)="","",TRIM(UPPER(INDEX(P_Type,ROW()-4))))</f>
        <v/>
      </c>
      <c r="D1134">
        <f>IF(INDEX(L_Type,ROW()-4)="","",TRIM(UPPER(INDEX(L_Type,ROW()-4))))</f>
        <v/>
      </c>
      <c r="E1134">
        <f>IF(INDEX(P_Status,ROW()-4)="","",TRIM(UPPER(INDEX(P_Status,ROW()-4))))</f>
        <v/>
      </c>
      <c r="G1134">
        <f>IF(INDEX(L_Status,ROW()-4)="","",TRIM(UPPER(INDEX(L_Status,ROW()-4))))</f>
        <v/>
      </c>
      <c r="J1134">
        <f>IF(INDEX(L_ID,ROW()-4)="","",IF(SUMPRODUCT((P_ID=INDEX(L_ID,ROW()-4))*(P_StatusN="INACTIVE"))&gt;0,1,0))</f>
        <v/>
      </c>
    </row>
    <row r="1135">
      <c r="A1135">
        <f>IF(INDEX(L_ID,ROW()-4)="","",IF(COUNTIF(P_ID,INDEX(L_ID,ROW()-4))&gt;0,1,0))</f>
        <v/>
      </c>
      <c r="B1135">
        <f>IF(INDEX(P_Type,ROW()-4)="","",TRIM(UPPER(INDEX(P_Type,ROW()-4))))</f>
        <v/>
      </c>
      <c r="D1135">
        <f>IF(INDEX(L_Type,ROW()-4)="","",TRIM(UPPER(INDEX(L_Type,ROW()-4))))</f>
        <v/>
      </c>
      <c r="E1135">
        <f>IF(INDEX(P_Status,ROW()-4)="","",TRIM(UPPER(INDEX(P_Status,ROW()-4))))</f>
        <v/>
      </c>
      <c r="G1135">
        <f>IF(INDEX(L_Status,ROW()-4)="","",TRIM(UPPER(INDEX(L_Status,ROW()-4))))</f>
        <v/>
      </c>
      <c r="J1135">
        <f>IF(INDEX(L_ID,ROW()-4)="","",IF(SUMPRODUCT((P_ID=INDEX(L_ID,ROW()-4))*(P_StatusN="INACTIVE"))&gt;0,1,0))</f>
        <v/>
      </c>
    </row>
    <row r="1136">
      <c r="A1136">
        <f>IF(INDEX(L_ID,ROW()-4)="","",IF(COUNTIF(P_ID,INDEX(L_ID,ROW()-4))&gt;0,1,0))</f>
        <v/>
      </c>
      <c r="B1136">
        <f>IF(INDEX(P_Type,ROW()-4)="","",TRIM(UPPER(INDEX(P_Type,ROW()-4))))</f>
        <v/>
      </c>
      <c r="D1136">
        <f>IF(INDEX(L_Type,ROW()-4)="","",TRIM(UPPER(INDEX(L_Type,ROW()-4))))</f>
        <v/>
      </c>
      <c r="E1136">
        <f>IF(INDEX(P_Status,ROW()-4)="","",TRIM(UPPER(INDEX(P_Status,ROW()-4))))</f>
        <v/>
      </c>
      <c r="G1136">
        <f>IF(INDEX(L_Status,ROW()-4)="","",TRIM(UPPER(INDEX(L_Status,ROW()-4))))</f>
        <v/>
      </c>
      <c r="J1136">
        <f>IF(INDEX(L_ID,ROW()-4)="","",IF(SUMPRODUCT((P_ID=INDEX(L_ID,ROW()-4))*(P_StatusN="INACTIVE"))&gt;0,1,0))</f>
        <v/>
      </c>
    </row>
    <row r="1137">
      <c r="A1137">
        <f>IF(INDEX(L_ID,ROW()-4)="","",IF(COUNTIF(P_ID,INDEX(L_ID,ROW()-4))&gt;0,1,0))</f>
        <v/>
      </c>
      <c r="B1137">
        <f>IF(INDEX(P_Type,ROW()-4)="","",TRIM(UPPER(INDEX(P_Type,ROW()-4))))</f>
        <v/>
      </c>
      <c r="D1137">
        <f>IF(INDEX(L_Type,ROW()-4)="","",TRIM(UPPER(INDEX(L_Type,ROW()-4))))</f>
        <v/>
      </c>
      <c r="E1137">
        <f>IF(INDEX(P_Status,ROW()-4)="","",TRIM(UPPER(INDEX(P_Status,ROW()-4))))</f>
        <v/>
      </c>
      <c r="G1137">
        <f>IF(INDEX(L_Status,ROW()-4)="","",TRIM(UPPER(INDEX(L_Status,ROW()-4))))</f>
        <v/>
      </c>
      <c r="J1137">
        <f>IF(INDEX(L_ID,ROW()-4)="","",IF(SUMPRODUCT((P_ID=INDEX(L_ID,ROW()-4))*(P_StatusN="INACTIVE"))&gt;0,1,0))</f>
        <v/>
      </c>
    </row>
    <row r="1138">
      <c r="A1138">
        <f>IF(INDEX(L_ID,ROW()-4)="","",IF(COUNTIF(P_ID,INDEX(L_ID,ROW()-4))&gt;0,1,0))</f>
        <v/>
      </c>
      <c r="B1138">
        <f>IF(INDEX(P_Type,ROW()-4)="","",TRIM(UPPER(INDEX(P_Type,ROW()-4))))</f>
        <v/>
      </c>
      <c r="D1138">
        <f>IF(INDEX(L_Type,ROW()-4)="","",TRIM(UPPER(INDEX(L_Type,ROW()-4))))</f>
        <v/>
      </c>
      <c r="E1138">
        <f>IF(INDEX(P_Status,ROW()-4)="","",TRIM(UPPER(INDEX(P_Status,ROW()-4))))</f>
        <v/>
      </c>
      <c r="G1138">
        <f>IF(INDEX(L_Status,ROW()-4)="","",TRIM(UPPER(INDEX(L_Status,ROW()-4))))</f>
        <v/>
      </c>
      <c r="J1138">
        <f>IF(INDEX(L_ID,ROW()-4)="","",IF(SUMPRODUCT((P_ID=INDEX(L_ID,ROW()-4))*(P_StatusN="INACTIVE"))&gt;0,1,0))</f>
        <v/>
      </c>
    </row>
    <row r="1139">
      <c r="A1139">
        <f>IF(INDEX(L_ID,ROW()-4)="","",IF(COUNTIF(P_ID,INDEX(L_ID,ROW()-4))&gt;0,1,0))</f>
        <v/>
      </c>
      <c r="B1139">
        <f>IF(INDEX(P_Type,ROW()-4)="","",TRIM(UPPER(INDEX(P_Type,ROW()-4))))</f>
        <v/>
      </c>
      <c r="D1139">
        <f>IF(INDEX(L_Type,ROW()-4)="","",TRIM(UPPER(INDEX(L_Type,ROW()-4))))</f>
        <v/>
      </c>
      <c r="E1139">
        <f>IF(INDEX(P_Status,ROW()-4)="","",TRIM(UPPER(INDEX(P_Status,ROW()-4))))</f>
        <v/>
      </c>
      <c r="G1139">
        <f>IF(INDEX(L_Status,ROW()-4)="","",TRIM(UPPER(INDEX(L_Status,ROW()-4))))</f>
        <v/>
      </c>
      <c r="J1139">
        <f>IF(INDEX(L_ID,ROW()-4)="","",IF(SUMPRODUCT((P_ID=INDEX(L_ID,ROW()-4))*(P_StatusN="INACTIVE"))&gt;0,1,0))</f>
        <v/>
      </c>
    </row>
    <row r="1140">
      <c r="A1140">
        <f>IF(INDEX(L_ID,ROW()-4)="","",IF(COUNTIF(P_ID,INDEX(L_ID,ROW()-4))&gt;0,1,0))</f>
        <v/>
      </c>
      <c r="B1140">
        <f>IF(INDEX(P_Type,ROW()-4)="","",TRIM(UPPER(INDEX(P_Type,ROW()-4))))</f>
        <v/>
      </c>
      <c r="D1140">
        <f>IF(INDEX(L_Type,ROW()-4)="","",TRIM(UPPER(INDEX(L_Type,ROW()-4))))</f>
        <v/>
      </c>
      <c r="E1140">
        <f>IF(INDEX(P_Status,ROW()-4)="","",TRIM(UPPER(INDEX(P_Status,ROW()-4))))</f>
        <v/>
      </c>
      <c r="G1140">
        <f>IF(INDEX(L_Status,ROW()-4)="","",TRIM(UPPER(INDEX(L_Status,ROW()-4))))</f>
        <v/>
      </c>
      <c r="J1140">
        <f>IF(INDEX(L_ID,ROW()-4)="","",IF(SUMPRODUCT((P_ID=INDEX(L_ID,ROW()-4))*(P_StatusN="INACTIVE"))&gt;0,1,0))</f>
        <v/>
      </c>
    </row>
    <row r="1141">
      <c r="A1141">
        <f>IF(INDEX(L_ID,ROW()-4)="","",IF(COUNTIF(P_ID,INDEX(L_ID,ROW()-4))&gt;0,1,0))</f>
        <v/>
      </c>
      <c r="B1141">
        <f>IF(INDEX(P_Type,ROW()-4)="","",TRIM(UPPER(INDEX(P_Type,ROW()-4))))</f>
        <v/>
      </c>
      <c r="D1141">
        <f>IF(INDEX(L_Type,ROW()-4)="","",TRIM(UPPER(INDEX(L_Type,ROW()-4))))</f>
        <v/>
      </c>
      <c r="E1141">
        <f>IF(INDEX(P_Status,ROW()-4)="","",TRIM(UPPER(INDEX(P_Status,ROW()-4))))</f>
        <v/>
      </c>
      <c r="G1141">
        <f>IF(INDEX(L_Status,ROW()-4)="","",TRIM(UPPER(INDEX(L_Status,ROW()-4))))</f>
        <v/>
      </c>
      <c r="J1141">
        <f>IF(INDEX(L_ID,ROW()-4)="","",IF(SUMPRODUCT((P_ID=INDEX(L_ID,ROW()-4))*(P_StatusN="INACTIVE"))&gt;0,1,0))</f>
        <v/>
      </c>
    </row>
    <row r="1142">
      <c r="A1142">
        <f>IF(INDEX(L_ID,ROW()-4)="","",IF(COUNTIF(P_ID,INDEX(L_ID,ROW()-4))&gt;0,1,0))</f>
        <v/>
      </c>
      <c r="B1142">
        <f>IF(INDEX(P_Type,ROW()-4)="","",TRIM(UPPER(INDEX(P_Type,ROW()-4))))</f>
        <v/>
      </c>
      <c r="D1142">
        <f>IF(INDEX(L_Type,ROW()-4)="","",TRIM(UPPER(INDEX(L_Type,ROW()-4))))</f>
        <v/>
      </c>
      <c r="E1142">
        <f>IF(INDEX(P_Status,ROW()-4)="","",TRIM(UPPER(INDEX(P_Status,ROW()-4))))</f>
        <v/>
      </c>
      <c r="G1142">
        <f>IF(INDEX(L_Status,ROW()-4)="","",TRIM(UPPER(INDEX(L_Status,ROW()-4))))</f>
        <v/>
      </c>
      <c r="J1142">
        <f>IF(INDEX(L_ID,ROW()-4)="","",IF(SUMPRODUCT((P_ID=INDEX(L_ID,ROW()-4))*(P_StatusN="INACTIVE"))&gt;0,1,0))</f>
        <v/>
      </c>
    </row>
    <row r="1143">
      <c r="A1143">
        <f>IF(INDEX(L_ID,ROW()-4)="","",IF(COUNTIF(P_ID,INDEX(L_ID,ROW()-4))&gt;0,1,0))</f>
        <v/>
      </c>
      <c r="B1143">
        <f>IF(INDEX(P_Type,ROW()-4)="","",TRIM(UPPER(INDEX(P_Type,ROW()-4))))</f>
        <v/>
      </c>
      <c r="D1143">
        <f>IF(INDEX(L_Type,ROW()-4)="","",TRIM(UPPER(INDEX(L_Type,ROW()-4))))</f>
        <v/>
      </c>
      <c r="E1143">
        <f>IF(INDEX(P_Status,ROW()-4)="","",TRIM(UPPER(INDEX(P_Status,ROW()-4))))</f>
        <v/>
      </c>
      <c r="G1143">
        <f>IF(INDEX(L_Status,ROW()-4)="","",TRIM(UPPER(INDEX(L_Status,ROW()-4))))</f>
        <v/>
      </c>
      <c r="J1143">
        <f>IF(INDEX(L_ID,ROW()-4)="","",IF(SUMPRODUCT((P_ID=INDEX(L_ID,ROW()-4))*(P_StatusN="INACTIVE"))&gt;0,1,0))</f>
        <v/>
      </c>
    </row>
    <row r="1144">
      <c r="A1144">
        <f>IF(INDEX(L_ID,ROW()-4)="","",IF(COUNTIF(P_ID,INDEX(L_ID,ROW()-4))&gt;0,1,0))</f>
        <v/>
      </c>
      <c r="B1144">
        <f>IF(INDEX(P_Type,ROW()-4)="","",TRIM(UPPER(INDEX(P_Type,ROW()-4))))</f>
        <v/>
      </c>
      <c r="D1144">
        <f>IF(INDEX(L_Type,ROW()-4)="","",TRIM(UPPER(INDEX(L_Type,ROW()-4))))</f>
        <v/>
      </c>
      <c r="E1144">
        <f>IF(INDEX(P_Status,ROW()-4)="","",TRIM(UPPER(INDEX(P_Status,ROW()-4))))</f>
        <v/>
      </c>
      <c r="G1144">
        <f>IF(INDEX(L_Status,ROW()-4)="","",TRIM(UPPER(INDEX(L_Status,ROW()-4))))</f>
        <v/>
      </c>
      <c r="J1144">
        <f>IF(INDEX(L_ID,ROW()-4)="","",IF(SUMPRODUCT((P_ID=INDEX(L_ID,ROW()-4))*(P_StatusN="INACTIVE"))&gt;0,1,0))</f>
        <v/>
      </c>
    </row>
    <row r="1145">
      <c r="A1145">
        <f>IF(INDEX(L_ID,ROW()-4)="","",IF(COUNTIF(P_ID,INDEX(L_ID,ROW()-4))&gt;0,1,0))</f>
        <v/>
      </c>
      <c r="B1145">
        <f>IF(INDEX(P_Type,ROW()-4)="","",TRIM(UPPER(INDEX(P_Type,ROW()-4))))</f>
        <v/>
      </c>
      <c r="D1145">
        <f>IF(INDEX(L_Type,ROW()-4)="","",TRIM(UPPER(INDEX(L_Type,ROW()-4))))</f>
        <v/>
      </c>
      <c r="E1145">
        <f>IF(INDEX(P_Status,ROW()-4)="","",TRIM(UPPER(INDEX(P_Status,ROW()-4))))</f>
        <v/>
      </c>
      <c r="G1145">
        <f>IF(INDEX(L_Status,ROW()-4)="","",TRIM(UPPER(INDEX(L_Status,ROW()-4))))</f>
        <v/>
      </c>
      <c r="J1145">
        <f>IF(INDEX(L_ID,ROW()-4)="","",IF(SUMPRODUCT((P_ID=INDEX(L_ID,ROW()-4))*(P_StatusN="INACTIVE"))&gt;0,1,0))</f>
        <v/>
      </c>
    </row>
    <row r="1146">
      <c r="A1146">
        <f>IF(INDEX(L_ID,ROW()-4)="","",IF(COUNTIF(P_ID,INDEX(L_ID,ROW()-4))&gt;0,1,0))</f>
        <v/>
      </c>
      <c r="B1146">
        <f>IF(INDEX(P_Type,ROW()-4)="","",TRIM(UPPER(INDEX(P_Type,ROW()-4))))</f>
        <v/>
      </c>
      <c r="D1146">
        <f>IF(INDEX(L_Type,ROW()-4)="","",TRIM(UPPER(INDEX(L_Type,ROW()-4))))</f>
        <v/>
      </c>
      <c r="E1146">
        <f>IF(INDEX(P_Status,ROW()-4)="","",TRIM(UPPER(INDEX(P_Status,ROW()-4))))</f>
        <v/>
      </c>
      <c r="G1146">
        <f>IF(INDEX(L_Status,ROW()-4)="","",TRIM(UPPER(INDEX(L_Status,ROW()-4))))</f>
        <v/>
      </c>
      <c r="J1146">
        <f>IF(INDEX(L_ID,ROW()-4)="","",IF(SUMPRODUCT((P_ID=INDEX(L_ID,ROW()-4))*(P_StatusN="INACTIVE"))&gt;0,1,0))</f>
        <v/>
      </c>
    </row>
    <row r="1147">
      <c r="A1147">
        <f>IF(INDEX(L_ID,ROW()-4)="","",IF(COUNTIF(P_ID,INDEX(L_ID,ROW()-4))&gt;0,1,0))</f>
        <v/>
      </c>
      <c r="B1147">
        <f>IF(INDEX(P_Type,ROW()-4)="","",TRIM(UPPER(INDEX(P_Type,ROW()-4))))</f>
        <v/>
      </c>
      <c r="D1147">
        <f>IF(INDEX(L_Type,ROW()-4)="","",TRIM(UPPER(INDEX(L_Type,ROW()-4))))</f>
        <v/>
      </c>
      <c r="E1147">
        <f>IF(INDEX(P_Status,ROW()-4)="","",TRIM(UPPER(INDEX(P_Status,ROW()-4))))</f>
        <v/>
      </c>
      <c r="G1147">
        <f>IF(INDEX(L_Status,ROW()-4)="","",TRIM(UPPER(INDEX(L_Status,ROW()-4))))</f>
        <v/>
      </c>
      <c r="J1147">
        <f>IF(INDEX(L_ID,ROW()-4)="","",IF(SUMPRODUCT((P_ID=INDEX(L_ID,ROW()-4))*(P_StatusN="INACTIVE"))&gt;0,1,0))</f>
        <v/>
      </c>
    </row>
    <row r="1148">
      <c r="A1148">
        <f>IF(INDEX(L_ID,ROW()-4)="","",IF(COUNTIF(P_ID,INDEX(L_ID,ROW()-4))&gt;0,1,0))</f>
        <v/>
      </c>
      <c r="B1148">
        <f>IF(INDEX(P_Type,ROW()-4)="","",TRIM(UPPER(INDEX(P_Type,ROW()-4))))</f>
        <v/>
      </c>
      <c r="D1148">
        <f>IF(INDEX(L_Type,ROW()-4)="","",TRIM(UPPER(INDEX(L_Type,ROW()-4))))</f>
        <v/>
      </c>
      <c r="E1148">
        <f>IF(INDEX(P_Status,ROW()-4)="","",TRIM(UPPER(INDEX(P_Status,ROW()-4))))</f>
        <v/>
      </c>
      <c r="G1148">
        <f>IF(INDEX(L_Status,ROW()-4)="","",TRIM(UPPER(INDEX(L_Status,ROW()-4))))</f>
        <v/>
      </c>
      <c r="J1148">
        <f>IF(INDEX(L_ID,ROW()-4)="","",IF(SUMPRODUCT((P_ID=INDEX(L_ID,ROW()-4))*(P_StatusN="INACTIVE"))&gt;0,1,0))</f>
        <v/>
      </c>
    </row>
    <row r="1149">
      <c r="A1149">
        <f>IF(INDEX(L_ID,ROW()-4)="","",IF(COUNTIF(P_ID,INDEX(L_ID,ROW()-4))&gt;0,1,0))</f>
        <v/>
      </c>
      <c r="B1149">
        <f>IF(INDEX(P_Type,ROW()-4)="","",TRIM(UPPER(INDEX(P_Type,ROW()-4))))</f>
        <v/>
      </c>
      <c r="D1149">
        <f>IF(INDEX(L_Type,ROW()-4)="","",TRIM(UPPER(INDEX(L_Type,ROW()-4))))</f>
        <v/>
      </c>
      <c r="E1149">
        <f>IF(INDEX(P_Status,ROW()-4)="","",TRIM(UPPER(INDEX(P_Status,ROW()-4))))</f>
        <v/>
      </c>
      <c r="G1149">
        <f>IF(INDEX(L_Status,ROW()-4)="","",TRIM(UPPER(INDEX(L_Status,ROW()-4))))</f>
        <v/>
      </c>
      <c r="J1149">
        <f>IF(INDEX(L_ID,ROW()-4)="","",IF(SUMPRODUCT((P_ID=INDEX(L_ID,ROW()-4))*(P_StatusN="INACTIVE"))&gt;0,1,0))</f>
        <v/>
      </c>
    </row>
    <row r="1150">
      <c r="A1150">
        <f>IF(INDEX(L_ID,ROW()-4)="","",IF(COUNTIF(P_ID,INDEX(L_ID,ROW()-4))&gt;0,1,0))</f>
        <v/>
      </c>
      <c r="B1150">
        <f>IF(INDEX(P_Type,ROW()-4)="","",TRIM(UPPER(INDEX(P_Type,ROW()-4))))</f>
        <v/>
      </c>
      <c r="D1150">
        <f>IF(INDEX(L_Type,ROW()-4)="","",TRIM(UPPER(INDEX(L_Type,ROW()-4))))</f>
        <v/>
      </c>
      <c r="E1150">
        <f>IF(INDEX(P_Status,ROW()-4)="","",TRIM(UPPER(INDEX(P_Status,ROW()-4))))</f>
        <v/>
      </c>
      <c r="G1150">
        <f>IF(INDEX(L_Status,ROW()-4)="","",TRIM(UPPER(INDEX(L_Status,ROW()-4))))</f>
        <v/>
      </c>
      <c r="J1150">
        <f>IF(INDEX(L_ID,ROW()-4)="","",IF(SUMPRODUCT((P_ID=INDEX(L_ID,ROW()-4))*(P_StatusN="INACTIVE"))&gt;0,1,0))</f>
        <v/>
      </c>
    </row>
    <row r="1151">
      <c r="A1151">
        <f>IF(INDEX(L_ID,ROW()-4)="","",IF(COUNTIF(P_ID,INDEX(L_ID,ROW()-4))&gt;0,1,0))</f>
        <v/>
      </c>
      <c r="B1151">
        <f>IF(INDEX(P_Type,ROW()-4)="","",TRIM(UPPER(INDEX(P_Type,ROW()-4))))</f>
        <v/>
      </c>
      <c r="D1151">
        <f>IF(INDEX(L_Type,ROW()-4)="","",TRIM(UPPER(INDEX(L_Type,ROW()-4))))</f>
        <v/>
      </c>
      <c r="E1151">
        <f>IF(INDEX(P_Status,ROW()-4)="","",TRIM(UPPER(INDEX(P_Status,ROW()-4))))</f>
        <v/>
      </c>
      <c r="G1151">
        <f>IF(INDEX(L_Status,ROW()-4)="","",TRIM(UPPER(INDEX(L_Status,ROW()-4))))</f>
        <v/>
      </c>
      <c r="J1151">
        <f>IF(INDEX(L_ID,ROW()-4)="","",IF(SUMPRODUCT((P_ID=INDEX(L_ID,ROW()-4))*(P_StatusN="INACTIVE"))&gt;0,1,0))</f>
        <v/>
      </c>
    </row>
    <row r="1152">
      <c r="A1152">
        <f>IF(INDEX(L_ID,ROW()-4)="","",IF(COUNTIF(P_ID,INDEX(L_ID,ROW()-4))&gt;0,1,0))</f>
        <v/>
      </c>
      <c r="B1152">
        <f>IF(INDEX(P_Type,ROW()-4)="","",TRIM(UPPER(INDEX(P_Type,ROW()-4))))</f>
        <v/>
      </c>
      <c r="D1152">
        <f>IF(INDEX(L_Type,ROW()-4)="","",TRIM(UPPER(INDEX(L_Type,ROW()-4))))</f>
        <v/>
      </c>
      <c r="E1152">
        <f>IF(INDEX(P_Status,ROW()-4)="","",TRIM(UPPER(INDEX(P_Status,ROW()-4))))</f>
        <v/>
      </c>
      <c r="G1152">
        <f>IF(INDEX(L_Status,ROW()-4)="","",TRIM(UPPER(INDEX(L_Status,ROW()-4))))</f>
        <v/>
      </c>
      <c r="J1152">
        <f>IF(INDEX(L_ID,ROW()-4)="","",IF(SUMPRODUCT((P_ID=INDEX(L_ID,ROW()-4))*(P_StatusN="INACTIVE"))&gt;0,1,0))</f>
        <v/>
      </c>
    </row>
    <row r="1153">
      <c r="A1153">
        <f>IF(INDEX(L_ID,ROW()-4)="","",IF(COUNTIF(P_ID,INDEX(L_ID,ROW()-4))&gt;0,1,0))</f>
        <v/>
      </c>
      <c r="B1153">
        <f>IF(INDEX(P_Type,ROW()-4)="","",TRIM(UPPER(INDEX(P_Type,ROW()-4))))</f>
        <v/>
      </c>
      <c r="D1153">
        <f>IF(INDEX(L_Type,ROW()-4)="","",TRIM(UPPER(INDEX(L_Type,ROW()-4))))</f>
        <v/>
      </c>
      <c r="E1153">
        <f>IF(INDEX(P_Status,ROW()-4)="","",TRIM(UPPER(INDEX(P_Status,ROW()-4))))</f>
        <v/>
      </c>
      <c r="G1153">
        <f>IF(INDEX(L_Status,ROW()-4)="","",TRIM(UPPER(INDEX(L_Status,ROW()-4))))</f>
        <v/>
      </c>
      <c r="J1153">
        <f>IF(INDEX(L_ID,ROW()-4)="","",IF(SUMPRODUCT((P_ID=INDEX(L_ID,ROW()-4))*(P_StatusN="INACTIVE"))&gt;0,1,0))</f>
        <v/>
      </c>
    </row>
    <row r="1154">
      <c r="A1154">
        <f>IF(INDEX(L_ID,ROW()-4)="","",IF(COUNTIF(P_ID,INDEX(L_ID,ROW()-4))&gt;0,1,0))</f>
        <v/>
      </c>
      <c r="B1154">
        <f>IF(INDEX(P_Type,ROW()-4)="","",TRIM(UPPER(INDEX(P_Type,ROW()-4))))</f>
        <v/>
      </c>
      <c r="D1154">
        <f>IF(INDEX(L_Type,ROW()-4)="","",TRIM(UPPER(INDEX(L_Type,ROW()-4))))</f>
        <v/>
      </c>
      <c r="E1154">
        <f>IF(INDEX(P_Status,ROW()-4)="","",TRIM(UPPER(INDEX(P_Status,ROW()-4))))</f>
        <v/>
      </c>
      <c r="G1154">
        <f>IF(INDEX(L_Status,ROW()-4)="","",TRIM(UPPER(INDEX(L_Status,ROW()-4))))</f>
        <v/>
      </c>
      <c r="J1154">
        <f>IF(INDEX(L_ID,ROW()-4)="","",IF(SUMPRODUCT((P_ID=INDEX(L_ID,ROW()-4))*(P_StatusN="INACTIVE"))&gt;0,1,0))</f>
        <v/>
      </c>
    </row>
    <row r="1155">
      <c r="A1155">
        <f>IF(INDEX(L_ID,ROW()-4)="","",IF(COUNTIF(P_ID,INDEX(L_ID,ROW()-4))&gt;0,1,0))</f>
        <v/>
      </c>
      <c r="B1155">
        <f>IF(INDEX(P_Type,ROW()-4)="","",TRIM(UPPER(INDEX(P_Type,ROW()-4))))</f>
        <v/>
      </c>
      <c r="D1155">
        <f>IF(INDEX(L_Type,ROW()-4)="","",TRIM(UPPER(INDEX(L_Type,ROW()-4))))</f>
        <v/>
      </c>
      <c r="E1155">
        <f>IF(INDEX(P_Status,ROW()-4)="","",TRIM(UPPER(INDEX(P_Status,ROW()-4))))</f>
        <v/>
      </c>
      <c r="G1155">
        <f>IF(INDEX(L_Status,ROW()-4)="","",TRIM(UPPER(INDEX(L_Status,ROW()-4))))</f>
        <v/>
      </c>
      <c r="J1155">
        <f>IF(INDEX(L_ID,ROW()-4)="","",IF(SUMPRODUCT((P_ID=INDEX(L_ID,ROW()-4))*(P_StatusN="INACTIVE"))&gt;0,1,0))</f>
        <v/>
      </c>
    </row>
    <row r="1156">
      <c r="A1156">
        <f>IF(INDEX(L_ID,ROW()-4)="","",IF(COUNTIF(P_ID,INDEX(L_ID,ROW()-4))&gt;0,1,0))</f>
        <v/>
      </c>
      <c r="B1156">
        <f>IF(INDEX(P_Type,ROW()-4)="","",TRIM(UPPER(INDEX(P_Type,ROW()-4))))</f>
        <v/>
      </c>
      <c r="D1156">
        <f>IF(INDEX(L_Type,ROW()-4)="","",TRIM(UPPER(INDEX(L_Type,ROW()-4))))</f>
        <v/>
      </c>
      <c r="E1156">
        <f>IF(INDEX(P_Status,ROW()-4)="","",TRIM(UPPER(INDEX(P_Status,ROW()-4))))</f>
        <v/>
      </c>
      <c r="G1156">
        <f>IF(INDEX(L_Status,ROW()-4)="","",TRIM(UPPER(INDEX(L_Status,ROW()-4))))</f>
        <v/>
      </c>
      <c r="J1156">
        <f>IF(INDEX(L_ID,ROW()-4)="","",IF(SUMPRODUCT((P_ID=INDEX(L_ID,ROW()-4))*(P_StatusN="INACTIVE"))&gt;0,1,0))</f>
        <v/>
      </c>
    </row>
    <row r="1157">
      <c r="A1157">
        <f>IF(INDEX(L_ID,ROW()-4)="","",IF(COUNTIF(P_ID,INDEX(L_ID,ROW()-4))&gt;0,1,0))</f>
        <v/>
      </c>
      <c r="B1157">
        <f>IF(INDEX(P_Type,ROW()-4)="","",TRIM(UPPER(INDEX(P_Type,ROW()-4))))</f>
        <v/>
      </c>
      <c r="D1157">
        <f>IF(INDEX(L_Type,ROW()-4)="","",TRIM(UPPER(INDEX(L_Type,ROW()-4))))</f>
        <v/>
      </c>
      <c r="E1157">
        <f>IF(INDEX(P_Status,ROW()-4)="","",TRIM(UPPER(INDEX(P_Status,ROW()-4))))</f>
        <v/>
      </c>
      <c r="G1157">
        <f>IF(INDEX(L_Status,ROW()-4)="","",TRIM(UPPER(INDEX(L_Status,ROW()-4))))</f>
        <v/>
      </c>
      <c r="J1157">
        <f>IF(INDEX(L_ID,ROW()-4)="","",IF(SUMPRODUCT((P_ID=INDEX(L_ID,ROW()-4))*(P_StatusN="INACTIVE"))&gt;0,1,0))</f>
        <v/>
      </c>
    </row>
    <row r="1158">
      <c r="A1158">
        <f>IF(INDEX(L_ID,ROW()-4)="","",IF(COUNTIF(P_ID,INDEX(L_ID,ROW()-4))&gt;0,1,0))</f>
        <v/>
      </c>
      <c r="B1158">
        <f>IF(INDEX(P_Type,ROW()-4)="","",TRIM(UPPER(INDEX(P_Type,ROW()-4))))</f>
        <v/>
      </c>
      <c r="D1158">
        <f>IF(INDEX(L_Type,ROW()-4)="","",TRIM(UPPER(INDEX(L_Type,ROW()-4))))</f>
        <v/>
      </c>
      <c r="E1158">
        <f>IF(INDEX(P_Status,ROW()-4)="","",TRIM(UPPER(INDEX(P_Status,ROW()-4))))</f>
        <v/>
      </c>
      <c r="G1158">
        <f>IF(INDEX(L_Status,ROW()-4)="","",TRIM(UPPER(INDEX(L_Status,ROW()-4))))</f>
        <v/>
      </c>
      <c r="J1158">
        <f>IF(INDEX(L_ID,ROW()-4)="","",IF(SUMPRODUCT((P_ID=INDEX(L_ID,ROW()-4))*(P_StatusN="INACTIVE"))&gt;0,1,0))</f>
        <v/>
      </c>
    </row>
    <row r="1159">
      <c r="A1159">
        <f>IF(INDEX(L_ID,ROW()-4)="","",IF(COUNTIF(P_ID,INDEX(L_ID,ROW()-4))&gt;0,1,0))</f>
        <v/>
      </c>
      <c r="B1159">
        <f>IF(INDEX(P_Type,ROW()-4)="","",TRIM(UPPER(INDEX(P_Type,ROW()-4))))</f>
        <v/>
      </c>
      <c r="D1159">
        <f>IF(INDEX(L_Type,ROW()-4)="","",TRIM(UPPER(INDEX(L_Type,ROW()-4))))</f>
        <v/>
      </c>
      <c r="E1159">
        <f>IF(INDEX(P_Status,ROW()-4)="","",TRIM(UPPER(INDEX(P_Status,ROW()-4))))</f>
        <v/>
      </c>
      <c r="G1159">
        <f>IF(INDEX(L_Status,ROW()-4)="","",TRIM(UPPER(INDEX(L_Status,ROW()-4))))</f>
        <v/>
      </c>
      <c r="J1159">
        <f>IF(INDEX(L_ID,ROW()-4)="","",IF(SUMPRODUCT((P_ID=INDEX(L_ID,ROW()-4))*(P_StatusN="INACTIVE"))&gt;0,1,0))</f>
        <v/>
      </c>
    </row>
    <row r="1160">
      <c r="A1160">
        <f>IF(INDEX(L_ID,ROW()-4)="","",IF(COUNTIF(P_ID,INDEX(L_ID,ROW()-4))&gt;0,1,0))</f>
        <v/>
      </c>
      <c r="B1160">
        <f>IF(INDEX(P_Type,ROW()-4)="","",TRIM(UPPER(INDEX(P_Type,ROW()-4))))</f>
        <v/>
      </c>
      <c r="D1160">
        <f>IF(INDEX(L_Type,ROW()-4)="","",TRIM(UPPER(INDEX(L_Type,ROW()-4))))</f>
        <v/>
      </c>
      <c r="E1160">
        <f>IF(INDEX(P_Status,ROW()-4)="","",TRIM(UPPER(INDEX(P_Status,ROW()-4))))</f>
        <v/>
      </c>
      <c r="G1160">
        <f>IF(INDEX(L_Status,ROW()-4)="","",TRIM(UPPER(INDEX(L_Status,ROW()-4))))</f>
        <v/>
      </c>
      <c r="J1160">
        <f>IF(INDEX(L_ID,ROW()-4)="","",IF(SUMPRODUCT((P_ID=INDEX(L_ID,ROW()-4))*(P_StatusN="INACTIVE"))&gt;0,1,0))</f>
        <v/>
      </c>
    </row>
    <row r="1161">
      <c r="A1161">
        <f>IF(INDEX(L_ID,ROW()-4)="","",IF(COUNTIF(P_ID,INDEX(L_ID,ROW()-4))&gt;0,1,0))</f>
        <v/>
      </c>
      <c r="B1161">
        <f>IF(INDEX(P_Type,ROW()-4)="","",TRIM(UPPER(INDEX(P_Type,ROW()-4))))</f>
        <v/>
      </c>
      <c r="D1161">
        <f>IF(INDEX(L_Type,ROW()-4)="","",TRIM(UPPER(INDEX(L_Type,ROW()-4))))</f>
        <v/>
      </c>
      <c r="E1161">
        <f>IF(INDEX(P_Status,ROW()-4)="","",TRIM(UPPER(INDEX(P_Status,ROW()-4))))</f>
        <v/>
      </c>
      <c r="G1161">
        <f>IF(INDEX(L_Status,ROW()-4)="","",TRIM(UPPER(INDEX(L_Status,ROW()-4))))</f>
        <v/>
      </c>
      <c r="J1161">
        <f>IF(INDEX(L_ID,ROW()-4)="","",IF(SUMPRODUCT((P_ID=INDEX(L_ID,ROW()-4))*(P_StatusN="INACTIVE"))&gt;0,1,0))</f>
        <v/>
      </c>
    </row>
    <row r="1162">
      <c r="A1162">
        <f>IF(INDEX(L_ID,ROW()-4)="","",IF(COUNTIF(P_ID,INDEX(L_ID,ROW()-4))&gt;0,1,0))</f>
        <v/>
      </c>
      <c r="B1162">
        <f>IF(INDEX(P_Type,ROW()-4)="","",TRIM(UPPER(INDEX(P_Type,ROW()-4))))</f>
        <v/>
      </c>
      <c r="D1162">
        <f>IF(INDEX(L_Type,ROW()-4)="","",TRIM(UPPER(INDEX(L_Type,ROW()-4))))</f>
        <v/>
      </c>
      <c r="E1162">
        <f>IF(INDEX(P_Status,ROW()-4)="","",TRIM(UPPER(INDEX(P_Status,ROW()-4))))</f>
        <v/>
      </c>
      <c r="G1162">
        <f>IF(INDEX(L_Status,ROW()-4)="","",TRIM(UPPER(INDEX(L_Status,ROW()-4))))</f>
        <v/>
      </c>
      <c r="J1162">
        <f>IF(INDEX(L_ID,ROW()-4)="","",IF(SUMPRODUCT((P_ID=INDEX(L_ID,ROW()-4))*(P_StatusN="INACTIVE"))&gt;0,1,0))</f>
        <v/>
      </c>
    </row>
    <row r="1163">
      <c r="A1163">
        <f>IF(INDEX(L_ID,ROW()-4)="","",IF(COUNTIF(P_ID,INDEX(L_ID,ROW()-4))&gt;0,1,0))</f>
        <v/>
      </c>
      <c r="B1163">
        <f>IF(INDEX(P_Type,ROW()-4)="","",TRIM(UPPER(INDEX(P_Type,ROW()-4))))</f>
        <v/>
      </c>
      <c r="D1163">
        <f>IF(INDEX(L_Type,ROW()-4)="","",TRIM(UPPER(INDEX(L_Type,ROW()-4))))</f>
        <v/>
      </c>
      <c r="E1163">
        <f>IF(INDEX(P_Status,ROW()-4)="","",TRIM(UPPER(INDEX(P_Status,ROW()-4))))</f>
        <v/>
      </c>
      <c r="G1163">
        <f>IF(INDEX(L_Status,ROW()-4)="","",TRIM(UPPER(INDEX(L_Status,ROW()-4))))</f>
        <v/>
      </c>
      <c r="J1163">
        <f>IF(INDEX(L_ID,ROW()-4)="","",IF(SUMPRODUCT((P_ID=INDEX(L_ID,ROW()-4))*(P_StatusN="INACTIVE"))&gt;0,1,0))</f>
        <v/>
      </c>
    </row>
    <row r="1164">
      <c r="A1164">
        <f>IF(INDEX(L_ID,ROW()-4)="","",IF(COUNTIF(P_ID,INDEX(L_ID,ROW()-4))&gt;0,1,0))</f>
        <v/>
      </c>
      <c r="B1164">
        <f>IF(INDEX(P_Type,ROW()-4)="","",TRIM(UPPER(INDEX(P_Type,ROW()-4))))</f>
        <v/>
      </c>
      <c r="D1164">
        <f>IF(INDEX(L_Type,ROW()-4)="","",TRIM(UPPER(INDEX(L_Type,ROW()-4))))</f>
        <v/>
      </c>
      <c r="E1164">
        <f>IF(INDEX(P_Status,ROW()-4)="","",TRIM(UPPER(INDEX(P_Status,ROW()-4))))</f>
        <v/>
      </c>
      <c r="G1164">
        <f>IF(INDEX(L_Status,ROW()-4)="","",TRIM(UPPER(INDEX(L_Status,ROW()-4))))</f>
        <v/>
      </c>
      <c r="J1164">
        <f>IF(INDEX(L_ID,ROW()-4)="","",IF(SUMPRODUCT((P_ID=INDEX(L_ID,ROW()-4))*(P_StatusN="INACTIVE"))&gt;0,1,0))</f>
        <v/>
      </c>
    </row>
    <row r="1165">
      <c r="A1165">
        <f>IF(INDEX(L_ID,ROW()-4)="","",IF(COUNTIF(P_ID,INDEX(L_ID,ROW()-4))&gt;0,1,0))</f>
        <v/>
      </c>
      <c r="B1165">
        <f>IF(INDEX(P_Type,ROW()-4)="","",TRIM(UPPER(INDEX(P_Type,ROW()-4))))</f>
        <v/>
      </c>
      <c r="D1165">
        <f>IF(INDEX(L_Type,ROW()-4)="","",TRIM(UPPER(INDEX(L_Type,ROW()-4))))</f>
        <v/>
      </c>
      <c r="E1165">
        <f>IF(INDEX(P_Status,ROW()-4)="","",TRIM(UPPER(INDEX(P_Status,ROW()-4))))</f>
        <v/>
      </c>
      <c r="G1165">
        <f>IF(INDEX(L_Status,ROW()-4)="","",TRIM(UPPER(INDEX(L_Status,ROW()-4))))</f>
        <v/>
      </c>
      <c r="J1165">
        <f>IF(INDEX(L_ID,ROW()-4)="","",IF(SUMPRODUCT((P_ID=INDEX(L_ID,ROW()-4))*(P_StatusN="INACTIVE"))&gt;0,1,0))</f>
        <v/>
      </c>
    </row>
    <row r="1166">
      <c r="A1166">
        <f>IF(INDEX(L_ID,ROW()-4)="","",IF(COUNTIF(P_ID,INDEX(L_ID,ROW()-4))&gt;0,1,0))</f>
        <v/>
      </c>
      <c r="B1166">
        <f>IF(INDEX(P_Type,ROW()-4)="","",TRIM(UPPER(INDEX(P_Type,ROW()-4))))</f>
        <v/>
      </c>
      <c r="D1166">
        <f>IF(INDEX(L_Type,ROW()-4)="","",TRIM(UPPER(INDEX(L_Type,ROW()-4))))</f>
        <v/>
      </c>
      <c r="E1166">
        <f>IF(INDEX(P_Status,ROW()-4)="","",TRIM(UPPER(INDEX(P_Status,ROW()-4))))</f>
        <v/>
      </c>
      <c r="G1166">
        <f>IF(INDEX(L_Status,ROW()-4)="","",TRIM(UPPER(INDEX(L_Status,ROW()-4))))</f>
        <v/>
      </c>
      <c r="J1166">
        <f>IF(INDEX(L_ID,ROW()-4)="","",IF(SUMPRODUCT((P_ID=INDEX(L_ID,ROW()-4))*(P_StatusN="INACTIVE"))&gt;0,1,0))</f>
        <v/>
      </c>
    </row>
    <row r="1167">
      <c r="A1167">
        <f>IF(INDEX(L_ID,ROW()-4)="","",IF(COUNTIF(P_ID,INDEX(L_ID,ROW()-4))&gt;0,1,0))</f>
        <v/>
      </c>
      <c r="B1167">
        <f>IF(INDEX(P_Type,ROW()-4)="","",TRIM(UPPER(INDEX(P_Type,ROW()-4))))</f>
        <v/>
      </c>
      <c r="D1167">
        <f>IF(INDEX(L_Type,ROW()-4)="","",TRIM(UPPER(INDEX(L_Type,ROW()-4))))</f>
        <v/>
      </c>
      <c r="E1167">
        <f>IF(INDEX(P_Status,ROW()-4)="","",TRIM(UPPER(INDEX(P_Status,ROW()-4))))</f>
        <v/>
      </c>
      <c r="G1167">
        <f>IF(INDEX(L_Status,ROW()-4)="","",TRIM(UPPER(INDEX(L_Status,ROW()-4))))</f>
        <v/>
      </c>
      <c r="J1167">
        <f>IF(INDEX(L_ID,ROW()-4)="","",IF(SUMPRODUCT((P_ID=INDEX(L_ID,ROW()-4))*(P_StatusN="INACTIVE"))&gt;0,1,0))</f>
        <v/>
      </c>
    </row>
    <row r="1168">
      <c r="A1168">
        <f>IF(INDEX(L_ID,ROW()-4)="","",IF(COUNTIF(P_ID,INDEX(L_ID,ROW()-4))&gt;0,1,0))</f>
        <v/>
      </c>
      <c r="B1168">
        <f>IF(INDEX(P_Type,ROW()-4)="","",TRIM(UPPER(INDEX(P_Type,ROW()-4))))</f>
        <v/>
      </c>
      <c r="D1168">
        <f>IF(INDEX(L_Type,ROW()-4)="","",TRIM(UPPER(INDEX(L_Type,ROW()-4))))</f>
        <v/>
      </c>
      <c r="E1168">
        <f>IF(INDEX(P_Status,ROW()-4)="","",TRIM(UPPER(INDEX(P_Status,ROW()-4))))</f>
        <v/>
      </c>
      <c r="G1168">
        <f>IF(INDEX(L_Status,ROW()-4)="","",TRIM(UPPER(INDEX(L_Status,ROW()-4))))</f>
        <v/>
      </c>
      <c r="J1168">
        <f>IF(INDEX(L_ID,ROW()-4)="","",IF(SUMPRODUCT((P_ID=INDEX(L_ID,ROW()-4))*(P_StatusN="INACTIVE"))&gt;0,1,0))</f>
        <v/>
      </c>
    </row>
    <row r="1169">
      <c r="A1169">
        <f>IF(INDEX(L_ID,ROW()-4)="","",IF(COUNTIF(P_ID,INDEX(L_ID,ROW()-4))&gt;0,1,0))</f>
        <v/>
      </c>
      <c r="B1169">
        <f>IF(INDEX(P_Type,ROW()-4)="","",TRIM(UPPER(INDEX(P_Type,ROW()-4))))</f>
        <v/>
      </c>
      <c r="D1169">
        <f>IF(INDEX(L_Type,ROW()-4)="","",TRIM(UPPER(INDEX(L_Type,ROW()-4))))</f>
        <v/>
      </c>
      <c r="E1169">
        <f>IF(INDEX(P_Status,ROW()-4)="","",TRIM(UPPER(INDEX(P_Status,ROW()-4))))</f>
        <v/>
      </c>
      <c r="G1169">
        <f>IF(INDEX(L_Status,ROW()-4)="","",TRIM(UPPER(INDEX(L_Status,ROW()-4))))</f>
        <v/>
      </c>
      <c r="J1169">
        <f>IF(INDEX(L_ID,ROW()-4)="","",IF(SUMPRODUCT((P_ID=INDEX(L_ID,ROW()-4))*(P_StatusN="INACTIVE"))&gt;0,1,0))</f>
        <v/>
      </c>
    </row>
    <row r="1170">
      <c r="A1170">
        <f>IF(INDEX(L_ID,ROW()-4)="","",IF(COUNTIF(P_ID,INDEX(L_ID,ROW()-4))&gt;0,1,0))</f>
        <v/>
      </c>
      <c r="B1170">
        <f>IF(INDEX(P_Type,ROW()-4)="","",TRIM(UPPER(INDEX(P_Type,ROW()-4))))</f>
        <v/>
      </c>
      <c r="D1170">
        <f>IF(INDEX(L_Type,ROW()-4)="","",TRIM(UPPER(INDEX(L_Type,ROW()-4))))</f>
        <v/>
      </c>
      <c r="E1170">
        <f>IF(INDEX(P_Status,ROW()-4)="","",TRIM(UPPER(INDEX(P_Status,ROW()-4))))</f>
        <v/>
      </c>
      <c r="G1170">
        <f>IF(INDEX(L_Status,ROW()-4)="","",TRIM(UPPER(INDEX(L_Status,ROW()-4))))</f>
        <v/>
      </c>
      <c r="J1170">
        <f>IF(INDEX(L_ID,ROW()-4)="","",IF(SUMPRODUCT((P_ID=INDEX(L_ID,ROW()-4))*(P_StatusN="INACTIVE"))&gt;0,1,0))</f>
        <v/>
      </c>
    </row>
    <row r="1171">
      <c r="A1171">
        <f>IF(INDEX(L_ID,ROW()-4)="","",IF(COUNTIF(P_ID,INDEX(L_ID,ROW()-4))&gt;0,1,0))</f>
        <v/>
      </c>
      <c r="B1171">
        <f>IF(INDEX(P_Type,ROW()-4)="","",TRIM(UPPER(INDEX(P_Type,ROW()-4))))</f>
        <v/>
      </c>
      <c r="D1171">
        <f>IF(INDEX(L_Type,ROW()-4)="","",TRIM(UPPER(INDEX(L_Type,ROW()-4))))</f>
        <v/>
      </c>
      <c r="E1171">
        <f>IF(INDEX(P_Status,ROW()-4)="","",TRIM(UPPER(INDEX(P_Status,ROW()-4))))</f>
        <v/>
      </c>
      <c r="G1171">
        <f>IF(INDEX(L_Status,ROW()-4)="","",TRIM(UPPER(INDEX(L_Status,ROW()-4))))</f>
        <v/>
      </c>
      <c r="J1171">
        <f>IF(INDEX(L_ID,ROW()-4)="","",IF(SUMPRODUCT((P_ID=INDEX(L_ID,ROW()-4))*(P_StatusN="INACTIVE"))&gt;0,1,0))</f>
        <v/>
      </c>
    </row>
    <row r="1172">
      <c r="A1172">
        <f>IF(INDEX(L_ID,ROW()-4)="","",IF(COUNTIF(P_ID,INDEX(L_ID,ROW()-4))&gt;0,1,0))</f>
        <v/>
      </c>
      <c r="B1172">
        <f>IF(INDEX(P_Type,ROW()-4)="","",TRIM(UPPER(INDEX(P_Type,ROW()-4))))</f>
        <v/>
      </c>
      <c r="D1172">
        <f>IF(INDEX(L_Type,ROW()-4)="","",TRIM(UPPER(INDEX(L_Type,ROW()-4))))</f>
        <v/>
      </c>
      <c r="E1172">
        <f>IF(INDEX(P_Status,ROW()-4)="","",TRIM(UPPER(INDEX(P_Status,ROW()-4))))</f>
        <v/>
      </c>
      <c r="G1172">
        <f>IF(INDEX(L_Status,ROW()-4)="","",TRIM(UPPER(INDEX(L_Status,ROW()-4))))</f>
        <v/>
      </c>
      <c r="J1172">
        <f>IF(INDEX(L_ID,ROW()-4)="","",IF(SUMPRODUCT((P_ID=INDEX(L_ID,ROW()-4))*(P_StatusN="INACTIVE"))&gt;0,1,0))</f>
        <v/>
      </c>
    </row>
    <row r="1173">
      <c r="A1173">
        <f>IF(INDEX(L_ID,ROW()-4)="","",IF(COUNTIF(P_ID,INDEX(L_ID,ROW()-4))&gt;0,1,0))</f>
        <v/>
      </c>
      <c r="B1173">
        <f>IF(INDEX(P_Type,ROW()-4)="","",TRIM(UPPER(INDEX(P_Type,ROW()-4))))</f>
        <v/>
      </c>
      <c r="D1173">
        <f>IF(INDEX(L_Type,ROW()-4)="","",TRIM(UPPER(INDEX(L_Type,ROW()-4))))</f>
        <v/>
      </c>
      <c r="E1173">
        <f>IF(INDEX(P_Status,ROW()-4)="","",TRIM(UPPER(INDEX(P_Status,ROW()-4))))</f>
        <v/>
      </c>
      <c r="G1173">
        <f>IF(INDEX(L_Status,ROW()-4)="","",TRIM(UPPER(INDEX(L_Status,ROW()-4))))</f>
        <v/>
      </c>
      <c r="J1173">
        <f>IF(INDEX(L_ID,ROW()-4)="","",IF(SUMPRODUCT((P_ID=INDEX(L_ID,ROW()-4))*(P_StatusN="INACTIVE"))&gt;0,1,0))</f>
        <v/>
      </c>
    </row>
    <row r="1174">
      <c r="A1174">
        <f>IF(INDEX(L_ID,ROW()-4)="","",IF(COUNTIF(P_ID,INDEX(L_ID,ROW()-4))&gt;0,1,0))</f>
        <v/>
      </c>
      <c r="B1174">
        <f>IF(INDEX(P_Type,ROW()-4)="","",TRIM(UPPER(INDEX(P_Type,ROW()-4))))</f>
        <v/>
      </c>
      <c r="D1174">
        <f>IF(INDEX(L_Type,ROW()-4)="","",TRIM(UPPER(INDEX(L_Type,ROW()-4))))</f>
        <v/>
      </c>
      <c r="E1174">
        <f>IF(INDEX(P_Status,ROW()-4)="","",TRIM(UPPER(INDEX(P_Status,ROW()-4))))</f>
        <v/>
      </c>
      <c r="G1174">
        <f>IF(INDEX(L_Status,ROW()-4)="","",TRIM(UPPER(INDEX(L_Status,ROW()-4))))</f>
        <v/>
      </c>
      <c r="J1174">
        <f>IF(INDEX(L_ID,ROW()-4)="","",IF(SUMPRODUCT((P_ID=INDEX(L_ID,ROW()-4))*(P_StatusN="INACTIVE"))&gt;0,1,0))</f>
        <v/>
      </c>
    </row>
    <row r="1175">
      <c r="A1175">
        <f>IF(INDEX(L_ID,ROW()-4)="","",IF(COUNTIF(P_ID,INDEX(L_ID,ROW()-4))&gt;0,1,0))</f>
        <v/>
      </c>
      <c r="B1175">
        <f>IF(INDEX(P_Type,ROW()-4)="","",TRIM(UPPER(INDEX(P_Type,ROW()-4))))</f>
        <v/>
      </c>
      <c r="D1175">
        <f>IF(INDEX(L_Type,ROW()-4)="","",TRIM(UPPER(INDEX(L_Type,ROW()-4))))</f>
        <v/>
      </c>
      <c r="E1175">
        <f>IF(INDEX(P_Status,ROW()-4)="","",TRIM(UPPER(INDEX(P_Status,ROW()-4))))</f>
        <v/>
      </c>
      <c r="G1175">
        <f>IF(INDEX(L_Status,ROW()-4)="","",TRIM(UPPER(INDEX(L_Status,ROW()-4))))</f>
        <v/>
      </c>
      <c r="J1175">
        <f>IF(INDEX(L_ID,ROW()-4)="","",IF(SUMPRODUCT((P_ID=INDEX(L_ID,ROW()-4))*(P_StatusN="INACTIVE"))&gt;0,1,0))</f>
        <v/>
      </c>
    </row>
    <row r="1176">
      <c r="A1176">
        <f>IF(INDEX(L_ID,ROW()-4)="","",IF(COUNTIF(P_ID,INDEX(L_ID,ROW()-4))&gt;0,1,0))</f>
        <v/>
      </c>
      <c r="B1176">
        <f>IF(INDEX(P_Type,ROW()-4)="","",TRIM(UPPER(INDEX(P_Type,ROW()-4))))</f>
        <v/>
      </c>
      <c r="D1176">
        <f>IF(INDEX(L_Type,ROW()-4)="","",TRIM(UPPER(INDEX(L_Type,ROW()-4))))</f>
        <v/>
      </c>
      <c r="E1176">
        <f>IF(INDEX(P_Status,ROW()-4)="","",TRIM(UPPER(INDEX(P_Status,ROW()-4))))</f>
        <v/>
      </c>
      <c r="G1176">
        <f>IF(INDEX(L_Status,ROW()-4)="","",TRIM(UPPER(INDEX(L_Status,ROW()-4))))</f>
        <v/>
      </c>
      <c r="J1176">
        <f>IF(INDEX(L_ID,ROW()-4)="","",IF(SUMPRODUCT((P_ID=INDEX(L_ID,ROW()-4))*(P_StatusN="INACTIVE"))&gt;0,1,0))</f>
        <v/>
      </c>
    </row>
    <row r="1177">
      <c r="A1177">
        <f>IF(INDEX(L_ID,ROW()-4)="","",IF(COUNTIF(P_ID,INDEX(L_ID,ROW()-4))&gt;0,1,0))</f>
        <v/>
      </c>
      <c r="B1177">
        <f>IF(INDEX(P_Type,ROW()-4)="","",TRIM(UPPER(INDEX(P_Type,ROW()-4))))</f>
        <v/>
      </c>
      <c r="D1177">
        <f>IF(INDEX(L_Type,ROW()-4)="","",TRIM(UPPER(INDEX(L_Type,ROW()-4))))</f>
        <v/>
      </c>
      <c r="E1177">
        <f>IF(INDEX(P_Status,ROW()-4)="","",TRIM(UPPER(INDEX(P_Status,ROW()-4))))</f>
        <v/>
      </c>
      <c r="G1177">
        <f>IF(INDEX(L_Status,ROW()-4)="","",TRIM(UPPER(INDEX(L_Status,ROW()-4))))</f>
        <v/>
      </c>
      <c r="J1177">
        <f>IF(INDEX(L_ID,ROW()-4)="","",IF(SUMPRODUCT((P_ID=INDEX(L_ID,ROW()-4))*(P_StatusN="INACTIVE"))&gt;0,1,0))</f>
        <v/>
      </c>
    </row>
    <row r="1178">
      <c r="A1178">
        <f>IF(INDEX(L_ID,ROW()-4)="","",IF(COUNTIF(P_ID,INDEX(L_ID,ROW()-4))&gt;0,1,0))</f>
        <v/>
      </c>
      <c r="B1178">
        <f>IF(INDEX(P_Type,ROW()-4)="","",TRIM(UPPER(INDEX(P_Type,ROW()-4))))</f>
        <v/>
      </c>
      <c r="D1178">
        <f>IF(INDEX(L_Type,ROW()-4)="","",TRIM(UPPER(INDEX(L_Type,ROW()-4))))</f>
        <v/>
      </c>
      <c r="E1178">
        <f>IF(INDEX(P_Status,ROW()-4)="","",TRIM(UPPER(INDEX(P_Status,ROW()-4))))</f>
        <v/>
      </c>
      <c r="G1178">
        <f>IF(INDEX(L_Status,ROW()-4)="","",TRIM(UPPER(INDEX(L_Status,ROW()-4))))</f>
        <v/>
      </c>
      <c r="J1178">
        <f>IF(INDEX(L_ID,ROW()-4)="","",IF(SUMPRODUCT((P_ID=INDEX(L_ID,ROW()-4))*(P_StatusN="INACTIVE"))&gt;0,1,0))</f>
        <v/>
      </c>
    </row>
    <row r="1179">
      <c r="A1179">
        <f>IF(INDEX(L_ID,ROW()-4)="","",IF(COUNTIF(P_ID,INDEX(L_ID,ROW()-4))&gt;0,1,0))</f>
        <v/>
      </c>
      <c r="B1179">
        <f>IF(INDEX(P_Type,ROW()-4)="","",TRIM(UPPER(INDEX(P_Type,ROW()-4))))</f>
        <v/>
      </c>
      <c r="D1179">
        <f>IF(INDEX(L_Type,ROW()-4)="","",TRIM(UPPER(INDEX(L_Type,ROW()-4))))</f>
        <v/>
      </c>
      <c r="E1179">
        <f>IF(INDEX(P_Status,ROW()-4)="","",TRIM(UPPER(INDEX(P_Status,ROW()-4))))</f>
        <v/>
      </c>
      <c r="G1179">
        <f>IF(INDEX(L_Status,ROW()-4)="","",TRIM(UPPER(INDEX(L_Status,ROW()-4))))</f>
        <v/>
      </c>
      <c r="J1179">
        <f>IF(INDEX(L_ID,ROW()-4)="","",IF(SUMPRODUCT((P_ID=INDEX(L_ID,ROW()-4))*(P_StatusN="INACTIVE"))&gt;0,1,0))</f>
        <v/>
      </c>
    </row>
    <row r="1180">
      <c r="A1180">
        <f>IF(INDEX(L_ID,ROW()-4)="","",IF(COUNTIF(P_ID,INDEX(L_ID,ROW()-4))&gt;0,1,0))</f>
        <v/>
      </c>
      <c r="B1180">
        <f>IF(INDEX(P_Type,ROW()-4)="","",TRIM(UPPER(INDEX(P_Type,ROW()-4))))</f>
        <v/>
      </c>
      <c r="D1180">
        <f>IF(INDEX(L_Type,ROW()-4)="","",TRIM(UPPER(INDEX(L_Type,ROW()-4))))</f>
        <v/>
      </c>
      <c r="E1180">
        <f>IF(INDEX(P_Status,ROW()-4)="","",TRIM(UPPER(INDEX(P_Status,ROW()-4))))</f>
        <v/>
      </c>
      <c r="G1180">
        <f>IF(INDEX(L_Status,ROW()-4)="","",TRIM(UPPER(INDEX(L_Status,ROW()-4))))</f>
        <v/>
      </c>
      <c r="J1180">
        <f>IF(INDEX(L_ID,ROW()-4)="","",IF(SUMPRODUCT((P_ID=INDEX(L_ID,ROW()-4))*(P_StatusN="INACTIVE"))&gt;0,1,0))</f>
        <v/>
      </c>
    </row>
    <row r="1181">
      <c r="A1181">
        <f>IF(INDEX(L_ID,ROW()-4)="","",IF(COUNTIF(P_ID,INDEX(L_ID,ROW()-4))&gt;0,1,0))</f>
        <v/>
      </c>
      <c r="B1181">
        <f>IF(INDEX(P_Type,ROW()-4)="","",TRIM(UPPER(INDEX(P_Type,ROW()-4))))</f>
        <v/>
      </c>
      <c r="D1181">
        <f>IF(INDEX(L_Type,ROW()-4)="","",TRIM(UPPER(INDEX(L_Type,ROW()-4))))</f>
        <v/>
      </c>
      <c r="E1181">
        <f>IF(INDEX(P_Status,ROW()-4)="","",TRIM(UPPER(INDEX(P_Status,ROW()-4))))</f>
        <v/>
      </c>
      <c r="G1181">
        <f>IF(INDEX(L_Status,ROW()-4)="","",TRIM(UPPER(INDEX(L_Status,ROW()-4))))</f>
        <v/>
      </c>
      <c r="J1181">
        <f>IF(INDEX(L_ID,ROW()-4)="","",IF(SUMPRODUCT((P_ID=INDEX(L_ID,ROW()-4))*(P_StatusN="INACTIVE"))&gt;0,1,0))</f>
        <v/>
      </c>
    </row>
    <row r="1182">
      <c r="A1182">
        <f>IF(INDEX(L_ID,ROW()-4)="","",IF(COUNTIF(P_ID,INDEX(L_ID,ROW()-4))&gt;0,1,0))</f>
        <v/>
      </c>
      <c r="B1182">
        <f>IF(INDEX(P_Type,ROW()-4)="","",TRIM(UPPER(INDEX(P_Type,ROW()-4))))</f>
        <v/>
      </c>
      <c r="D1182">
        <f>IF(INDEX(L_Type,ROW()-4)="","",TRIM(UPPER(INDEX(L_Type,ROW()-4))))</f>
        <v/>
      </c>
      <c r="E1182">
        <f>IF(INDEX(P_Status,ROW()-4)="","",TRIM(UPPER(INDEX(P_Status,ROW()-4))))</f>
        <v/>
      </c>
      <c r="G1182">
        <f>IF(INDEX(L_Status,ROW()-4)="","",TRIM(UPPER(INDEX(L_Status,ROW()-4))))</f>
        <v/>
      </c>
      <c r="J1182">
        <f>IF(INDEX(L_ID,ROW()-4)="","",IF(SUMPRODUCT((P_ID=INDEX(L_ID,ROW()-4))*(P_StatusN="INACTIVE"))&gt;0,1,0))</f>
        <v/>
      </c>
    </row>
    <row r="1183">
      <c r="A1183">
        <f>IF(INDEX(L_ID,ROW()-4)="","",IF(COUNTIF(P_ID,INDEX(L_ID,ROW()-4))&gt;0,1,0))</f>
        <v/>
      </c>
      <c r="B1183">
        <f>IF(INDEX(P_Type,ROW()-4)="","",TRIM(UPPER(INDEX(P_Type,ROW()-4))))</f>
        <v/>
      </c>
      <c r="D1183">
        <f>IF(INDEX(L_Type,ROW()-4)="","",TRIM(UPPER(INDEX(L_Type,ROW()-4))))</f>
        <v/>
      </c>
      <c r="E1183">
        <f>IF(INDEX(P_Status,ROW()-4)="","",TRIM(UPPER(INDEX(P_Status,ROW()-4))))</f>
        <v/>
      </c>
      <c r="G1183">
        <f>IF(INDEX(L_Status,ROW()-4)="","",TRIM(UPPER(INDEX(L_Status,ROW()-4))))</f>
        <v/>
      </c>
      <c r="J1183">
        <f>IF(INDEX(L_ID,ROW()-4)="","",IF(SUMPRODUCT((P_ID=INDEX(L_ID,ROW()-4))*(P_StatusN="INACTIVE"))&gt;0,1,0))</f>
        <v/>
      </c>
    </row>
    <row r="1184">
      <c r="A1184">
        <f>IF(INDEX(L_ID,ROW()-4)="","",IF(COUNTIF(P_ID,INDEX(L_ID,ROW()-4))&gt;0,1,0))</f>
        <v/>
      </c>
      <c r="B1184">
        <f>IF(INDEX(P_Type,ROW()-4)="","",TRIM(UPPER(INDEX(P_Type,ROW()-4))))</f>
        <v/>
      </c>
      <c r="D1184">
        <f>IF(INDEX(L_Type,ROW()-4)="","",TRIM(UPPER(INDEX(L_Type,ROW()-4))))</f>
        <v/>
      </c>
      <c r="E1184">
        <f>IF(INDEX(P_Status,ROW()-4)="","",TRIM(UPPER(INDEX(P_Status,ROW()-4))))</f>
        <v/>
      </c>
      <c r="G1184">
        <f>IF(INDEX(L_Status,ROW()-4)="","",TRIM(UPPER(INDEX(L_Status,ROW()-4))))</f>
        <v/>
      </c>
      <c r="J1184">
        <f>IF(INDEX(L_ID,ROW()-4)="","",IF(SUMPRODUCT((P_ID=INDEX(L_ID,ROW()-4))*(P_StatusN="INACTIVE"))&gt;0,1,0))</f>
        <v/>
      </c>
    </row>
    <row r="1185">
      <c r="A1185">
        <f>IF(INDEX(L_ID,ROW()-4)="","",IF(COUNTIF(P_ID,INDEX(L_ID,ROW()-4))&gt;0,1,0))</f>
        <v/>
      </c>
      <c r="B1185">
        <f>IF(INDEX(P_Type,ROW()-4)="","",TRIM(UPPER(INDEX(P_Type,ROW()-4))))</f>
        <v/>
      </c>
      <c r="D1185">
        <f>IF(INDEX(L_Type,ROW()-4)="","",TRIM(UPPER(INDEX(L_Type,ROW()-4))))</f>
        <v/>
      </c>
      <c r="E1185">
        <f>IF(INDEX(P_Status,ROW()-4)="","",TRIM(UPPER(INDEX(P_Status,ROW()-4))))</f>
        <v/>
      </c>
      <c r="G1185">
        <f>IF(INDEX(L_Status,ROW()-4)="","",TRIM(UPPER(INDEX(L_Status,ROW()-4))))</f>
        <v/>
      </c>
      <c r="J1185">
        <f>IF(INDEX(L_ID,ROW()-4)="","",IF(SUMPRODUCT((P_ID=INDEX(L_ID,ROW()-4))*(P_StatusN="INACTIVE"))&gt;0,1,0))</f>
        <v/>
      </c>
    </row>
    <row r="1186">
      <c r="A1186">
        <f>IF(INDEX(L_ID,ROW()-4)="","",IF(COUNTIF(P_ID,INDEX(L_ID,ROW()-4))&gt;0,1,0))</f>
        <v/>
      </c>
      <c r="B1186">
        <f>IF(INDEX(P_Type,ROW()-4)="","",TRIM(UPPER(INDEX(P_Type,ROW()-4))))</f>
        <v/>
      </c>
      <c r="D1186">
        <f>IF(INDEX(L_Type,ROW()-4)="","",TRIM(UPPER(INDEX(L_Type,ROW()-4))))</f>
        <v/>
      </c>
      <c r="E1186">
        <f>IF(INDEX(P_Status,ROW()-4)="","",TRIM(UPPER(INDEX(P_Status,ROW()-4))))</f>
        <v/>
      </c>
      <c r="G1186">
        <f>IF(INDEX(L_Status,ROW()-4)="","",TRIM(UPPER(INDEX(L_Status,ROW()-4))))</f>
        <v/>
      </c>
      <c r="J1186">
        <f>IF(INDEX(L_ID,ROW()-4)="","",IF(SUMPRODUCT((P_ID=INDEX(L_ID,ROW()-4))*(P_StatusN="INACTIVE"))&gt;0,1,0))</f>
        <v/>
      </c>
    </row>
    <row r="1187">
      <c r="A1187">
        <f>IF(INDEX(L_ID,ROW()-4)="","",IF(COUNTIF(P_ID,INDEX(L_ID,ROW()-4))&gt;0,1,0))</f>
        <v/>
      </c>
      <c r="B1187">
        <f>IF(INDEX(P_Type,ROW()-4)="","",TRIM(UPPER(INDEX(P_Type,ROW()-4))))</f>
        <v/>
      </c>
      <c r="D1187">
        <f>IF(INDEX(L_Type,ROW()-4)="","",TRIM(UPPER(INDEX(L_Type,ROW()-4))))</f>
        <v/>
      </c>
      <c r="E1187">
        <f>IF(INDEX(P_Status,ROW()-4)="","",TRIM(UPPER(INDEX(P_Status,ROW()-4))))</f>
        <v/>
      </c>
      <c r="G1187">
        <f>IF(INDEX(L_Status,ROW()-4)="","",TRIM(UPPER(INDEX(L_Status,ROW()-4))))</f>
        <v/>
      </c>
      <c r="J1187">
        <f>IF(INDEX(L_ID,ROW()-4)="","",IF(SUMPRODUCT((P_ID=INDEX(L_ID,ROW()-4))*(P_StatusN="INACTIVE"))&gt;0,1,0))</f>
        <v/>
      </c>
    </row>
    <row r="1188">
      <c r="A1188">
        <f>IF(INDEX(L_ID,ROW()-4)="","",IF(COUNTIF(P_ID,INDEX(L_ID,ROW()-4))&gt;0,1,0))</f>
        <v/>
      </c>
      <c r="B1188">
        <f>IF(INDEX(P_Type,ROW()-4)="","",TRIM(UPPER(INDEX(P_Type,ROW()-4))))</f>
        <v/>
      </c>
      <c r="D1188">
        <f>IF(INDEX(L_Type,ROW()-4)="","",TRIM(UPPER(INDEX(L_Type,ROW()-4))))</f>
        <v/>
      </c>
      <c r="E1188">
        <f>IF(INDEX(P_Status,ROW()-4)="","",TRIM(UPPER(INDEX(P_Status,ROW()-4))))</f>
        <v/>
      </c>
      <c r="G1188">
        <f>IF(INDEX(L_Status,ROW()-4)="","",TRIM(UPPER(INDEX(L_Status,ROW()-4))))</f>
        <v/>
      </c>
      <c r="J1188">
        <f>IF(INDEX(L_ID,ROW()-4)="","",IF(SUMPRODUCT((P_ID=INDEX(L_ID,ROW()-4))*(P_StatusN="INACTIVE"))&gt;0,1,0))</f>
        <v/>
      </c>
    </row>
    <row r="1189">
      <c r="A1189">
        <f>IF(INDEX(L_ID,ROW()-4)="","",IF(COUNTIF(P_ID,INDEX(L_ID,ROW()-4))&gt;0,1,0))</f>
        <v/>
      </c>
      <c r="B1189">
        <f>IF(INDEX(P_Type,ROW()-4)="","",TRIM(UPPER(INDEX(P_Type,ROW()-4))))</f>
        <v/>
      </c>
      <c r="D1189">
        <f>IF(INDEX(L_Type,ROW()-4)="","",TRIM(UPPER(INDEX(L_Type,ROW()-4))))</f>
        <v/>
      </c>
      <c r="E1189">
        <f>IF(INDEX(P_Status,ROW()-4)="","",TRIM(UPPER(INDEX(P_Status,ROW()-4))))</f>
        <v/>
      </c>
      <c r="G1189">
        <f>IF(INDEX(L_Status,ROW()-4)="","",TRIM(UPPER(INDEX(L_Status,ROW()-4))))</f>
        <v/>
      </c>
      <c r="J1189">
        <f>IF(INDEX(L_ID,ROW()-4)="","",IF(SUMPRODUCT((P_ID=INDEX(L_ID,ROW()-4))*(P_StatusN="INACTIVE"))&gt;0,1,0))</f>
        <v/>
      </c>
    </row>
    <row r="1190">
      <c r="A1190">
        <f>IF(INDEX(L_ID,ROW()-4)="","",IF(COUNTIF(P_ID,INDEX(L_ID,ROW()-4))&gt;0,1,0))</f>
        <v/>
      </c>
      <c r="B1190">
        <f>IF(INDEX(P_Type,ROW()-4)="","",TRIM(UPPER(INDEX(P_Type,ROW()-4))))</f>
        <v/>
      </c>
      <c r="D1190">
        <f>IF(INDEX(L_Type,ROW()-4)="","",TRIM(UPPER(INDEX(L_Type,ROW()-4))))</f>
        <v/>
      </c>
      <c r="E1190">
        <f>IF(INDEX(P_Status,ROW()-4)="","",TRIM(UPPER(INDEX(P_Status,ROW()-4))))</f>
        <v/>
      </c>
      <c r="G1190">
        <f>IF(INDEX(L_Status,ROW()-4)="","",TRIM(UPPER(INDEX(L_Status,ROW()-4))))</f>
        <v/>
      </c>
      <c r="J1190">
        <f>IF(INDEX(L_ID,ROW()-4)="","",IF(SUMPRODUCT((P_ID=INDEX(L_ID,ROW()-4))*(P_StatusN="INACTIVE"))&gt;0,1,0))</f>
        <v/>
      </c>
    </row>
    <row r="1191">
      <c r="A1191">
        <f>IF(INDEX(L_ID,ROW()-4)="","",IF(COUNTIF(P_ID,INDEX(L_ID,ROW()-4))&gt;0,1,0))</f>
        <v/>
      </c>
      <c r="B1191">
        <f>IF(INDEX(P_Type,ROW()-4)="","",TRIM(UPPER(INDEX(P_Type,ROW()-4))))</f>
        <v/>
      </c>
      <c r="D1191">
        <f>IF(INDEX(L_Type,ROW()-4)="","",TRIM(UPPER(INDEX(L_Type,ROW()-4))))</f>
        <v/>
      </c>
      <c r="E1191">
        <f>IF(INDEX(P_Status,ROW()-4)="","",TRIM(UPPER(INDEX(P_Status,ROW()-4))))</f>
        <v/>
      </c>
      <c r="G1191">
        <f>IF(INDEX(L_Status,ROW()-4)="","",TRIM(UPPER(INDEX(L_Status,ROW()-4))))</f>
        <v/>
      </c>
      <c r="J1191">
        <f>IF(INDEX(L_ID,ROW()-4)="","",IF(SUMPRODUCT((P_ID=INDEX(L_ID,ROW()-4))*(P_StatusN="INACTIVE"))&gt;0,1,0))</f>
        <v/>
      </c>
    </row>
    <row r="1192">
      <c r="A1192">
        <f>IF(INDEX(L_ID,ROW()-4)="","",IF(COUNTIF(P_ID,INDEX(L_ID,ROW()-4))&gt;0,1,0))</f>
        <v/>
      </c>
      <c r="B1192">
        <f>IF(INDEX(P_Type,ROW()-4)="","",TRIM(UPPER(INDEX(P_Type,ROW()-4))))</f>
        <v/>
      </c>
      <c r="D1192">
        <f>IF(INDEX(L_Type,ROW()-4)="","",TRIM(UPPER(INDEX(L_Type,ROW()-4))))</f>
        <v/>
      </c>
      <c r="E1192">
        <f>IF(INDEX(P_Status,ROW()-4)="","",TRIM(UPPER(INDEX(P_Status,ROW()-4))))</f>
        <v/>
      </c>
      <c r="G1192">
        <f>IF(INDEX(L_Status,ROW()-4)="","",TRIM(UPPER(INDEX(L_Status,ROW()-4))))</f>
        <v/>
      </c>
      <c r="J1192">
        <f>IF(INDEX(L_ID,ROW()-4)="","",IF(SUMPRODUCT((P_ID=INDEX(L_ID,ROW()-4))*(P_StatusN="INACTIVE"))&gt;0,1,0))</f>
        <v/>
      </c>
    </row>
    <row r="1193">
      <c r="A1193">
        <f>IF(INDEX(L_ID,ROW()-4)="","",IF(COUNTIF(P_ID,INDEX(L_ID,ROW()-4))&gt;0,1,0))</f>
        <v/>
      </c>
      <c r="B1193">
        <f>IF(INDEX(P_Type,ROW()-4)="","",TRIM(UPPER(INDEX(P_Type,ROW()-4))))</f>
        <v/>
      </c>
      <c r="D1193">
        <f>IF(INDEX(L_Type,ROW()-4)="","",TRIM(UPPER(INDEX(L_Type,ROW()-4))))</f>
        <v/>
      </c>
      <c r="E1193">
        <f>IF(INDEX(P_Status,ROW()-4)="","",TRIM(UPPER(INDEX(P_Status,ROW()-4))))</f>
        <v/>
      </c>
      <c r="G1193">
        <f>IF(INDEX(L_Status,ROW()-4)="","",TRIM(UPPER(INDEX(L_Status,ROW()-4))))</f>
        <v/>
      </c>
      <c r="J1193">
        <f>IF(INDEX(L_ID,ROW()-4)="","",IF(SUMPRODUCT((P_ID=INDEX(L_ID,ROW()-4))*(P_StatusN="INACTIVE"))&gt;0,1,0))</f>
        <v/>
      </c>
    </row>
    <row r="1194">
      <c r="A1194">
        <f>IF(INDEX(L_ID,ROW()-4)="","",IF(COUNTIF(P_ID,INDEX(L_ID,ROW()-4))&gt;0,1,0))</f>
        <v/>
      </c>
      <c r="B1194">
        <f>IF(INDEX(P_Type,ROW()-4)="","",TRIM(UPPER(INDEX(P_Type,ROW()-4))))</f>
        <v/>
      </c>
      <c r="D1194">
        <f>IF(INDEX(L_Type,ROW()-4)="","",TRIM(UPPER(INDEX(L_Type,ROW()-4))))</f>
        <v/>
      </c>
      <c r="E1194">
        <f>IF(INDEX(P_Status,ROW()-4)="","",TRIM(UPPER(INDEX(P_Status,ROW()-4))))</f>
        <v/>
      </c>
      <c r="G1194">
        <f>IF(INDEX(L_Status,ROW()-4)="","",TRIM(UPPER(INDEX(L_Status,ROW()-4))))</f>
        <v/>
      </c>
      <c r="J1194">
        <f>IF(INDEX(L_ID,ROW()-4)="","",IF(SUMPRODUCT((P_ID=INDEX(L_ID,ROW()-4))*(P_StatusN="INACTIVE"))&gt;0,1,0))</f>
        <v/>
      </c>
    </row>
    <row r="1195">
      <c r="A1195">
        <f>IF(INDEX(L_ID,ROW()-4)="","",IF(COUNTIF(P_ID,INDEX(L_ID,ROW()-4))&gt;0,1,0))</f>
        <v/>
      </c>
      <c r="B1195">
        <f>IF(INDEX(P_Type,ROW()-4)="","",TRIM(UPPER(INDEX(P_Type,ROW()-4))))</f>
        <v/>
      </c>
      <c r="D1195">
        <f>IF(INDEX(L_Type,ROW()-4)="","",TRIM(UPPER(INDEX(L_Type,ROW()-4))))</f>
        <v/>
      </c>
      <c r="E1195">
        <f>IF(INDEX(P_Status,ROW()-4)="","",TRIM(UPPER(INDEX(P_Status,ROW()-4))))</f>
        <v/>
      </c>
      <c r="G1195">
        <f>IF(INDEX(L_Status,ROW()-4)="","",TRIM(UPPER(INDEX(L_Status,ROW()-4))))</f>
        <v/>
      </c>
      <c r="J1195">
        <f>IF(INDEX(L_ID,ROW()-4)="","",IF(SUMPRODUCT((P_ID=INDEX(L_ID,ROW()-4))*(P_StatusN="INACTIVE"))&gt;0,1,0))</f>
        <v/>
      </c>
    </row>
    <row r="1196">
      <c r="A1196">
        <f>IF(INDEX(L_ID,ROW()-4)="","",IF(COUNTIF(P_ID,INDEX(L_ID,ROW()-4))&gt;0,1,0))</f>
        <v/>
      </c>
      <c r="B1196">
        <f>IF(INDEX(P_Type,ROW()-4)="","",TRIM(UPPER(INDEX(P_Type,ROW()-4))))</f>
        <v/>
      </c>
      <c r="D1196">
        <f>IF(INDEX(L_Type,ROW()-4)="","",TRIM(UPPER(INDEX(L_Type,ROW()-4))))</f>
        <v/>
      </c>
      <c r="E1196">
        <f>IF(INDEX(P_Status,ROW()-4)="","",TRIM(UPPER(INDEX(P_Status,ROW()-4))))</f>
        <v/>
      </c>
      <c r="G1196">
        <f>IF(INDEX(L_Status,ROW()-4)="","",TRIM(UPPER(INDEX(L_Status,ROW()-4))))</f>
        <v/>
      </c>
      <c r="J1196">
        <f>IF(INDEX(L_ID,ROW()-4)="","",IF(SUMPRODUCT((P_ID=INDEX(L_ID,ROW()-4))*(P_StatusN="INACTIVE"))&gt;0,1,0))</f>
        <v/>
      </c>
    </row>
    <row r="1197">
      <c r="A1197">
        <f>IF(INDEX(L_ID,ROW()-4)="","",IF(COUNTIF(P_ID,INDEX(L_ID,ROW()-4))&gt;0,1,0))</f>
        <v/>
      </c>
      <c r="B1197">
        <f>IF(INDEX(P_Type,ROW()-4)="","",TRIM(UPPER(INDEX(P_Type,ROW()-4))))</f>
        <v/>
      </c>
      <c r="D1197">
        <f>IF(INDEX(L_Type,ROW()-4)="","",TRIM(UPPER(INDEX(L_Type,ROW()-4))))</f>
        <v/>
      </c>
      <c r="E1197">
        <f>IF(INDEX(P_Status,ROW()-4)="","",TRIM(UPPER(INDEX(P_Status,ROW()-4))))</f>
        <v/>
      </c>
      <c r="G1197">
        <f>IF(INDEX(L_Status,ROW()-4)="","",TRIM(UPPER(INDEX(L_Status,ROW()-4))))</f>
        <v/>
      </c>
      <c r="J1197">
        <f>IF(INDEX(L_ID,ROW()-4)="","",IF(SUMPRODUCT((P_ID=INDEX(L_ID,ROW()-4))*(P_StatusN="INACTIVE"))&gt;0,1,0))</f>
        <v/>
      </c>
    </row>
    <row r="1198">
      <c r="A1198">
        <f>IF(INDEX(L_ID,ROW()-4)="","",IF(COUNTIF(P_ID,INDEX(L_ID,ROW()-4))&gt;0,1,0))</f>
        <v/>
      </c>
      <c r="B1198">
        <f>IF(INDEX(P_Type,ROW()-4)="","",TRIM(UPPER(INDEX(P_Type,ROW()-4))))</f>
        <v/>
      </c>
      <c r="D1198">
        <f>IF(INDEX(L_Type,ROW()-4)="","",TRIM(UPPER(INDEX(L_Type,ROW()-4))))</f>
        <v/>
      </c>
      <c r="E1198">
        <f>IF(INDEX(P_Status,ROW()-4)="","",TRIM(UPPER(INDEX(P_Status,ROW()-4))))</f>
        <v/>
      </c>
      <c r="G1198">
        <f>IF(INDEX(L_Status,ROW()-4)="","",TRIM(UPPER(INDEX(L_Status,ROW()-4))))</f>
        <v/>
      </c>
      <c r="J1198">
        <f>IF(INDEX(L_ID,ROW()-4)="","",IF(SUMPRODUCT((P_ID=INDEX(L_ID,ROW()-4))*(P_StatusN="INACTIVE"))&gt;0,1,0))</f>
        <v/>
      </c>
    </row>
    <row r="1199">
      <c r="A1199">
        <f>IF(INDEX(L_ID,ROW()-4)="","",IF(COUNTIF(P_ID,INDEX(L_ID,ROW()-4))&gt;0,1,0))</f>
        <v/>
      </c>
      <c r="B1199">
        <f>IF(INDEX(P_Type,ROW()-4)="","",TRIM(UPPER(INDEX(P_Type,ROW()-4))))</f>
        <v/>
      </c>
      <c r="D1199">
        <f>IF(INDEX(L_Type,ROW()-4)="","",TRIM(UPPER(INDEX(L_Type,ROW()-4))))</f>
        <v/>
      </c>
      <c r="E1199">
        <f>IF(INDEX(P_Status,ROW()-4)="","",TRIM(UPPER(INDEX(P_Status,ROW()-4))))</f>
        <v/>
      </c>
      <c r="G1199">
        <f>IF(INDEX(L_Status,ROW()-4)="","",TRIM(UPPER(INDEX(L_Status,ROW()-4))))</f>
        <v/>
      </c>
      <c r="J1199">
        <f>IF(INDEX(L_ID,ROW()-4)="","",IF(SUMPRODUCT((P_ID=INDEX(L_ID,ROW()-4))*(P_StatusN="INACTIVE"))&gt;0,1,0))</f>
        <v/>
      </c>
    </row>
    <row r="1200">
      <c r="A1200">
        <f>IF(INDEX(L_ID,ROW()-4)="","",IF(COUNTIF(P_ID,INDEX(L_ID,ROW()-4))&gt;0,1,0))</f>
        <v/>
      </c>
      <c r="B1200">
        <f>IF(INDEX(P_Type,ROW()-4)="","",TRIM(UPPER(INDEX(P_Type,ROW()-4))))</f>
        <v/>
      </c>
      <c r="D1200">
        <f>IF(INDEX(L_Type,ROW()-4)="","",TRIM(UPPER(INDEX(L_Type,ROW()-4))))</f>
        <v/>
      </c>
      <c r="E1200">
        <f>IF(INDEX(P_Status,ROW()-4)="","",TRIM(UPPER(INDEX(P_Status,ROW()-4))))</f>
        <v/>
      </c>
      <c r="G1200">
        <f>IF(INDEX(L_Status,ROW()-4)="","",TRIM(UPPER(INDEX(L_Status,ROW()-4))))</f>
        <v/>
      </c>
      <c r="J1200">
        <f>IF(INDEX(L_ID,ROW()-4)="","",IF(SUMPRODUCT((P_ID=INDEX(L_ID,ROW()-4))*(P_StatusN="INACTIVE"))&gt;0,1,0))</f>
        <v/>
      </c>
    </row>
    <row r="1201">
      <c r="A1201">
        <f>IF(INDEX(L_ID,ROW()-4)="","",IF(COUNTIF(P_ID,INDEX(L_ID,ROW()-4))&gt;0,1,0))</f>
        <v/>
      </c>
      <c r="B1201">
        <f>IF(INDEX(P_Type,ROW()-4)="","",TRIM(UPPER(INDEX(P_Type,ROW()-4))))</f>
        <v/>
      </c>
      <c r="D1201">
        <f>IF(INDEX(L_Type,ROW()-4)="","",TRIM(UPPER(INDEX(L_Type,ROW()-4))))</f>
        <v/>
      </c>
      <c r="E1201">
        <f>IF(INDEX(P_Status,ROW()-4)="","",TRIM(UPPER(INDEX(P_Status,ROW()-4))))</f>
        <v/>
      </c>
      <c r="G1201">
        <f>IF(INDEX(L_Status,ROW()-4)="","",TRIM(UPPER(INDEX(L_Status,ROW()-4))))</f>
        <v/>
      </c>
      <c r="J1201">
        <f>IF(INDEX(L_ID,ROW()-4)="","",IF(SUMPRODUCT((P_ID=INDEX(L_ID,ROW()-4))*(P_StatusN="INACTIVE"))&gt;0,1,0))</f>
        <v/>
      </c>
    </row>
    <row r="1202">
      <c r="A1202">
        <f>IF(INDEX(L_ID,ROW()-4)="","",IF(COUNTIF(P_ID,INDEX(L_ID,ROW()-4))&gt;0,1,0))</f>
        <v/>
      </c>
      <c r="B1202">
        <f>IF(INDEX(P_Type,ROW()-4)="","",TRIM(UPPER(INDEX(P_Type,ROW()-4))))</f>
        <v/>
      </c>
      <c r="D1202">
        <f>IF(INDEX(L_Type,ROW()-4)="","",TRIM(UPPER(INDEX(L_Type,ROW()-4))))</f>
        <v/>
      </c>
      <c r="E1202">
        <f>IF(INDEX(P_Status,ROW()-4)="","",TRIM(UPPER(INDEX(P_Status,ROW()-4))))</f>
        <v/>
      </c>
      <c r="G1202">
        <f>IF(INDEX(L_Status,ROW()-4)="","",TRIM(UPPER(INDEX(L_Status,ROW()-4))))</f>
        <v/>
      </c>
      <c r="J1202">
        <f>IF(INDEX(L_ID,ROW()-4)="","",IF(SUMPRODUCT((P_ID=INDEX(L_ID,ROW()-4))*(P_StatusN="INACTIVE"))&gt;0,1,0))</f>
        <v/>
      </c>
    </row>
    <row r="1203">
      <c r="A1203">
        <f>IF(INDEX(L_ID,ROW()-4)="","",IF(COUNTIF(P_ID,INDEX(L_ID,ROW()-4))&gt;0,1,0))</f>
        <v/>
      </c>
      <c r="B1203">
        <f>IF(INDEX(P_Type,ROW()-4)="","",TRIM(UPPER(INDEX(P_Type,ROW()-4))))</f>
        <v/>
      </c>
      <c r="D1203">
        <f>IF(INDEX(L_Type,ROW()-4)="","",TRIM(UPPER(INDEX(L_Type,ROW()-4))))</f>
        <v/>
      </c>
      <c r="E1203">
        <f>IF(INDEX(P_Status,ROW()-4)="","",TRIM(UPPER(INDEX(P_Status,ROW()-4))))</f>
        <v/>
      </c>
      <c r="G1203">
        <f>IF(INDEX(L_Status,ROW()-4)="","",TRIM(UPPER(INDEX(L_Status,ROW()-4))))</f>
        <v/>
      </c>
      <c r="J1203">
        <f>IF(INDEX(L_ID,ROW()-4)="","",IF(SUMPRODUCT((P_ID=INDEX(L_ID,ROW()-4))*(P_StatusN="INACTIVE"))&gt;0,1,0))</f>
        <v/>
      </c>
    </row>
    <row r="1204">
      <c r="A1204">
        <f>IF(INDEX(L_ID,ROW()-4)="","",IF(COUNTIF(P_ID,INDEX(L_ID,ROW()-4))&gt;0,1,0))</f>
        <v/>
      </c>
      <c r="B1204">
        <f>IF(INDEX(P_Type,ROW()-4)="","",TRIM(UPPER(INDEX(P_Type,ROW()-4))))</f>
        <v/>
      </c>
      <c r="D1204">
        <f>IF(INDEX(L_Type,ROW()-4)="","",TRIM(UPPER(INDEX(L_Type,ROW()-4))))</f>
        <v/>
      </c>
      <c r="E1204">
        <f>IF(INDEX(P_Status,ROW()-4)="","",TRIM(UPPER(INDEX(P_Status,ROW()-4))))</f>
        <v/>
      </c>
      <c r="G1204">
        <f>IF(INDEX(L_Status,ROW()-4)="","",TRIM(UPPER(INDEX(L_Status,ROW()-4))))</f>
        <v/>
      </c>
      <c r="J1204">
        <f>IF(INDEX(L_ID,ROW()-4)="","",IF(SUMPRODUCT((P_ID=INDEX(L_ID,ROW()-4))*(P_StatusN="INACTIVE"))&gt;0,1,0))</f>
        <v/>
      </c>
    </row>
    <row r="1205">
      <c r="A1205">
        <f>IF(INDEX(L_ID,ROW()-4)="","",IF(COUNTIF(P_ID,INDEX(L_ID,ROW()-4))&gt;0,1,0))</f>
        <v/>
      </c>
      <c r="B1205">
        <f>IF(INDEX(P_Type,ROW()-4)="","",TRIM(UPPER(INDEX(P_Type,ROW()-4))))</f>
        <v/>
      </c>
      <c r="D1205">
        <f>IF(INDEX(L_Type,ROW()-4)="","",TRIM(UPPER(INDEX(L_Type,ROW()-4))))</f>
        <v/>
      </c>
      <c r="E1205">
        <f>IF(INDEX(P_Status,ROW()-4)="","",TRIM(UPPER(INDEX(P_Status,ROW()-4))))</f>
        <v/>
      </c>
      <c r="G1205">
        <f>IF(INDEX(L_Status,ROW()-4)="","",TRIM(UPPER(INDEX(L_Status,ROW()-4))))</f>
        <v/>
      </c>
      <c r="J1205">
        <f>IF(INDEX(L_ID,ROW()-4)="","",IF(SUMPRODUCT((P_ID=INDEX(L_ID,ROW()-4))*(P_StatusN="INACTIVE"))&gt;0,1,0))</f>
        <v/>
      </c>
    </row>
    <row r="1206">
      <c r="A1206">
        <f>IF(INDEX(L_ID,ROW()-4)="","",IF(COUNTIF(P_ID,INDEX(L_ID,ROW()-4))&gt;0,1,0))</f>
        <v/>
      </c>
      <c r="B1206">
        <f>IF(INDEX(P_Type,ROW()-4)="","",TRIM(UPPER(INDEX(P_Type,ROW()-4))))</f>
        <v/>
      </c>
      <c r="D1206">
        <f>IF(INDEX(L_Type,ROW()-4)="","",TRIM(UPPER(INDEX(L_Type,ROW()-4))))</f>
        <v/>
      </c>
      <c r="E1206">
        <f>IF(INDEX(P_Status,ROW()-4)="","",TRIM(UPPER(INDEX(P_Status,ROW()-4))))</f>
        <v/>
      </c>
      <c r="G1206">
        <f>IF(INDEX(L_Status,ROW()-4)="","",TRIM(UPPER(INDEX(L_Status,ROW()-4))))</f>
        <v/>
      </c>
      <c r="J1206">
        <f>IF(INDEX(L_ID,ROW()-4)="","",IF(SUMPRODUCT((P_ID=INDEX(L_ID,ROW()-4))*(P_StatusN="INACTIVE"))&gt;0,1,0))</f>
        <v/>
      </c>
    </row>
    <row r="1207">
      <c r="A1207">
        <f>IF(INDEX(L_ID,ROW()-4)="","",IF(COUNTIF(P_ID,INDEX(L_ID,ROW()-4))&gt;0,1,0))</f>
        <v/>
      </c>
      <c r="B1207">
        <f>IF(INDEX(P_Type,ROW()-4)="","",TRIM(UPPER(INDEX(P_Type,ROW()-4))))</f>
        <v/>
      </c>
      <c r="D1207">
        <f>IF(INDEX(L_Type,ROW()-4)="","",TRIM(UPPER(INDEX(L_Type,ROW()-4))))</f>
        <v/>
      </c>
      <c r="E1207">
        <f>IF(INDEX(P_Status,ROW()-4)="","",TRIM(UPPER(INDEX(P_Status,ROW()-4))))</f>
        <v/>
      </c>
      <c r="G1207">
        <f>IF(INDEX(L_Status,ROW()-4)="","",TRIM(UPPER(INDEX(L_Status,ROW()-4))))</f>
        <v/>
      </c>
      <c r="J1207">
        <f>IF(INDEX(L_ID,ROW()-4)="","",IF(SUMPRODUCT((P_ID=INDEX(L_ID,ROW()-4))*(P_StatusN="INACTIVE"))&gt;0,1,0))</f>
        <v/>
      </c>
    </row>
    <row r="1208">
      <c r="A1208">
        <f>IF(INDEX(L_ID,ROW()-4)="","",IF(COUNTIF(P_ID,INDEX(L_ID,ROW()-4))&gt;0,1,0))</f>
        <v/>
      </c>
      <c r="B1208">
        <f>IF(INDEX(P_Type,ROW()-4)="","",TRIM(UPPER(INDEX(P_Type,ROW()-4))))</f>
        <v/>
      </c>
      <c r="D1208">
        <f>IF(INDEX(L_Type,ROW()-4)="","",TRIM(UPPER(INDEX(L_Type,ROW()-4))))</f>
        <v/>
      </c>
      <c r="E1208">
        <f>IF(INDEX(P_Status,ROW()-4)="","",TRIM(UPPER(INDEX(P_Status,ROW()-4))))</f>
        <v/>
      </c>
      <c r="G1208">
        <f>IF(INDEX(L_Status,ROW()-4)="","",TRIM(UPPER(INDEX(L_Status,ROW()-4))))</f>
        <v/>
      </c>
      <c r="J1208">
        <f>IF(INDEX(L_ID,ROW()-4)="","",IF(SUMPRODUCT((P_ID=INDEX(L_ID,ROW()-4))*(P_StatusN="INACTIVE"))&gt;0,1,0))</f>
        <v/>
      </c>
    </row>
    <row r="1209">
      <c r="A1209">
        <f>IF(INDEX(L_ID,ROW()-4)="","",IF(COUNTIF(P_ID,INDEX(L_ID,ROW()-4))&gt;0,1,0))</f>
        <v/>
      </c>
      <c r="B1209">
        <f>IF(INDEX(P_Type,ROW()-4)="","",TRIM(UPPER(INDEX(P_Type,ROW()-4))))</f>
        <v/>
      </c>
      <c r="D1209">
        <f>IF(INDEX(L_Type,ROW()-4)="","",TRIM(UPPER(INDEX(L_Type,ROW()-4))))</f>
        <v/>
      </c>
      <c r="E1209">
        <f>IF(INDEX(P_Status,ROW()-4)="","",TRIM(UPPER(INDEX(P_Status,ROW()-4))))</f>
        <v/>
      </c>
      <c r="G1209">
        <f>IF(INDEX(L_Status,ROW()-4)="","",TRIM(UPPER(INDEX(L_Status,ROW()-4))))</f>
        <v/>
      </c>
      <c r="J1209">
        <f>IF(INDEX(L_ID,ROW()-4)="","",IF(SUMPRODUCT((P_ID=INDEX(L_ID,ROW()-4))*(P_StatusN="INACTIVE"))&gt;0,1,0))</f>
        <v/>
      </c>
    </row>
    <row r="1210">
      <c r="A1210">
        <f>IF(INDEX(L_ID,ROW()-4)="","",IF(COUNTIF(P_ID,INDEX(L_ID,ROW()-4))&gt;0,1,0))</f>
        <v/>
      </c>
      <c r="B1210">
        <f>IF(INDEX(P_Type,ROW()-4)="","",TRIM(UPPER(INDEX(P_Type,ROW()-4))))</f>
        <v/>
      </c>
      <c r="D1210">
        <f>IF(INDEX(L_Type,ROW()-4)="","",TRIM(UPPER(INDEX(L_Type,ROW()-4))))</f>
        <v/>
      </c>
      <c r="E1210">
        <f>IF(INDEX(P_Status,ROW()-4)="","",TRIM(UPPER(INDEX(P_Status,ROW()-4))))</f>
        <v/>
      </c>
      <c r="G1210">
        <f>IF(INDEX(L_Status,ROW()-4)="","",TRIM(UPPER(INDEX(L_Status,ROW()-4))))</f>
        <v/>
      </c>
      <c r="J1210">
        <f>IF(INDEX(L_ID,ROW()-4)="","",IF(SUMPRODUCT((P_ID=INDEX(L_ID,ROW()-4))*(P_StatusN="INACTIVE"))&gt;0,1,0))</f>
        <v/>
      </c>
    </row>
    <row r="1211">
      <c r="A1211">
        <f>IF(INDEX(L_ID,ROW()-4)="","",IF(COUNTIF(P_ID,INDEX(L_ID,ROW()-4))&gt;0,1,0))</f>
        <v/>
      </c>
      <c r="B1211">
        <f>IF(INDEX(P_Type,ROW()-4)="","",TRIM(UPPER(INDEX(P_Type,ROW()-4))))</f>
        <v/>
      </c>
      <c r="D1211">
        <f>IF(INDEX(L_Type,ROW()-4)="","",TRIM(UPPER(INDEX(L_Type,ROW()-4))))</f>
        <v/>
      </c>
      <c r="E1211">
        <f>IF(INDEX(P_Status,ROW()-4)="","",TRIM(UPPER(INDEX(P_Status,ROW()-4))))</f>
        <v/>
      </c>
      <c r="G1211">
        <f>IF(INDEX(L_Status,ROW()-4)="","",TRIM(UPPER(INDEX(L_Status,ROW()-4))))</f>
        <v/>
      </c>
      <c r="J1211">
        <f>IF(INDEX(L_ID,ROW()-4)="","",IF(SUMPRODUCT((P_ID=INDEX(L_ID,ROW()-4))*(P_StatusN="INACTIVE"))&gt;0,1,0))</f>
        <v/>
      </c>
    </row>
    <row r="1212">
      <c r="A1212">
        <f>IF(INDEX(L_ID,ROW()-4)="","",IF(COUNTIF(P_ID,INDEX(L_ID,ROW()-4))&gt;0,1,0))</f>
        <v/>
      </c>
      <c r="B1212">
        <f>IF(INDEX(P_Type,ROW()-4)="","",TRIM(UPPER(INDEX(P_Type,ROW()-4))))</f>
        <v/>
      </c>
      <c r="D1212">
        <f>IF(INDEX(L_Type,ROW()-4)="","",TRIM(UPPER(INDEX(L_Type,ROW()-4))))</f>
        <v/>
      </c>
      <c r="E1212">
        <f>IF(INDEX(P_Status,ROW()-4)="","",TRIM(UPPER(INDEX(P_Status,ROW()-4))))</f>
        <v/>
      </c>
      <c r="G1212">
        <f>IF(INDEX(L_Status,ROW()-4)="","",TRIM(UPPER(INDEX(L_Status,ROW()-4))))</f>
        <v/>
      </c>
      <c r="J1212">
        <f>IF(INDEX(L_ID,ROW()-4)="","",IF(SUMPRODUCT((P_ID=INDEX(L_ID,ROW()-4))*(P_StatusN="INACTIVE"))&gt;0,1,0))</f>
        <v/>
      </c>
    </row>
    <row r="1213">
      <c r="A1213">
        <f>IF(INDEX(L_ID,ROW()-4)="","",IF(COUNTIF(P_ID,INDEX(L_ID,ROW()-4))&gt;0,1,0))</f>
        <v/>
      </c>
      <c r="B1213">
        <f>IF(INDEX(P_Type,ROW()-4)="","",TRIM(UPPER(INDEX(P_Type,ROW()-4))))</f>
        <v/>
      </c>
      <c r="D1213">
        <f>IF(INDEX(L_Type,ROW()-4)="","",TRIM(UPPER(INDEX(L_Type,ROW()-4))))</f>
        <v/>
      </c>
      <c r="E1213">
        <f>IF(INDEX(P_Status,ROW()-4)="","",TRIM(UPPER(INDEX(P_Status,ROW()-4))))</f>
        <v/>
      </c>
      <c r="G1213">
        <f>IF(INDEX(L_Status,ROW()-4)="","",TRIM(UPPER(INDEX(L_Status,ROW()-4))))</f>
        <v/>
      </c>
      <c r="J1213">
        <f>IF(INDEX(L_ID,ROW()-4)="","",IF(SUMPRODUCT((P_ID=INDEX(L_ID,ROW()-4))*(P_StatusN="INACTIVE"))&gt;0,1,0))</f>
        <v/>
      </c>
    </row>
    <row r="1214">
      <c r="A1214">
        <f>IF(INDEX(L_ID,ROW()-4)="","",IF(COUNTIF(P_ID,INDEX(L_ID,ROW()-4))&gt;0,1,0))</f>
        <v/>
      </c>
      <c r="B1214">
        <f>IF(INDEX(P_Type,ROW()-4)="","",TRIM(UPPER(INDEX(P_Type,ROW()-4))))</f>
        <v/>
      </c>
      <c r="D1214">
        <f>IF(INDEX(L_Type,ROW()-4)="","",TRIM(UPPER(INDEX(L_Type,ROW()-4))))</f>
        <v/>
      </c>
      <c r="E1214">
        <f>IF(INDEX(P_Status,ROW()-4)="","",TRIM(UPPER(INDEX(P_Status,ROW()-4))))</f>
        <v/>
      </c>
      <c r="G1214">
        <f>IF(INDEX(L_Status,ROW()-4)="","",TRIM(UPPER(INDEX(L_Status,ROW()-4))))</f>
        <v/>
      </c>
      <c r="J1214">
        <f>IF(INDEX(L_ID,ROW()-4)="","",IF(SUMPRODUCT((P_ID=INDEX(L_ID,ROW()-4))*(P_StatusN="INACTIVE"))&gt;0,1,0))</f>
        <v/>
      </c>
    </row>
    <row r="1215">
      <c r="A1215">
        <f>IF(INDEX(L_ID,ROW()-4)="","",IF(COUNTIF(P_ID,INDEX(L_ID,ROW()-4))&gt;0,1,0))</f>
        <v/>
      </c>
      <c r="B1215">
        <f>IF(INDEX(P_Type,ROW()-4)="","",TRIM(UPPER(INDEX(P_Type,ROW()-4))))</f>
        <v/>
      </c>
      <c r="D1215">
        <f>IF(INDEX(L_Type,ROW()-4)="","",TRIM(UPPER(INDEX(L_Type,ROW()-4))))</f>
        <v/>
      </c>
      <c r="E1215">
        <f>IF(INDEX(P_Status,ROW()-4)="","",TRIM(UPPER(INDEX(P_Status,ROW()-4))))</f>
        <v/>
      </c>
      <c r="G1215">
        <f>IF(INDEX(L_Status,ROW()-4)="","",TRIM(UPPER(INDEX(L_Status,ROW()-4))))</f>
        <v/>
      </c>
      <c r="J1215">
        <f>IF(INDEX(L_ID,ROW()-4)="","",IF(SUMPRODUCT((P_ID=INDEX(L_ID,ROW()-4))*(P_StatusN="INACTIVE"))&gt;0,1,0))</f>
        <v/>
      </c>
    </row>
    <row r="1216">
      <c r="A1216">
        <f>IF(INDEX(L_ID,ROW()-4)="","",IF(COUNTIF(P_ID,INDEX(L_ID,ROW()-4))&gt;0,1,0))</f>
        <v/>
      </c>
      <c r="B1216">
        <f>IF(INDEX(P_Type,ROW()-4)="","",TRIM(UPPER(INDEX(P_Type,ROW()-4))))</f>
        <v/>
      </c>
      <c r="D1216">
        <f>IF(INDEX(L_Type,ROW()-4)="","",TRIM(UPPER(INDEX(L_Type,ROW()-4))))</f>
        <v/>
      </c>
      <c r="E1216">
        <f>IF(INDEX(P_Status,ROW()-4)="","",TRIM(UPPER(INDEX(P_Status,ROW()-4))))</f>
        <v/>
      </c>
      <c r="G1216">
        <f>IF(INDEX(L_Status,ROW()-4)="","",TRIM(UPPER(INDEX(L_Status,ROW()-4))))</f>
        <v/>
      </c>
      <c r="J1216">
        <f>IF(INDEX(L_ID,ROW()-4)="","",IF(SUMPRODUCT((P_ID=INDEX(L_ID,ROW()-4))*(P_StatusN="INACTIVE"))&gt;0,1,0))</f>
        <v/>
      </c>
    </row>
    <row r="1217">
      <c r="A1217">
        <f>IF(INDEX(L_ID,ROW()-4)="","",IF(COUNTIF(P_ID,INDEX(L_ID,ROW()-4))&gt;0,1,0))</f>
        <v/>
      </c>
      <c r="B1217">
        <f>IF(INDEX(P_Type,ROW()-4)="","",TRIM(UPPER(INDEX(P_Type,ROW()-4))))</f>
        <v/>
      </c>
      <c r="D1217">
        <f>IF(INDEX(L_Type,ROW()-4)="","",TRIM(UPPER(INDEX(L_Type,ROW()-4))))</f>
        <v/>
      </c>
      <c r="E1217">
        <f>IF(INDEX(P_Status,ROW()-4)="","",TRIM(UPPER(INDEX(P_Status,ROW()-4))))</f>
        <v/>
      </c>
      <c r="G1217">
        <f>IF(INDEX(L_Status,ROW()-4)="","",TRIM(UPPER(INDEX(L_Status,ROW()-4))))</f>
        <v/>
      </c>
      <c r="J1217">
        <f>IF(INDEX(L_ID,ROW()-4)="","",IF(SUMPRODUCT((P_ID=INDEX(L_ID,ROW()-4))*(P_StatusN="INACTIVE"))&gt;0,1,0))</f>
        <v/>
      </c>
    </row>
    <row r="1218">
      <c r="A1218">
        <f>IF(INDEX(L_ID,ROW()-4)="","",IF(COUNTIF(P_ID,INDEX(L_ID,ROW()-4))&gt;0,1,0))</f>
        <v/>
      </c>
      <c r="B1218">
        <f>IF(INDEX(P_Type,ROW()-4)="","",TRIM(UPPER(INDEX(P_Type,ROW()-4))))</f>
        <v/>
      </c>
      <c r="D1218">
        <f>IF(INDEX(L_Type,ROW()-4)="","",TRIM(UPPER(INDEX(L_Type,ROW()-4))))</f>
        <v/>
      </c>
      <c r="E1218">
        <f>IF(INDEX(P_Status,ROW()-4)="","",TRIM(UPPER(INDEX(P_Status,ROW()-4))))</f>
        <v/>
      </c>
      <c r="G1218">
        <f>IF(INDEX(L_Status,ROW()-4)="","",TRIM(UPPER(INDEX(L_Status,ROW()-4))))</f>
        <v/>
      </c>
      <c r="J1218">
        <f>IF(INDEX(L_ID,ROW()-4)="","",IF(SUMPRODUCT((P_ID=INDEX(L_ID,ROW()-4))*(P_StatusN="INACTIVE"))&gt;0,1,0))</f>
        <v/>
      </c>
    </row>
    <row r="1219">
      <c r="A1219">
        <f>IF(INDEX(L_ID,ROW()-4)="","",IF(COUNTIF(P_ID,INDEX(L_ID,ROW()-4))&gt;0,1,0))</f>
        <v/>
      </c>
      <c r="B1219">
        <f>IF(INDEX(P_Type,ROW()-4)="","",TRIM(UPPER(INDEX(P_Type,ROW()-4))))</f>
        <v/>
      </c>
      <c r="D1219">
        <f>IF(INDEX(L_Type,ROW()-4)="","",TRIM(UPPER(INDEX(L_Type,ROW()-4))))</f>
        <v/>
      </c>
      <c r="E1219">
        <f>IF(INDEX(P_Status,ROW()-4)="","",TRIM(UPPER(INDEX(P_Status,ROW()-4))))</f>
        <v/>
      </c>
      <c r="G1219">
        <f>IF(INDEX(L_Status,ROW()-4)="","",TRIM(UPPER(INDEX(L_Status,ROW()-4))))</f>
        <v/>
      </c>
      <c r="J1219">
        <f>IF(INDEX(L_ID,ROW()-4)="","",IF(SUMPRODUCT((P_ID=INDEX(L_ID,ROW()-4))*(P_StatusN="INACTIVE"))&gt;0,1,0))</f>
        <v/>
      </c>
    </row>
    <row r="1220">
      <c r="A1220">
        <f>IF(INDEX(L_ID,ROW()-4)="","",IF(COUNTIF(P_ID,INDEX(L_ID,ROW()-4))&gt;0,1,0))</f>
        <v/>
      </c>
      <c r="B1220">
        <f>IF(INDEX(P_Type,ROW()-4)="","",TRIM(UPPER(INDEX(P_Type,ROW()-4))))</f>
        <v/>
      </c>
      <c r="D1220">
        <f>IF(INDEX(L_Type,ROW()-4)="","",TRIM(UPPER(INDEX(L_Type,ROW()-4))))</f>
        <v/>
      </c>
      <c r="E1220">
        <f>IF(INDEX(P_Status,ROW()-4)="","",TRIM(UPPER(INDEX(P_Status,ROW()-4))))</f>
        <v/>
      </c>
      <c r="G1220">
        <f>IF(INDEX(L_Status,ROW()-4)="","",TRIM(UPPER(INDEX(L_Status,ROW()-4))))</f>
        <v/>
      </c>
      <c r="J1220">
        <f>IF(INDEX(L_ID,ROW()-4)="","",IF(SUMPRODUCT((P_ID=INDEX(L_ID,ROW()-4))*(P_StatusN="INACTIVE"))&gt;0,1,0))</f>
        <v/>
      </c>
    </row>
    <row r="1221">
      <c r="A1221">
        <f>IF(INDEX(L_ID,ROW()-4)="","",IF(COUNTIF(P_ID,INDEX(L_ID,ROW()-4))&gt;0,1,0))</f>
        <v/>
      </c>
      <c r="B1221">
        <f>IF(INDEX(P_Type,ROW()-4)="","",TRIM(UPPER(INDEX(P_Type,ROW()-4))))</f>
        <v/>
      </c>
      <c r="D1221">
        <f>IF(INDEX(L_Type,ROW()-4)="","",TRIM(UPPER(INDEX(L_Type,ROW()-4))))</f>
        <v/>
      </c>
      <c r="E1221">
        <f>IF(INDEX(P_Status,ROW()-4)="","",TRIM(UPPER(INDEX(P_Status,ROW()-4))))</f>
        <v/>
      </c>
      <c r="G1221">
        <f>IF(INDEX(L_Status,ROW()-4)="","",TRIM(UPPER(INDEX(L_Status,ROW()-4))))</f>
        <v/>
      </c>
      <c r="J1221">
        <f>IF(INDEX(L_ID,ROW()-4)="","",IF(SUMPRODUCT((P_ID=INDEX(L_ID,ROW()-4))*(P_StatusN="INACTIVE"))&gt;0,1,0))</f>
        <v/>
      </c>
    </row>
    <row r="1222">
      <c r="A1222">
        <f>IF(INDEX(L_ID,ROW()-4)="","",IF(COUNTIF(P_ID,INDEX(L_ID,ROW()-4))&gt;0,1,0))</f>
        <v/>
      </c>
      <c r="B1222">
        <f>IF(INDEX(P_Type,ROW()-4)="","",TRIM(UPPER(INDEX(P_Type,ROW()-4))))</f>
        <v/>
      </c>
      <c r="D1222">
        <f>IF(INDEX(L_Type,ROW()-4)="","",TRIM(UPPER(INDEX(L_Type,ROW()-4))))</f>
        <v/>
      </c>
      <c r="E1222">
        <f>IF(INDEX(P_Status,ROW()-4)="","",TRIM(UPPER(INDEX(P_Status,ROW()-4))))</f>
        <v/>
      </c>
      <c r="G1222">
        <f>IF(INDEX(L_Status,ROW()-4)="","",TRIM(UPPER(INDEX(L_Status,ROW()-4))))</f>
        <v/>
      </c>
      <c r="J1222">
        <f>IF(INDEX(L_ID,ROW()-4)="","",IF(SUMPRODUCT((P_ID=INDEX(L_ID,ROW()-4))*(P_StatusN="INACTIVE"))&gt;0,1,0))</f>
        <v/>
      </c>
    </row>
    <row r="1223">
      <c r="A1223">
        <f>IF(INDEX(L_ID,ROW()-4)="","",IF(COUNTIF(P_ID,INDEX(L_ID,ROW()-4))&gt;0,1,0))</f>
        <v/>
      </c>
      <c r="B1223">
        <f>IF(INDEX(P_Type,ROW()-4)="","",TRIM(UPPER(INDEX(P_Type,ROW()-4))))</f>
        <v/>
      </c>
      <c r="D1223">
        <f>IF(INDEX(L_Type,ROW()-4)="","",TRIM(UPPER(INDEX(L_Type,ROW()-4))))</f>
        <v/>
      </c>
      <c r="E1223">
        <f>IF(INDEX(P_Status,ROW()-4)="","",TRIM(UPPER(INDEX(P_Status,ROW()-4))))</f>
        <v/>
      </c>
      <c r="G1223">
        <f>IF(INDEX(L_Status,ROW()-4)="","",TRIM(UPPER(INDEX(L_Status,ROW()-4))))</f>
        <v/>
      </c>
      <c r="J1223">
        <f>IF(INDEX(L_ID,ROW()-4)="","",IF(SUMPRODUCT((P_ID=INDEX(L_ID,ROW()-4))*(P_StatusN="INACTIVE"))&gt;0,1,0))</f>
        <v/>
      </c>
    </row>
    <row r="1224">
      <c r="A1224">
        <f>IF(INDEX(L_ID,ROW()-4)="","",IF(COUNTIF(P_ID,INDEX(L_ID,ROW()-4))&gt;0,1,0))</f>
        <v/>
      </c>
      <c r="B1224">
        <f>IF(INDEX(P_Type,ROW()-4)="","",TRIM(UPPER(INDEX(P_Type,ROW()-4))))</f>
        <v/>
      </c>
      <c r="D1224">
        <f>IF(INDEX(L_Type,ROW()-4)="","",TRIM(UPPER(INDEX(L_Type,ROW()-4))))</f>
        <v/>
      </c>
      <c r="E1224">
        <f>IF(INDEX(P_Status,ROW()-4)="","",TRIM(UPPER(INDEX(P_Status,ROW()-4))))</f>
        <v/>
      </c>
      <c r="G1224">
        <f>IF(INDEX(L_Status,ROW()-4)="","",TRIM(UPPER(INDEX(L_Status,ROW()-4))))</f>
        <v/>
      </c>
      <c r="J1224">
        <f>IF(INDEX(L_ID,ROW()-4)="","",IF(SUMPRODUCT((P_ID=INDEX(L_ID,ROW()-4))*(P_StatusN="INACTIVE"))&gt;0,1,0))</f>
        <v/>
      </c>
    </row>
    <row r="1225">
      <c r="A1225">
        <f>IF(INDEX(L_ID,ROW()-4)="","",IF(COUNTIF(P_ID,INDEX(L_ID,ROW()-4))&gt;0,1,0))</f>
        <v/>
      </c>
      <c r="B1225">
        <f>IF(INDEX(P_Type,ROW()-4)="","",TRIM(UPPER(INDEX(P_Type,ROW()-4))))</f>
        <v/>
      </c>
      <c r="D1225">
        <f>IF(INDEX(L_Type,ROW()-4)="","",TRIM(UPPER(INDEX(L_Type,ROW()-4))))</f>
        <v/>
      </c>
      <c r="E1225">
        <f>IF(INDEX(P_Status,ROW()-4)="","",TRIM(UPPER(INDEX(P_Status,ROW()-4))))</f>
        <v/>
      </c>
      <c r="G1225">
        <f>IF(INDEX(L_Status,ROW()-4)="","",TRIM(UPPER(INDEX(L_Status,ROW()-4))))</f>
        <v/>
      </c>
      <c r="J1225">
        <f>IF(INDEX(L_ID,ROW()-4)="","",IF(SUMPRODUCT((P_ID=INDEX(L_ID,ROW()-4))*(P_StatusN="INACTIVE"))&gt;0,1,0))</f>
        <v/>
      </c>
    </row>
    <row r="1226">
      <c r="A1226">
        <f>IF(INDEX(L_ID,ROW()-4)="","",IF(COUNTIF(P_ID,INDEX(L_ID,ROW()-4))&gt;0,1,0))</f>
        <v/>
      </c>
      <c r="B1226">
        <f>IF(INDEX(P_Type,ROW()-4)="","",TRIM(UPPER(INDEX(P_Type,ROW()-4))))</f>
        <v/>
      </c>
      <c r="D1226">
        <f>IF(INDEX(L_Type,ROW()-4)="","",TRIM(UPPER(INDEX(L_Type,ROW()-4))))</f>
        <v/>
      </c>
      <c r="E1226">
        <f>IF(INDEX(P_Status,ROW()-4)="","",TRIM(UPPER(INDEX(P_Status,ROW()-4))))</f>
        <v/>
      </c>
      <c r="G1226">
        <f>IF(INDEX(L_Status,ROW()-4)="","",TRIM(UPPER(INDEX(L_Status,ROW()-4))))</f>
        <v/>
      </c>
      <c r="J1226">
        <f>IF(INDEX(L_ID,ROW()-4)="","",IF(SUMPRODUCT((P_ID=INDEX(L_ID,ROW()-4))*(P_StatusN="INACTIVE"))&gt;0,1,0))</f>
        <v/>
      </c>
    </row>
    <row r="1227">
      <c r="A1227">
        <f>IF(INDEX(L_ID,ROW()-4)="","",IF(COUNTIF(P_ID,INDEX(L_ID,ROW()-4))&gt;0,1,0))</f>
        <v/>
      </c>
      <c r="B1227">
        <f>IF(INDEX(P_Type,ROW()-4)="","",TRIM(UPPER(INDEX(P_Type,ROW()-4))))</f>
        <v/>
      </c>
      <c r="D1227">
        <f>IF(INDEX(L_Type,ROW()-4)="","",TRIM(UPPER(INDEX(L_Type,ROW()-4))))</f>
        <v/>
      </c>
      <c r="E1227">
        <f>IF(INDEX(P_Status,ROW()-4)="","",TRIM(UPPER(INDEX(P_Status,ROW()-4))))</f>
        <v/>
      </c>
      <c r="G1227">
        <f>IF(INDEX(L_Status,ROW()-4)="","",TRIM(UPPER(INDEX(L_Status,ROW()-4))))</f>
        <v/>
      </c>
      <c r="J1227">
        <f>IF(INDEX(L_ID,ROW()-4)="","",IF(SUMPRODUCT((P_ID=INDEX(L_ID,ROW()-4))*(P_StatusN="INACTIVE"))&gt;0,1,0))</f>
        <v/>
      </c>
    </row>
    <row r="1228">
      <c r="A1228">
        <f>IF(INDEX(L_ID,ROW()-4)="","",IF(COUNTIF(P_ID,INDEX(L_ID,ROW()-4))&gt;0,1,0))</f>
        <v/>
      </c>
      <c r="B1228">
        <f>IF(INDEX(P_Type,ROW()-4)="","",TRIM(UPPER(INDEX(P_Type,ROW()-4))))</f>
        <v/>
      </c>
      <c r="D1228">
        <f>IF(INDEX(L_Type,ROW()-4)="","",TRIM(UPPER(INDEX(L_Type,ROW()-4))))</f>
        <v/>
      </c>
      <c r="E1228">
        <f>IF(INDEX(P_Status,ROW()-4)="","",TRIM(UPPER(INDEX(P_Status,ROW()-4))))</f>
        <v/>
      </c>
      <c r="G1228">
        <f>IF(INDEX(L_Status,ROW()-4)="","",TRIM(UPPER(INDEX(L_Status,ROW()-4))))</f>
        <v/>
      </c>
      <c r="J1228">
        <f>IF(INDEX(L_ID,ROW()-4)="","",IF(SUMPRODUCT((P_ID=INDEX(L_ID,ROW()-4))*(P_StatusN="INACTIVE"))&gt;0,1,0))</f>
        <v/>
      </c>
    </row>
    <row r="1229">
      <c r="A1229">
        <f>IF(INDEX(L_ID,ROW()-4)="","",IF(COUNTIF(P_ID,INDEX(L_ID,ROW()-4))&gt;0,1,0))</f>
        <v/>
      </c>
      <c r="B1229">
        <f>IF(INDEX(P_Type,ROW()-4)="","",TRIM(UPPER(INDEX(P_Type,ROW()-4))))</f>
        <v/>
      </c>
      <c r="D1229">
        <f>IF(INDEX(L_Type,ROW()-4)="","",TRIM(UPPER(INDEX(L_Type,ROW()-4))))</f>
        <v/>
      </c>
      <c r="E1229">
        <f>IF(INDEX(P_Status,ROW()-4)="","",TRIM(UPPER(INDEX(P_Status,ROW()-4))))</f>
        <v/>
      </c>
      <c r="G1229">
        <f>IF(INDEX(L_Status,ROW()-4)="","",TRIM(UPPER(INDEX(L_Status,ROW()-4))))</f>
        <v/>
      </c>
      <c r="J1229">
        <f>IF(INDEX(L_ID,ROW()-4)="","",IF(SUMPRODUCT((P_ID=INDEX(L_ID,ROW()-4))*(P_StatusN="INACTIVE"))&gt;0,1,0))</f>
        <v/>
      </c>
    </row>
    <row r="1230">
      <c r="A1230">
        <f>IF(INDEX(L_ID,ROW()-4)="","",IF(COUNTIF(P_ID,INDEX(L_ID,ROW()-4))&gt;0,1,0))</f>
        <v/>
      </c>
      <c r="B1230">
        <f>IF(INDEX(P_Type,ROW()-4)="","",TRIM(UPPER(INDEX(P_Type,ROW()-4))))</f>
        <v/>
      </c>
      <c r="D1230">
        <f>IF(INDEX(L_Type,ROW()-4)="","",TRIM(UPPER(INDEX(L_Type,ROW()-4))))</f>
        <v/>
      </c>
      <c r="E1230">
        <f>IF(INDEX(P_Status,ROW()-4)="","",TRIM(UPPER(INDEX(P_Status,ROW()-4))))</f>
        <v/>
      </c>
      <c r="G1230">
        <f>IF(INDEX(L_Status,ROW()-4)="","",TRIM(UPPER(INDEX(L_Status,ROW()-4))))</f>
        <v/>
      </c>
      <c r="J1230">
        <f>IF(INDEX(L_ID,ROW()-4)="","",IF(SUMPRODUCT((P_ID=INDEX(L_ID,ROW()-4))*(P_StatusN="INACTIVE"))&gt;0,1,0))</f>
        <v/>
      </c>
    </row>
    <row r="1231">
      <c r="A1231">
        <f>IF(INDEX(L_ID,ROW()-4)="","",IF(COUNTIF(P_ID,INDEX(L_ID,ROW()-4))&gt;0,1,0))</f>
        <v/>
      </c>
      <c r="B1231">
        <f>IF(INDEX(P_Type,ROW()-4)="","",TRIM(UPPER(INDEX(P_Type,ROW()-4))))</f>
        <v/>
      </c>
      <c r="D1231">
        <f>IF(INDEX(L_Type,ROW()-4)="","",TRIM(UPPER(INDEX(L_Type,ROW()-4))))</f>
        <v/>
      </c>
      <c r="E1231">
        <f>IF(INDEX(P_Status,ROW()-4)="","",TRIM(UPPER(INDEX(P_Status,ROW()-4))))</f>
        <v/>
      </c>
      <c r="G1231">
        <f>IF(INDEX(L_Status,ROW()-4)="","",TRIM(UPPER(INDEX(L_Status,ROW()-4))))</f>
        <v/>
      </c>
      <c r="J1231">
        <f>IF(INDEX(L_ID,ROW()-4)="","",IF(SUMPRODUCT((P_ID=INDEX(L_ID,ROW()-4))*(P_StatusN="INACTIVE"))&gt;0,1,0))</f>
        <v/>
      </c>
    </row>
    <row r="1232">
      <c r="A1232">
        <f>IF(INDEX(L_ID,ROW()-4)="","",IF(COUNTIF(P_ID,INDEX(L_ID,ROW()-4))&gt;0,1,0))</f>
        <v/>
      </c>
      <c r="B1232">
        <f>IF(INDEX(P_Type,ROW()-4)="","",TRIM(UPPER(INDEX(P_Type,ROW()-4))))</f>
        <v/>
      </c>
      <c r="D1232">
        <f>IF(INDEX(L_Type,ROW()-4)="","",TRIM(UPPER(INDEX(L_Type,ROW()-4))))</f>
        <v/>
      </c>
      <c r="E1232">
        <f>IF(INDEX(P_Status,ROW()-4)="","",TRIM(UPPER(INDEX(P_Status,ROW()-4))))</f>
        <v/>
      </c>
      <c r="G1232">
        <f>IF(INDEX(L_Status,ROW()-4)="","",TRIM(UPPER(INDEX(L_Status,ROW()-4))))</f>
        <v/>
      </c>
      <c r="J1232">
        <f>IF(INDEX(L_ID,ROW()-4)="","",IF(SUMPRODUCT((P_ID=INDEX(L_ID,ROW()-4))*(P_StatusN="INACTIVE"))&gt;0,1,0))</f>
        <v/>
      </c>
    </row>
    <row r="1233">
      <c r="A1233">
        <f>IF(INDEX(L_ID,ROW()-4)="","",IF(COUNTIF(P_ID,INDEX(L_ID,ROW()-4))&gt;0,1,0))</f>
        <v/>
      </c>
      <c r="B1233">
        <f>IF(INDEX(P_Type,ROW()-4)="","",TRIM(UPPER(INDEX(P_Type,ROW()-4))))</f>
        <v/>
      </c>
      <c r="D1233">
        <f>IF(INDEX(L_Type,ROW()-4)="","",TRIM(UPPER(INDEX(L_Type,ROW()-4))))</f>
        <v/>
      </c>
      <c r="E1233">
        <f>IF(INDEX(P_Status,ROW()-4)="","",TRIM(UPPER(INDEX(P_Status,ROW()-4))))</f>
        <v/>
      </c>
      <c r="G1233">
        <f>IF(INDEX(L_Status,ROW()-4)="","",TRIM(UPPER(INDEX(L_Status,ROW()-4))))</f>
        <v/>
      </c>
      <c r="J1233">
        <f>IF(INDEX(L_ID,ROW()-4)="","",IF(SUMPRODUCT((P_ID=INDEX(L_ID,ROW()-4))*(P_StatusN="INACTIVE"))&gt;0,1,0))</f>
        <v/>
      </c>
    </row>
    <row r="1234">
      <c r="A1234">
        <f>IF(INDEX(L_ID,ROW()-4)="","",IF(COUNTIF(P_ID,INDEX(L_ID,ROW()-4))&gt;0,1,0))</f>
        <v/>
      </c>
      <c r="B1234">
        <f>IF(INDEX(P_Type,ROW()-4)="","",TRIM(UPPER(INDEX(P_Type,ROW()-4))))</f>
        <v/>
      </c>
      <c r="D1234">
        <f>IF(INDEX(L_Type,ROW()-4)="","",TRIM(UPPER(INDEX(L_Type,ROW()-4))))</f>
        <v/>
      </c>
      <c r="E1234">
        <f>IF(INDEX(P_Status,ROW()-4)="","",TRIM(UPPER(INDEX(P_Status,ROW()-4))))</f>
        <v/>
      </c>
      <c r="G1234">
        <f>IF(INDEX(L_Status,ROW()-4)="","",TRIM(UPPER(INDEX(L_Status,ROW()-4))))</f>
        <v/>
      </c>
      <c r="J1234">
        <f>IF(INDEX(L_ID,ROW()-4)="","",IF(SUMPRODUCT((P_ID=INDEX(L_ID,ROW()-4))*(P_StatusN="INACTIVE"))&gt;0,1,0))</f>
        <v/>
      </c>
    </row>
    <row r="1235">
      <c r="A1235">
        <f>IF(INDEX(L_ID,ROW()-4)="","",IF(COUNTIF(P_ID,INDEX(L_ID,ROW()-4))&gt;0,1,0))</f>
        <v/>
      </c>
      <c r="B1235">
        <f>IF(INDEX(P_Type,ROW()-4)="","",TRIM(UPPER(INDEX(P_Type,ROW()-4))))</f>
        <v/>
      </c>
      <c r="D1235">
        <f>IF(INDEX(L_Type,ROW()-4)="","",TRIM(UPPER(INDEX(L_Type,ROW()-4))))</f>
        <v/>
      </c>
      <c r="E1235">
        <f>IF(INDEX(P_Status,ROW()-4)="","",TRIM(UPPER(INDEX(P_Status,ROW()-4))))</f>
        <v/>
      </c>
      <c r="G1235">
        <f>IF(INDEX(L_Status,ROW()-4)="","",TRIM(UPPER(INDEX(L_Status,ROW()-4))))</f>
        <v/>
      </c>
      <c r="J1235">
        <f>IF(INDEX(L_ID,ROW()-4)="","",IF(SUMPRODUCT((P_ID=INDEX(L_ID,ROW()-4))*(P_StatusN="INACTIVE"))&gt;0,1,0))</f>
        <v/>
      </c>
    </row>
    <row r="1236">
      <c r="A1236">
        <f>IF(INDEX(L_ID,ROW()-4)="","",IF(COUNTIF(P_ID,INDEX(L_ID,ROW()-4))&gt;0,1,0))</f>
        <v/>
      </c>
      <c r="B1236">
        <f>IF(INDEX(P_Type,ROW()-4)="","",TRIM(UPPER(INDEX(P_Type,ROW()-4))))</f>
        <v/>
      </c>
      <c r="D1236">
        <f>IF(INDEX(L_Type,ROW()-4)="","",TRIM(UPPER(INDEX(L_Type,ROW()-4))))</f>
        <v/>
      </c>
      <c r="E1236">
        <f>IF(INDEX(P_Status,ROW()-4)="","",TRIM(UPPER(INDEX(P_Status,ROW()-4))))</f>
        <v/>
      </c>
      <c r="G1236">
        <f>IF(INDEX(L_Status,ROW()-4)="","",TRIM(UPPER(INDEX(L_Status,ROW()-4))))</f>
        <v/>
      </c>
      <c r="J1236">
        <f>IF(INDEX(L_ID,ROW()-4)="","",IF(SUMPRODUCT((P_ID=INDEX(L_ID,ROW()-4))*(P_StatusN="INACTIVE"))&gt;0,1,0))</f>
        <v/>
      </c>
    </row>
    <row r="1237">
      <c r="A1237">
        <f>IF(INDEX(L_ID,ROW()-4)="","",IF(COUNTIF(P_ID,INDEX(L_ID,ROW()-4))&gt;0,1,0))</f>
        <v/>
      </c>
      <c r="B1237">
        <f>IF(INDEX(P_Type,ROW()-4)="","",TRIM(UPPER(INDEX(P_Type,ROW()-4))))</f>
        <v/>
      </c>
      <c r="D1237">
        <f>IF(INDEX(L_Type,ROW()-4)="","",TRIM(UPPER(INDEX(L_Type,ROW()-4))))</f>
        <v/>
      </c>
      <c r="E1237">
        <f>IF(INDEX(P_Status,ROW()-4)="","",TRIM(UPPER(INDEX(P_Status,ROW()-4))))</f>
        <v/>
      </c>
      <c r="G1237">
        <f>IF(INDEX(L_Status,ROW()-4)="","",TRIM(UPPER(INDEX(L_Status,ROW()-4))))</f>
        <v/>
      </c>
      <c r="J1237">
        <f>IF(INDEX(L_ID,ROW()-4)="","",IF(SUMPRODUCT((P_ID=INDEX(L_ID,ROW()-4))*(P_StatusN="INACTIVE"))&gt;0,1,0))</f>
        <v/>
      </c>
    </row>
    <row r="1238">
      <c r="A1238">
        <f>IF(INDEX(L_ID,ROW()-4)="","",IF(COUNTIF(P_ID,INDEX(L_ID,ROW()-4))&gt;0,1,0))</f>
        <v/>
      </c>
      <c r="B1238">
        <f>IF(INDEX(P_Type,ROW()-4)="","",TRIM(UPPER(INDEX(P_Type,ROW()-4))))</f>
        <v/>
      </c>
      <c r="D1238">
        <f>IF(INDEX(L_Type,ROW()-4)="","",TRIM(UPPER(INDEX(L_Type,ROW()-4))))</f>
        <v/>
      </c>
      <c r="E1238">
        <f>IF(INDEX(P_Status,ROW()-4)="","",TRIM(UPPER(INDEX(P_Status,ROW()-4))))</f>
        <v/>
      </c>
      <c r="G1238">
        <f>IF(INDEX(L_Status,ROW()-4)="","",TRIM(UPPER(INDEX(L_Status,ROW()-4))))</f>
        <v/>
      </c>
      <c r="J1238">
        <f>IF(INDEX(L_ID,ROW()-4)="","",IF(SUMPRODUCT((P_ID=INDEX(L_ID,ROW()-4))*(P_StatusN="INACTIVE"))&gt;0,1,0))</f>
        <v/>
      </c>
    </row>
    <row r="1239">
      <c r="A1239">
        <f>IF(INDEX(L_ID,ROW()-4)="","",IF(COUNTIF(P_ID,INDEX(L_ID,ROW()-4))&gt;0,1,0))</f>
        <v/>
      </c>
      <c r="B1239">
        <f>IF(INDEX(P_Type,ROW()-4)="","",TRIM(UPPER(INDEX(P_Type,ROW()-4))))</f>
        <v/>
      </c>
      <c r="D1239">
        <f>IF(INDEX(L_Type,ROW()-4)="","",TRIM(UPPER(INDEX(L_Type,ROW()-4))))</f>
        <v/>
      </c>
      <c r="E1239">
        <f>IF(INDEX(P_Status,ROW()-4)="","",TRIM(UPPER(INDEX(P_Status,ROW()-4))))</f>
        <v/>
      </c>
      <c r="G1239">
        <f>IF(INDEX(L_Status,ROW()-4)="","",TRIM(UPPER(INDEX(L_Status,ROW()-4))))</f>
        <v/>
      </c>
      <c r="J1239">
        <f>IF(INDEX(L_ID,ROW()-4)="","",IF(SUMPRODUCT((P_ID=INDEX(L_ID,ROW()-4))*(P_StatusN="INACTIVE"))&gt;0,1,0))</f>
        <v/>
      </c>
    </row>
    <row r="1240">
      <c r="A1240">
        <f>IF(INDEX(L_ID,ROW()-4)="","",IF(COUNTIF(P_ID,INDEX(L_ID,ROW()-4))&gt;0,1,0))</f>
        <v/>
      </c>
      <c r="B1240">
        <f>IF(INDEX(P_Type,ROW()-4)="","",TRIM(UPPER(INDEX(P_Type,ROW()-4))))</f>
        <v/>
      </c>
      <c r="D1240">
        <f>IF(INDEX(L_Type,ROW()-4)="","",TRIM(UPPER(INDEX(L_Type,ROW()-4))))</f>
        <v/>
      </c>
      <c r="E1240">
        <f>IF(INDEX(P_Status,ROW()-4)="","",TRIM(UPPER(INDEX(P_Status,ROW()-4))))</f>
        <v/>
      </c>
      <c r="G1240">
        <f>IF(INDEX(L_Status,ROW()-4)="","",TRIM(UPPER(INDEX(L_Status,ROW()-4))))</f>
        <v/>
      </c>
      <c r="J1240">
        <f>IF(INDEX(L_ID,ROW()-4)="","",IF(SUMPRODUCT((P_ID=INDEX(L_ID,ROW()-4))*(P_StatusN="INACTIVE"))&gt;0,1,0))</f>
        <v/>
      </c>
    </row>
    <row r="1241">
      <c r="A1241">
        <f>IF(INDEX(L_ID,ROW()-4)="","",IF(COUNTIF(P_ID,INDEX(L_ID,ROW()-4))&gt;0,1,0))</f>
        <v/>
      </c>
      <c r="B1241">
        <f>IF(INDEX(P_Type,ROW()-4)="","",TRIM(UPPER(INDEX(P_Type,ROW()-4))))</f>
        <v/>
      </c>
      <c r="D1241">
        <f>IF(INDEX(L_Type,ROW()-4)="","",TRIM(UPPER(INDEX(L_Type,ROW()-4))))</f>
        <v/>
      </c>
      <c r="E1241">
        <f>IF(INDEX(P_Status,ROW()-4)="","",TRIM(UPPER(INDEX(P_Status,ROW()-4))))</f>
        <v/>
      </c>
      <c r="G1241">
        <f>IF(INDEX(L_Status,ROW()-4)="","",TRIM(UPPER(INDEX(L_Status,ROW()-4))))</f>
        <v/>
      </c>
      <c r="J1241">
        <f>IF(INDEX(L_ID,ROW()-4)="","",IF(SUMPRODUCT((P_ID=INDEX(L_ID,ROW()-4))*(P_StatusN="INACTIVE"))&gt;0,1,0))</f>
        <v/>
      </c>
    </row>
    <row r="1242">
      <c r="A1242">
        <f>IF(INDEX(L_ID,ROW()-4)="","",IF(COUNTIF(P_ID,INDEX(L_ID,ROW()-4))&gt;0,1,0))</f>
        <v/>
      </c>
      <c r="B1242">
        <f>IF(INDEX(P_Type,ROW()-4)="","",TRIM(UPPER(INDEX(P_Type,ROW()-4))))</f>
        <v/>
      </c>
      <c r="D1242">
        <f>IF(INDEX(L_Type,ROW()-4)="","",TRIM(UPPER(INDEX(L_Type,ROW()-4))))</f>
        <v/>
      </c>
      <c r="E1242">
        <f>IF(INDEX(P_Status,ROW()-4)="","",TRIM(UPPER(INDEX(P_Status,ROW()-4))))</f>
        <v/>
      </c>
      <c r="G1242">
        <f>IF(INDEX(L_Status,ROW()-4)="","",TRIM(UPPER(INDEX(L_Status,ROW()-4))))</f>
        <v/>
      </c>
      <c r="J1242">
        <f>IF(INDEX(L_ID,ROW()-4)="","",IF(SUMPRODUCT((P_ID=INDEX(L_ID,ROW()-4))*(P_StatusN="INACTIVE"))&gt;0,1,0))</f>
        <v/>
      </c>
    </row>
    <row r="1243">
      <c r="A1243">
        <f>IF(INDEX(L_ID,ROW()-4)="","",IF(COUNTIF(P_ID,INDEX(L_ID,ROW()-4))&gt;0,1,0))</f>
        <v/>
      </c>
      <c r="B1243">
        <f>IF(INDEX(P_Type,ROW()-4)="","",TRIM(UPPER(INDEX(P_Type,ROW()-4))))</f>
        <v/>
      </c>
      <c r="D1243">
        <f>IF(INDEX(L_Type,ROW()-4)="","",TRIM(UPPER(INDEX(L_Type,ROW()-4))))</f>
        <v/>
      </c>
      <c r="E1243">
        <f>IF(INDEX(P_Status,ROW()-4)="","",TRIM(UPPER(INDEX(P_Status,ROW()-4))))</f>
        <v/>
      </c>
      <c r="G1243">
        <f>IF(INDEX(L_Status,ROW()-4)="","",TRIM(UPPER(INDEX(L_Status,ROW()-4))))</f>
        <v/>
      </c>
      <c r="J1243">
        <f>IF(INDEX(L_ID,ROW()-4)="","",IF(SUMPRODUCT((P_ID=INDEX(L_ID,ROW()-4))*(P_StatusN="INACTIVE"))&gt;0,1,0))</f>
        <v/>
      </c>
    </row>
    <row r="1244">
      <c r="A1244">
        <f>IF(INDEX(L_ID,ROW()-4)="","",IF(COUNTIF(P_ID,INDEX(L_ID,ROW()-4))&gt;0,1,0))</f>
        <v/>
      </c>
      <c r="B1244">
        <f>IF(INDEX(P_Type,ROW()-4)="","",TRIM(UPPER(INDEX(P_Type,ROW()-4))))</f>
        <v/>
      </c>
      <c r="D1244">
        <f>IF(INDEX(L_Type,ROW()-4)="","",TRIM(UPPER(INDEX(L_Type,ROW()-4))))</f>
        <v/>
      </c>
      <c r="E1244">
        <f>IF(INDEX(P_Status,ROW()-4)="","",TRIM(UPPER(INDEX(P_Status,ROW()-4))))</f>
        <v/>
      </c>
      <c r="G1244">
        <f>IF(INDEX(L_Status,ROW()-4)="","",TRIM(UPPER(INDEX(L_Status,ROW()-4))))</f>
        <v/>
      </c>
      <c r="J1244">
        <f>IF(INDEX(L_ID,ROW()-4)="","",IF(SUMPRODUCT((P_ID=INDEX(L_ID,ROW()-4))*(P_StatusN="INACTIVE"))&gt;0,1,0))</f>
        <v/>
      </c>
    </row>
    <row r="1245">
      <c r="A1245">
        <f>IF(INDEX(L_ID,ROW()-4)="","",IF(COUNTIF(P_ID,INDEX(L_ID,ROW()-4))&gt;0,1,0))</f>
        <v/>
      </c>
      <c r="B1245">
        <f>IF(INDEX(P_Type,ROW()-4)="","",TRIM(UPPER(INDEX(P_Type,ROW()-4))))</f>
        <v/>
      </c>
      <c r="D1245">
        <f>IF(INDEX(L_Type,ROW()-4)="","",TRIM(UPPER(INDEX(L_Type,ROW()-4))))</f>
        <v/>
      </c>
      <c r="E1245">
        <f>IF(INDEX(P_Status,ROW()-4)="","",TRIM(UPPER(INDEX(P_Status,ROW()-4))))</f>
        <v/>
      </c>
      <c r="G1245">
        <f>IF(INDEX(L_Status,ROW()-4)="","",TRIM(UPPER(INDEX(L_Status,ROW()-4))))</f>
        <v/>
      </c>
      <c r="J1245">
        <f>IF(INDEX(L_ID,ROW()-4)="","",IF(SUMPRODUCT((P_ID=INDEX(L_ID,ROW()-4))*(P_StatusN="INACTIVE"))&gt;0,1,0))</f>
        <v/>
      </c>
    </row>
    <row r="1246">
      <c r="A1246">
        <f>IF(INDEX(L_ID,ROW()-4)="","",IF(COUNTIF(P_ID,INDEX(L_ID,ROW()-4))&gt;0,1,0))</f>
        <v/>
      </c>
      <c r="B1246">
        <f>IF(INDEX(P_Type,ROW()-4)="","",TRIM(UPPER(INDEX(P_Type,ROW()-4))))</f>
        <v/>
      </c>
      <c r="D1246">
        <f>IF(INDEX(L_Type,ROW()-4)="","",TRIM(UPPER(INDEX(L_Type,ROW()-4))))</f>
        <v/>
      </c>
      <c r="E1246">
        <f>IF(INDEX(P_Status,ROW()-4)="","",TRIM(UPPER(INDEX(P_Status,ROW()-4))))</f>
        <v/>
      </c>
      <c r="G1246">
        <f>IF(INDEX(L_Status,ROW()-4)="","",TRIM(UPPER(INDEX(L_Status,ROW()-4))))</f>
        <v/>
      </c>
      <c r="J1246">
        <f>IF(INDEX(L_ID,ROW()-4)="","",IF(SUMPRODUCT((P_ID=INDEX(L_ID,ROW()-4))*(P_StatusN="INACTIVE"))&gt;0,1,0))</f>
        <v/>
      </c>
    </row>
    <row r="1247">
      <c r="A1247">
        <f>IF(INDEX(L_ID,ROW()-4)="","",IF(COUNTIF(P_ID,INDEX(L_ID,ROW()-4))&gt;0,1,0))</f>
        <v/>
      </c>
      <c r="B1247">
        <f>IF(INDEX(P_Type,ROW()-4)="","",TRIM(UPPER(INDEX(P_Type,ROW()-4))))</f>
        <v/>
      </c>
      <c r="D1247">
        <f>IF(INDEX(L_Type,ROW()-4)="","",TRIM(UPPER(INDEX(L_Type,ROW()-4))))</f>
        <v/>
      </c>
      <c r="E1247">
        <f>IF(INDEX(P_Status,ROW()-4)="","",TRIM(UPPER(INDEX(P_Status,ROW()-4))))</f>
        <v/>
      </c>
      <c r="G1247">
        <f>IF(INDEX(L_Status,ROW()-4)="","",TRIM(UPPER(INDEX(L_Status,ROW()-4))))</f>
        <v/>
      </c>
      <c r="J1247">
        <f>IF(INDEX(L_ID,ROW()-4)="","",IF(SUMPRODUCT((P_ID=INDEX(L_ID,ROW()-4))*(P_StatusN="INACTIVE"))&gt;0,1,0))</f>
        <v/>
      </c>
    </row>
    <row r="1248">
      <c r="A1248">
        <f>IF(INDEX(L_ID,ROW()-4)="","",IF(COUNTIF(P_ID,INDEX(L_ID,ROW()-4))&gt;0,1,0))</f>
        <v/>
      </c>
      <c r="B1248">
        <f>IF(INDEX(P_Type,ROW()-4)="","",TRIM(UPPER(INDEX(P_Type,ROW()-4))))</f>
        <v/>
      </c>
      <c r="D1248">
        <f>IF(INDEX(L_Type,ROW()-4)="","",TRIM(UPPER(INDEX(L_Type,ROW()-4))))</f>
        <v/>
      </c>
      <c r="E1248">
        <f>IF(INDEX(P_Status,ROW()-4)="","",TRIM(UPPER(INDEX(P_Status,ROW()-4))))</f>
        <v/>
      </c>
      <c r="G1248">
        <f>IF(INDEX(L_Status,ROW()-4)="","",TRIM(UPPER(INDEX(L_Status,ROW()-4))))</f>
        <v/>
      </c>
      <c r="J1248">
        <f>IF(INDEX(L_ID,ROW()-4)="","",IF(SUMPRODUCT((P_ID=INDEX(L_ID,ROW()-4))*(P_StatusN="INACTIVE"))&gt;0,1,0))</f>
        <v/>
      </c>
    </row>
    <row r="1249">
      <c r="A1249">
        <f>IF(INDEX(L_ID,ROW()-4)="","",IF(COUNTIF(P_ID,INDEX(L_ID,ROW()-4))&gt;0,1,0))</f>
        <v/>
      </c>
      <c r="B1249">
        <f>IF(INDEX(P_Type,ROW()-4)="","",TRIM(UPPER(INDEX(P_Type,ROW()-4))))</f>
        <v/>
      </c>
      <c r="D1249">
        <f>IF(INDEX(L_Type,ROW()-4)="","",TRIM(UPPER(INDEX(L_Type,ROW()-4))))</f>
        <v/>
      </c>
      <c r="E1249">
        <f>IF(INDEX(P_Status,ROW()-4)="","",TRIM(UPPER(INDEX(P_Status,ROW()-4))))</f>
        <v/>
      </c>
      <c r="G1249">
        <f>IF(INDEX(L_Status,ROW()-4)="","",TRIM(UPPER(INDEX(L_Status,ROW()-4))))</f>
        <v/>
      </c>
      <c r="J1249">
        <f>IF(INDEX(L_ID,ROW()-4)="","",IF(SUMPRODUCT((P_ID=INDEX(L_ID,ROW()-4))*(P_StatusN="INACTIVE"))&gt;0,1,0))</f>
        <v/>
      </c>
    </row>
    <row r="1250">
      <c r="A1250">
        <f>IF(INDEX(L_ID,ROW()-4)="","",IF(COUNTIF(P_ID,INDEX(L_ID,ROW()-4))&gt;0,1,0))</f>
        <v/>
      </c>
      <c r="B1250">
        <f>IF(INDEX(P_Type,ROW()-4)="","",TRIM(UPPER(INDEX(P_Type,ROW()-4))))</f>
        <v/>
      </c>
      <c r="D1250">
        <f>IF(INDEX(L_Type,ROW()-4)="","",TRIM(UPPER(INDEX(L_Type,ROW()-4))))</f>
        <v/>
      </c>
      <c r="E1250">
        <f>IF(INDEX(P_Status,ROW()-4)="","",TRIM(UPPER(INDEX(P_Status,ROW()-4))))</f>
        <v/>
      </c>
      <c r="G1250">
        <f>IF(INDEX(L_Status,ROW()-4)="","",TRIM(UPPER(INDEX(L_Status,ROW()-4))))</f>
        <v/>
      </c>
      <c r="J1250">
        <f>IF(INDEX(L_ID,ROW()-4)="","",IF(SUMPRODUCT((P_ID=INDEX(L_ID,ROW()-4))*(P_StatusN="INACTIVE"))&gt;0,1,0))</f>
        <v/>
      </c>
    </row>
    <row r="1251">
      <c r="A1251">
        <f>IF(INDEX(L_ID,ROW()-4)="","",IF(COUNTIF(P_ID,INDEX(L_ID,ROW()-4))&gt;0,1,0))</f>
        <v/>
      </c>
      <c r="B1251">
        <f>IF(INDEX(P_Type,ROW()-4)="","",TRIM(UPPER(INDEX(P_Type,ROW()-4))))</f>
        <v/>
      </c>
      <c r="D1251">
        <f>IF(INDEX(L_Type,ROW()-4)="","",TRIM(UPPER(INDEX(L_Type,ROW()-4))))</f>
        <v/>
      </c>
      <c r="E1251">
        <f>IF(INDEX(P_Status,ROW()-4)="","",TRIM(UPPER(INDEX(P_Status,ROW()-4))))</f>
        <v/>
      </c>
      <c r="G1251">
        <f>IF(INDEX(L_Status,ROW()-4)="","",TRIM(UPPER(INDEX(L_Status,ROW()-4))))</f>
        <v/>
      </c>
      <c r="J1251">
        <f>IF(INDEX(L_ID,ROW()-4)="","",IF(SUMPRODUCT((P_ID=INDEX(L_ID,ROW()-4))*(P_StatusN="INACTIVE"))&gt;0,1,0))</f>
        <v/>
      </c>
    </row>
    <row r="1252">
      <c r="A1252">
        <f>IF(INDEX(L_ID,ROW()-4)="","",IF(COUNTIF(P_ID,INDEX(L_ID,ROW()-4))&gt;0,1,0))</f>
        <v/>
      </c>
      <c r="B1252">
        <f>IF(INDEX(P_Type,ROW()-4)="","",TRIM(UPPER(INDEX(P_Type,ROW()-4))))</f>
        <v/>
      </c>
      <c r="D1252">
        <f>IF(INDEX(L_Type,ROW()-4)="","",TRIM(UPPER(INDEX(L_Type,ROW()-4))))</f>
        <v/>
      </c>
      <c r="E1252">
        <f>IF(INDEX(P_Status,ROW()-4)="","",TRIM(UPPER(INDEX(P_Status,ROW()-4))))</f>
        <v/>
      </c>
      <c r="G1252">
        <f>IF(INDEX(L_Status,ROW()-4)="","",TRIM(UPPER(INDEX(L_Status,ROW()-4))))</f>
        <v/>
      </c>
      <c r="J1252">
        <f>IF(INDEX(L_ID,ROW()-4)="","",IF(SUMPRODUCT((P_ID=INDEX(L_ID,ROW()-4))*(P_StatusN="INACTIVE"))&gt;0,1,0))</f>
        <v/>
      </c>
    </row>
    <row r="1253">
      <c r="A1253">
        <f>IF(INDEX(L_ID,ROW()-4)="","",IF(COUNTIF(P_ID,INDEX(L_ID,ROW()-4))&gt;0,1,0))</f>
        <v/>
      </c>
      <c r="B1253">
        <f>IF(INDEX(P_Type,ROW()-4)="","",TRIM(UPPER(INDEX(P_Type,ROW()-4))))</f>
        <v/>
      </c>
      <c r="D1253">
        <f>IF(INDEX(L_Type,ROW()-4)="","",TRIM(UPPER(INDEX(L_Type,ROW()-4))))</f>
        <v/>
      </c>
      <c r="E1253">
        <f>IF(INDEX(P_Status,ROW()-4)="","",TRIM(UPPER(INDEX(P_Status,ROW()-4))))</f>
        <v/>
      </c>
      <c r="G1253">
        <f>IF(INDEX(L_Status,ROW()-4)="","",TRIM(UPPER(INDEX(L_Status,ROW()-4))))</f>
        <v/>
      </c>
      <c r="J1253">
        <f>IF(INDEX(L_ID,ROW()-4)="","",IF(SUMPRODUCT((P_ID=INDEX(L_ID,ROW()-4))*(P_StatusN="INACTIVE"))&gt;0,1,0))</f>
        <v/>
      </c>
    </row>
    <row r="1254">
      <c r="A1254">
        <f>IF(INDEX(L_ID,ROW()-4)="","",IF(COUNTIF(P_ID,INDEX(L_ID,ROW()-4))&gt;0,1,0))</f>
        <v/>
      </c>
      <c r="B1254">
        <f>IF(INDEX(P_Type,ROW()-4)="","",TRIM(UPPER(INDEX(P_Type,ROW()-4))))</f>
        <v/>
      </c>
      <c r="D1254">
        <f>IF(INDEX(L_Type,ROW()-4)="","",TRIM(UPPER(INDEX(L_Type,ROW()-4))))</f>
        <v/>
      </c>
      <c r="E1254">
        <f>IF(INDEX(P_Status,ROW()-4)="","",TRIM(UPPER(INDEX(P_Status,ROW()-4))))</f>
        <v/>
      </c>
      <c r="G1254">
        <f>IF(INDEX(L_Status,ROW()-4)="","",TRIM(UPPER(INDEX(L_Status,ROW()-4))))</f>
        <v/>
      </c>
      <c r="J1254">
        <f>IF(INDEX(L_ID,ROW()-4)="","",IF(SUMPRODUCT((P_ID=INDEX(L_ID,ROW()-4))*(P_StatusN="INACTIVE"))&gt;0,1,0))</f>
        <v/>
      </c>
    </row>
    <row r="1255">
      <c r="A1255">
        <f>IF(INDEX(L_ID,ROW()-4)="","",IF(COUNTIF(P_ID,INDEX(L_ID,ROW()-4))&gt;0,1,0))</f>
        <v/>
      </c>
      <c r="B1255">
        <f>IF(INDEX(P_Type,ROW()-4)="","",TRIM(UPPER(INDEX(P_Type,ROW()-4))))</f>
        <v/>
      </c>
      <c r="D1255">
        <f>IF(INDEX(L_Type,ROW()-4)="","",TRIM(UPPER(INDEX(L_Type,ROW()-4))))</f>
        <v/>
      </c>
      <c r="E1255">
        <f>IF(INDEX(P_Status,ROW()-4)="","",TRIM(UPPER(INDEX(P_Status,ROW()-4))))</f>
        <v/>
      </c>
      <c r="G1255">
        <f>IF(INDEX(L_Status,ROW()-4)="","",TRIM(UPPER(INDEX(L_Status,ROW()-4))))</f>
        <v/>
      </c>
      <c r="J1255">
        <f>IF(INDEX(L_ID,ROW()-4)="","",IF(SUMPRODUCT((P_ID=INDEX(L_ID,ROW()-4))*(P_StatusN="INACTIVE"))&gt;0,1,0))</f>
        <v/>
      </c>
    </row>
    <row r="1256">
      <c r="A1256">
        <f>IF(INDEX(L_ID,ROW()-4)="","",IF(COUNTIF(P_ID,INDEX(L_ID,ROW()-4))&gt;0,1,0))</f>
        <v/>
      </c>
      <c r="B1256">
        <f>IF(INDEX(P_Type,ROW()-4)="","",TRIM(UPPER(INDEX(P_Type,ROW()-4))))</f>
        <v/>
      </c>
      <c r="D1256">
        <f>IF(INDEX(L_Type,ROW()-4)="","",TRIM(UPPER(INDEX(L_Type,ROW()-4))))</f>
        <v/>
      </c>
      <c r="E1256">
        <f>IF(INDEX(P_Status,ROW()-4)="","",TRIM(UPPER(INDEX(P_Status,ROW()-4))))</f>
        <v/>
      </c>
      <c r="G1256">
        <f>IF(INDEX(L_Status,ROW()-4)="","",TRIM(UPPER(INDEX(L_Status,ROW()-4))))</f>
        <v/>
      </c>
      <c r="J1256">
        <f>IF(INDEX(L_ID,ROW()-4)="","",IF(SUMPRODUCT((P_ID=INDEX(L_ID,ROW()-4))*(P_StatusN="INACTIVE"))&gt;0,1,0))</f>
        <v/>
      </c>
    </row>
    <row r="1257">
      <c r="A1257">
        <f>IF(INDEX(L_ID,ROW()-4)="","",IF(COUNTIF(P_ID,INDEX(L_ID,ROW()-4))&gt;0,1,0))</f>
        <v/>
      </c>
      <c r="B1257">
        <f>IF(INDEX(P_Type,ROW()-4)="","",TRIM(UPPER(INDEX(P_Type,ROW()-4))))</f>
        <v/>
      </c>
      <c r="D1257">
        <f>IF(INDEX(L_Type,ROW()-4)="","",TRIM(UPPER(INDEX(L_Type,ROW()-4))))</f>
        <v/>
      </c>
      <c r="E1257">
        <f>IF(INDEX(P_Status,ROW()-4)="","",TRIM(UPPER(INDEX(P_Status,ROW()-4))))</f>
        <v/>
      </c>
      <c r="G1257">
        <f>IF(INDEX(L_Status,ROW()-4)="","",TRIM(UPPER(INDEX(L_Status,ROW()-4))))</f>
        <v/>
      </c>
      <c r="J1257">
        <f>IF(INDEX(L_ID,ROW()-4)="","",IF(SUMPRODUCT((P_ID=INDEX(L_ID,ROW()-4))*(P_StatusN="INACTIVE"))&gt;0,1,0))</f>
        <v/>
      </c>
    </row>
    <row r="1258">
      <c r="A1258">
        <f>IF(INDEX(L_ID,ROW()-4)="","",IF(COUNTIF(P_ID,INDEX(L_ID,ROW()-4))&gt;0,1,0))</f>
        <v/>
      </c>
      <c r="B1258">
        <f>IF(INDEX(P_Type,ROW()-4)="","",TRIM(UPPER(INDEX(P_Type,ROW()-4))))</f>
        <v/>
      </c>
      <c r="D1258">
        <f>IF(INDEX(L_Type,ROW()-4)="","",TRIM(UPPER(INDEX(L_Type,ROW()-4))))</f>
        <v/>
      </c>
      <c r="E1258">
        <f>IF(INDEX(P_Status,ROW()-4)="","",TRIM(UPPER(INDEX(P_Status,ROW()-4))))</f>
        <v/>
      </c>
      <c r="G1258">
        <f>IF(INDEX(L_Status,ROW()-4)="","",TRIM(UPPER(INDEX(L_Status,ROW()-4))))</f>
        <v/>
      </c>
      <c r="J1258">
        <f>IF(INDEX(L_ID,ROW()-4)="","",IF(SUMPRODUCT((P_ID=INDEX(L_ID,ROW()-4))*(P_StatusN="INACTIVE"))&gt;0,1,0))</f>
        <v/>
      </c>
    </row>
    <row r="1259">
      <c r="A1259">
        <f>IF(INDEX(L_ID,ROW()-4)="","",IF(COUNTIF(P_ID,INDEX(L_ID,ROW()-4))&gt;0,1,0))</f>
        <v/>
      </c>
      <c r="B1259">
        <f>IF(INDEX(P_Type,ROW()-4)="","",TRIM(UPPER(INDEX(P_Type,ROW()-4))))</f>
        <v/>
      </c>
      <c r="D1259">
        <f>IF(INDEX(L_Type,ROW()-4)="","",TRIM(UPPER(INDEX(L_Type,ROW()-4))))</f>
        <v/>
      </c>
      <c r="E1259">
        <f>IF(INDEX(P_Status,ROW()-4)="","",TRIM(UPPER(INDEX(P_Status,ROW()-4))))</f>
        <v/>
      </c>
      <c r="G1259">
        <f>IF(INDEX(L_Status,ROW()-4)="","",TRIM(UPPER(INDEX(L_Status,ROW()-4))))</f>
        <v/>
      </c>
      <c r="J1259">
        <f>IF(INDEX(L_ID,ROW()-4)="","",IF(SUMPRODUCT((P_ID=INDEX(L_ID,ROW()-4))*(P_StatusN="INACTIVE"))&gt;0,1,0))</f>
        <v/>
      </c>
    </row>
    <row r="1260">
      <c r="A1260">
        <f>IF(INDEX(L_ID,ROW()-4)="","",IF(COUNTIF(P_ID,INDEX(L_ID,ROW()-4))&gt;0,1,0))</f>
        <v/>
      </c>
      <c r="B1260">
        <f>IF(INDEX(P_Type,ROW()-4)="","",TRIM(UPPER(INDEX(P_Type,ROW()-4))))</f>
        <v/>
      </c>
      <c r="D1260">
        <f>IF(INDEX(L_Type,ROW()-4)="","",TRIM(UPPER(INDEX(L_Type,ROW()-4))))</f>
        <v/>
      </c>
      <c r="E1260">
        <f>IF(INDEX(P_Status,ROW()-4)="","",TRIM(UPPER(INDEX(P_Status,ROW()-4))))</f>
        <v/>
      </c>
      <c r="G1260">
        <f>IF(INDEX(L_Status,ROW()-4)="","",TRIM(UPPER(INDEX(L_Status,ROW()-4))))</f>
        <v/>
      </c>
      <c r="J1260">
        <f>IF(INDEX(L_ID,ROW()-4)="","",IF(SUMPRODUCT((P_ID=INDEX(L_ID,ROW()-4))*(P_StatusN="INACTIVE"))&gt;0,1,0))</f>
        <v/>
      </c>
    </row>
    <row r="1261">
      <c r="A1261">
        <f>IF(INDEX(L_ID,ROW()-4)="","",IF(COUNTIF(P_ID,INDEX(L_ID,ROW()-4))&gt;0,1,0))</f>
        <v/>
      </c>
      <c r="B1261">
        <f>IF(INDEX(P_Type,ROW()-4)="","",TRIM(UPPER(INDEX(P_Type,ROW()-4))))</f>
        <v/>
      </c>
      <c r="D1261">
        <f>IF(INDEX(L_Type,ROW()-4)="","",TRIM(UPPER(INDEX(L_Type,ROW()-4))))</f>
        <v/>
      </c>
      <c r="E1261">
        <f>IF(INDEX(P_Status,ROW()-4)="","",TRIM(UPPER(INDEX(P_Status,ROW()-4))))</f>
        <v/>
      </c>
      <c r="G1261">
        <f>IF(INDEX(L_Status,ROW()-4)="","",TRIM(UPPER(INDEX(L_Status,ROW()-4))))</f>
        <v/>
      </c>
      <c r="J1261">
        <f>IF(INDEX(L_ID,ROW()-4)="","",IF(SUMPRODUCT((P_ID=INDEX(L_ID,ROW()-4))*(P_StatusN="INACTIVE"))&gt;0,1,0))</f>
        <v/>
      </c>
    </row>
    <row r="1262">
      <c r="A1262">
        <f>IF(INDEX(L_ID,ROW()-4)="","",IF(COUNTIF(P_ID,INDEX(L_ID,ROW()-4))&gt;0,1,0))</f>
        <v/>
      </c>
      <c r="B1262">
        <f>IF(INDEX(P_Type,ROW()-4)="","",TRIM(UPPER(INDEX(P_Type,ROW()-4))))</f>
        <v/>
      </c>
      <c r="D1262">
        <f>IF(INDEX(L_Type,ROW()-4)="","",TRIM(UPPER(INDEX(L_Type,ROW()-4))))</f>
        <v/>
      </c>
      <c r="E1262">
        <f>IF(INDEX(P_Status,ROW()-4)="","",TRIM(UPPER(INDEX(P_Status,ROW()-4))))</f>
        <v/>
      </c>
      <c r="G1262">
        <f>IF(INDEX(L_Status,ROW()-4)="","",TRIM(UPPER(INDEX(L_Status,ROW()-4))))</f>
        <v/>
      </c>
      <c r="J1262">
        <f>IF(INDEX(L_ID,ROW()-4)="","",IF(SUMPRODUCT((P_ID=INDEX(L_ID,ROW()-4))*(P_StatusN="INACTIVE"))&gt;0,1,0))</f>
        <v/>
      </c>
    </row>
    <row r="1263">
      <c r="A1263">
        <f>IF(INDEX(L_ID,ROW()-4)="","",IF(COUNTIF(P_ID,INDEX(L_ID,ROW()-4))&gt;0,1,0))</f>
        <v/>
      </c>
      <c r="B1263">
        <f>IF(INDEX(P_Type,ROW()-4)="","",TRIM(UPPER(INDEX(P_Type,ROW()-4))))</f>
        <v/>
      </c>
      <c r="D1263">
        <f>IF(INDEX(L_Type,ROW()-4)="","",TRIM(UPPER(INDEX(L_Type,ROW()-4))))</f>
        <v/>
      </c>
      <c r="E1263">
        <f>IF(INDEX(P_Status,ROW()-4)="","",TRIM(UPPER(INDEX(P_Status,ROW()-4))))</f>
        <v/>
      </c>
      <c r="G1263">
        <f>IF(INDEX(L_Status,ROW()-4)="","",TRIM(UPPER(INDEX(L_Status,ROW()-4))))</f>
        <v/>
      </c>
      <c r="J1263">
        <f>IF(INDEX(L_ID,ROW()-4)="","",IF(SUMPRODUCT((P_ID=INDEX(L_ID,ROW()-4))*(P_StatusN="INACTIVE"))&gt;0,1,0))</f>
        <v/>
      </c>
    </row>
    <row r="1264">
      <c r="A1264">
        <f>IF(INDEX(L_ID,ROW()-4)="","",IF(COUNTIF(P_ID,INDEX(L_ID,ROW()-4))&gt;0,1,0))</f>
        <v/>
      </c>
      <c r="B1264">
        <f>IF(INDEX(P_Type,ROW()-4)="","",TRIM(UPPER(INDEX(P_Type,ROW()-4))))</f>
        <v/>
      </c>
      <c r="D1264">
        <f>IF(INDEX(L_Type,ROW()-4)="","",TRIM(UPPER(INDEX(L_Type,ROW()-4))))</f>
        <v/>
      </c>
      <c r="E1264">
        <f>IF(INDEX(P_Status,ROW()-4)="","",TRIM(UPPER(INDEX(P_Status,ROW()-4))))</f>
        <v/>
      </c>
      <c r="G1264">
        <f>IF(INDEX(L_Status,ROW()-4)="","",TRIM(UPPER(INDEX(L_Status,ROW()-4))))</f>
        <v/>
      </c>
      <c r="J1264">
        <f>IF(INDEX(L_ID,ROW()-4)="","",IF(SUMPRODUCT((P_ID=INDEX(L_ID,ROW()-4))*(P_StatusN="INACTIVE"))&gt;0,1,0))</f>
        <v/>
      </c>
    </row>
    <row r="1265">
      <c r="A1265">
        <f>IF(INDEX(L_ID,ROW()-4)="","",IF(COUNTIF(P_ID,INDEX(L_ID,ROW()-4))&gt;0,1,0))</f>
        <v/>
      </c>
      <c r="B1265">
        <f>IF(INDEX(P_Type,ROW()-4)="","",TRIM(UPPER(INDEX(P_Type,ROW()-4))))</f>
        <v/>
      </c>
      <c r="D1265">
        <f>IF(INDEX(L_Type,ROW()-4)="","",TRIM(UPPER(INDEX(L_Type,ROW()-4))))</f>
        <v/>
      </c>
      <c r="E1265">
        <f>IF(INDEX(P_Status,ROW()-4)="","",TRIM(UPPER(INDEX(P_Status,ROW()-4))))</f>
        <v/>
      </c>
      <c r="G1265">
        <f>IF(INDEX(L_Status,ROW()-4)="","",TRIM(UPPER(INDEX(L_Status,ROW()-4))))</f>
        <v/>
      </c>
      <c r="J1265">
        <f>IF(INDEX(L_ID,ROW()-4)="","",IF(SUMPRODUCT((P_ID=INDEX(L_ID,ROW()-4))*(P_StatusN="INACTIVE"))&gt;0,1,0))</f>
        <v/>
      </c>
    </row>
    <row r="1266">
      <c r="A1266">
        <f>IF(INDEX(L_ID,ROW()-4)="","",IF(COUNTIF(P_ID,INDEX(L_ID,ROW()-4))&gt;0,1,0))</f>
        <v/>
      </c>
      <c r="B1266">
        <f>IF(INDEX(P_Type,ROW()-4)="","",TRIM(UPPER(INDEX(P_Type,ROW()-4))))</f>
        <v/>
      </c>
      <c r="D1266">
        <f>IF(INDEX(L_Type,ROW()-4)="","",TRIM(UPPER(INDEX(L_Type,ROW()-4))))</f>
        <v/>
      </c>
      <c r="E1266">
        <f>IF(INDEX(P_Status,ROW()-4)="","",TRIM(UPPER(INDEX(P_Status,ROW()-4))))</f>
        <v/>
      </c>
      <c r="G1266">
        <f>IF(INDEX(L_Status,ROW()-4)="","",TRIM(UPPER(INDEX(L_Status,ROW()-4))))</f>
        <v/>
      </c>
      <c r="J1266">
        <f>IF(INDEX(L_ID,ROW()-4)="","",IF(SUMPRODUCT((P_ID=INDEX(L_ID,ROW()-4))*(P_StatusN="INACTIVE"))&gt;0,1,0))</f>
        <v/>
      </c>
    </row>
    <row r="1267">
      <c r="A1267">
        <f>IF(INDEX(L_ID,ROW()-4)="","",IF(COUNTIF(P_ID,INDEX(L_ID,ROW()-4))&gt;0,1,0))</f>
        <v/>
      </c>
      <c r="B1267">
        <f>IF(INDEX(P_Type,ROW()-4)="","",TRIM(UPPER(INDEX(P_Type,ROW()-4))))</f>
        <v/>
      </c>
      <c r="D1267">
        <f>IF(INDEX(L_Type,ROW()-4)="","",TRIM(UPPER(INDEX(L_Type,ROW()-4))))</f>
        <v/>
      </c>
      <c r="E1267">
        <f>IF(INDEX(P_Status,ROW()-4)="","",TRIM(UPPER(INDEX(P_Status,ROW()-4))))</f>
        <v/>
      </c>
      <c r="G1267">
        <f>IF(INDEX(L_Status,ROW()-4)="","",TRIM(UPPER(INDEX(L_Status,ROW()-4))))</f>
        <v/>
      </c>
      <c r="J1267">
        <f>IF(INDEX(L_ID,ROW()-4)="","",IF(SUMPRODUCT((P_ID=INDEX(L_ID,ROW()-4))*(P_StatusN="INACTIVE"))&gt;0,1,0))</f>
        <v/>
      </c>
    </row>
    <row r="1268">
      <c r="A1268">
        <f>IF(INDEX(L_ID,ROW()-4)="","",IF(COUNTIF(P_ID,INDEX(L_ID,ROW()-4))&gt;0,1,0))</f>
        <v/>
      </c>
      <c r="B1268">
        <f>IF(INDEX(P_Type,ROW()-4)="","",TRIM(UPPER(INDEX(P_Type,ROW()-4))))</f>
        <v/>
      </c>
      <c r="D1268">
        <f>IF(INDEX(L_Type,ROW()-4)="","",TRIM(UPPER(INDEX(L_Type,ROW()-4))))</f>
        <v/>
      </c>
      <c r="E1268">
        <f>IF(INDEX(P_Status,ROW()-4)="","",TRIM(UPPER(INDEX(P_Status,ROW()-4))))</f>
        <v/>
      </c>
      <c r="G1268">
        <f>IF(INDEX(L_Status,ROW()-4)="","",TRIM(UPPER(INDEX(L_Status,ROW()-4))))</f>
        <v/>
      </c>
      <c r="J1268">
        <f>IF(INDEX(L_ID,ROW()-4)="","",IF(SUMPRODUCT((P_ID=INDEX(L_ID,ROW()-4))*(P_StatusN="INACTIVE"))&gt;0,1,0))</f>
        <v/>
      </c>
    </row>
    <row r="1269">
      <c r="A1269">
        <f>IF(INDEX(L_ID,ROW()-4)="","",IF(COUNTIF(P_ID,INDEX(L_ID,ROW()-4))&gt;0,1,0))</f>
        <v/>
      </c>
      <c r="B1269">
        <f>IF(INDEX(P_Type,ROW()-4)="","",TRIM(UPPER(INDEX(P_Type,ROW()-4))))</f>
        <v/>
      </c>
      <c r="D1269">
        <f>IF(INDEX(L_Type,ROW()-4)="","",TRIM(UPPER(INDEX(L_Type,ROW()-4))))</f>
        <v/>
      </c>
      <c r="E1269">
        <f>IF(INDEX(P_Status,ROW()-4)="","",TRIM(UPPER(INDEX(P_Status,ROW()-4))))</f>
        <v/>
      </c>
      <c r="G1269">
        <f>IF(INDEX(L_Status,ROW()-4)="","",TRIM(UPPER(INDEX(L_Status,ROW()-4))))</f>
        <v/>
      </c>
      <c r="J1269">
        <f>IF(INDEX(L_ID,ROW()-4)="","",IF(SUMPRODUCT((P_ID=INDEX(L_ID,ROW()-4))*(P_StatusN="INACTIVE"))&gt;0,1,0))</f>
        <v/>
      </c>
    </row>
    <row r="1270">
      <c r="A1270">
        <f>IF(INDEX(L_ID,ROW()-4)="","",IF(COUNTIF(P_ID,INDEX(L_ID,ROW()-4))&gt;0,1,0))</f>
        <v/>
      </c>
      <c r="B1270">
        <f>IF(INDEX(P_Type,ROW()-4)="","",TRIM(UPPER(INDEX(P_Type,ROW()-4))))</f>
        <v/>
      </c>
      <c r="D1270">
        <f>IF(INDEX(L_Type,ROW()-4)="","",TRIM(UPPER(INDEX(L_Type,ROW()-4))))</f>
        <v/>
      </c>
      <c r="E1270">
        <f>IF(INDEX(P_Status,ROW()-4)="","",TRIM(UPPER(INDEX(P_Status,ROW()-4))))</f>
        <v/>
      </c>
      <c r="G1270">
        <f>IF(INDEX(L_Status,ROW()-4)="","",TRIM(UPPER(INDEX(L_Status,ROW()-4))))</f>
        <v/>
      </c>
      <c r="J1270">
        <f>IF(INDEX(L_ID,ROW()-4)="","",IF(SUMPRODUCT((P_ID=INDEX(L_ID,ROW()-4))*(P_StatusN="INACTIVE"))&gt;0,1,0))</f>
        <v/>
      </c>
    </row>
    <row r="1271">
      <c r="A1271">
        <f>IF(INDEX(L_ID,ROW()-4)="","",IF(COUNTIF(P_ID,INDEX(L_ID,ROW()-4))&gt;0,1,0))</f>
        <v/>
      </c>
      <c r="B1271">
        <f>IF(INDEX(P_Type,ROW()-4)="","",TRIM(UPPER(INDEX(P_Type,ROW()-4))))</f>
        <v/>
      </c>
      <c r="D1271">
        <f>IF(INDEX(L_Type,ROW()-4)="","",TRIM(UPPER(INDEX(L_Type,ROW()-4))))</f>
        <v/>
      </c>
      <c r="E1271">
        <f>IF(INDEX(P_Status,ROW()-4)="","",TRIM(UPPER(INDEX(P_Status,ROW()-4))))</f>
        <v/>
      </c>
      <c r="G1271">
        <f>IF(INDEX(L_Status,ROW()-4)="","",TRIM(UPPER(INDEX(L_Status,ROW()-4))))</f>
        <v/>
      </c>
      <c r="J1271">
        <f>IF(INDEX(L_ID,ROW()-4)="","",IF(SUMPRODUCT((P_ID=INDEX(L_ID,ROW()-4))*(P_StatusN="INACTIVE"))&gt;0,1,0))</f>
        <v/>
      </c>
    </row>
    <row r="1272">
      <c r="A1272">
        <f>IF(INDEX(L_ID,ROW()-4)="","",IF(COUNTIF(P_ID,INDEX(L_ID,ROW()-4))&gt;0,1,0))</f>
        <v/>
      </c>
      <c r="B1272">
        <f>IF(INDEX(P_Type,ROW()-4)="","",TRIM(UPPER(INDEX(P_Type,ROW()-4))))</f>
        <v/>
      </c>
      <c r="D1272">
        <f>IF(INDEX(L_Type,ROW()-4)="","",TRIM(UPPER(INDEX(L_Type,ROW()-4))))</f>
        <v/>
      </c>
      <c r="E1272">
        <f>IF(INDEX(P_Status,ROW()-4)="","",TRIM(UPPER(INDEX(P_Status,ROW()-4))))</f>
        <v/>
      </c>
      <c r="G1272">
        <f>IF(INDEX(L_Status,ROW()-4)="","",TRIM(UPPER(INDEX(L_Status,ROW()-4))))</f>
        <v/>
      </c>
      <c r="J1272">
        <f>IF(INDEX(L_ID,ROW()-4)="","",IF(SUMPRODUCT((P_ID=INDEX(L_ID,ROW()-4))*(P_StatusN="INACTIVE"))&gt;0,1,0))</f>
        <v/>
      </c>
    </row>
    <row r="1273">
      <c r="A1273">
        <f>IF(INDEX(L_ID,ROW()-4)="","",IF(COUNTIF(P_ID,INDEX(L_ID,ROW()-4))&gt;0,1,0))</f>
        <v/>
      </c>
      <c r="B1273">
        <f>IF(INDEX(P_Type,ROW()-4)="","",TRIM(UPPER(INDEX(P_Type,ROW()-4))))</f>
        <v/>
      </c>
      <c r="D1273">
        <f>IF(INDEX(L_Type,ROW()-4)="","",TRIM(UPPER(INDEX(L_Type,ROW()-4))))</f>
        <v/>
      </c>
      <c r="E1273">
        <f>IF(INDEX(P_Status,ROW()-4)="","",TRIM(UPPER(INDEX(P_Status,ROW()-4))))</f>
        <v/>
      </c>
      <c r="G1273">
        <f>IF(INDEX(L_Status,ROW()-4)="","",TRIM(UPPER(INDEX(L_Status,ROW()-4))))</f>
        <v/>
      </c>
      <c r="J1273">
        <f>IF(INDEX(L_ID,ROW()-4)="","",IF(SUMPRODUCT((P_ID=INDEX(L_ID,ROW()-4))*(P_StatusN="INACTIVE"))&gt;0,1,0))</f>
        <v/>
      </c>
    </row>
    <row r="1274">
      <c r="A1274">
        <f>IF(INDEX(L_ID,ROW()-4)="","",IF(COUNTIF(P_ID,INDEX(L_ID,ROW()-4))&gt;0,1,0))</f>
        <v/>
      </c>
      <c r="B1274">
        <f>IF(INDEX(P_Type,ROW()-4)="","",TRIM(UPPER(INDEX(P_Type,ROW()-4))))</f>
        <v/>
      </c>
      <c r="D1274">
        <f>IF(INDEX(L_Type,ROW()-4)="","",TRIM(UPPER(INDEX(L_Type,ROW()-4))))</f>
        <v/>
      </c>
      <c r="E1274">
        <f>IF(INDEX(P_Status,ROW()-4)="","",TRIM(UPPER(INDEX(P_Status,ROW()-4))))</f>
        <v/>
      </c>
      <c r="G1274">
        <f>IF(INDEX(L_Status,ROW()-4)="","",TRIM(UPPER(INDEX(L_Status,ROW()-4))))</f>
        <v/>
      </c>
      <c r="J1274">
        <f>IF(INDEX(L_ID,ROW()-4)="","",IF(SUMPRODUCT((P_ID=INDEX(L_ID,ROW()-4))*(P_StatusN="INACTIVE"))&gt;0,1,0))</f>
        <v/>
      </c>
    </row>
    <row r="1275">
      <c r="A1275">
        <f>IF(INDEX(L_ID,ROW()-4)="","",IF(COUNTIF(P_ID,INDEX(L_ID,ROW()-4))&gt;0,1,0))</f>
        <v/>
      </c>
      <c r="B1275">
        <f>IF(INDEX(P_Type,ROW()-4)="","",TRIM(UPPER(INDEX(P_Type,ROW()-4))))</f>
        <v/>
      </c>
      <c r="D1275">
        <f>IF(INDEX(L_Type,ROW()-4)="","",TRIM(UPPER(INDEX(L_Type,ROW()-4))))</f>
        <v/>
      </c>
      <c r="E1275">
        <f>IF(INDEX(P_Status,ROW()-4)="","",TRIM(UPPER(INDEX(P_Status,ROW()-4))))</f>
        <v/>
      </c>
      <c r="G1275">
        <f>IF(INDEX(L_Status,ROW()-4)="","",TRIM(UPPER(INDEX(L_Status,ROW()-4))))</f>
        <v/>
      </c>
      <c r="J1275">
        <f>IF(INDEX(L_ID,ROW()-4)="","",IF(SUMPRODUCT((P_ID=INDEX(L_ID,ROW()-4))*(P_StatusN="INACTIVE"))&gt;0,1,0))</f>
        <v/>
      </c>
    </row>
    <row r="1276">
      <c r="A1276">
        <f>IF(INDEX(L_ID,ROW()-4)="","",IF(COUNTIF(P_ID,INDEX(L_ID,ROW()-4))&gt;0,1,0))</f>
        <v/>
      </c>
      <c r="B1276">
        <f>IF(INDEX(P_Type,ROW()-4)="","",TRIM(UPPER(INDEX(P_Type,ROW()-4))))</f>
        <v/>
      </c>
      <c r="D1276">
        <f>IF(INDEX(L_Type,ROW()-4)="","",TRIM(UPPER(INDEX(L_Type,ROW()-4))))</f>
        <v/>
      </c>
      <c r="E1276">
        <f>IF(INDEX(P_Status,ROW()-4)="","",TRIM(UPPER(INDEX(P_Status,ROW()-4))))</f>
        <v/>
      </c>
      <c r="G1276">
        <f>IF(INDEX(L_Status,ROW()-4)="","",TRIM(UPPER(INDEX(L_Status,ROW()-4))))</f>
        <v/>
      </c>
      <c r="J1276">
        <f>IF(INDEX(L_ID,ROW()-4)="","",IF(SUMPRODUCT((P_ID=INDEX(L_ID,ROW()-4))*(P_StatusN="INACTIVE"))&gt;0,1,0))</f>
        <v/>
      </c>
    </row>
    <row r="1277">
      <c r="A1277">
        <f>IF(INDEX(L_ID,ROW()-4)="","",IF(COUNTIF(P_ID,INDEX(L_ID,ROW()-4))&gt;0,1,0))</f>
        <v/>
      </c>
      <c r="B1277">
        <f>IF(INDEX(P_Type,ROW()-4)="","",TRIM(UPPER(INDEX(P_Type,ROW()-4))))</f>
        <v/>
      </c>
      <c r="D1277">
        <f>IF(INDEX(L_Type,ROW()-4)="","",TRIM(UPPER(INDEX(L_Type,ROW()-4))))</f>
        <v/>
      </c>
      <c r="E1277">
        <f>IF(INDEX(P_Status,ROW()-4)="","",TRIM(UPPER(INDEX(P_Status,ROW()-4))))</f>
        <v/>
      </c>
      <c r="G1277">
        <f>IF(INDEX(L_Status,ROW()-4)="","",TRIM(UPPER(INDEX(L_Status,ROW()-4))))</f>
        <v/>
      </c>
      <c r="J1277">
        <f>IF(INDEX(L_ID,ROW()-4)="","",IF(SUMPRODUCT((P_ID=INDEX(L_ID,ROW()-4))*(P_StatusN="INACTIVE"))&gt;0,1,0))</f>
        <v/>
      </c>
    </row>
    <row r="1278">
      <c r="A1278">
        <f>IF(INDEX(L_ID,ROW()-4)="","",IF(COUNTIF(P_ID,INDEX(L_ID,ROW()-4))&gt;0,1,0))</f>
        <v/>
      </c>
      <c r="B1278">
        <f>IF(INDEX(P_Type,ROW()-4)="","",TRIM(UPPER(INDEX(P_Type,ROW()-4))))</f>
        <v/>
      </c>
      <c r="D1278">
        <f>IF(INDEX(L_Type,ROW()-4)="","",TRIM(UPPER(INDEX(L_Type,ROW()-4))))</f>
        <v/>
      </c>
      <c r="E1278">
        <f>IF(INDEX(P_Status,ROW()-4)="","",TRIM(UPPER(INDEX(P_Status,ROW()-4))))</f>
        <v/>
      </c>
      <c r="G1278">
        <f>IF(INDEX(L_Status,ROW()-4)="","",TRIM(UPPER(INDEX(L_Status,ROW()-4))))</f>
        <v/>
      </c>
      <c r="J1278">
        <f>IF(INDEX(L_ID,ROW()-4)="","",IF(SUMPRODUCT((P_ID=INDEX(L_ID,ROW()-4))*(P_StatusN="INACTIVE"))&gt;0,1,0))</f>
        <v/>
      </c>
    </row>
    <row r="1279">
      <c r="A1279">
        <f>IF(INDEX(L_ID,ROW()-4)="","",IF(COUNTIF(P_ID,INDEX(L_ID,ROW()-4))&gt;0,1,0))</f>
        <v/>
      </c>
      <c r="B1279">
        <f>IF(INDEX(P_Type,ROW()-4)="","",TRIM(UPPER(INDEX(P_Type,ROW()-4))))</f>
        <v/>
      </c>
      <c r="D1279">
        <f>IF(INDEX(L_Type,ROW()-4)="","",TRIM(UPPER(INDEX(L_Type,ROW()-4))))</f>
        <v/>
      </c>
      <c r="E1279">
        <f>IF(INDEX(P_Status,ROW()-4)="","",TRIM(UPPER(INDEX(P_Status,ROW()-4))))</f>
        <v/>
      </c>
      <c r="G1279">
        <f>IF(INDEX(L_Status,ROW()-4)="","",TRIM(UPPER(INDEX(L_Status,ROW()-4))))</f>
        <v/>
      </c>
      <c r="J1279">
        <f>IF(INDEX(L_ID,ROW()-4)="","",IF(SUMPRODUCT((P_ID=INDEX(L_ID,ROW()-4))*(P_StatusN="INACTIVE"))&gt;0,1,0))</f>
        <v/>
      </c>
    </row>
    <row r="1280">
      <c r="A1280">
        <f>IF(INDEX(L_ID,ROW()-4)="","",IF(COUNTIF(P_ID,INDEX(L_ID,ROW()-4))&gt;0,1,0))</f>
        <v/>
      </c>
      <c r="B1280">
        <f>IF(INDEX(P_Type,ROW()-4)="","",TRIM(UPPER(INDEX(P_Type,ROW()-4))))</f>
        <v/>
      </c>
      <c r="D1280">
        <f>IF(INDEX(L_Type,ROW()-4)="","",TRIM(UPPER(INDEX(L_Type,ROW()-4))))</f>
        <v/>
      </c>
      <c r="E1280">
        <f>IF(INDEX(P_Status,ROW()-4)="","",TRIM(UPPER(INDEX(P_Status,ROW()-4))))</f>
        <v/>
      </c>
      <c r="G1280">
        <f>IF(INDEX(L_Status,ROW()-4)="","",TRIM(UPPER(INDEX(L_Status,ROW()-4))))</f>
        <v/>
      </c>
      <c r="J1280">
        <f>IF(INDEX(L_ID,ROW()-4)="","",IF(SUMPRODUCT((P_ID=INDEX(L_ID,ROW()-4))*(P_StatusN="INACTIVE"))&gt;0,1,0))</f>
        <v/>
      </c>
    </row>
    <row r="1281">
      <c r="A1281">
        <f>IF(INDEX(L_ID,ROW()-4)="","",IF(COUNTIF(P_ID,INDEX(L_ID,ROW()-4))&gt;0,1,0))</f>
        <v/>
      </c>
      <c r="B1281">
        <f>IF(INDEX(P_Type,ROW()-4)="","",TRIM(UPPER(INDEX(P_Type,ROW()-4))))</f>
        <v/>
      </c>
      <c r="D1281">
        <f>IF(INDEX(L_Type,ROW()-4)="","",TRIM(UPPER(INDEX(L_Type,ROW()-4))))</f>
        <v/>
      </c>
      <c r="E1281">
        <f>IF(INDEX(P_Status,ROW()-4)="","",TRIM(UPPER(INDEX(P_Status,ROW()-4))))</f>
        <v/>
      </c>
      <c r="G1281">
        <f>IF(INDEX(L_Status,ROW()-4)="","",TRIM(UPPER(INDEX(L_Status,ROW()-4))))</f>
        <v/>
      </c>
      <c r="J1281">
        <f>IF(INDEX(L_ID,ROW()-4)="","",IF(SUMPRODUCT((P_ID=INDEX(L_ID,ROW()-4))*(P_StatusN="INACTIVE"))&gt;0,1,0))</f>
        <v/>
      </c>
    </row>
    <row r="1282">
      <c r="A1282">
        <f>IF(INDEX(L_ID,ROW()-4)="","",IF(COUNTIF(P_ID,INDEX(L_ID,ROW()-4))&gt;0,1,0))</f>
        <v/>
      </c>
      <c r="B1282">
        <f>IF(INDEX(P_Type,ROW()-4)="","",TRIM(UPPER(INDEX(P_Type,ROW()-4))))</f>
        <v/>
      </c>
      <c r="D1282">
        <f>IF(INDEX(L_Type,ROW()-4)="","",TRIM(UPPER(INDEX(L_Type,ROW()-4))))</f>
        <v/>
      </c>
      <c r="E1282">
        <f>IF(INDEX(P_Status,ROW()-4)="","",TRIM(UPPER(INDEX(P_Status,ROW()-4))))</f>
        <v/>
      </c>
      <c r="G1282">
        <f>IF(INDEX(L_Status,ROW()-4)="","",TRIM(UPPER(INDEX(L_Status,ROW()-4))))</f>
        <v/>
      </c>
      <c r="J1282">
        <f>IF(INDEX(L_ID,ROW()-4)="","",IF(SUMPRODUCT((P_ID=INDEX(L_ID,ROW()-4))*(P_StatusN="INACTIVE"))&gt;0,1,0))</f>
        <v/>
      </c>
    </row>
    <row r="1283">
      <c r="A1283">
        <f>IF(INDEX(L_ID,ROW()-4)="","",IF(COUNTIF(P_ID,INDEX(L_ID,ROW()-4))&gt;0,1,0))</f>
        <v/>
      </c>
      <c r="B1283">
        <f>IF(INDEX(P_Type,ROW()-4)="","",TRIM(UPPER(INDEX(P_Type,ROW()-4))))</f>
        <v/>
      </c>
      <c r="D1283">
        <f>IF(INDEX(L_Type,ROW()-4)="","",TRIM(UPPER(INDEX(L_Type,ROW()-4))))</f>
        <v/>
      </c>
      <c r="E1283">
        <f>IF(INDEX(P_Status,ROW()-4)="","",TRIM(UPPER(INDEX(P_Status,ROW()-4))))</f>
        <v/>
      </c>
      <c r="G1283">
        <f>IF(INDEX(L_Status,ROW()-4)="","",TRIM(UPPER(INDEX(L_Status,ROW()-4))))</f>
        <v/>
      </c>
      <c r="J1283">
        <f>IF(INDEX(L_ID,ROW()-4)="","",IF(SUMPRODUCT((P_ID=INDEX(L_ID,ROW()-4))*(P_StatusN="INACTIVE"))&gt;0,1,0))</f>
        <v/>
      </c>
    </row>
    <row r="1284">
      <c r="A1284">
        <f>IF(INDEX(L_ID,ROW()-4)="","",IF(COUNTIF(P_ID,INDEX(L_ID,ROW()-4))&gt;0,1,0))</f>
        <v/>
      </c>
      <c r="B1284">
        <f>IF(INDEX(P_Type,ROW()-4)="","",TRIM(UPPER(INDEX(P_Type,ROW()-4))))</f>
        <v/>
      </c>
      <c r="D1284">
        <f>IF(INDEX(L_Type,ROW()-4)="","",TRIM(UPPER(INDEX(L_Type,ROW()-4))))</f>
        <v/>
      </c>
      <c r="E1284">
        <f>IF(INDEX(P_Status,ROW()-4)="","",TRIM(UPPER(INDEX(P_Status,ROW()-4))))</f>
        <v/>
      </c>
      <c r="G1284">
        <f>IF(INDEX(L_Status,ROW()-4)="","",TRIM(UPPER(INDEX(L_Status,ROW()-4))))</f>
        <v/>
      </c>
      <c r="J1284">
        <f>IF(INDEX(L_ID,ROW()-4)="","",IF(SUMPRODUCT((P_ID=INDEX(L_ID,ROW()-4))*(P_StatusN="INACTIVE"))&gt;0,1,0))</f>
        <v/>
      </c>
    </row>
    <row r="1285">
      <c r="A1285">
        <f>IF(INDEX(L_ID,ROW()-4)="","",IF(COUNTIF(P_ID,INDEX(L_ID,ROW()-4))&gt;0,1,0))</f>
        <v/>
      </c>
      <c r="B1285">
        <f>IF(INDEX(P_Type,ROW()-4)="","",TRIM(UPPER(INDEX(P_Type,ROW()-4))))</f>
        <v/>
      </c>
      <c r="D1285">
        <f>IF(INDEX(L_Type,ROW()-4)="","",TRIM(UPPER(INDEX(L_Type,ROW()-4))))</f>
        <v/>
      </c>
      <c r="E1285">
        <f>IF(INDEX(P_Status,ROW()-4)="","",TRIM(UPPER(INDEX(P_Status,ROW()-4))))</f>
        <v/>
      </c>
      <c r="G1285">
        <f>IF(INDEX(L_Status,ROW()-4)="","",TRIM(UPPER(INDEX(L_Status,ROW()-4))))</f>
        <v/>
      </c>
      <c r="J1285">
        <f>IF(INDEX(L_ID,ROW()-4)="","",IF(SUMPRODUCT((P_ID=INDEX(L_ID,ROW()-4))*(P_StatusN="INACTIVE"))&gt;0,1,0))</f>
        <v/>
      </c>
    </row>
    <row r="1286">
      <c r="A1286">
        <f>IF(INDEX(L_ID,ROW()-4)="","",IF(COUNTIF(P_ID,INDEX(L_ID,ROW()-4))&gt;0,1,0))</f>
        <v/>
      </c>
      <c r="B1286">
        <f>IF(INDEX(P_Type,ROW()-4)="","",TRIM(UPPER(INDEX(P_Type,ROW()-4))))</f>
        <v/>
      </c>
      <c r="D1286">
        <f>IF(INDEX(L_Type,ROW()-4)="","",TRIM(UPPER(INDEX(L_Type,ROW()-4))))</f>
        <v/>
      </c>
      <c r="E1286">
        <f>IF(INDEX(P_Status,ROW()-4)="","",TRIM(UPPER(INDEX(P_Status,ROW()-4))))</f>
        <v/>
      </c>
      <c r="G1286">
        <f>IF(INDEX(L_Status,ROW()-4)="","",TRIM(UPPER(INDEX(L_Status,ROW()-4))))</f>
        <v/>
      </c>
      <c r="J1286">
        <f>IF(INDEX(L_ID,ROW()-4)="","",IF(SUMPRODUCT((P_ID=INDEX(L_ID,ROW()-4))*(P_StatusN="INACTIVE"))&gt;0,1,0))</f>
        <v/>
      </c>
    </row>
    <row r="1287">
      <c r="A1287">
        <f>IF(INDEX(L_ID,ROW()-4)="","",IF(COUNTIF(P_ID,INDEX(L_ID,ROW()-4))&gt;0,1,0))</f>
        <v/>
      </c>
      <c r="B1287">
        <f>IF(INDEX(P_Type,ROW()-4)="","",TRIM(UPPER(INDEX(P_Type,ROW()-4))))</f>
        <v/>
      </c>
      <c r="D1287">
        <f>IF(INDEX(L_Type,ROW()-4)="","",TRIM(UPPER(INDEX(L_Type,ROW()-4))))</f>
        <v/>
      </c>
      <c r="E1287">
        <f>IF(INDEX(P_Status,ROW()-4)="","",TRIM(UPPER(INDEX(P_Status,ROW()-4))))</f>
        <v/>
      </c>
      <c r="G1287">
        <f>IF(INDEX(L_Status,ROW()-4)="","",TRIM(UPPER(INDEX(L_Status,ROW()-4))))</f>
        <v/>
      </c>
      <c r="J1287">
        <f>IF(INDEX(L_ID,ROW()-4)="","",IF(SUMPRODUCT((P_ID=INDEX(L_ID,ROW()-4))*(P_StatusN="INACTIVE"))&gt;0,1,0))</f>
        <v/>
      </c>
    </row>
    <row r="1288">
      <c r="A1288">
        <f>IF(INDEX(L_ID,ROW()-4)="","",IF(COUNTIF(P_ID,INDEX(L_ID,ROW()-4))&gt;0,1,0))</f>
        <v/>
      </c>
      <c r="B1288">
        <f>IF(INDEX(P_Type,ROW()-4)="","",TRIM(UPPER(INDEX(P_Type,ROW()-4))))</f>
        <v/>
      </c>
      <c r="D1288">
        <f>IF(INDEX(L_Type,ROW()-4)="","",TRIM(UPPER(INDEX(L_Type,ROW()-4))))</f>
        <v/>
      </c>
      <c r="E1288">
        <f>IF(INDEX(P_Status,ROW()-4)="","",TRIM(UPPER(INDEX(P_Status,ROW()-4))))</f>
        <v/>
      </c>
      <c r="G1288">
        <f>IF(INDEX(L_Status,ROW()-4)="","",TRIM(UPPER(INDEX(L_Status,ROW()-4))))</f>
        <v/>
      </c>
      <c r="J1288">
        <f>IF(INDEX(L_ID,ROW()-4)="","",IF(SUMPRODUCT((P_ID=INDEX(L_ID,ROW()-4))*(P_StatusN="INACTIVE"))&gt;0,1,0))</f>
        <v/>
      </c>
    </row>
    <row r="1289">
      <c r="A1289">
        <f>IF(INDEX(L_ID,ROW()-4)="","",IF(COUNTIF(P_ID,INDEX(L_ID,ROW()-4))&gt;0,1,0))</f>
        <v/>
      </c>
      <c r="B1289">
        <f>IF(INDEX(P_Type,ROW()-4)="","",TRIM(UPPER(INDEX(P_Type,ROW()-4))))</f>
        <v/>
      </c>
      <c r="D1289">
        <f>IF(INDEX(L_Type,ROW()-4)="","",TRIM(UPPER(INDEX(L_Type,ROW()-4))))</f>
        <v/>
      </c>
      <c r="E1289">
        <f>IF(INDEX(P_Status,ROW()-4)="","",TRIM(UPPER(INDEX(P_Status,ROW()-4))))</f>
        <v/>
      </c>
      <c r="G1289">
        <f>IF(INDEX(L_Status,ROW()-4)="","",TRIM(UPPER(INDEX(L_Status,ROW()-4))))</f>
        <v/>
      </c>
      <c r="J1289">
        <f>IF(INDEX(L_ID,ROW()-4)="","",IF(SUMPRODUCT((P_ID=INDEX(L_ID,ROW()-4))*(P_StatusN="INACTIVE"))&gt;0,1,0))</f>
        <v/>
      </c>
    </row>
    <row r="1290">
      <c r="A1290">
        <f>IF(INDEX(L_ID,ROW()-4)="","",IF(COUNTIF(P_ID,INDEX(L_ID,ROW()-4))&gt;0,1,0))</f>
        <v/>
      </c>
      <c r="B1290">
        <f>IF(INDEX(P_Type,ROW()-4)="","",TRIM(UPPER(INDEX(P_Type,ROW()-4))))</f>
        <v/>
      </c>
      <c r="D1290">
        <f>IF(INDEX(L_Type,ROW()-4)="","",TRIM(UPPER(INDEX(L_Type,ROW()-4))))</f>
        <v/>
      </c>
      <c r="E1290">
        <f>IF(INDEX(P_Status,ROW()-4)="","",TRIM(UPPER(INDEX(P_Status,ROW()-4))))</f>
        <v/>
      </c>
      <c r="G1290">
        <f>IF(INDEX(L_Status,ROW()-4)="","",TRIM(UPPER(INDEX(L_Status,ROW()-4))))</f>
        <v/>
      </c>
      <c r="J1290">
        <f>IF(INDEX(L_ID,ROW()-4)="","",IF(SUMPRODUCT((P_ID=INDEX(L_ID,ROW()-4))*(P_StatusN="INACTIVE"))&gt;0,1,0))</f>
        <v/>
      </c>
    </row>
    <row r="1291">
      <c r="A1291">
        <f>IF(INDEX(L_ID,ROW()-4)="","",IF(COUNTIF(P_ID,INDEX(L_ID,ROW()-4))&gt;0,1,0))</f>
        <v/>
      </c>
      <c r="B1291">
        <f>IF(INDEX(P_Type,ROW()-4)="","",TRIM(UPPER(INDEX(P_Type,ROW()-4))))</f>
        <v/>
      </c>
      <c r="D1291">
        <f>IF(INDEX(L_Type,ROW()-4)="","",TRIM(UPPER(INDEX(L_Type,ROW()-4))))</f>
        <v/>
      </c>
      <c r="E1291">
        <f>IF(INDEX(P_Status,ROW()-4)="","",TRIM(UPPER(INDEX(P_Status,ROW()-4))))</f>
        <v/>
      </c>
      <c r="G1291">
        <f>IF(INDEX(L_Status,ROW()-4)="","",TRIM(UPPER(INDEX(L_Status,ROW()-4))))</f>
        <v/>
      </c>
      <c r="J1291">
        <f>IF(INDEX(L_ID,ROW()-4)="","",IF(SUMPRODUCT((P_ID=INDEX(L_ID,ROW()-4))*(P_StatusN="INACTIVE"))&gt;0,1,0))</f>
        <v/>
      </c>
    </row>
    <row r="1292">
      <c r="A1292">
        <f>IF(INDEX(L_ID,ROW()-4)="","",IF(COUNTIF(P_ID,INDEX(L_ID,ROW()-4))&gt;0,1,0))</f>
        <v/>
      </c>
      <c r="B1292">
        <f>IF(INDEX(P_Type,ROW()-4)="","",TRIM(UPPER(INDEX(P_Type,ROW()-4))))</f>
        <v/>
      </c>
      <c r="D1292">
        <f>IF(INDEX(L_Type,ROW()-4)="","",TRIM(UPPER(INDEX(L_Type,ROW()-4))))</f>
        <v/>
      </c>
      <c r="E1292">
        <f>IF(INDEX(P_Status,ROW()-4)="","",TRIM(UPPER(INDEX(P_Status,ROW()-4))))</f>
        <v/>
      </c>
      <c r="G1292">
        <f>IF(INDEX(L_Status,ROW()-4)="","",TRIM(UPPER(INDEX(L_Status,ROW()-4))))</f>
        <v/>
      </c>
      <c r="J1292">
        <f>IF(INDEX(L_ID,ROW()-4)="","",IF(SUMPRODUCT((P_ID=INDEX(L_ID,ROW()-4))*(P_StatusN="INACTIVE"))&gt;0,1,0))</f>
        <v/>
      </c>
    </row>
    <row r="1293">
      <c r="A1293">
        <f>IF(INDEX(L_ID,ROW()-4)="","",IF(COUNTIF(P_ID,INDEX(L_ID,ROW()-4))&gt;0,1,0))</f>
        <v/>
      </c>
      <c r="B1293">
        <f>IF(INDEX(P_Type,ROW()-4)="","",TRIM(UPPER(INDEX(P_Type,ROW()-4))))</f>
        <v/>
      </c>
      <c r="D1293">
        <f>IF(INDEX(L_Type,ROW()-4)="","",TRIM(UPPER(INDEX(L_Type,ROW()-4))))</f>
        <v/>
      </c>
      <c r="E1293">
        <f>IF(INDEX(P_Status,ROW()-4)="","",TRIM(UPPER(INDEX(P_Status,ROW()-4))))</f>
        <v/>
      </c>
      <c r="G1293">
        <f>IF(INDEX(L_Status,ROW()-4)="","",TRIM(UPPER(INDEX(L_Status,ROW()-4))))</f>
        <v/>
      </c>
      <c r="J1293">
        <f>IF(INDEX(L_ID,ROW()-4)="","",IF(SUMPRODUCT((P_ID=INDEX(L_ID,ROW()-4))*(P_StatusN="INACTIVE"))&gt;0,1,0))</f>
        <v/>
      </c>
    </row>
    <row r="1294">
      <c r="A1294">
        <f>IF(INDEX(L_ID,ROW()-4)="","",IF(COUNTIF(P_ID,INDEX(L_ID,ROW()-4))&gt;0,1,0))</f>
        <v/>
      </c>
      <c r="B1294">
        <f>IF(INDEX(P_Type,ROW()-4)="","",TRIM(UPPER(INDEX(P_Type,ROW()-4))))</f>
        <v/>
      </c>
      <c r="D1294">
        <f>IF(INDEX(L_Type,ROW()-4)="","",TRIM(UPPER(INDEX(L_Type,ROW()-4))))</f>
        <v/>
      </c>
      <c r="E1294">
        <f>IF(INDEX(P_Status,ROW()-4)="","",TRIM(UPPER(INDEX(P_Status,ROW()-4))))</f>
        <v/>
      </c>
      <c r="G1294">
        <f>IF(INDEX(L_Status,ROW()-4)="","",TRIM(UPPER(INDEX(L_Status,ROW()-4))))</f>
        <v/>
      </c>
      <c r="J1294">
        <f>IF(INDEX(L_ID,ROW()-4)="","",IF(SUMPRODUCT((P_ID=INDEX(L_ID,ROW()-4))*(P_StatusN="INACTIVE"))&gt;0,1,0))</f>
        <v/>
      </c>
    </row>
    <row r="1295">
      <c r="A1295">
        <f>IF(INDEX(L_ID,ROW()-4)="","",IF(COUNTIF(P_ID,INDEX(L_ID,ROW()-4))&gt;0,1,0))</f>
        <v/>
      </c>
      <c r="B1295">
        <f>IF(INDEX(P_Type,ROW()-4)="","",TRIM(UPPER(INDEX(P_Type,ROW()-4))))</f>
        <v/>
      </c>
      <c r="D1295">
        <f>IF(INDEX(L_Type,ROW()-4)="","",TRIM(UPPER(INDEX(L_Type,ROW()-4))))</f>
        <v/>
      </c>
      <c r="E1295">
        <f>IF(INDEX(P_Status,ROW()-4)="","",TRIM(UPPER(INDEX(P_Status,ROW()-4))))</f>
        <v/>
      </c>
      <c r="G1295">
        <f>IF(INDEX(L_Status,ROW()-4)="","",TRIM(UPPER(INDEX(L_Status,ROW()-4))))</f>
        <v/>
      </c>
      <c r="J1295">
        <f>IF(INDEX(L_ID,ROW()-4)="","",IF(SUMPRODUCT((P_ID=INDEX(L_ID,ROW()-4))*(P_StatusN="INACTIVE"))&gt;0,1,0))</f>
        <v/>
      </c>
    </row>
    <row r="1296">
      <c r="A1296">
        <f>IF(INDEX(L_ID,ROW()-4)="","",IF(COUNTIF(P_ID,INDEX(L_ID,ROW()-4))&gt;0,1,0))</f>
        <v/>
      </c>
      <c r="B1296">
        <f>IF(INDEX(P_Type,ROW()-4)="","",TRIM(UPPER(INDEX(P_Type,ROW()-4))))</f>
        <v/>
      </c>
      <c r="D1296">
        <f>IF(INDEX(L_Type,ROW()-4)="","",TRIM(UPPER(INDEX(L_Type,ROW()-4))))</f>
        <v/>
      </c>
      <c r="E1296">
        <f>IF(INDEX(P_Status,ROW()-4)="","",TRIM(UPPER(INDEX(P_Status,ROW()-4))))</f>
        <v/>
      </c>
      <c r="G1296">
        <f>IF(INDEX(L_Status,ROW()-4)="","",TRIM(UPPER(INDEX(L_Status,ROW()-4))))</f>
        <v/>
      </c>
      <c r="J1296">
        <f>IF(INDEX(L_ID,ROW()-4)="","",IF(SUMPRODUCT((P_ID=INDEX(L_ID,ROW()-4))*(P_StatusN="INACTIVE"))&gt;0,1,0))</f>
        <v/>
      </c>
    </row>
    <row r="1297">
      <c r="A1297">
        <f>IF(INDEX(L_ID,ROW()-4)="","",IF(COUNTIF(P_ID,INDEX(L_ID,ROW()-4))&gt;0,1,0))</f>
        <v/>
      </c>
      <c r="B1297">
        <f>IF(INDEX(P_Type,ROW()-4)="","",TRIM(UPPER(INDEX(P_Type,ROW()-4))))</f>
        <v/>
      </c>
      <c r="D1297">
        <f>IF(INDEX(L_Type,ROW()-4)="","",TRIM(UPPER(INDEX(L_Type,ROW()-4))))</f>
        <v/>
      </c>
      <c r="E1297">
        <f>IF(INDEX(P_Status,ROW()-4)="","",TRIM(UPPER(INDEX(P_Status,ROW()-4))))</f>
        <v/>
      </c>
      <c r="G1297">
        <f>IF(INDEX(L_Status,ROW()-4)="","",TRIM(UPPER(INDEX(L_Status,ROW()-4))))</f>
        <v/>
      </c>
      <c r="J1297">
        <f>IF(INDEX(L_ID,ROW()-4)="","",IF(SUMPRODUCT((P_ID=INDEX(L_ID,ROW()-4))*(P_StatusN="INACTIVE"))&gt;0,1,0))</f>
        <v/>
      </c>
    </row>
    <row r="1298">
      <c r="A1298">
        <f>IF(INDEX(L_ID,ROW()-4)="","",IF(COUNTIF(P_ID,INDEX(L_ID,ROW()-4))&gt;0,1,0))</f>
        <v/>
      </c>
      <c r="B1298">
        <f>IF(INDEX(P_Type,ROW()-4)="","",TRIM(UPPER(INDEX(P_Type,ROW()-4))))</f>
        <v/>
      </c>
      <c r="D1298">
        <f>IF(INDEX(L_Type,ROW()-4)="","",TRIM(UPPER(INDEX(L_Type,ROW()-4))))</f>
        <v/>
      </c>
      <c r="E1298">
        <f>IF(INDEX(P_Status,ROW()-4)="","",TRIM(UPPER(INDEX(P_Status,ROW()-4))))</f>
        <v/>
      </c>
      <c r="G1298">
        <f>IF(INDEX(L_Status,ROW()-4)="","",TRIM(UPPER(INDEX(L_Status,ROW()-4))))</f>
        <v/>
      </c>
      <c r="J1298">
        <f>IF(INDEX(L_ID,ROW()-4)="","",IF(SUMPRODUCT((P_ID=INDEX(L_ID,ROW()-4))*(P_StatusN="INACTIVE"))&gt;0,1,0))</f>
        <v/>
      </c>
    </row>
    <row r="1299">
      <c r="A1299">
        <f>IF(INDEX(L_ID,ROW()-4)="","",IF(COUNTIF(P_ID,INDEX(L_ID,ROW()-4))&gt;0,1,0))</f>
        <v/>
      </c>
      <c r="B1299">
        <f>IF(INDEX(P_Type,ROW()-4)="","",TRIM(UPPER(INDEX(P_Type,ROW()-4))))</f>
        <v/>
      </c>
      <c r="D1299">
        <f>IF(INDEX(L_Type,ROW()-4)="","",TRIM(UPPER(INDEX(L_Type,ROW()-4))))</f>
        <v/>
      </c>
      <c r="E1299">
        <f>IF(INDEX(P_Status,ROW()-4)="","",TRIM(UPPER(INDEX(P_Status,ROW()-4))))</f>
        <v/>
      </c>
      <c r="G1299">
        <f>IF(INDEX(L_Status,ROW()-4)="","",TRIM(UPPER(INDEX(L_Status,ROW()-4))))</f>
        <v/>
      </c>
      <c r="J1299">
        <f>IF(INDEX(L_ID,ROW()-4)="","",IF(SUMPRODUCT((P_ID=INDEX(L_ID,ROW()-4))*(P_StatusN="INACTIVE"))&gt;0,1,0))</f>
        <v/>
      </c>
    </row>
    <row r="1300">
      <c r="A1300">
        <f>IF(INDEX(L_ID,ROW()-4)="","",IF(COUNTIF(P_ID,INDEX(L_ID,ROW()-4))&gt;0,1,0))</f>
        <v/>
      </c>
      <c r="B1300">
        <f>IF(INDEX(P_Type,ROW()-4)="","",TRIM(UPPER(INDEX(P_Type,ROW()-4))))</f>
        <v/>
      </c>
      <c r="D1300">
        <f>IF(INDEX(L_Type,ROW()-4)="","",TRIM(UPPER(INDEX(L_Type,ROW()-4))))</f>
        <v/>
      </c>
      <c r="E1300">
        <f>IF(INDEX(P_Status,ROW()-4)="","",TRIM(UPPER(INDEX(P_Status,ROW()-4))))</f>
        <v/>
      </c>
      <c r="G1300">
        <f>IF(INDEX(L_Status,ROW()-4)="","",TRIM(UPPER(INDEX(L_Status,ROW()-4))))</f>
        <v/>
      </c>
      <c r="J1300">
        <f>IF(INDEX(L_ID,ROW()-4)="","",IF(SUMPRODUCT((P_ID=INDEX(L_ID,ROW()-4))*(P_StatusN="INACTIVE"))&gt;0,1,0))</f>
        <v/>
      </c>
    </row>
    <row r="1301">
      <c r="A1301">
        <f>IF(INDEX(L_ID,ROW()-4)="","",IF(COUNTIF(P_ID,INDEX(L_ID,ROW()-4))&gt;0,1,0))</f>
        <v/>
      </c>
      <c r="B1301">
        <f>IF(INDEX(P_Type,ROW()-4)="","",TRIM(UPPER(INDEX(P_Type,ROW()-4))))</f>
        <v/>
      </c>
      <c r="D1301">
        <f>IF(INDEX(L_Type,ROW()-4)="","",TRIM(UPPER(INDEX(L_Type,ROW()-4))))</f>
        <v/>
      </c>
      <c r="E1301">
        <f>IF(INDEX(P_Status,ROW()-4)="","",TRIM(UPPER(INDEX(P_Status,ROW()-4))))</f>
        <v/>
      </c>
      <c r="G1301">
        <f>IF(INDEX(L_Status,ROW()-4)="","",TRIM(UPPER(INDEX(L_Status,ROW()-4))))</f>
        <v/>
      </c>
      <c r="J1301">
        <f>IF(INDEX(L_ID,ROW()-4)="","",IF(SUMPRODUCT((P_ID=INDEX(L_ID,ROW()-4))*(P_StatusN="INACTIVE"))&gt;0,1,0))</f>
        <v/>
      </c>
    </row>
    <row r="1302">
      <c r="A1302">
        <f>IF(INDEX(L_ID,ROW()-4)="","",IF(COUNTIF(P_ID,INDEX(L_ID,ROW()-4))&gt;0,1,0))</f>
        <v/>
      </c>
      <c r="B1302">
        <f>IF(INDEX(P_Type,ROW()-4)="","",TRIM(UPPER(INDEX(P_Type,ROW()-4))))</f>
        <v/>
      </c>
      <c r="D1302">
        <f>IF(INDEX(L_Type,ROW()-4)="","",TRIM(UPPER(INDEX(L_Type,ROW()-4))))</f>
        <v/>
      </c>
      <c r="E1302">
        <f>IF(INDEX(P_Status,ROW()-4)="","",TRIM(UPPER(INDEX(P_Status,ROW()-4))))</f>
        <v/>
      </c>
      <c r="G1302">
        <f>IF(INDEX(L_Status,ROW()-4)="","",TRIM(UPPER(INDEX(L_Status,ROW()-4))))</f>
        <v/>
      </c>
      <c r="J1302">
        <f>IF(INDEX(L_ID,ROW()-4)="","",IF(SUMPRODUCT((P_ID=INDEX(L_ID,ROW()-4))*(P_StatusN="INACTIVE"))&gt;0,1,0))</f>
        <v/>
      </c>
    </row>
    <row r="1303">
      <c r="A1303">
        <f>IF(INDEX(L_ID,ROW()-4)="","",IF(COUNTIF(P_ID,INDEX(L_ID,ROW()-4))&gt;0,1,0))</f>
        <v/>
      </c>
      <c r="B1303">
        <f>IF(INDEX(P_Type,ROW()-4)="","",TRIM(UPPER(INDEX(P_Type,ROW()-4))))</f>
        <v/>
      </c>
      <c r="D1303">
        <f>IF(INDEX(L_Type,ROW()-4)="","",TRIM(UPPER(INDEX(L_Type,ROW()-4))))</f>
        <v/>
      </c>
      <c r="E1303">
        <f>IF(INDEX(P_Status,ROW()-4)="","",TRIM(UPPER(INDEX(P_Status,ROW()-4))))</f>
        <v/>
      </c>
      <c r="G1303">
        <f>IF(INDEX(L_Status,ROW()-4)="","",TRIM(UPPER(INDEX(L_Status,ROW()-4))))</f>
        <v/>
      </c>
      <c r="J1303">
        <f>IF(INDEX(L_ID,ROW()-4)="","",IF(SUMPRODUCT((P_ID=INDEX(L_ID,ROW()-4))*(P_StatusN="INACTIVE"))&gt;0,1,0))</f>
        <v/>
      </c>
    </row>
    <row r="1304">
      <c r="A1304">
        <f>IF(INDEX(L_ID,ROW()-4)="","",IF(COUNTIF(P_ID,INDEX(L_ID,ROW()-4))&gt;0,1,0))</f>
        <v/>
      </c>
      <c r="B1304">
        <f>IF(INDEX(P_Type,ROW()-4)="","",TRIM(UPPER(INDEX(P_Type,ROW()-4))))</f>
        <v/>
      </c>
      <c r="D1304">
        <f>IF(INDEX(L_Type,ROW()-4)="","",TRIM(UPPER(INDEX(L_Type,ROW()-4))))</f>
        <v/>
      </c>
      <c r="E1304">
        <f>IF(INDEX(P_Status,ROW()-4)="","",TRIM(UPPER(INDEX(P_Status,ROW()-4))))</f>
        <v/>
      </c>
      <c r="G1304">
        <f>IF(INDEX(L_Status,ROW()-4)="","",TRIM(UPPER(INDEX(L_Status,ROW()-4))))</f>
        <v/>
      </c>
      <c r="J1304">
        <f>IF(INDEX(L_ID,ROW()-4)="","",IF(SUMPRODUCT((P_ID=INDEX(L_ID,ROW()-4))*(P_StatusN="INACTIVE"))&gt;0,1,0))</f>
        <v/>
      </c>
    </row>
    <row r="1305">
      <c r="A1305">
        <f>IF(INDEX(L_ID,ROW()-4)="","",IF(COUNTIF(P_ID,INDEX(L_ID,ROW()-4))&gt;0,1,0))</f>
        <v/>
      </c>
      <c r="B1305">
        <f>IF(INDEX(P_Type,ROW()-4)="","",TRIM(UPPER(INDEX(P_Type,ROW()-4))))</f>
        <v/>
      </c>
      <c r="D1305">
        <f>IF(INDEX(L_Type,ROW()-4)="","",TRIM(UPPER(INDEX(L_Type,ROW()-4))))</f>
        <v/>
      </c>
      <c r="E1305">
        <f>IF(INDEX(P_Status,ROW()-4)="","",TRIM(UPPER(INDEX(P_Status,ROW()-4))))</f>
        <v/>
      </c>
      <c r="G1305">
        <f>IF(INDEX(L_Status,ROW()-4)="","",TRIM(UPPER(INDEX(L_Status,ROW()-4))))</f>
        <v/>
      </c>
      <c r="J1305">
        <f>IF(INDEX(L_ID,ROW()-4)="","",IF(SUMPRODUCT((P_ID=INDEX(L_ID,ROW()-4))*(P_StatusN="INACTIVE"))&gt;0,1,0))</f>
        <v/>
      </c>
    </row>
    <row r="1306">
      <c r="A1306">
        <f>IF(INDEX(L_ID,ROW()-4)="","",IF(COUNTIF(P_ID,INDEX(L_ID,ROW()-4))&gt;0,1,0))</f>
        <v/>
      </c>
      <c r="B1306">
        <f>IF(INDEX(P_Type,ROW()-4)="","",TRIM(UPPER(INDEX(P_Type,ROW()-4))))</f>
        <v/>
      </c>
      <c r="D1306">
        <f>IF(INDEX(L_Type,ROW()-4)="","",TRIM(UPPER(INDEX(L_Type,ROW()-4))))</f>
        <v/>
      </c>
      <c r="E1306">
        <f>IF(INDEX(P_Status,ROW()-4)="","",TRIM(UPPER(INDEX(P_Status,ROW()-4))))</f>
        <v/>
      </c>
      <c r="G1306">
        <f>IF(INDEX(L_Status,ROW()-4)="","",TRIM(UPPER(INDEX(L_Status,ROW()-4))))</f>
        <v/>
      </c>
      <c r="J1306">
        <f>IF(INDEX(L_ID,ROW()-4)="","",IF(SUMPRODUCT((P_ID=INDEX(L_ID,ROW()-4))*(P_StatusN="INACTIVE"))&gt;0,1,0))</f>
        <v/>
      </c>
    </row>
    <row r="1307">
      <c r="A1307">
        <f>IF(INDEX(L_ID,ROW()-4)="","",IF(COUNTIF(P_ID,INDEX(L_ID,ROW()-4))&gt;0,1,0))</f>
        <v/>
      </c>
      <c r="B1307">
        <f>IF(INDEX(P_Type,ROW()-4)="","",TRIM(UPPER(INDEX(P_Type,ROW()-4))))</f>
        <v/>
      </c>
      <c r="D1307">
        <f>IF(INDEX(L_Type,ROW()-4)="","",TRIM(UPPER(INDEX(L_Type,ROW()-4))))</f>
        <v/>
      </c>
      <c r="E1307">
        <f>IF(INDEX(P_Status,ROW()-4)="","",TRIM(UPPER(INDEX(P_Status,ROW()-4))))</f>
        <v/>
      </c>
      <c r="G1307">
        <f>IF(INDEX(L_Status,ROW()-4)="","",TRIM(UPPER(INDEX(L_Status,ROW()-4))))</f>
        <v/>
      </c>
      <c r="J1307">
        <f>IF(INDEX(L_ID,ROW()-4)="","",IF(SUMPRODUCT((P_ID=INDEX(L_ID,ROW()-4))*(P_StatusN="INACTIVE"))&gt;0,1,0))</f>
        <v/>
      </c>
    </row>
    <row r="1308">
      <c r="A1308">
        <f>IF(INDEX(L_ID,ROW()-4)="","",IF(COUNTIF(P_ID,INDEX(L_ID,ROW()-4))&gt;0,1,0))</f>
        <v/>
      </c>
      <c r="B1308">
        <f>IF(INDEX(P_Type,ROW()-4)="","",TRIM(UPPER(INDEX(P_Type,ROW()-4))))</f>
        <v/>
      </c>
      <c r="D1308">
        <f>IF(INDEX(L_Type,ROW()-4)="","",TRIM(UPPER(INDEX(L_Type,ROW()-4))))</f>
        <v/>
      </c>
      <c r="E1308">
        <f>IF(INDEX(P_Status,ROW()-4)="","",TRIM(UPPER(INDEX(P_Status,ROW()-4))))</f>
        <v/>
      </c>
      <c r="G1308">
        <f>IF(INDEX(L_Status,ROW()-4)="","",TRIM(UPPER(INDEX(L_Status,ROW()-4))))</f>
        <v/>
      </c>
      <c r="J1308">
        <f>IF(INDEX(L_ID,ROW()-4)="","",IF(SUMPRODUCT((P_ID=INDEX(L_ID,ROW()-4))*(P_StatusN="INACTIVE"))&gt;0,1,0))</f>
        <v/>
      </c>
    </row>
    <row r="1309">
      <c r="A1309">
        <f>IF(INDEX(L_ID,ROW()-4)="","",IF(COUNTIF(P_ID,INDEX(L_ID,ROW()-4))&gt;0,1,0))</f>
        <v/>
      </c>
      <c r="B1309">
        <f>IF(INDEX(P_Type,ROW()-4)="","",TRIM(UPPER(INDEX(P_Type,ROW()-4))))</f>
        <v/>
      </c>
      <c r="D1309">
        <f>IF(INDEX(L_Type,ROW()-4)="","",TRIM(UPPER(INDEX(L_Type,ROW()-4))))</f>
        <v/>
      </c>
      <c r="E1309">
        <f>IF(INDEX(P_Status,ROW()-4)="","",TRIM(UPPER(INDEX(P_Status,ROW()-4))))</f>
        <v/>
      </c>
      <c r="G1309">
        <f>IF(INDEX(L_Status,ROW()-4)="","",TRIM(UPPER(INDEX(L_Status,ROW()-4))))</f>
        <v/>
      </c>
      <c r="J1309">
        <f>IF(INDEX(L_ID,ROW()-4)="","",IF(SUMPRODUCT((P_ID=INDEX(L_ID,ROW()-4))*(P_StatusN="INACTIVE"))&gt;0,1,0))</f>
        <v/>
      </c>
    </row>
    <row r="1310">
      <c r="A1310">
        <f>IF(INDEX(L_ID,ROW()-4)="","",IF(COUNTIF(P_ID,INDEX(L_ID,ROW()-4))&gt;0,1,0))</f>
        <v/>
      </c>
      <c r="B1310">
        <f>IF(INDEX(P_Type,ROW()-4)="","",TRIM(UPPER(INDEX(P_Type,ROW()-4))))</f>
        <v/>
      </c>
      <c r="D1310">
        <f>IF(INDEX(L_Type,ROW()-4)="","",TRIM(UPPER(INDEX(L_Type,ROW()-4))))</f>
        <v/>
      </c>
      <c r="E1310">
        <f>IF(INDEX(P_Status,ROW()-4)="","",TRIM(UPPER(INDEX(P_Status,ROW()-4))))</f>
        <v/>
      </c>
      <c r="G1310">
        <f>IF(INDEX(L_Status,ROW()-4)="","",TRIM(UPPER(INDEX(L_Status,ROW()-4))))</f>
        <v/>
      </c>
      <c r="J1310">
        <f>IF(INDEX(L_ID,ROW()-4)="","",IF(SUMPRODUCT((P_ID=INDEX(L_ID,ROW()-4))*(P_StatusN="INACTIVE"))&gt;0,1,0))</f>
        <v/>
      </c>
    </row>
    <row r="1311">
      <c r="A1311">
        <f>IF(INDEX(L_ID,ROW()-4)="","",IF(COUNTIF(P_ID,INDEX(L_ID,ROW()-4))&gt;0,1,0))</f>
        <v/>
      </c>
      <c r="B1311">
        <f>IF(INDEX(P_Type,ROW()-4)="","",TRIM(UPPER(INDEX(P_Type,ROW()-4))))</f>
        <v/>
      </c>
      <c r="D1311">
        <f>IF(INDEX(L_Type,ROW()-4)="","",TRIM(UPPER(INDEX(L_Type,ROW()-4))))</f>
        <v/>
      </c>
      <c r="E1311">
        <f>IF(INDEX(P_Status,ROW()-4)="","",TRIM(UPPER(INDEX(P_Status,ROW()-4))))</f>
        <v/>
      </c>
      <c r="G1311">
        <f>IF(INDEX(L_Status,ROW()-4)="","",TRIM(UPPER(INDEX(L_Status,ROW()-4))))</f>
        <v/>
      </c>
      <c r="J1311">
        <f>IF(INDEX(L_ID,ROW()-4)="","",IF(SUMPRODUCT((P_ID=INDEX(L_ID,ROW()-4))*(P_StatusN="INACTIVE"))&gt;0,1,0))</f>
        <v/>
      </c>
    </row>
    <row r="1312">
      <c r="A1312">
        <f>IF(INDEX(L_ID,ROW()-4)="","",IF(COUNTIF(P_ID,INDEX(L_ID,ROW()-4))&gt;0,1,0))</f>
        <v/>
      </c>
      <c r="B1312">
        <f>IF(INDEX(P_Type,ROW()-4)="","",TRIM(UPPER(INDEX(P_Type,ROW()-4))))</f>
        <v/>
      </c>
      <c r="D1312">
        <f>IF(INDEX(L_Type,ROW()-4)="","",TRIM(UPPER(INDEX(L_Type,ROW()-4))))</f>
        <v/>
      </c>
      <c r="E1312">
        <f>IF(INDEX(P_Status,ROW()-4)="","",TRIM(UPPER(INDEX(P_Status,ROW()-4))))</f>
        <v/>
      </c>
      <c r="G1312">
        <f>IF(INDEX(L_Status,ROW()-4)="","",TRIM(UPPER(INDEX(L_Status,ROW()-4))))</f>
        <v/>
      </c>
      <c r="J1312">
        <f>IF(INDEX(L_ID,ROW()-4)="","",IF(SUMPRODUCT((P_ID=INDEX(L_ID,ROW()-4))*(P_StatusN="INACTIVE"))&gt;0,1,0))</f>
        <v/>
      </c>
    </row>
    <row r="1313">
      <c r="A1313">
        <f>IF(INDEX(L_ID,ROW()-4)="","",IF(COUNTIF(P_ID,INDEX(L_ID,ROW()-4))&gt;0,1,0))</f>
        <v/>
      </c>
      <c r="B1313">
        <f>IF(INDEX(P_Type,ROW()-4)="","",TRIM(UPPER(INDEX(P_Type,ROW()-4))))</f>
        <v/>
      </c>
      <c r="D1313">
        <f>IF(INDEX(L_Type,ROW()-4)="","",TRIM(UPPER(INDEX(L_Type,ROW()-4))))</f>
        <v/>
      </c>
      <c r="E1313">
        <f>IF(INDEX(P_Status,ROW()-4)="","",TRIM(UPPER(INDEX(P_Status,ROW()-4))))</f>
        <v/>
      </c>
      <c r="G1313">
        <f>IF(INDEX(L_Status,ROW()-4)="","",TRIM(UPPER(INDEX(L_Status,ROW()-4))))</f>
        <v/>
      </c>
      <c r="J1313">
        <f>IF(INDEX(L_ID,ROW()-4)="","",IF(SUMPRODUCT((P_ID=INDEX(L_ID,ROW()-4))*(P_StatusN="INACTIVE"))&gt;0,1,0))</f>
        <v/>
      </c>
    </row>
    <row r="1314">
      <c r="A1314">
        <f>IF(INDEX(L_ID,ROW()-4)="","",IF(COUNTIF(P_ID,INDEX(L_ID,ROW()-4))&gt;0,1,0))</f>
        <v/>
      </c>
      <c r="B1314">
        <f>IF(INDEX(P_Type,ROW()-4)="","",TRIM(UPPER(INDEX(P_Type,ROW()-4))))</f>
        <v/>
      </c>
      <c r="D1314">
        <f>IF(INDEX(L_Type,ROW()-4)="","",TRIM(UPPER(INDEX(L_Type,ROW()-4))))</f>
        <v/>
      </c>
      <c r="E1314">
        <f>IF(INDEX(P_Status,ROW()-4)="","",TRIM(UPPER(INDEX(P_Status,ROW()-4))))</f>
        <v/>
      </c>
      <c r="G1314">
        <f>IF(INDEX(L_Status,ROW()-4)="","",TRIM(UPPER(INDEX(L_Status,ROW()-4))))</f>
        <v/>
      </c>
      <c r="J1314">
        <f>IF(INDEX(L_ID,ROW()-4)="","",IF(SUMPRODUCT((P_ID=INDEX(L_ID,ROW()-4))*(P_StatusN="INACTIVE"))&gt;0,1,0))</f>
        <v/>
      </c>
    </row>
    <row r="1315">
      <c r="A1315">
        <f>IF(INDEX(L_ID,ROW()-4)="","",IF(COUNTIF(P_ID,INDEX(L_ID,ROW()-4))&gt;0,1,0))</f>
        <v/>
      </c>
      <c r="B1315">
        <f>IF(INDEX(P_Type,ROW()-4)="","",TRIM(UPPER(INDEX(P_Type,ROW()-4))))</f>
        <v/>
      </c>
      <c r="D1315">
        <f>IF(INDEX(L_Type,ROW()-4)="","",TRIM(UPPER(INDEX(L_Type,ROW()-4))))</f>
        <v/>
      </c>
      <c r="E1315">
        <f>IF(INDEX(P_Status,ROW()-4)="","",TRIM(UPPER(INDEX(P_Status,ROW()-4))))</f>
        <v/>
      </c>
      <c r="G1315">
        <f>IF(INDEX(L_Status,ROW()-4)="","",TRIM(UPPER(INDEX(L_Status,ROW()-4))))</f>
        <v/>
      </c>
      <c r="J1315">
        <f>IF(INDEX(L_ID,ROW()-4)="","",IF(SUMPRODUCT((P_ID=INDEX(L_ID,ROW()-4))*(P_StatusN="INACTIVE"))&gt;0,1,0))</f>
        <v/>
      </c>
    </row>
    <row r="1316">
      <c r="A1316">
        <f>IF(INDEX(L_ID,ROW()-4)="","",IF(COUNTIF(P_ID,INDEX(L_ID,ROW()-4))&gt;0,1,0))</f>
        <v/>
      </c>
      <c r="B1316">
        <f>IF(INDEX(P_Type,ROW()-4)="","",TRIM(UPPER(INDEX(P_Type,ROW()-4))))</f>
        <v/>
      </c>
      <c r="D1316">
        <f>IF(INDEX(L_Type,ROW()-4)="","",TRIM(UPPER(INDEX(L_Type,ROW()-4))))</f>
        <v/>
      </c>
      <c r="E1316">
        <f>IF(INDEX(P_Status,ROW()-4)="","",TRIM(UPPER(INDEX(P_Status,ROW()-4))))</f>
        <v/>
      </c>
      <c r="G1316">
        <f>IF(INDEX(L_Status,ROW()-4)="","",TRIM(UPPER(INDEX(L_Status,ROW()-4))))</f>
        <v/>
      </c>
      <c r="J1316">
        <f>IF(INDEX(L_ID,ROW()-4)="","",IF(SUMPRODUCT((P_ID=INDEX(L_ID,ROW()-4))*(P_StatusN="INACTIVE"))&gt;0,1,0))</f>
        <v/>
      </c>
    </row>
    <row r="1317">
      <c r="A1317">
        <f>IF(INDEX(L_ID,ROW()-4)="","",IF(COUNTIF(P_ID,INDEX(L_ID,ROW()-4))&gt;0,1,0))</f>
        <v/>
      </c>
      <c r="B1317">
        <f>IF(INDEX(P_Type,ROW()-4)="","",TRIM(UPPER(INDEX(P_Type,ROW()-4))))</f>
        <v/>
      </c>
      <c r="D1317">
        <f>IF(INDEX(L_Type,ROW()-4)="","",TRIM(UPPER(INDEX(L_Type,ROW()-4))))</f>
        <v/>
      </c>
      <c r="E1317">
        <f>IF(INDEX(P_Status,ROW()-4)="","",TRIM(UPPER(INDEX(P_Status,ROW()-4))))</f>
        <v/>
      </c>
      <c r="G1317">
        <f>IF(INDEX(L_Status,ROW()-4)="","",TRIM(UPPER(INDEX(L_Status,ROW()-4))))</f>
        <v/>
      </c>
      <c r="J1317">
        <f>IF(INDEX(L_ID,ROW()-4)="","",IF(SUMPRODUCT((P_ID=INDEX(L_ID,ROW()-4))*(P_StatusN="INACTIVE"))&gt;0,1,0))</f>
        <v/>
      </c>
    </row>
    <row r="1318">
      <c r="A1318">
        <f>IF(INDEX(L_ID,ROW()-4)="","",IF(COUNTIF(P_ID,INDEX(L_ID,ROW()-4))&gt;0,1,0))</f>
        <v/>
      </c>
      <c r="B1318">
        <f>IF(INDEX(P_Type,ROW()-4)="","",TRIM(UPPER(INDEX(P_Type,ROW()-4))))</f>
        <v/>
      </c>
      <c r="D1318">
        <f>IF(INDEX(L_Type,ROW()-4)="","",TRIM(UPPER(INDEX(L_Type,ROW()-4))))</f>
        <v/>
      </c>
      <c r="E1318">
        <f>IF(INDEX(P_Status,ROW()-4)="","",TRIM(UPPER(INDEX(P_Status,ROW()-4))))</f>
        <v/>
      </c>
      <c r="G1318">
        <f>IF(INDEX(L_Status,ROW()-4)="","",TRIM(UPPER(INDEX(L_Status,ROW()-4))))</f>
        <v/>
      </c>
      <c r="J1318">
        <f>IF(INDEX(L_ID,ROW()-4)="","",IF(SUMPRODUCT((P_ID=INDEX(L_ID,ROW()-4))*(P_StatusN="INACTIVE"))&gt;0,1,0))</f>
        <v/>
      </c>
    </row>
    <row r="1319">
      <c r="A1319">
        <f>IF(INDEX(L_ID,ROW()-4)="","",IF(COUNTIF(P_ID,INDEX(L_ID,ROW()-4))&gt;0,1,0))</f>
        <v/>
      </c>
      <c r="B1319">
        <f>IF(INDEX(P_Type,ROW()-4)="","",TRIM(UPPER(INDEX(P_Type,ROW()-4))))</f>
        <v/>
      </c>
      <c r="D1319">
        <f>IF(INDEX(L_Type,ROW()-4)="","",TRIM(UPPER(INDEX(L_Type,ROW()-4))))</f>
        <v/>
      </c>
      <c r="E1319">
        <f>IF(INDEX(P_Status,ROW()-4)="","",TRIM(UPPER(INDEX(P_Status,ROW()-4))))</f>
        <v/>
      </c>
      <c r="G1319">
        <f>IF(INDEX(L_Status,ROW()-4)="","",TRIM(UPPER(INDEX(L_Status,ROW()-4))))</f>
        <v/>
      </c>
      <c r="J1319">
        <f>IF(INDEX(L_ID,ROW()-4)="","",IF(SUMPRODUCT((P_ID=INDEX(L_ID,ROW()-4))*(P_StatusN="INACTIVE"))&gt;0,1,0))</f>
        <v/>
      </c>
    </row>
    <row r="1320">
      <c r="A1320">
        <f>IF(INDEX(L_ID,ROW()-4)="","",IF(COUNTIF(P_ID,INDEX(L_ID,ROW()-4))&gt;0,1,0))</f>
        <v/>
      </c>
      <c r="B1320">
        <f>IF(INDEX(P_Type,ROW()-4)="","",TRIM(UPPER(INDEX(P_Type,ROW()-4))))</f>
        <v/>
      </c>
      <c r="D1320">
        <f>IF(INDEX(L_Type,ROW()-4)="","",TRIM(UPPER(INDEX(L_Type,ROW()-4))))</f>
        <v/>
      </c>
      <c r="E1320">
        <f>IF(INDEX(P_Status,ROW()-4)="","",TRIM(UPPER(INDEX(P_Status,ROW()-4))))</f>
        <v/>
      </c>
      <c r="G1320">
        <f>IF(INDEX(L_Status,ROW()-4)="","",TRIM(UPPER(INDEX(L_Status,ROW()-4))))</f>
        <v/>
      </c>
      <c r="J1320">
        <f>IF(INDEX(L_ID,ROW()-4)="","",IF(SUMPRODUCT((P_ID=INDEX(L_ID,ROW()-4))*(P_StatusN="INACTIVE"))&gt;0,1,0))</f>
        <v/>
      </c>
    </row>
    <row r="1321">
      <c r="A1321">
        <f>IF(INDEX(L_ID,ROW()-4)="","",IF(COUNTIF(P_ID,INDEX(L_ID,ROW()-4))&gt;0,1,0))</f>
        <v/>
      </c>
      <c r="B1321">
        <f>IF(INDEX(P_Type,ROW()-4)="","",TRIM(UPPER(INDEX(P_Type,ROW()-4))))</f>
        <v/>
      </c>
      <c r="D1321">
        <f>IF(INDEX(L_Type,ROW()-4)="","",TRIM(UPPER(INDEX(L_Type,ROW()-4))))</f>
        <v/>
      </c>
      <c r="E1321">
        <f>IF(INDEX(P_Status,ROW()-4)="","",TRIM(UPPER(INDEX(P_Status,ROW()-4))))</f>
        <v/>
      </c>
      <c r="G1321">
        <f>IF(INDEX(L_Status,ROW()-4)="","",TRIM(UPPER(INDEX(L_Status,ROW()-4))))</f>
        <v/>
      </c>
      <c r="J1321">
        <f>IF(INDEX(L_ID,ROW()-4)="","",IF(SUMPRODUCT((P_ID=INDEX(L_ID,ROW()-4))*(P_StatusN="INACTIVE"))&gt;0,1,0))</f>
        <v/>
      </c>
    </row>
    <row r="1322">
      <c r="A1322">
        <f>IF(INDEX(L_ID,ROW()-4)="","",IF(COUNTIF(P_ID,INDEX(L_ID,ROW()-4))&gt;0,1,0))</f>
        <v/>
      </c>
      <c r="B1322">
        <f>IF(INDEX(P_Type,ROW()-4)="","",TRIM(UPPER(INDEX(P_Type,ROW()-4))))</f>
        <v/>
      </c>
      <c r="D1322">
        <f>IF(INDEX(L_Type,ROW()-4)="","",TRIM(UPPER(INDEX(L_Type,ROW()-4))))</f>
        <v/>
      </c>
      <c r="E1322">
        <f>IF(INDEX(P_Status,ROW()-4)="","",TRIM(UPPER(INDEX(P_Status,ROW()-4))))</f>
        <v/>
      </c>
      <c r="G1322">
        <f>IF(INDEX(L_Status,ROW()-4)="","",TRIM(UPPER(INDEX(L_Status,ROW()-4))))</f>
        <v/>
      </c>
      <c r="J1322">
        <f>IF(INDEX(L_ID,ROW()-4)="","",IF(SUMPRODUCT((P_ID=INDEX(L_ID,ROW()-4))*(P_StatusN="INACTIVE"))&gt;0,1,0))</f>
        <v/>
      </c>
    </row>
    <row r="1323">
      <c r="A1323">
        <f>IF(INDEX(L_ID,ROW()-4)="","",IF(COUNTIF(P_ID,INDEX(L_ID,ROW()-4))&gt;0,1,0))</f>
        <v/>
      </c>
      <c r="B1323">
        <f>IF(INDEX(P_Type,ROW()-4)="","",TRIM(UPPER(INDEX(P_Type,ROW()-4))))</f>
        <v/>
      </c>
      <c r="D1323">
        <f>IF(INDEX(L_Type,ROW()-4)="","",TRIM(UPPER(INDEX(L_Type,ROW()-4))))</f>
        <v/>
      </c>
      <c r="E1323">
        <f>IF(INDEX(P_Status,ROW()-4)="","",TRIM(UPPER(INDEX(P_Status,ROW()-4))))</f>
        <v/>
      </c>
      <c r="G1323">
        <f>IF(INDEX(L_Status,ROW()-4)="","",TRIM(UPPER(INDEX(L_Status,ROW()-4))))</f>
        <v/>
      </c>
      <c r="J1323">
        <f>IF(INDEX(L_ID,ROW()-4)="","",IF(SUMPRODUCT((P_ID=INDEX(L_ID,ROW()-4))*(P_StatusN="INACTIVE"))&gt;0,1,0))</f>
        <v/>
      </c>
    </row>
    <row r="1324">
      <c r="A1324">
        <f>IF(INDEX(L_ID,ROW()-4)="","",IF(COUNTIF(P_ID,INDEX(L_ID,ROW()-4))&gt;0,1,0))</f>
        <v/>
      </c>
      <c r="B1324">
        <f>IF(INDEX(P_Type,ROW()-4)="","",TRIM(UPPER(INDEX(P_Type,ROW()-4))))</f>
        <v/>
      </c>
      <c r="D1324">
        <f>IF(INDEX(L_Type,ROW()-4)="","",TRIM(UPPER(INDEX(L_Type,ROW()-4))))</f>
        <v/>
      </c>
      <c r="E1324">
        <f>IF(INDEX(P_Status,ROW()-4)="","",TRIM(UPPER(INDEX(P_Status,ROW()-4))))</f>
        <v/>
      </c>
      <c r="G1324">
        <f>IF(INDEX(L_Status,ROW()-4)="","",TRIM(UPPER(INDEX(L_Status,ROW()-4))))</f>
        <v/>
      </c>
      <c r="J1324">
        <f>IF(INDEX(L_ID,ROW()-4)="","",IF(SUMPRODUCT((P_ID=INDEX(L_ID,ROW()-4))*(P_StatusN="INACTIVE"))&gt;0,1,0))</f>
        <v/>
      </c>
    </row>
    <row r="1325">
      <c r="A1325">
        <f>IF(INDEX(L_ID,ROW()-4)="","",IF(COUNTIF(P_ID,INDEX(L_ID,ROW()-4))&gt;0,1,0))</f>
        <v/>
      </c>
      <c r="B1325">
        <f>IF(INDEX(P_Type,ROW()-4)="","",TRIM(UPPER(INDEX(P_Type,ROW()-4))))</f>
        <v/>
      </c>
      <c r="D1325">
        <f>IF(INDEX(L_Type,ROW()-4)="","",TRIM(UPPER(INDEX(L_Type,ROW()-4))))</f>
        <v/>
      </c>
      <c r="E1325">
        <f>IF(INDEX(P_Status,ROW()-4)="","",TRIM(UPPER(INDEX(P_Status,ROW()-4))))</f>
        <v/>
      </c>
      <c r="G1325">
        <f>IF(INDEX(L_Status,ROW()-4)="","",TRIM(UPPER(INDEX(L_Status,ROW()-4))))</f>
        <v/>
      </c>
      <c r="J1325">
        <f>IF(INDEX(L_ID,ROW()-4)="","",IF(SUMPRODUCT((P_ID=INDEX(L_ID,ROW()-4))*(P_StatusN="INACTIVE"))&gt;0,1,0))</f>
        <v/>
      </c>
    </row>
    <row r="1326">
      <c r="A1326">
        <f>IF(INDEX(L_ID,ROW()-4)="","",IF(COUNTIF(P_ID,INDEX(L_ID,ROW()-4))&gt;0,1,0))</f>
        <v/>
      </c>
      <c r="B1326">
        <f>IF(INDEX(P_Type,ROW()-4)="","",TRIM(UPPER(INDEX(P_Type,ROW()-4))))</f>
        <v/>
      </c>
      <c r="D1326">
        <f>IF(INDEX(L_Type,ROW()-4)="","",TRIM(UPPER(INDEX(L_Type,ROW()-4))))</f>
        <v/>
      </c>
      <c r="E1326">
        <f>IF(INDEX(P_Status,ROW()-4)="","",TRIM(UPPER(INDEX(P_Status,ROW()-4))))</f>
        <v/>
      </c>
      <c r="G1326">
        <f>IF(INDEX(L_Status,ROW()-4)="","",TRIM(UPPER(INDEX(L_Status,ROW()-4))))</f>
        <v/>
      </c>
      <c r="J1326">
        <f>IF(INDEX(L_ID,ROW()-4)="","",IF(SUMPRODUCT((P_ID=INDEX(L_ID,ROW()-4))*(P_StatusN="INACTIVE"))&gt;0,1,0))</f>
        <v/>
      </c>
    </row>
    <row r="1327">
      <c r="A1327">
        <f>IF(INDEX(L_ID,ROW()-4)="","",IF(COUNTIF(P_ID,INDEX(L_ID,ROW()-4))&gt;0,1,0))</f>
        <v/>
      </c>
      <c r="B1327">
        <f>IF(INDEX(P_Type,ROW()-4)="","",TRIM(UPPER(INDEX(P_Type,ROW()-4))))</f>
        <v/>
      </c>
      <c r="D1327">
        <f>IF(INDEX(L_Type,ROW()-4)="","",TRIM(UPPER(INDEX(L_Type,ROW()-4))))</f>
        <v/>
      </c>
      <c r="E1327">
        <f>IF(INDEX(P_Status,ROW()-4)="","",TRIM(UPPER(INDEX(P_Status,ROW()-4))))</f>
        <v/>
      </c>
      <c r="G1327">
        <f>IF(INDEX(L_Status,ROW()-4)="","",TRIM(UPPER(INDEX(L_Status,ROW()-4))))</f>
        <v/>
      </c>
      <c r="J1327">
        <f>IF(INDEX(L_ID,ROW()-4)="","",IF(SUMPRODUCT((P_ID=INDEX(L_ID,ROW()-4))*(P_StatusN="INACTIVE"))&gt;0,1,0))</f>
        <v/>
      </c>
    </row>
    <row r="1328">
      <c r="A1328">
        <f>IF(INDEX(L_ID,ROW()-4)="","",IF(COUNTIF(P_ID,INDEX(L_ID,ROW()-4))&gt;0,1,0))</f>
        <v/>
      </c>
      <c r="B1328">
        <f>IF(INDEX(P_Type,ROW()-4)="","",TRIM(UPPER(INDEX(P_Type,ROW()-4))))</f>
        <v/>
      </c>
      <c r="D1328">
        <f>IF(INDEX(L_Type,ROW()-4)="","",TRIM(UPPER(INDEX(L_Type,ROW()-4))))</f>
        <v/>
      </c>
      <c r="E1328">
        <f>IF(INDEX(P_Status,ROW()-4)="","",TRIM(UPPER(INDEX(P_Status,ROW()-4))))</f>
        <v/>
      </c>
      <c r="G1328">
        <f>IF(INDEX(L_Status,ROW()-4)="","",TRIM(UPPER(INDEX(L_Status,ROW()-4))))</f>
        <v/>
      </c>
      <c r="J1328">
        <f>IF(INDEX(L_ID,ROW()-4)="","",IF(SUMPRODUCT((P_ID=INDEX(L_ID,ROW()-4))*(P_StatusN="INACTIVE"))&gt;0,1,0))</f>
        <v/>
      </c>
    </row>
    <row r="1329">
      <c r="A1329">
        <f>IF(INDEX(L_ID,ROW()-4)="","",IF(COUNTIF(P_ID,INDEX(L_ID,ROW()-4))&gt;0,1,0))</f>
        <v/>
      </c>
      <c r="B1329">
        <f>IF(INDEX(P_Type,ROW()-4)="","",TRIM(UPPER(INDEX(P_Type,ROW()-4))))</f>
        <v/>
      </c>
      <c r="D1329">
        <f>IF(INDEX(L_Type,ROW()-4)="","",TRIM(UPPER(INDEX(L_Type,ROW()-4))))</f>
        <v/>
      </c>
      <c r="E1329">
        <f>IF(INDEX(P_Status,ROW()-4)="","",TRIM(UPPER(INDEX(P_Status,ROW()-4))))</f>
        <v/>
      </c>
      <c r="G1329">
        <f>IF(INDEX(L_Status,ROW()-4)="","",TRIM(UPPER(INDEX(L_Status,ROW()-4))))</f>
        <v/>
      </c>
      <c r="J1329">
        <f>IF(INDEX(L_ID,ROW()-4)="","",IF(SUMPRODUCT((P_ID=INDEX(L_ID,ROW()-4))*(P_StatusN="INACTIVE"))&gt;0,1,0))</f>
        <v/>
      </c>
    </row>
    <row r="1330">
      <c r="A1330">
        <f>IF(INDEX(L_ID,ROW()-4)="","",IF(COUNTIF(P_ID,INDEX(L_ID,ROW()-4))&gt;0,1,0))</f>
        <v/>
      </c>
      <c r="B1330">
        <f>IF(INDEX(P_Type,ROW()-4)="","",TRIM(UPPER(INDEX(P_Type,ROW()-4))))</f>
        <v/>
      </c>
      <c r="D1330">
        <f>IF(INDEX(L_Type,ROW()-4)="","",TRIM(UPPER(INDEX(L_Type,ROW()-4))))</f>
        <v/>
      </c>
      <c r="E1330">
        <f>IF(INDEX(P_Status,ROW()-4)="","",TRIM(UPPER(INDEX(P_Status,ROW()-4))))</f>
        <v/>
      </c>
      <c r="G1330">
        <f>IF(INDEX(L_Status,ROW()-4)="","",TRIM(UPPER(INDEX(L_Status,ROW()-4))))</f>
        <v/>
      </c>
      <c r="J1330">
        <f>IF(INDEX(L_ID,ROW()-4)="","",IF(SUMPRODUCT((P_ID=INDEX(L_ID,ROW()-4))*(P_StatusN="INACTIVE"))&gt;0,1,0))</f>
        <v/>
      </c>
    </row>
    <row r="1331">
      <c r="A1331">
        <f>IF(INDEX(L_ID,ROW()-4)="","",IF(COUNTIF(P_ID,INDEX(L_ID,ROW()-4))&gt;0,1,0))</f>
        <v/>
      </c>
      <c r="B1331">
        <f>IF(INDEX(P_Type,ROW()-4)="","",TRIM(UPPER(INDEX(P_Type,ROW()-4))))</f>
        <v/>
      </c>
      <c r="D1331">
        <f>IF(INDEX(L_Type,ROW()-4)="","",TRIM(UPPER(INDEX(L_Type,ROW()-4))))</f>
        <v/>
      </c>
      <c r="E1331">
        <f>IF(INDEX(P_Status,ROW()-4)="","",TRIM(UPPER(INDEX(P_Status,ROW()-4))))</f>
        <v/>
      </c>
      <c r="G1331">
        <f>IF(INDEX(L_Status,ROW()-4)="","",TRIM(UPPER(INDEX(L_Status,ROW()-4))))</f>
        <v/>
      </c>
      <c r="J1331">
        <f>IF(INDEX(L_ID,ROW()-4)="","",IF(SUMPRODUCT((P_ID=INDEX(L_ID,ROW()-4))*(P_StatusN="INACTIVE"))&gt;0,1,0))</f>
        <v/>
      </c>
    </row>
    <row r="1332">
      <c r="A1332">
        <f>IF(INDEX(L_ID,ROW()-4)="","",IF(COUNTIF(P_ID,INDEX(L_ID,ROW()-4))&gt;0,1,0))</f>
        <v/>
      </c>
      <c r="B1332">
        <f>IF(INDEX(P_Type,ROW()-4)="","",TRIM(UPPER(INDEX(P_Type,ROW()-4))))</f>
        <v/>
      </c>
      <c r="D1332">
        <f>IF(INDEX(L_Type,ROW()-4)="","",TRIM(UPPER(INDEX(L_Type,ROW()-4))))</f>
        <v/>
      </c>
      <c r="E1332">
        <f>IF(INDEX(P_Status,ROW()-4)="","",TRIM(UPPER(INDEX(P_Status,ROW()-4))))</f>
        <v/>
      </c>
      <c r="G1332">
        <f>IF(INDEX(L_Status,ROW()-4)="","",TRIM(UPPER(INDEX(L_Status,ROW()-4))))</f>
        <v/>
      </c>
      <c r="J1332">
        <f>IF(INDEX(L_ID,ROW()-4)="","",IF(SUMPRODUCT((P_ID=INDEX(L_ID,ROW()-4))*(P_StatusN="INACTIVE"))&gt;0,1,0))</f>
        <v/>
      </c>
    </row>
    <row r="1333">
      <c r="A1333">
        <f>IF(INDEX(L_ID,ROW()-4)="","",IF(COUNTIF(P_ID,INDEX(L_ID,ROW()-4))&gt;0,1,0))</f>
        <v/>
      </c>
      <c r="B1333">
        <f>IF(INDEX(P_Type,ROW()-4)="","",TRIM(UPPER(INDEX(P_Type,ROW()-4))))</f>
        <v/>
      </c>
      <c r="D1333">
        <f>IF(INDEX(L_Type,ROW()-4)="","",TRIM(UPPER(INDEX(L_Type,ROW()-4))))</f>
        <v/>
      </c>
      <c r="E1333">
        <f>IF(INDEX(P_Status,ROW()-4)="","",TRIM(UPPER(INDEX(P_Status,ROW()-4))))</f>
        <v/>
      </c>
      <c r="G1333">
        <f>IF(INDEX(L_Status,ROW()-4)="","",TRIM(UPPER(INDEX(L_Status,ROW()-4))))</f>
        <v/>
      </c>
      <c r="J1333">
        <f>IF(INDEX(L_ID,ROW()-4)="","",IF(SUMPRODUCT((P_ID=INDEX(L_ID,ROW()-4))*(P_StatusN="INACTIVE"))&gt;0,1,0))</f>
        <v/>
      </c>
    </row>
    <row r="1334">
      <c r="A1334">
        <f>IF(INDEX(L_ID,ROW()-4)="","",IF(COUNTIF(P_ID,INDEX(L_ID,ROW()-4))&gt;0,1,0))</f>
        <v/>
      </c>
      <c r="B1334">
        <f>IF(INDEX(P_Type,ROW()-4)="","",TRIM(UPPER(INDEX(P_Type,ROW()-4))))</f>
        <v/>
      </c>
      <c r="D1334">
        <f>IF(INDEX(L_Type,ROW()-4)="","",TRIM(UPPER(INDEX(L_Type,ROW()-4))))</f>
        <v/>
      </c>
      <c r="E1334">
        <f>IF(INDEX(P_Status,ROW()-4)="","",TRIM(UPPER(INDEX(P_Status,ROW()-4))))</f>
        <v/>
      </c>
      <c r="G1334">
        <f>IF(INDEX(L_Status,ROW()-4)="","",TRIM(UPPER(INDEX(L_Status,ROW()-4))))</f>
        <v/>
      </c>
      <c r="J1334">
        <f>IF(INDEX(L_ID,ROW()-4)="","",IF(SUMPRODUCT((P_ID=INDEX(L_ID,ROW()-4))*(P_StatusN="INACTIVE"))&gt;0,1,0))</f>
        <v/>
      </c>
    </row>
    <row r="1335">
      <c r="A1335">
        <f>IF(INDEX(L_ID,ROW()-4)="","",IF(COUNTIF(P_ID,INDEX(L_ID,ROW()-4))&gt;0,1,0))</f>
        <v/>
      </c>
      <c r="B1335">
        <f>IF(INDEX(P_Type,ROW()-4)="","",TRIM(UPPER(INDEX(P_Type,ROW()-4))))</f>
        <v/>
      </c>
      <c r="D1335">
        <f>IF(INDEX(L_Type,ROW()-4)="","",TRIM(UPPER(INDEX(L_Type,ROW()-4))))</f>
        <v/>
      </c>
      <c r="E1335">
        <f>IF(INDEX(P_Status,ROW()-4)="","",TRIM(UPPER(INDEX(P_Status,ROW()-4))))</f>
        <v/>
      </c>
      <c r="G1335">
        <f>IF(INDEX(L_Status,ROW()-4)="","",TRIM(UPPER(INDEX(L_Status,ROW()-4))))</f>
        <v/>
      </c>
      <c r="J1335">
        <f>IF(INDEX(L_ID,ROW()-4)="","",IF(SUMPRODUCT((P_ID=INDEX(L_ID,ROW()-4))*(P_StatusN="INACTIVE"))&gt;0,1,0))</f>
        <v/>
      </c>
    </row>
    <row r="1336">
      <c r="A1336">
        <f>IF(INDEX(L_ID,ROW()-4)="","",IF(COUNTIF(P_ID,INDEX(L_ID,ROW()-4))&gt;0,1,0))</f>
        <v/>
      </c>
      <c r="B1336">
        <f>IF(INDEX(P_Type,ROW()-4)="","",TRIM(UPPER(INDEX(P_Type,ROW()-4))))</f>
        <v/>
      </c>
      <c r="D1336">
        <f>IF(INDEX(L_Type,ROW()-4)="","",TRIM(UPPER(INDEX(L_Type,ROW()-4))))</f>
        <v/>
      </c>
      <c r="E1336">
        <f>IF(INDEX(P_Status,ROW()-4)="","",TRIM(UPPER(INDEX(P_Status,ROW()-4))))</f>
        <v/>
      </c>
      <c r="G1336">
        <f>IF(INDEX(L_Status,ROW()-4)="","",TRIM(UPPER(INDEX(L_Status,ROW()-4))))</f>
        <v/>
      </c>
      <c r="J1336">
        <f>IF(INDEX(L_ID,ROW()-4)="","",IF(SUMPRODUCT((P_ID=INDEX(L_ID,ROW()-4))*(P_StatusN="INACTIVE"))&gt;0,1,0))</f>
        <v/>
      </c>
    </row>
    <row r="1337">
      <c r="A1337">
        <f>IF(INDEX(L_ID,ROW()-4)="","",IF(COUNTIF(P_ID,INDEX(L_ID,ROW()-4))&gt;0,1,0))</f>
        <v/>
      </c>
      <c r="B1337">
        <f>IF(INDEX(P_Type,ROW()-4)="","",TRIM(UPPER(INDEX(P_Type,ROW()-4))))</f>
        <v/>
      </c>
      <c r="D1337">
        <f>IF(INDEX(L_Type,ROW()-4)="","",TRIM(UPPER(INDEX(L_Type,ROW()-4))))</f>
        <v/>
      </c>
      <c r="E1337">
        <f>IF(INDEX(P_Status,ROW()-4)="","",TRIM(UPPER(INDEX(P_Status,ROW()-4))))</f>
        <v/>
      </c>
      <c r="G1337">
        <f>IF(INDEX(L_Status,ROW()-4)="","",TRIM(UPPER(INDEX(L_Status,ROW()-4))))</f>
        <v/>
      </c>
      <c r="J1337">
        <f>IF(INDEX(L_ID,ROW()-4)="","",IF(SUMPRODUCT((P_ID=INDEX(L_ID,ROW()-4))*(P_StatusN="INACTIVE"))&gt;0,1,0))</f>
        <v/>
      </c>
    </row>
    <row r="1338">
      <c r="A1338">
        <f>IF(INDEX(L_ID,ROW()-4)="","",IF(COUNTIF(P_ID,INDEX(L_ID,ROW()-4))&gt;0,1,0))</f>
        <v/>
      </c>
      <c r="B1338">
        <f>IF(INDEX(P_Type,ROW()-4)="","",TRIM(UPPER(INDEX(P_Type,ROW()-4))))</f>
        <v/>
      </c>
      <c r="D1338">
        <f>IF(INDEX(L_Type,ROW()-4)="","",TRIM(UPPER(INDEX(L_Type,ROW()-4))))</f>
        <v/>
      </c>
      <c r="E1338">
        <f>IF(INDEX(P_Status,ROW()-4)="","",TRIM(UPPER(INDEX(P_Status,ROW()-4))))</f>
        <v/>
      </c>
      <c r="G1338">
        <f>IF(INDEX(L_Status,ROW()-4)="","",TRIM(UPPER(INDEX(L_Status,ROW()-4))))</f>
        <v/>
      </c>
      <c r="J1338">
        <f>IF(INDEX(L_ID,ROW()-4)="","",IF(SUMPRODUCT((P_ID=INDEX(L_ID,ROW()-4))*(P_StatusN="INACTIVE"))&gt;0,1,0))</f>
        <v/>
      </c>
    </row>
    <row r="1339">
      <c r="A1339">
        <f>IF(INDEX(L_ID,ROW()-4)="","",IF(COUNTIF(P_ID,INDEX(L_ID,ROW()-4))&gt;0,1,0))</f>
        <v/>
      </c>
      <c r="B1339">
        <f>IF(INDEX(P_Type,ROW()-4)="","",TRIM(UPPER(INDEX(P_Type,ROW()-4))))</f>
        <v/>
      </c>
      <c r="D1339">
        <f>IF(INDEX(L_Type,ROW()-4)="","",TRIM(UPPER(INDEX(L_Type,ROW()-4))))</f>
        <v/>
      </c>
      <c r="E1339">
        <f>IF(INDEX(P_Status,ROW()-4)="","",TRIM(UPPER(INDEX(P_Status,ROW()-4))))</f>
        <v/>
      </c>
      <c r="G1339">
        <f>IF(INDEX(L_Status,ROW()-4)="","",TRIM(UPPER(INDEX(L_Status,ROW()-4))))</f>
        <v/>
      </c>
      <c r="J1339">
        <f>IF(INDEX(L_ID,ROW()-4)="","",IF(SUMPRODUCT((P_ID=INDEX(L_ID,ROW()-4))*(P_StatusN="INACTIVE"))&gt;0,1,0))</f>
        <v/>
      </c>
    </row>
    <row r="1340">
      <c r="A1340">
        <f>IF(INDEX(L_ID,ROW()-4)="","",IF(COUNTIF(P_ID,INDEX(L_ID,ROW()-4))&gt;0,1,0))</f>
        <v/>
      </c>
      <c r="B1340">
        <f>IF(INDEX(P_Type,ROW()-4)="","",TRIM(UPPER(INDEX(P_Type,ROW()-4))))</f>
        <v/>
      </c>
      <c r="D1340">
        <f>IF(INDEX(L_Type,ROW()-4)="","",TRIM(UPPER(INDEX(L_Type,ROW()-4))))</f>
        <v/>
      </c>
      <c r="E1340">
        <f>IF(INDEX(P_Status,ROW()-4)="","",TRIM(UPPER(INDEX(P_Status,ROW()-4))))</f>
        <v/>
      </c>
      <c r="G1340">
        <f>IF(INDEX(L_Status,ROW()-4)="","",TRIM(UPPER(INDEX(L_Status,ROW()-4))))</f>
        <v/>
      </c>
      <c r="J1340">
        <f>IF(INDEX(L_ID,ROW()-4)="","",IF(SUMPRODUCT((P_ID=INDEX(L_ID,ROW()-4))*(P_StatusN="INACTIVE"))&gt;0,1,0))</f>
        <v/>
      </c>
    </row>
    <row r="1341">
      <c r="A1341">
        <f>IF(INDEX(L_ID,ROW()-4)="","",IF(COUNTIF(P_ID,INDEX(L_ID,ROW()-4))&gt;0,1,0))</f>
        <v/>
      </c>
      <c r="B1341">
        <f>IF(INDEX(P_Type,ROW()-4)="","",TRIM(UPPER(INDEX(P_Type,ROW()-4))))</f>
        <v/>
      </c>
      <c r="D1341">
        <f>IF(INDEX(L_Type,ROW()-4)="","",TRIM(UPPER(INDEX(L_Type,ROW()-4))))</f>
        <v/>
      </c>
      <c r="E1341">
        <f>IF(INDEX(P_Status,ROW()-4)="","",TRIM(UPPER(INDEX(P_Status,ROW()-4))))</f>
        <v/>
      </c>
      <c r="G1341">
        <f>IF(INDEX(L_Status,ROW()-4)="","",TRIM(UPPER(INDEX(L_Status,ROW()-4))))</f>
        <v/>
      </c>
      <c r="J1341">
        <f>IF(INDEX(L_ID,ROW()-4)="","",IF(SUMPRODUCT((P_ID=INDEX(L_ID,ROW()-4))*(P_StatusN="INACTIVE"))&gt;0,1,0))</f>
        <v/>
      </c>
    </row>
    <row r="1342">
      <c r="A1342">
        <f>IF(INDEX(L_ID,ROW()-4)="","",IF(COUNTIF(P_ID,INDEX(L_ID,ROW()-4))&gt;0,1,0))</f>
        <v/>
      </c>
      <c r="B1342">
        <f>IF(INDEX(P_Type,ROW()-4)="","",TRIM(UPPER(INDEX(P_Type,ROW()-4))))</f>
        <v/>
      </c>
      <c r="D1342">
        <f>IF(INDEX(L_Type,ROW()-4)="","",TRIM(UPPER(INDEX(L_Type,ROW()-4))))</f>
        <v/>
      </c>
      <c r="E1342">
        <f>IF(INDEX(P_Status,ROW()-4)="","",TRIM(UPPER(INDEX(P_Status,ROW()-4))))</f>
        <v/>
      </c>
      <c r="G1342">
        <f>IF(INDEX(L_Status,ROW()-4)="","",TRIM(UPPER(INDEX(L_Status,ROW()-4))))</f>
        <v/>
      </c>
      <c r="J1342">
        <f>IF(INDEX(L_ID,ROW()-4)="","",IF(SUMPRODUCT((P_ID=INDEX(L_ID,ROW()-4))*(P_StatusN="INACTIVE"))&gt;0,1,0))</f>
        <v/>
      </c>
    </row>
    <row r="1343">
      <c r="A1343">
        <f>IF(INDEX(L_ID,ROW()-4)="","",IF(COUNTIF(P_ID,INDEX(L_ID,ROW()-4))&gt;0,1,0))</f>
        <v/>
      </c>
      <c r="B1343">
        <f>IF(INDEX(P_Type,ROW()-4)="","",TRIM(UPPER(INDEX(P_Type,ROW()-4))))</f>
        <v/>
      </c>
      <c r="D1343">
        <f>IF(INDEX(L_Type,ROW()-4)="","",TRIM(UPPER(INDEX(L_Type,ROW()-4))))</f>
        <v/>
      </c>
      <c r="E1343">
        <f>IF(INDEX(P_Status,ROW()-4)="","",TRIM(UPPER(INDEX(P_Status,ROW()-4))))</f>
        <v/>
      </c>
      <c r="G1343">
        <f>IF(INDEX(L_Status,ROW()-4)="","",TRIM(UPPER(INDEX(L_Status,ROW()-4))))</f>
        <v/>
      </c>
      <c r="J1343">
        <f>IF(INDEX(L_ID,ROW()-4)="","",IF(SUMPRODUCT((P_ID=INDEX(L_ID,ROW()-4))*(P_StatusN="INACTIVE"))&gt;0,1,0))</f>
        <v/>
      </c>
    </row>
    <row r="1344">
      <c r="A1344">
        <f>IF(INDEX(L_ID,ROW()-4)="","",IF(COUNTIF(P_ID,INDEX(L_ID,ROW()-4))&gt;0,1,0))</f>
        <v/>
      </c>
      <c r="B1344">
        <f>IF(INDEX(P_Type,ROW()-4)="","",TRIM(UPPER(INDEX(P_Type,ROW()-4))))</f>
        <v/>
      </c>
      <c r="D1344">
        <f>IF(INDEX(L_Type,ROW()-4)="","",TRIM(UPPER(INDEX(L_Type,ROW()-4))))</f>
        <v/>
      </c>
      <c r="E1344">
        <f>IF(INDEX(P_Status,ROW()-4)="","",TRIM(UPPER(INDEX(P_Status,ROW()-4))))</f>
        <v/>
      </c>
      <c r="G1344">
        <f>IF(INDEX(L_Status,ROW()-4)="","",TRIM(UPPER(INDEX(L_Status,ROW()-4))))</f>
        <v/>
      </c>
      <c r="J1344">
        <f>IF(INDEX(L_ID,ROW()-4)="","",IF(SUMPRODUCT((P_ID=INDEX(L_ID,ROW()-4))*(P_StatusN="INACTIVE"))&gt;0,1,0))</f>
        <v/>
      </c>
    </row>
    <row r="1345">
      <c r="A1345">
        <f>IF(INDEX(L_ID,ROW()-4)="","",IF(COUNTIF(P_ID,INDEX(L_ID,ROW()-4))&gt;0,1,0))</f>
        <v/>
      </c>
      <c r="B1345">
        <f>IF(INDEX(P_Type,ROW()-4)="","",TRIM(UPPER(INDEX(P_Type,ROW()-4))))</f>
        <v/>
      </c>
      <c r="D1345">
        <f>IF(INDEX(L_Type,ROW()-4)="","",TRIM(UPPER(INDEX(L_Type,ROW()-4))))</f>
        <v/>
      </c>
      <c r="E1345">
        <f>IF(INDEX(P_Status,ROW()-4)="","",TRIM(UPPER(INDEX(P_Status,ROW()-4))))</f>
        <v/>
      </c>
      <c r="G1345">
        <f>IF(INDEX(L_Status,ROW()-4)="","",TRIM(UPPER(INDEX(L_Status,ROW()-4))))</f>
        <v/>
      </c>
      <c r="J1345">
        <f>IF(INDEX(L_ID,ROW()-4)="","",IF(SUMPRODUCT((P_ID=INDEX(L_ID,ROW()-4))*(P_StatusN="INACTIVE"))&gt;0,1,0))</f>
        <v/>
      </c>
    </row>
    <row r="1346">
      <c r="A1346">
        <f>IF(INDEX(L_ID,ROW()-4)="","",IF(COUNTIF(P_ID,INDEX(L_ID,ROW()-4))&gt;0,1,0))</f>
        <v/>
      </c>
      <c r="B1346">
        <f>IF(INDEX(P_Type,ROW()-4)="","",TRIM(UPPER(INDEX(P_Type,ROW()-4))))</f>
        <v/>
      </c>
      <c r="D1346">
        <f>IF(INDEX(L_Type,ROW()-4)="","",TRIM(UPPER(INDEX(L_Type,ROW()-4))))</f>
        <v/>
      </c>
      <c r="E1346">
        <f>IF(INDEX(P_Status,ROW()-4)="","",TRIM(UPPER(INDEX(P_Status,ROW()-4))))</f>
        <v/>
      </c>
      <c r="G1346">
        <f>IF(INDEX(L_Status,ROW()-4)="","",TRIM(UPPER(INDEX(L_Status,ROW()-4))))</f>
        <v/>
      </c>
      <c r="J1346">
        <f>IF(INDEX(L_ID,ROW()-4)="","",IF(SUMPRODUCT((P_ID=INDEX(L_ID,ROW()-4))*(P_StatusN="INACTIVE"))&gt;0,1,0))</f>
        <v/>
      </c>
    </row>
    <row r="1347">
      <c r="A1347">
        <f>IF(INDEX(L_ID,ROW()-4)="","",IF(COUNTIF(P_ID,INDEX(L_ID,ROW()-4))&gt;0,1,0))</f>
        <v/>
      </c>
      <c r="B1347">
        <f>IF(INDEX(P_Type,ROW()-4)="","",TRIM(UPPER(INDEX(P_Type,ROW()-4))))</f>
        <v/>
      </c>
      <c r="D1347">
        <f>IF(INDEX(L_Type,ROW()-4)="","",TRIM(UPPER(INDEX(L_Type,ROW()-4))))</f>
        <v/>
      </c>
      <c r="E1347">
        <f>IF(INDEX(P_Status,ROW()-4)="","",TRIM(UPPER(INDEX(P_Status,ROW()-4))))</f>
        <v/>
      </c>
      <c r="G1347">
        <f>IF(INDEX(L_Status,ROW()-4)="","",TRIM(UPPER(INDEX(L_Status,ROW()-4))))</f>
        <v/>
      </c>
      <c r="J1347">
        <f>IF(INDEX(L_ID,ROW()-4)="","",IF(SUMPRODUCT((P_ID=INDEX(L_ID,ROW()-4))*(P_StatusN="INACTIVE"))&gt;0,1,0))</f>
        <v/>
      </c>
    </row>
    <row r="1348">
      <c r="A1348">
        <f>IF(INDEX(L_ID,ROW()-4)="","",IF(COUNTIF(P_ID,INDEX(L_ID,ROW()-4))&gt;0,1,0))</f>
        <v/>
      </c>
      <c r="B1348">
        <f>IF(INDEX(P_Type,ROW()-4)="","",TRIM(UPPER(INDEX(P_Type,ROW()-4))))</f>
        <v/>
      </c>
      <c r="D1348">
        <f>IF(INDEX(L_Type,ROW()-4)="","",TRIM(UPPER(INDEX(L_Type,ROW()-4))))</f>
        <v/>
      </c>
      <c r="E1348">
        <f>IF(INDEX(P_Status,ROW()-4)="","",TRIM(UPPER(INDEX(P_Status,ROW()-4))))</f>
        <v/>
      </c>
      <c r="G1348">
        <f>IF(INDEX(L_Status,ROW()-4)="","",TRIM(UPPER(INDEX(L_Status,ROW()-4))))</f>
        <v/>
      </c>
      <c r="J1348">
        <f>IF(INDEX(L_ID,ROW()-4)="","",IF(SUMPRODUCT((P_ID=INDEX(L_ID,ROW()-4))*(P_StatusN="INACTIVE"))&gt;0,1,0))</f>
        <v/>
      </c>
    </row>
    <row r="1349">
      <c r="A1349">
        <f>IF(INDEX(L_ID,ROW()-4)="","",IF(COUNTIF(P_ID,INDEX(L_ID,ROW()-4))&gt;0,1,0))</f>
        <v/>
      </c>
      <c r="B1349">
        <f>IF(INDEX(P_Type,ROW()-4)="","",TRIM(UPPER(INDEX(P_Type,ROW()-4))))</f>
        <v/>
      </c>
      <c r="D1349">
        <f>IF(INDEX(L_Type,ROW()-4)="","",TRIM(UPPER(INDEX(L_Type,ROW()-4))))</f>
        <v/>
      </c>
      <c r="E1349">
        <f>IF(INDEX(P_Status,ROW()-4)="","",TRIM(UPPER(INDEX(P_Status,ROW()-4))))</f>
        <v/>
      </c>
      <c r="G1349">
        <f>IF(INDEX(L_Status,ROW()-4)="","",TRIM(UPPER(INDEX(L_Status,ROW()-4))))</f>
        <v/>
      </c>
      <c r="J1349">
        <f>IF(INDEX(L_ID,ROW()-4)="","",IF(SUMPRODUCT((P_ID=INDEX(L_ID,ROW()-4))*(P_StatusN="INACTIVE"))&gt;0,1,0))</f>
        <v/>
      </c>
    </row>
    <row r="1350">
      <c r="A1350">
        <f>IF(INDEX(L_ID,ROW()-4)="","",IF(COUNTIF(P_ID,INDEX(L_ID,ROW()-4))&gt;0,1,0))</f>
        <v/>
      </c>
      <c r="B1350">
        <f>IF(INDEX(P_Type,ROW()-4)="","",TRIM(UPPER(INDEX(P_Type,ROW()-4))))</f>
        <v/>
      </c>
      <c r="D1350">
        <f>IF(INDEX(L_Type,ROW()-4)="","",TRIM(UPPER(INDEX(L_Type,ROW()-4))))</f>
        <v/>
      </c>
      <c r="E1350">
        <f>IF(INDEX(P_Status,ROW()-4)="","",TRIM(UPPER(INDEX(P_Status,ROW()-4))))</f>
        <v/>
      </c>
      <c r="G1350">
        <f>IF(INDEX(L_Status,ROW()-4)="","",TRIM(UPPER(INDEX(L_Status,ROW()-4))))</f>
        <v/>
      </c>
      <c r="J1350">
        <f>IF(INDEX(L_ID,ROW()-4)="","",IF(SUMPRODUCT((P_ID=INDEX(L_ID,ROW()-4))*(P_StatusN="INACTIVE"))&gt;0,1,0))</f>
        <v/>
      </c>
    </row>
    <row r="1351">
      <c r="A1351">
        <f>IF(INDEX(L_ID,ROW()-4)="","",IF(COUNTIF(P_ID,INDEX(L_ID,ROW()-4))&gt;0,1,0))</f>
        <v/>
      </c>
      <c r="B1351">
        <f>IF(INDEX(P_Type,ROW()-4)="","",TRIM(UPPER(INDEX(P_Type,ROW()-4))))</f>
        <v/>
      </c>
      <c r="D1351">
        <f>IF(INDEX(L_Type,ROW()-4)="","",TRIM(UPPER(INDEX(L_Type,ROW()-4))))</f>
        <v/>
      </c>
      <c r="E1351">
        <f>IF(INDEX(P_Status,ROW()-4)="","",TRIM(UPPER(INDEX(P_Status,ROW()-4))))</f>
        <v/>
      </c>
      <c r="G1351">
        <f>IF(INDEX(L_Status,ROW()-4)="","",TRIM(UPPER(INDEX(L_Status,ROW()-4))))</f>
        <v/>
      </c>
      <c r="J1351">
        <f>IF(INDEX(L_ID,ROW()-4)="","",IF(SUMPRODUCT((P_ID=INDEX(L_ID,ROW()-4))*(P_StatusN="INACTIVE"))&gt;0,1,0))</f>
        <v/>
      </c>
    </row>
    <row r="1352">
      <c r="A1352">
        <f>IF(INDEX(L_ID,ROW()-4)="","",IF(COUNTIF(P_ID,INDEX(L_ID,ROW()-4))&gt;0,1,0))</f>
        <v/>
      </c>
      <c r="B1352">
        <f>IF(INDEX(P_Type,ROW()-4)="","",TRIM(UPPER(INDEX(P_Type,ROW()-4))))</f>
        <v/>
      </c>
      <c r="D1352">
        <f>IF(INDEX(L_Type,ROW()-4)="","",TRIM(UPPER(INDEX(L_Type,ROW()-4))))</f>
        <v/>
      </c>
      <c r="E1352">
        <f>IF(INDEX(P_Status,ROW()-4)="","",TRIM(UPPER(INDEX(P_Status,ROW()-4))))</f>
        <v/>
      </c>
      <c r="G1352">
        <f>IF(INDEX(L_Status,ROW()-4)="","",TRIM(UPPER(INDEX(L_Status,ROW()-4))))</f>
        <v/>
      </c>
      <c r="J1352">
        <f>IF(INDEX(L_ID,ROW()-4)="","",IF(SUMPRODUCT((P_ID=INDEX(L_ID,ROW()-4))*(P_StatusN="INACTIVE"))&gt;0,1,0))</f>
        <v/>
      </c>
    </row>
    <row r="1353">
      <c r="A1353">
        <f>IF(INDEX(L_ID,ROW()-4)="","",IF(COUNTIF(P_ID,INDEX(L_ID,ROW()-4))&gt;0,1,0))</f>
        <v/>
      </c>
      <c r="B1353">
        <f>IF(INDEX(P_Type,ROW()-4)="","",TRIM(UPPER(INDEX(P_Type,ROW()-4))))</f>
        <v/>
      </c>
      <c r="D1353">
        <f>IF(INDEX(L_Type,ROW()-4)="","",TRIM(UPPER(INDEX(L_Type,ROW()-4))))</f>
        <v/>
      </c>
      <c r="E1353">
        <f>IF(INDEX(P_Status,ROW()-4)="","",TRIM(UPPER(INDEX(P_Status,ROW()-4))))</f>
        <v/>
      </c>
      <c r="G1353">
        <f>IF(INDEX(L_Status,ROW()-4)="","",TRIM(UPPER(INDEX(L_Status,ROW()-4))))</f>
        <v/>
      </c>
      <c r="J1353">
        <f>IF(INDEX(L_ID,ROW()-4)="","",IF(SUMPRODUCT((P_ID=INDEX(L_ID,ROW()-4))*(P_StatusN="INACTIVE"))&gt;0,1,0))</f>
        <v/>
      </c>
    </row>
    <row r="1354">
      <c r="A1354">
        <f>IF(INDEX(L_ID,ROW()-4)="","",IF(COUNTIF(P_ID,INDEX(L_ID,ROW()-4))&gt;0,1,0))</f>
        <v/>
      </c>
      <c r="B1354">
        <f>IF(INDEX(P_Type,ROW()-4)="","",TRIM(UPPER(INDEX(P_Type,ROW()-4))))</f>
        <v/>
      </c>
      <c r="D1354">
        <f>IF(INDEX(L_Type,ROW()-4)="","",TRIM(UPPER(INDEX(L_Type,ROW()-4))))</f>
        <v/>
      </c>
      <c r="E1354">
        <f>IF(INDEX(P_Status,ROW()-4)="","",TRIM(UPPER(INDEX(P_Status,ROW()-4))))</f>
        <v/>
      </c>
      <c r="G1354">
        <f>IF(INDEX(L_Status,ROW()-4)="","",TRIM(UPPER(INDEX(L_Status,ROW()-4))))</f>
        <v/>
      </c>
      <c r="J1354">
        <f>IF(INDEX(L_ID,ROW()-4)="","",IF(SUMPRODUCT((P_ID=INDEX(L_ID,ROW()-4))*(P_StatusN="INACTIVE"))&gt;0,1,0))</f>
        <v/>
      </c>
    </row>
    <row r="1355">
      <c r="A1355">
        <f>IF(INDEX(L_ID,ROW()-4)="","",IF(COUNTIF(P_ID,INDEX(L_ID,ROW()-4))&gt;0,1,0))</f>
        <v/>
      </c>
      <c r="B1355">
        <f>IF(INDEX(P_Type,ROW()-4)="","",TRIM(UPPER(INDEX(P_Type,ROW()-4))))</f>
        <v/>
      </c>
      <c r="D1355">
        <f>IF(INDEX(L_Type,ROW()-4)="","",TRIM(UPPER(INDEX(L_Type,ROW()-4))))</f>
        <v/>
      </c>
      <c r="E1355">
        <f>IF(INDEX(P_Status,ROW()-4)="","",TRIM(UPPER(INDEX(P_Status,ROW()-4))))</f>
        <v/>
      </c>
      <c r="G1355">
        <f>IF(INDEX(L_Status,ROW()-4)="","",TRIM(UPPER(INDEX(L_Status,ROW()-4))))</f>
        <v/>
      </c>
      <c r="J1355">
        <f>IF(INDEX(L_ID,ROW()-4)="","",IF(SUMPRODUCT((P_ID=INDEX(L_ID,ROW()-4))*(P_StatusN="INACTIVE"))&gt;0,1,0))</f>
        <v/>
      </c>
    </row>
    <row r="1356">
      <c r="A1356">
        <f>IF(INDEX(L_ID,ROW()-4)="","",IF(COUNTIF(P_ID,INDEX(L_ID,ROW()-4))&gt;0,1,0))</f>
        <v/>
      </c>
      <c r="B1356">
        <f>IF(INDEX(P_Type,ROW()-4)="","",TRIM(UPPER(INDEX(P_Type,ROW()-4))))</f>
        <v/>
      </c>
      <c r="D1356">
        <f>IF(INDEX(L_Type,ROW()-4)="","",TRIM(UPPER(INDEX(L_Type,ROW()-4))))</f>
        <v/>
      </c>
      <c r="E1356">
        <f>IF(INDEX(P_Status,ROW()-4)="","",TRIM(UPPER(INDEX(P_Status,ROW()-4))))</f>
        <v/>
      </c>
      <c r="G1356">
        <f>IF(INDEX(L_Status,ROW()-4)="","",TRIM(UPPER(INDEX(L_Status,ROW()-4))))</f>
        <v/>
      </c>
      <c r="J1356">
        <f>IF(INDEX(L_ID,ROW()-4)="","",IF(SUMPRODUCT((P_ID=INDEX(L_ID,ROW()-4))*(P_StatusN="INACTIVE"))&gt;0,1,0))</f>
        <v/>
      </c>
    </row>
    <row r="1357">
      <c r="A1357">
        <f>IF(INDEX(L_ID,ROW()-4)="","",IF(COUNTIF(P_ID,INDEX(L_ID,ROW()-4))&gt;0,1,0))</f>
        <v/>
      </c>
      <c r="B1357">
        <f>IF(INDEX(P_Type,ROW()-4)="","",TRIM(UPPER(INDEX(P_Type,ROW()-4))))</f>
        <v/>
      </c>
      <c r="D1357">
        <f>IF(INDEX(L_Type,ROW()-4)="","",TRIM(UPPER(INDEX(L_Type,ROW()-4))))</f>
        <v/>
      </c>
      <c r="E1357">
        <f>IF(INDEX(P_Status,ROW()-4)="","",TRIM(UPPER(INDEX(P_Status,ROW()-4))))</f>
        <v/>
      </c>
      <c r="G1357">
        <f>IF(INDEX(L_Status,ROW()-4)="","",TRIM(UPPER(INDEX(L_Status,ROW()-4))))</f>
        <v/>
      </c>
      <c r="J1357">
        <f>IF(INDEX(L_ID,ROW()-4)="","",IF(SUMPRODUCT((P_ID=INDEX(L_ID,ROW()-4))*(P_StatusN="INACTIVE"))&gt;0,1,0))</f>
        <v/>
      </c>
    </row>
    <row r="1358">
      <c r="A1358">
        <f>IF(INDEX(L_ID,ROW()-4)="","",IF(COUNTIF(P_ID,INDEX(L_ID,ROW()-4))&gt;0,1,0))</f>
        <v/>
      </c>
      <c r="B1358">
        <f>IF(INDEX(P_Type,ROW()-4)="","",TRIM(UPPER(INDEX(P_Type,ROW()-4))))</f>
        <v/>
      </c>
      <c r="D1358">
        <f>IF(INDEX(L_Type,ROW()-4)="","",TRIM(UPPER(INDEX(L_Type,ROW()-4))))</f>
        <v/>
      </c>
      <c r="E1358">
        <f>IF(INDEX(P_Status,ROW()-4)="","",TRIM(UPPER(INDEX(P_Status,ROW()-4))))</f>
        <v/>
      </c>
      <c r="G1358">
        <f>IF(INDEX(L_Status,ROW()-4)="","",TRIM(UPPER(INDEX(L_Status,ROW()-4))))</f>
        <v/>
      </c>
      <c r="J1358">
        <f>IF(INDEX(L_ID,ROW()-4)="","",IF(SUMPRODUCT((P_ID=INDEX(L_ID,ROW()-4))*(P_StatusN="INACTIVE"))&gt;0,1,0))</f>
        <v/>
      </c>
    </row>
    <row r="1359">
      <c r="A1359">
        <f>IF(INDEX(L_ID,ROW()-4)="","",IF(COUNTIF(P_ID,INDEX(L_ID,ROW()-4))&gt;0,1,0))</f>
        <v/>
      </c>
      <c r="B1359">
        <f>IF(INDEX(P_Type,ROW()-4)="","",TRIM(UPPER(INDEX(P_Type,ROW()-4))))</f>
        <v/>
      </c>
      <c r="D1359">
        <f>IF(INDEX(L_Type,ROW()-4)="","",TRIM(UPPER(INDEX(L_Type,ROW()-4))))</f>
        <v/>
      </c>
      <c r="E1359">
        <f>IF(INDEX(P_Status,ROW()-4)="","",TRIM(UPPER(INDEX(P_Status,ROW()-4))))</f>
        <v/>
      </c>
      <c r="G1359">
        <f>IF(INDEX(L_Status,ROW()-4)="","",TRIM(UPPER(INDEX(L_Status,ROW()-4))))</f>
        <v/>
      </c>
      <c r="J1359">
        <f>IF(INDEX(L_ID,ROW()-4)="","",IF(SUMPRODUCT((P_ID=INDEX(L_ID,ROW()-4))*(P_StatusN="INACTIVE"))&gt;0,1,0))</f>
        <v/>
      </c>
    </row>
    <row r="1360">
      <c r="A1360">
        <f>IF(INDEX(L_ID,ROW()-4)="","",IF(COUNTIF(P_ID,INDEX(L_ID,ROW()-4))&gt;0,1,0))</f>
        <v/>
      </c>
      <c r="B1360">
        <f>IF(INDEX(P_Type,ROW()-4)="","",TRIM(UPPER(INDEX(P_Type,ROW()-4))))</f>
        <v/>
      </c>
      <c r="D1360">
        <f>IF(INDEX(L_Type,ROW()-4)="","",TRIM(UPPER(INDEX(L_Type,ROW()-4))))</f>
        <v/>
      </c>
      <c r="E1360">
        <f>IF(INDEX(P_Status,ROW()-4)="","",TRIM(UPPER(INDEX(P_Status,ROW()-4))))</f>
        <v/>
      </c>
      <c r="G1360">
        <f>IF(INDEX(L_Status,ROW()-4)="","",TRIM(UPPER(INDEX(L_Status,ROW()-4))))</f>
        <v/>
      </c>
      <c r="J1360">
        <f>IF(INDEX(L_ID,ROW()-4)="","",IF(SUMPRODUCT((P_ID=INDEX(L_ID,ROW()-4))*(P_StatusN="INACTIVE"))&gt;0,1,0))</f>
        <v/>
      </c>
    </row>
    <row r="1361">
      <c r="A1361">
        <f>IF(INDEX(L_ID,ROW()-4)="","",IF(COUNTIF(P_ID,INDEX(L_ID,ROW()-4))&gt;0,1,0))</f>
        <v/>
      </c>
      <c r="B1361">
        <f>IF(INDEX(P_Type,ROW()-4)="","",TRIM(UPPER(INDEX(P_Type,ROW()-4))))</f>
        <v/>
      </c>
      <c r="D1361">
        <f>IF(INDEX(L_Type,ROW()-4)="","",TRIM(UPPER(INDEX(L_Type,ROW()-4))))</f>
        <v/>
      </c>
      <c r="E1361">
        <f>IF(INDEX(P_Status,ROW()-4)="","",TRIM(UPPER(INDEX(P_Status,ROW()-4))))</f>
        <v/>
      </c>
      <c r="G1361">
        <f>IF(INDEX(L_Status,ROW()-4)="","",TRIM(UPPER(INDEX(L_Status,ROW()-4))))</f>
        <v/>
      </c>
      <c r="J1361">
        <f>IF(INDEX(L_ID,ROW()-4)="","",IF(SUMPRODUCT((P_ID=INDEX(L_ID,ROW()-4))*(P_StatusN="INACTIVE"))&gt;0,1,0))</f>
        <v/>
      </c>
    </row>
    <row r="1362">
      <c r="A1362">
        <f>IF(INDEX(L_ID,ROW()-4)="","",IF(COUNTIF(P_ID,INDEX(L_ID,ROW()-4))&gt;0,1,0))</f>
        <v/>
      </c>
      <c r="B1362">
        <f>IF(INDEX(P_Type,ROW()-4)="","",TRIM(UPPER(INDEX(P_Type,ROW()-4))))</f>
        <v/>
      </c>
      <c r="D1362">
        <f>IF(INDEX(L_Type,ROW()-4)="","",TRIM(UPPER(INDEX(L_Type,ROW()-4))))</f>
        <v/>
      </c>
      <c r="E1362">
        <f>IF(INDEX(P_Status,ROW()-4)="","",TRIM(UPPER(INDEX(P_Status,ROW()-4))))</f>
        <v/>
      </c>
      <c r="G1362">
        <f>IF(INDEX(L_Status,ROW()-4)="","",TRIM(UPPER(INDEX(L_Status,ROW()-4))))</f>
        <v/>
      </c>
      <c r="J1362">
        <f>IF(INDEX(L_ID,ROW()-4)="","",IF(SUMPRODUCT((P_ID=INDEX(L_ID,ROW()-4))*(P_StatusN="INACTIVE"))&gt;0,1,0))</f>
        <v/>
      </c>
    </row>
    <row r="1363">
      <c r="A1363">
        <f>IF(INDEX(L_ID,ROW()-4)="","",IF(COUNTIF(P_ID,INDEX(L_ID,ROW()-4))&gt;0,1,0))</f>
        <v/>
      </c>
      <c r="B1363">
        <f>IF(INDEX(P_Type,ROW()-4)="","",TRIM(UPPER(INDEX(P_Type,ROW()-4))))</f>
        <v/>
      </c>
      <c r="D1363">
        <f>IF(INDEX(L_Type,ROW()-4)="","",TRIM(UPPER(INDEX(L_Type,ROW()-4))))</f>
        <v/>
      </c>
      <c r="E1363">
        <f>IF(INDEX(P_Status,ROW()-4)="","",TRIM(UPPER(INDEX(P_Status,ROW()-4))))</f>
        <v/>
      </c>
      <c r="G1363">
        <f>IF(INDEX(L_Status,ROW()-4)="","",TRIM(UPPER(INDEX(L_Status,ROW()-4))))</f>
        <v/>
      </c>
      <c r="J1363">
        <f>IF(INDEX(L_ID,ROW()-4)="","",IF(SUMPRODUCT((P_ID=INDEX(L_ID,ROW()-4))*(P_StatusN="INACTIVE"))&gt;0,1,0))</f>
        <v/>
      </c>
    </row>
    <row r="1364">
      <c r="A1364">
        <f>IF(INDEX(L_ID,ROW()-4)="","",IF(COUNTIF(P_ID,INDEX(L_ID,ROW()-4))&gt;0,1,0))</f>
        <v/>
      </c>
      <c r="B1364">
        <f>IF(INDEX(P_Type,ROW()-4)="","",TRIM(UPPER(INDEX(P_Type,ROW()-4))))</f>
        <v/>
      </c>
      <c r="D1364">
        <f>IF(INDEX(L_Type,ROW()-4)="","",TRIM(UPPER(INDEX(L_Type,ROW()-4))))</f>
        <v/>
      </c>
      <c r="E1364">
        <f>IF(INDEX(P_Status,ROW()-4)="","",TRIM(UPPER(INDEX(P_Status,ROW()-4))))</f>
        <v/>
      </c>
      <c r="G1364">
        <f>IF(INDEX(L_Status,ROW()-4)="","",TRIM(UPPER(INDEX(L_Status,ROW()-4))))</f>
        <v/>
      </c>
      <c r="J1364">
        <f>IF(INDEX(L_ID,ROW()-4)="","",IF(SUMPRODUCT((P_ID=INDEX(L_ID,ROW()-4))*(P_StatusN="INACTIVE"))&gt;0,1,0))</f>
        <v/>
      </c>
    </row>
    <row r="1365">
      <c r="A1365">
        <f>IF(INDEX(L_ID,ROW()-4)="","",IF(COUNTIF(P_ID,INDEX(L_ID,ROW()-4))&gt;0,1,0))</f>
        <v/>
      </c>
      <c r="B1365">
        <f>IF(INDEX(P_Type,ROW()-4)="","",TRIM(UPPER(INDEX(P_Type,ROW()-4))))</f>
        <v/>
      </c>
      <c r="D1365">
        <f>IF(INDEX(L_Type,ROW()-4)="","",TRIM(UPPER(INDEX(L_Type,ROW()-4))))</f>
        <v/>
      </c>
      <c r="E1365">
        <f>IF(INDEX(P_Status,ROW()-4)="","",TRIM(UPPER(INDEX(P_Status,ROW()-4))))</f>
        <v/>
      </c>
      <c r="G1365">
        <f>IF(INDEX(L_Status,ROW()-4)="","",TRIM(UPPER(INDEX(L_Status,ROW()-4))))</f>
        <v/>
      </c>
      <c r="J1365">
        <f>IF(INDEX(L_ID,ROW()-4)="","",IF(SUMPRODUCT((P_ID=INDEX(L_ID,ROW()-4))*(P_StatusN="INACTIVE"))&gt;0,1,0))</f>
        <v/>
      </c>
    </row>
    <row r="1366">
      <c r="A1366">
        <f>IF(INDEX(L_ID,ROW()-4)="","",IF(COUNTIF(P_ID,INDEX(L_ID,ROW()-4))&gt;0,1,0))</f>
        <v/>
      </c>
      <c r="B1366">
        <f>IF(INDEX(P_Type,ROW()-4)="","",TRIM(UPPER(INDEX(P_Type,ROW()-4))))</f>
        <v/>
      </c>
      <c r="D1366">
        <f>IF(INDEX(L_Type,ROW()-4)="","",TRIM(UPPER(INDEX(L_Type,ROW()-4))))</f>
        <v/>
      </c>
      <c r="E1366">
        <f>IF(INDEX(P_Status,ROW()-4)="","",TRIM(UPPER(INDEX(P_Status,ROW()-4))))</f>
        <v/>
      </c>
      <c r="G1366">
        <f>IF(INDEX(L_Status,ROW()-4)="","",TRIM(UPPER(INDEX(L_Status,ROW()-4))))</f>
        <v/>
      </c>
      <c r="J1366">
        <f>IF(INDEX(L_ID,ROW()-4)="","",IF(SUMPRODUCT((P_ID=INDEX(L_ID,ROW()-4))*(P_StatusN="INACTIVE"))&gt;0,1,0))</f>
        <v/>
      </c>
    </row>
    <row r="1367">
      <c r="A1367">
        <f>IF(INDEX(L_ID,ROW()-4)="","",IF(COUNTIF(P_ID,INDEX(L_ID,ROW()-4))&gt;0,1,0))</f>
        <v/>
      </c>
      <c r="B1367">
        <f>IF(INDEX(P_Type,ROW()-4)="","",TRIM(UPPER(INDEX(P_Type,ROW()-4))))</f>
        <v/>
      </c>
      <c r="D1367">
        <f>IF(INDEX(L_Type,ROW()-4)="","",TRIM(UPPER(INDEX(L_Type,ROW()-4))))</f>
        <v/>
      </c>
      <c r="E1367">
        <f>IF(INDEX(P_Status,ROW()-4)="","",TRIM(UPPER(INDEX(P_Status,ROW()-4))))</f>
        <v/>
      </c>
      <c r="G1367">
        <f>IF(INDEX(L_Status,ROW()-4)="","",TRIM(UPPER(INDEX(L_Status,ROW()-4))))</f>
        <v/>
      </c>
      <c r="J1367">
        <f>IF(INDEX(L_ID,ROW()-4)="","",IF(SUMPRODUCT((P_ID=INDEX(L_ID,ROW()-4))*(P_StatusN="INACTIVE"))&gt;0,1,0))</f>
        <v/>
      </c>
    </row>
    <row r="1368">
      <c r="A1368">
        <f>IF(INDEX(L_ID,ROW()-4)="","",IF(COUNTIF(P_ID,INDEX(L_ID,ROW()-4))&gt;0,1,0))</f>
        <v/>
      </c>
      <c r="B1368">
        <f>IF(INDEX(P_Type,ROW()-4)="","",TRIM(UPPER(INDEX(P_Type,ROW()-4))))</f>
        <v/>
      </c>
      <c r="D1368">
        <f>IF(INDEX(L_Type,ROW()-4)="","",TRIM(UPPER(INDEX(L_Type,ROW()-4))))</f>
        <v/>
      </c>
      <c r="E1368">
        <f>IF(INDEX(P_Status,ROW()-4)="","",TRIM(UPPER(INDEX(P_Status,ROW()-4))))</f>
        <v/>
      </c>
      <c r="G1368">
        <f>IF(INDEX(L_Status,ROW()-4)="","",TRIM(UPPER(INDEX(L_Status,ROW()-4))))</f>
        <v/>
      </c>
      <c r="J1368">
        <f>IF(INDEX(L_ID,ROW()-4)="","",IF(SUMPRODUCT((P_ID=INDEX(L_ID,ROW()-4))*(P_StatusN="INACTIVE"))&gt;0,1,0))</f>
        <v/>
      </c>
    </row>
    <row r="1369">
      <c r="A1369">
        <f>IF(INDEX(L_ID,ROW()-4)="","",IF(COUNTIF(P_ID,INDEX(L_ID,ROW()-4))&gt;0,1,0))</f>
        <v/>
      </c>
      <c r="B1369">
        <f>IF(INDEX(P_Type,ROW()-4)="","",TRIM(UPPER(INDEX(P_Type,ROW()-4))))</f>
        <v/>
      </c>
      <c r="D1369">
        <f>IF(INDEX(L_Type,ROW()-4)="","",TRIM(UPPER(INDEX(L_Type,ROW()-4))))</f>
        <v/>
      </c>
      <c r="E1369">
        <f>IF(INDEX(P_Status,ROW()-4)="","",TRIM(UPPER(INDEX(P_Status,ROW()-4))))</f>
        <v/>
      </c>
      <c r="G1369">
        <f>IF(INDEX(L_Status,ROW()-4)="","",TRIM(UPPER(INDEX(L_Status,ROW()-4))))</f>
        <v/>
      </c>
      <c r="J1369">
        <f>IF(INDEX(L_ID,ROW()-4)="","",IF(SUMPRODUCT((P_ID=INDEX(L_ID,ROW()-4))*(P_StatusN="INACTIVE"))&gt;0,1,0))</f>
        <v/>
      </c>
    </row>
    <row r="1370">
      <c r="A1370">
        <f>IF(INDEX(L_ID,ROW()-4)="","",IF(COUNTIF(P_ID,INDEX(L_ID,ROW()-4))&gt;0,1,0))</f>
        <v/>
      </c>
      <c r="B1370">
        <f>IF(INDEX(P_Type,ROW()-4)="","",TRIM(UPPER(INDEX(P_Type,ROW()-4))))</f>
        <v/>
      </c>
      <c r="D1370">
        <f>IF(INDEX(L_Type,ROW()-4)="","",TRIM(UPPER(INDEX(L_Type,ROW()-4))))</f>
        <v/>
      </c>
      <c r="E1370">
        <f>IF(INDEX(P_Status,ROW()-4)="","",TRIM(UPPER(INDEX(P_Status,ROW()-4))))</f>
        <v/>
      </c>
      <c r="G1370">
        <f>IF(INDEX(L_Status,ROW()-4)="","",TRIM(UPPER(INDEX(L_Status,ROW()-4))))</f>
        <v/>
      </c>
      <c r="J1370">
        <f>IF(INDEX(L_ID,ROW()-4)="","",IF(SUMPRODUCT((P_ID=INDEX(L_ID,ROW()-4))*(P_StatusN="INACTIVE"))&gt;0,1,0))</f>
        <v/>
      </c>
    </row>
    <row r="1371">
      <c r="A1371">
        <f>IF(INDEX(L_ID,ROW()-4)="","",IF(COUNTIF(P_ID,INDEX(L_ID,ROW()-4))&gt;0,1,0))</f>
        <v/>
      </c>
      <c r="B1371">
        <f>IF(INDEX(P_Type,ROW()-4)="","",TRIM(UPPER(INDEX(P_Type,ROW()-4))))</f>
        <v/>
      </c>
      <c r="D1371">
        <f>IF(INDEX(L_Type,ROW()-4)="","",TRIM(UPPER(INDEX(L_Type,ROW()-4))))</f>
        <v/>
      </c>
      <c r="E1371">
        <f>IF(INDEX(P_Status,ROW()-4)="","",TRIM(UPPER(INDEX(P_Status,ROW()-4))))</f>
        <v/>
      </c>
      <c r="G1371">
        <f>IF(INDEX(L_Status,ROW()-4)="","",TRIM(UPPER(INDEX(L_Status,ROW()-4))))</f>
        <v/>
      </c>
      <c r="J1371">
        <f>IF(INDEX(L_ID,ROW()-4)="","",IF(SUMPRODUCT((P_ID=INDEX(L_ID,ROW()-4))*(P_StatusN="INACTIVE"))&gt;0,1,0))</f>
        <v/>
      </c>
    </row>
    <row r="1372">
      <c r="A1372">
        <f>IF(INDEX(L_ID,ROW()-4)="","",IF(COUNTIF(P_ID,INDEX(L_ID,ROW()-4))&gt;0,1,0))</f>
        <v/>
      </c>
      <c r="B1372">
        <f>IF(INDEX(P_Type,ROW()-4)="","",TRIM(UPPER(INDEX(P_Type,ROW()-4))))</f>
        <v/>
      </c>
      <c r="D1372">
        <f>IF(INDEX(L_Type,ROW()-4)="","",TRIM(UPPER(INDEX(L_Type,ROW()-4))))</f>
        <v/>
      </c>
      <c r="E1372">
        <f>IF(INDEX(P_Status,ROW()-4)="","",TRIM(UPPER(INDEX(P_Status,ROW()-4))))</f>
        <v/>
      </c>
      <c r="G1372">
        <f>IF(INDEX(L_Status,ROW()-4)="","",TRIM(UPPER(INDEX(L_Status,ROW()-4))))</f>
        <v/>
      </c>
      <c r="J1372">
        <f>IF(INDEX(L_ID,ROW()-4)="","",IF(SUMPRODUCT((P_ID=INDEX(L_ID,ROW()-4))*(P_StatusN="INACTIVE"))&gt;0,1,0))</f>
        <v/>
      </c>
    </row>
    <row r="1373">
      <c r="A1373">
        <f>IF(INDEX(L_ID,ROW()-4)="","",IF(COUNTIF(P_ID,INDEX(L_ID,ROW()-4))&gt;0,1,0))</f>
        <v/>
      </c>
      <c r="B1373">
        <f>IF(INDEX(P_Type,ROW()-4)="","",TRIM(UPPER(INDEX(P_Type,ROW()-4))))</f>
        <v/>
      </c>
      <c r="D1373">
        <f>IF(INDEX(L_Type,ROW()-4)="","",TRIM(UPPER(INDEX(L_Type,ROW()-4))))</f>
        <v/>
      </c>
      <c r="E1373">
        <f>IF(INDEX(P_Status,ROW()-4)="","",TRIM(UPPER(INDEX(P_Status,ROW()-4))))</f>
        <v/>
      </c>
      <c r="G1373">
        <f>IF(INDEX(L_Status,ROW()-4)="","",TRIM(UPPER(INDEX(L_Status,ROW()-4))))</f>
        <v/>
      </c>
      <c r="J1373">
        <f>IF(INDEX(L_ID,ROW()-4)="","",IF(SUMPRODUCT((P_ID=INDEX(L_ID,ROW()-4))*(P_StatusN="INACTIVE"))&gt;0,1,0))</f>
        <v/>
      </c>
    </row>
    <row r="1374">
      <c r="A1374">
        <f>IF(INDEX(L_ID,ROW()-4)="","",IF(COUNTIF(P_ID,INDEX(L_ID,ROW()-4))&gt;0,1,0))</f>
        <v/>
      </c>
      <c r="B1374">
        <f>IF(INDEX(P_Type,ROW()-4)="","",TRIM(UPPER(INDEX(P_Type,ROW()-4))))</f>
        <v/>
      </c>
      <c r="D1374">
        <f>IF(INDEX(L_Type,ROW()-4)="","",TRIM(UPPER(INDEX(L_Type,ROW()-4))))</f>
        <v/>
      </c>
      <c r="E1374">
        <f>IF(INDEX(P_Status,ROW()-4)="","",TRIM(UPPER(INDEX(P_Status,ROW()-4))))</f>
        <v/>
      </c>
      <c r="G1374">
        <f>IF(INDEX(L_Status,ROW()-4)="","",TRIM(UPPER(INDEX(L_Status,ROW()-4))))</f>
        <v/>
      </c>
      <c r="J1374">
        <f>IF(INDEX(L_ID,ROW()-4)="","",IF(SUMPRODUCT((P_ID=INDEX(L_ID,ROW()-4))*(P_StatusN="INACTIVE"))&gt;0,1,0))</f>
        <v/>
      </c>
    </row>
    <row r="1375">
      <c r="A1375">
        <f>IF(INDEX(L_ID,ROW()-4)="","",IF(COUNTIF(P_ID,INDEX(L_ID,ROW()-4))&gt;0,1,0))</f>
        <v/>
      </c>
      <c r="B1375">
        <f>IF(INDEX(P_Type,ROW()-4)="","",TRIM(UPPER(INDEX(P_Type,ROW()-4))))</f>
        <v/>
      </c>
      <c r="D1375">
        <f>IF(INDEX(L_Type,ROW()-4)="","",TRIM(UPPER(INDEX(L_Type,ROW()-4))))</f>
        <v/>
      </c>
      <c r="E1375">
        <f>IF(INDEX(P_Status,ROW()-4)="","",TRIM(UPPER(INDEX(P_Status,ROW()-4))))</f>
        <v/>
      </c>
      <c r="G1375">
        <f>IF(INDEX(L_Status,ROW()-4)="","",TRIM(UPPER(INDEX(L_Status,ROW()-4))))</f>
        <v/>
      </c>
      <c r="J1375">
        <f>IF(INDEX(L_ID,ROW()-4)="","",IF(SUMPRODUCT((P_ID=INDEX(L_ID,ROW()-4))*(P_StatusN="INACTIVE"))&gt;0,1,0))</f>
        <v/>
      </c>
    </row>
    <row r="1376">
      <c r="A1376">
        <f>IF(INDEX(L_ID,ROW()-4)="","",IF(COUNTIF(P_ID,INDEX(L_ID,ROW()-4))&gt;0,1,0))</f>
        <v/>
      </c>
      <c r="B1376">
        <f>IF(INDEX(P_Type,ROW()-4)="","",TRIM(UPPER(INDEX(P_Type,ROW()-4))))</f>
        <v/>
      </c>
      <c r="D1376">
        <f>IF(INDEX(L_Type,ROW()-4)="","",TRIM(UPPER(INDEX(L_Type,ROW()-4))))</f>
        <v/>
      </c>
      <c r="E1376">
        <f>IF(INDEX(P_Status,ROW()-4)="","",TRIM(UPPER(INDEX(P_Status,ROW()-4))))</f>
        <v/>
      </c>
      <c r="G1376">
        <f>IF(INDEX(L_Status,ROW()-4)="","",TRIM(UPPER(INDEX(L_Status,ROW()-4))))</f>
        <v/>
      </c>
      <c r="J1376">
        <f>IF(INDEX(L_ID,ROW()-4)="","",IF(SUMPRODUCT((P_ID=INDEX(L_ID,ROW()-4))*(P_StatusN="INACTIVE"))&gt;0,1,0))</f>
        <v/>
      </c>
    </row>
    <row r="1377">
      <c r="A1377">
        <f>IF(INDEX(L_ID,ROW()-4)="","",IF(COUNTIF(P_ID,INDEX(L_ID,ROW()-4))&gt;0,1,0))</f>
        <v/>
      </c>
      <c r="B1377">
        <f>IF(INDEX(P_Type,ROW()-4)="","",TRIM(UPPER(INDEX(P_Type,ROW()-4))))</f>
        <v/>
      </c>
      <c r="D1377">
        <f>IF(INDEX(L_Type,ROW()-4)="","",TRIM(UPPER(INDEX(L_Type,ROW()-4))))</f>
        <v/>
      </c>
      <c r="E1377">
        <f>IF(INDEX(P_Status,ROW()-4)="","",TRIM(UPPER(INDEX(P_Status,ROW()-4))))</f>
        <v/>
      </c>
      <c r="G1377">
        <f>IF(INDEX(L_Status,ROW()-4)="","",TRIM(UPPER(INDEX(L_Status,ROW()-4))))</f>
        <v/>
      </c>
      <c r="J1377">
        <f>IF(INDEX(L_ID,ROW()-4)="","",IF(SUMPRODUCT((P_ID=INDEX(L_ID,ROW()-4))*(P_StatusN="INACTIVE"))&gt;0,1,0))</f>
        <v/>
      </c>
    </row>
    <row r="1378">
      <c r="A1378">
        <f>IF(INDEX(L_ID,ROW()-4)="","",IF(COUNTIF(P_ID,INDEX(L_ID,ROW()-4))&gt;0,1,0))</f>
        <v/>
      </c>
      <c r="B1378">
        <f>IF(INDEX(P_Type,ROW()-4)="","",TRIM(UPPER(INDEX(P_Type,ROW()-4))))</f>
        <v/>
      </c>
      <c r="D1378">
        <f>IF(INDEX(L_Type,ROW()-4)="","",TRIM(UPPER(INDEX(L_Type,ROW()-4))))</f>
        <v/>
      </c>
      <c r="E1378">
        <f>IF(INDEX(P_Status,ROW()-4)="","",TRIM(UPPER(INDEX(P_Status,ROW()-4))))</f>
        <v/>
      </c>
      <c r="G1378">
        <f>IF(INDEX(L_Status,ROW()-4)="","",TRIM(UPPER(INDEX(L_Status,ROW()-4))))</f>
        <v/>
      </c>
      <c r="J1378">
        <f>IF(INDEX(L_ID,ROW()-4)="","",IF(SUMPRODUCT((P_ID=INDEX(L_ID,ROW()-4))*(P_StatusN="INACTIVE"))&gt;0,1,0))</f>
        <v/>
      </c>
    </row>
    <row r="1379">
      <c r="A1379">
        <f>IF(INDEX(L_ID,ROW()-4)="","",IF(COUNTIF(P_ID,INDEX(L_ID,ROW()-4))&gt;0,1,0))</f>
        <v/>
      </c>
      <c r="B1379">
        <f>IF(INDEX(P_Type,ROW()-4)="","",TRIM(UPPER(INDEX(P_Type,ROW()-4))))</f>
        <v/>
      </c>
      <c r="D1379">
        <f>IF(INDEX(L_Type,ROW()-4)="","",TRIM(UPPER(INDEX(L_Type,ROW()-4))))</f>
        <v/>
      </c>
      <c r="E1379">
        <f>IF(INDEX(P_Status,ROW()-4)="","",TRIM(UPPER(INDEX(P_Status,ROW()-4))))</f>
        <v/>
      </c>
      <c r="G1379">
        <f>IF(INDEX(L_Status,ROW()-4)="","",TRIM(UPPER(INDEX(L_Status,ROW()-4))))</f>
        <v/>
      </c>
      <c r="J1379">
        <f>IF(INDEX(L_ID,ROW()-4)="","",IF(SUMPRODUCT((P_ID=INDEX(L_ID,ROW()-4))*(P_StatusN="INACTIVE"))&gt;0,1,0))</f>
        <v/>
      </c>
    </row>
    <row r="1380">
      <c r="A1380">
        <f>IF(INDEX(L_ID,ROW()-4)="","",IF(COUNTIF(P_ID,INDEX(L_ID,ROW()-4))&gt;0,1,0))</f>
        <v/>
      </c>
      <c r="B1380">
        <f>IF(INDEX(P_Type,ROW()-4)="","",TRIM(UPPER(INDEX(P_Type,ROW()-4))))</f>
        <v/>
      </c>
      <c r="D1380">
        <f>IF(INDEX(L_Type,ROW()-4)="","",TRIM(UPPER(INDEX(L_Type,ROW()-4))))</f>
        <v/>
      </c>
      <c r="E1380">
        <f>IF(INDEX(P_Status,ROW()-4)="","",TRIM(UPPER(INDEX(P_Status,ROW()-4))))</f>
        <v/>
      </c>
      <c r="G1380">
        <f>IF(INDEX(L_Status,ROW()-4)="","",TRIM(UPPER(INDEX(L_Status,ROW()-4))))</f>
        <v/>
      </c>
      <c r="J1380">
        <f>IF(INDEX(L_ID,ROW()-4)="","",IF(SUMPRODUCT((P_ID=INDEX(L_ID,ROW()-4))*(P_StatusN="INACTIVE"))&gt;0,1,0))</f>
        <v/>
      </c>
    </row>
    <row r="1381">
      <c r="A1381">
        <f>IF(INDEX(L_ID,ROW()-4)="","",IF(COUNTIF(P_ID,INDEX(L_ID,ROW()-4))&gt;0,1,0))</f>
        <v/>
      </c>
      <c r="B1381">
        <f>IF(INDEX(P_Type,ROW()-4)="","",TRIM(UPPER(INDEX(P_Type,ROW()-4))))</f>
        <v/>
      </c>
      <c r="D1381">
        <f>IF(INDEX(L_Type,ROW()-4)="","",TRIM(UPPER(INDEX(L_Type,ROW()-4))))</f>
        <v/>
      </c>
      <c r="E1381">
        <f>IF(INDEX(P_Status,ROW()-4)="","",TRIM(UPPER(INDEX(P_Status,ROW()-4))))</f>
        <v/>
      </c>
      <c r="G1381">
        <f>IF(INDEX(L_Status,ROW()-4)="","",TRIM(UPPER(INDEX(L_Status,ROW()-4))))</f>
        <v/>
      </c>
      <c r="J1381">
        <f>IF(INDEX(L_ID,ROW()-4)="","",IF(SUMPRODUCT((P_ID=INDEX(L_ID,ROW()-4))*(P_StatusN="INACTIVE"))&gt;0,1,0))</f>
        <v/>
      </c>
    </row>
    <row r="1382">
      <c r="A1382">
        <f>IF(INDEX(L_ID,ROW()-4)="","",IF(COUNTIF(P_ID,INDEX(L_ID,ROW()-4))&gt;0,1,0))</f>
        <v/>
      </c>
      <c r="B1382">
        <f>IF(INDEX(P_Type,ROW()-4)="","",TRIM(UPPER(INDEX(P_Type,ROW()-4))))</f>
        <v/>
      </c>
      <c r="D1382">
        <f>IF(INDEX(L_Type,ROW()-4)="","",TRIM(UPPER(INDEX(L_Type,ROW()-4))))</f>
        <v/>
      </c>
      <c r="E1382">
        <f>IF(INDEX(P_Status,ROW()-4)="","",TRIM(UPPER(INDEX(P_Status,ROW()-4))))</f>
        <v/>
      </c>
      <c r="G1382">
        <f>IF(INDEX(L_Status,ROW()-4)="","",TRIM(UPPER(INDEX(L_Status,ROW()-4))))</f>
        <v/>
      </c>
      <c r="J1382">
        <f>IF(INDEX(L_ID,ROW()-4)="","",IF(SUMPRODUCT((P_ID=INDEX(L_ID,ROW()-4))*(P_StatusN="INACTIVE"))&gt;0,1,0))</f>
        <v/>
      </c>
    </row>
    <row r="1383">
      <c r="A1383">
        <f>IF(INDEX(L_ID,ROW()-4)="","",IF(COUNTIF(P_ID,INDEX(L_ID,ROW()-4))&gt;0,1,0))</f>
        <v/>
      </c>
      <c r="B1383">
        <f>IF(INDEX(P_Type,ROW()-4)="","",TRIM(UPPER(INDEX(P_Type,ROW()-4))))</f>
        <v/>
      </c>
      <c r="D1383">
        <f>IF(INDEX(L_Type,ROW()-4)="","",TRIM(UPPER(INDEX(L_Type,ROW()-4))))</f>
        <v/>
      </c>
      <c r="E1383">
        <f>IF(INDEX(P_Status,ROW()-4)="","",TRIM(UPPER(INDEX(P_Status,ROW()-4))))</f>
        <v/>
      </c>
      <c r="G1383">
        <f>IF(INDEX(L_Status,ROW()-4)="","",TRIM(UPPER(INDEX(L_Status,ROW()-4))))</f>
        <v/>
      </c>
      <c r="J1383">
        <f>IF(INDEX(L_ID,ROW()-4)="","",IF(SUMPRODUCT((P_ID=INDEX(L_ID,ROW()-4))*(P_StatusN="INACTIVE"))&gt;0,1,0))</f>
        <v/>
      </c>
    </row>
    <row r="1384">
      <c r="A1384">
        <f>IF(INDEX(L_ID,ROW()-4)="","",IF(COUNTIF(P_ID,INDEX(L_ID,ROW()-4))&gt;0,1,0))</f>
        <v/>
      </c>
      <c r="B1384">
        <f>IF(INDEX(P_Type,ROW()-4)="","",TRIM(UPPER(INDEX(P_Type,ROW()-4))))</f>
        <v/>
      </c>
      <c r="D1384">
        <f>IF(INDEX(L_Type,ROW()-4)="","",TRIM(UPPER(INDEX(L_Type,ROW()-4))))</f>
        <v/>
      </c>
      <c r="E1384">
        <f>IF(INDEX(P_Status,ROW()-4)="","",TRIM(UPPER(INDEX(P_Status,ROW()-4))))</f>
        <v/>
      </c>
      <c r="G1384">
        <f>IF(INDEX(L_Status,ROW()-4)="","",TRIM(UPPER(INDEX(L_Status,ROW()-4))))</f>
        <v/>
      </c>
      <c r="J1384">
        <f>IF(INDEX(L_ID,ROW()-4)="","",IF(SUMPRODUCT((P_ID=INDEX(L_ID,ROW()-4))*(P_StatusN="INACTIVE"))&gt;0,1,0))</f>
        <v/>
      </c>
    </row>
    <row r="1385">
      <c r="A1385">
        <f>IF(INDEX(L_ID,ROW()-4)="","",IF(COUNTIF(P_ID,INDEX(L_ID,ROW()-4))&gt;0,1,0))</f>
        <v/>
      </c>
      <c r="B1385">
        <f>IF(INDEX(P_Type,ROW()-4)="","",TRIM(UPPER(INDEX(P_Type,ROW()-4))))</f>
        <v/>
      </c>
      <c r="D1385">
        <f>IF(INDEX(L_Type,ROW()-4)="","",TRIM(UPPER(INDEX(L_Type,ROW()-4))))</f>
        <v/>
      </c>
      <c r="E1385">
        <f>IF(INDEX(P_Status,ROW()-4)="","",TRIM(UPPER(INDEX(P_Status,ROW()-4))))</f>
        <v/>
      </c>
      <c r="G1385">
        <f>IF(INDEX(L_Status,ROW()-4)="","",TRIM(UPPER(INDEX(L_Status,ROW()-4))))</f>
        <v/>
      </c>
      <c r="J1385">
        <f>IF(INDEX(L_ID,ROW()-4)="","",IF(SUMPRODUCT((P_ID=INDEX(L_ID,ROW()-4))*(P_StatusN="INACTIVE"))&gt;0,1,0))</f>
        <v/>
      </c>
    </row>
    <row r="1386">
      <c r="A1386">
        <f>IF(INDEX(L_ID,ROW()-4)="","",IF(COUNTIF(P_ID,INDEX(L_ID,ROW()-4))&gt;0,1,0))</f>
        <v/>
      </c>
      <c r="B1386">
        <f>IF(INDEX(P_Type,ROW()-4)="","",TRIM(UPPER(INDEX(P_Type,ROW()-4))))</f>
        <v/>
      </c>
      <c r="D1386">
        <f>IF(INDEX(L_Type,ROW()-4)="","",TRIM(UPPER(INDEX(L_Type,ROW()-4))))</f>
        <v/>
      </c>
      <c r="E1386">
        <f>IF(INDEX(P_Status,ROW()-4)="","",TRIM(UPPER(INDEX(P_Status,ROW()-4))))</f>
        <v/>
      </c>
      <c r="G1386">
        <f>IF(INDEX(L_Status,ROW()-4)="","",TRIM(UPPER(INDEX(L_Status,ROW()-4))))</f>
        <v/>
      </c>
      <c r="J1386">
        <f>IF(INDEX(L_ID,ROW()-4)="","",IF(SUMPRODUCT((P_ID=INDEX(L_ID,ROW()-4))*(P_StatusN="INACTIVE"))&gt;0,1,0))</f>
        <v/>
      </c>
    </row>
    <row r="1387">
      <c r="A1387">
        <f>IF(INDEX(L_ID,ROW()-4)="","",IF(COUNTIF(P_ID,INDEX(L_ID,ROW()-4))&gt;0,1,0))</f>
        <v/>
      </c>
      <c r="B1387">
        <f>IF(INDEX(P_Type,ROW()-4)="","",TRIM(UPPER(INDEX(P_Type,ROW()-4))))</f>
        <v/>
      </c>
      <c r="D1387">
        <f>IF(INDEX(L_Type,ROW()-4)="","",TRIM(UPPER(INDEX(L_Type,ROW()-4))))</f>
        <v/>
      </c>
      <c r="E1387">
        <f>IF(INDEX(P_Status,ROW()-4)="","",TRIM(UPPER(INDEX(P_Status,ROW()-4))))</f>
        <v/>
      </c>
      <c r="G1387">
        <f>IF(INDEX(L_Status,ROW()-4)="","",TRIM(UPPER(INDEX(L_Status,ROW()-4))))</f>
        <v/>
      </c>
      <c r="J1387">
        <f>IF(INDEX(L_ID,ROW()-4)="","",IF(SUMPRODUCT((P_ID=INDEX(L_ID,ROW()-4))*(P_StatusN="INACTIVE"))&gt;0,1,0))</f>
        <v/>
      </c>
    </row>
    <row r="1388">
      <c r="A1388">
        <f>IF(INDEX(L_ID,ROW()-4)="","",IF(COUNTIF(P_ID,INDEX(L_ID,ROW()-4))&gt;0,1,0))</f>
        <v/>
      </c>
      <c r="B1388">
        <f>IF(INDEX(P_Type,ROW()-4)="","",TRIM(UPPER(INDEX(P_Type,ROW()-4))))</f>
        <v/>
      </c>
      <c r="D1388">
        <f>IF(INDEX(L_Type,ROW()-4)="","",TRIM(UPPER(INDEX(L_Type,ROW()-4))))</f>
        <v/>
      </c>
      <c r="E1388">
        <f>IF(INDEX(P_Status,ROW()-4)="","",TRIM(UPPER(INDEX(P_Status,ROW()-4))))</f>
        <v/>
      </c>
      <c r="G1388">
        <f>IF(INDEX(L_Status,ROW()-4)="","",TRIM(UPPER(INDEX(L_Status,ROW()-4))))</f>
        <v/>
      </c>
      <c r="J1388">
        <f>IF(INDEX(L_ID,ROW()-4)="","",IF(SUMPRODUCT((P_ID=INDEX(L_ID,ROW()-4))*(P_StatusN="INACTIVE"))&gt;0,1,0))</f>
        <v/>
      </c>
    </row>
    <row r="1389">
      <c r="A1389">
        <f>IF(INDEX(L_ID,ROW()-4)="","",IF(COUNTIF(P_ID,INDEX(L_ID,ROW()-4))&gt;0,1,0))</f>
        <v/>
      </c>
      <c r="B1389">
        <f>IF(INDEX(P_Type,ROW()-4)="","",TRIM(UPPER(INDEX(P_Type,ROW()-4))))</f>
        <v/>
      </c>
      <c r="D1389">
        <f>IF(INDEX(L_Type,ROW()-4)="","",TRIM(UPPER(INDEX(L_Type,ROW()-4))))</f>
        <v/>
      </c>
      <c r="E1389">
        <f>IF(INDEX(P_Status,ROW()-4)="","",TRIM(UPPER(INDEX(P_Status,ROW()-4))))</f>
        <v/>
      </c>
      <c r="G1389">
        <f>IF(INDEX(L_Status,ROW()-4)="","",TRIM(UPPER(INDEX(L_Status,ROW()-4))))</f>
        <v/>
      </c>
      <c r="J1389">
        <f>IF(INDEX(L_ID,ROW()-4)="","",IF(SUMPRODUCT((P_ID=INDEX(L_ID,ROW()-4))*(P_StatusN="INACTIVE"))&gt;0,1,0))</f>
        <v/>
      </c>
    </row>
    <row r="1390">
      <c r="A1390">
        <f>IF(INDEX(L_ID,ROW()-4)="","",IF(COUNTIF(P_ID,INDEX(L_ID,ROW()-4))&gt;0,1,0))</f>
        <v/>
      </c>
      <c r="B1390">
        <f>IF(INDEX(P_Type,ROW()-4)="","",TRIM(UPPER(INDEX(P_Type,ROW()-4))))</f>
        <v/>
      </c>
      <c r="D1390">
        <f>IF(INDEX(L_Type,ROW()-4)="","",TRIM(UPPER(INDEX(L_Type,ROW()-4))))</f>
        <v/>
      </c>
      <c r="E1390">
        <f>IF(INDEX(P_Status,ROW()-4)="","",TRIM(UPPER(INDEX(P_Status,ROW()-4))))</f>
        <v/>
      </c>
      <c r="G1390">
        <f>IF(INDEX(L_Status,ROW()-4)="","",TRIM(UPPER(INDEX(L_Status,ROW()-4))))</f>
        <v/>
      </c>
      <c r="J1390">
        <f>IF(INDEX(L_ID,ROW()-4)="","",IF(SUMPRODUCT((P_ID=INDEX(L_ID,ROW()-4))*(P_StatusN="INACTIVE"))&gt;0,1,0))</f>
        <v/>
      </c>
    </row>
    <row r="1391">
      <c r="A1391">
        <f>IF(INDEX(L_ID,ROW()-4)="","",IF(COUNTIF(P_ID,INDEX(L_ID,ROW()-4))&gt;0,1,0))</f>
        <v/>
      </c>
      <c r="B1391">
        <f>IF(INDEX(P_Type,ROW()-4)="","",TRIM(UPPER(INDEX(P_Type,ROW()-4))))</f>
        <v/>
      </c>
      <c r="D1391">
        <f>IF(INDEX(L_Type,ROW()-4)="","",TRIM(UPPER(INDEX(L_Type,ROW()-4))))</f>
        <v/>
      </c>
      <c r="E1391">
        <f>IF(INDEX(P_Status,ROW()-4)="","",TRIM(UPPER(INDEX(P_Status,ROW()-4))))</f>
        <v/>
      </c>
      <c r="G1391">
        <f>IF(INDEX(L_Status,ROW()-4)="","",TRIM(UPPER(INDEX(L_Status,ROW()-4))))</f>
        <v/>
      </c>
      <c r="J1391">
        <f>IF(INDEX(L_ID,ROW()-4)="","",IF(SUMPRODUCT((P_ID=INDEX(L_ID,ROW()-4))*(P_StatusN="INACTIVE"))&gt;0,1,0))</f>
        <v/>
      </c>
    </row>
    <row r="1392">
      <c r="A1392">
        <f>IF(INDEX(L_ID,ROW()-4)="","",IF(COUNTIF(P_ID,INDEX(L_ID,ROW()-4))&gt;0,1,0))</f>
        <v/>
      </c>
      <c r="B1392">
        <f>IF(INDEX(P_Type,ROW()-4)="","",TRIM(UPPER(INDEX(P_Type,ROW()-4))))</f>
        <v/>
      </c>
      <c r="D1392">
        <f>IF(INDEX(L_Type,ROW()-4)="","",TRIM(UPPER(INDEX(L_Type,ROW()-4))))</f>
        <v/>
      </c>
      <c r="E1392">
        <f>IF(INDEX(P_Status,ROW()-4)="","",TRIM(UPPER(INDEX(P_Status,ROW()-4))))</f>
        <v/>
      </c>
      <c r="G1392">
        <f>IF(INDEX(L_Status,ROW()-4)="","",TRIM(UPPER(INDEX(L_Status,ROW()-4))))</f>
        <v/>
      </c>
      <c r="J1392">
        <f>IF(INDEX(L_ID,ROW()-4)="","",IF(SUMPRODUCT((P_ID=INDEX(L_ID,ROW()-4))*(P_StatusN="INACTIVE"))&gt;0,1,0))</f>
        <v/>
      </c>
    </row>
    <row r="1393">
      <c r="A1393">
        <f>IF(INDEX(L_ID,ROW()-4)="","",IF(COUNTIF(P_ID,INDEX(L_ID,ROW()-4))&gt;0,1,0))</f>
        <v/>
      </c>
      <c r="B1393">
        <f>IF(INDEX(P_Type,ROW()-4)="","",TRIM(UPPER(INDEX(P_Type,ROW()-4))))</f>
        <v/>
      </c>
      <c r="D1393">
        <f>IF(INDEX(L_Type,ROW()-4)="","",TRIM(UPPER(INDEX(L_Type,ROW()-4))))</f>
        <v/>
      </c>
      <c r="E1393">
        <f>IF(INDEX(P_Status,ROW()-4)="","",TRIM(UPPER(INDEX(P_Status,ROW()-4))))</f>
        <v/>
      </c>
      <c r="G1393">
        <f>IF(INDEX(L_Status,ROW()-4)="","",TRIM(UPPER(INDEX(L_Status,ROW()-4))))</f>
        <v/>
      </c>
      <c r="J1393">
        <f>IF(INDEX(L_ID,ROW()-4)="","",IF(SUMPRODUCT((P_ID=INDEX(L_ID,ROW()-4))*(P_StatusN="INACTIVE"))&gt;0,1,0))</f>
        <v/>
      </c>
    </row>
    <row r="1394">
      <c r="A1394">
        <f>IF(INDEX(L_ID,ROW()-4)="","",IF(COUNTIF(P_ID,INDEX(L_ID,ROW()-4))&gt;0,1,0))</f>
        <v/>
      </c>
      <c r="B1394">
        <f>IF(INDEX(P_Type,ROW()-4)="","",TRIM(UPPER(INDEX(P_Type,ROW()-4))))</f>
        <v/>
      </c>
      <c r="D1394">
        <f>IF(INDEX(L_Type,ROW()-4)="","",TRIM(UPPER(INDEX(L_Type,ROW()-4))))</f>
        <v/>
      </c>
      <c r="E1394">
        <f>IF(INDEX(P_Status,ROW()-4)="","",TRIM(UPPER(INDEX(P_Status,ROW()-4))))</f>
        <v/>
      </c>
      <c r="G1394">
        <f>IF(INDEX(L_Status,ROW()-4)="","",TRIM(UPPER(INDEX(L_Status,ROW()-4))))</f>
        <v/>
      </c>
      <c r="J1394">
        <f>IF(INDEX(L_ID,ROW()-4)="","",IF(SUMPRODUCT((P_ID=INDEX(L_ID,ROW()-4))*(P_StatusN="INACTIVE"))&gt;0,1,0))</f>
        <v/>
      </c>
    </row>
    <row r="1395">
      <c r="A1395">
        <f>IF(INDEX(L_ID,ROW()-4)="","",IF(COUNTIF(P_ID,INDEX(L_ID,ROW()-4))&gt;0,1,0))</f>
        <v/>
      </c>
      <c r="B1395">
        <f>IF(INDEX(P_Type,ROW()-4)="","",TRIM(UPPER(INDEX(P_Type,ROW()-4))))</f>
        <v/>
      </c>
      <c r="D1395">
        <f>IF(INDEX(L_Type,ROW()-4)="","",TRIM(UPPER(INDEX(L_Type,ROW()-4))))</f>
        <v/>
      </c>
      <c r="E1395">
        <f>IF(INDEX(P_Status,ROW()-4)="","",TRIM(UPPER(INDEX(P_Status,ROW()-4))))</f>
        <v/>
      </c>
      <c r="G1395">
        <f>IF(INDEX(L_Status,ROW()-4)="","",TRIM(UPPER(INDEX(L_Status,ROW()-4))))</f>
        <v/>
      </c>
      <c r="J1395">
        <f>IF(INDEX(L_ID,ROW()-4)="","",IF(SUMPRODUCT((P_ID=INDEX(L_ID,ROW()-4))*(P_StatusN="INACTIVE"))&gt;0,1,0))</f>
        <v/>
      </c>
    </row>
    <row r="1396">
      <c r="A1396">
        <f>IF(INDEX(L_ID,ROW()-4)="","",IF(COUNTIF(P_ID,INDEX(L_ID,ROW()-4))&gt;0,1,0))</f>
        <v/>
      </c>
      <c r="B1396">
        <f>IF(INDEX(P_Type,ROW()-4)="","",TRIM(UPPER(INDEX(P_Type,ROW()-4))))</f>
        <v/>
      </c>
      <c r="D1396">
        <f>IF(INDEX(L_Type,ROW()-4)="","",TRIM(UPPER(INDEX(L_Type,ROW()-4))))</f>
        <v/>
      </c>
      <c r="E1396">
        <f>IF(INDEX(P_Status,ROW()-4)="","",TRIM(UPPER(INDEX(P_Status,ROW()-4))))</f>
        <v/>
      </c>
      <c r="G1396">
        <f>IF(INDEX(L_Status,ROW()-4)="","",TRIM(UPPER(INDEX(L_Status,ROW()-4))))</f>
        <v/>
      </c>
      <c r="J1396">
        <f>IF(INDEX(L_ID,ROW()-4)="","",IF(SUMPRODUCT((P_ID=INDEX(L_ID,ROW()-4))*(P_StatusN="INACTIVE"))&gt;0,1,0))</f>
        <v/>
      </c>
    </row>
    <row r="1397">
      <c r="A1397">
        <f>IF(INDEX(L_ID,ROW()-4)="","",IF(COUNTIF(P_ID,INDEX(L_ID,ROW()-4))&gt;0,1,0))</f>
        <v/>
      </c>
      <c r="B1397">
        <f>IF(INDEX(P_Type,ROW()-4)="","",TRIM(UPPER(INDEX(P_Type,ROW()-4))))</f>
        <v/>
      </c>
      <c r="D1397">
        <f>IF(INDEX(L_Type,ROW()-4)="","",TRIM(UPPER(INDEX(L_Type,ROW()-4))))</f>
        <v/>
      </c>
      <c r="E1397">
        <f>IF(INDEX(P_Status,ROW()-4)="","",TRIM(UPPER(INDEX(P_Status,ROW()-4))))</f>
        <v/>
      </c>
      <c r="G1397">
        <f>IF(INDEX(L_Status,ROW()-4)="","",TRIM(UPPER(INDEX(L_Status,ROW()-4))))</f>
        <v/>
      </c>
      <c r="J1397">
        <f>IF(INDEX(L_ID,ROW()-4)="","",IF(SUMPRODUCT((P_ID=INDEX(L_ID,ROW()-4))*(P_StatusN="INACTIVE"))&gt;0,1,0))</f>
        <v/>
      </c>
    </row>
    <row r="1398">
      <c r="A1398">
        <f>IF(INDEX(L_ID,ROW()-4)="","",IF(COUNTIF(P_ID,INDEX(L_ID,ROW()-4))&gt;0,1,0))</f>
        <v/>
      </c>
      <c r="B1398">
        <f>IF(INDEX(P_Type,ROW()-4)="","",TRIM(UPPER(INDEX(P_Type,ROW()-4))))</f>
        <v/>
      </c>
      <c r="D1398">
        <f>IF(INDEX(L_Type,ROW()-4)="","",TRIM(UPPER(INDEX(L_Type,ROW()-4))))</f>
        <v/>
      </c>
      <c r="E1398">
        <f>IF(INDEX(P_Status,ROW()-4)="","",TRIM(UPPER(INDEX(P_Status,ROW()-4))))</f>
        <v/>
      </c>
      <c r="G1398">
        <f>IF(INDEX(L_Status,ROW()-4)="","",TRIM(UPPER(INDEX(L_Status,ROW()-4))))</f>
        <v/>
      </c>
      <c r="J1398">
        <f>IF(INDEX(L_ID,ROW()-4)="","",IF(SUMPRODUCT((P_ID=INDEX(L_ID,ROW()-4))*(P_StatusN="INACTIVE"))&gt;0,1,0))</f>
        <v/>
      </c>
    </row>
    <row r="1399">
      <c r="A1399">
        <f>IF(INDEX(L_ID,ROW()-4)="","",IF(COUNTIF(P_ID,INDEX(L_ID,ROW()-4))&gt;0,1,0))</f>
        <v/>
      </c>
      <c r="B1399">
        <f>IF(INDEX(P_Type,ROW()-4)="","",TRIM(UPPER(INDEX(P_Type,ROW()-4))))</f>
        <v/>
      </c>
      <c r="D1399">
        <f>IF(INDEX(L_Type,ROW()-4)="","",TRIM(UPPER(INDEX(L_Type,ROW()-4))))</f>
        <v/>
      </c>
      <c r="E1399">
        <f>IF(INDEX(P_Status,ROW()-4)="","",TRIM(UPPER(INDEX(P_Status,ROW()-4))))</f>
        <v/>
      </c>
      <c r="G1399">
        <f>IF(INDEX(L_Status,ROW()-4)="","",TRIM(UPPER(INDEX(L_Status,ROW()-4))))</f>
        <v/>
      </c>
      <c r="J1399">
        <f>IF(INDEX(L_ID,ROW()-4)="","",IF(SUMPRODUCT((P_ID=INDEX(L_ID,ROW()-4))*(P_StatusN="INACTIVE"))&gt;0,1,0))</f>
        <v/>
      </c>
    </row>
    <row r="1400">
      <c r="A1400">
        <f>IF(INDEX(L_ID,ROW()-4)="","",IF(COUNTIF(P_ID,INDEX(L_ID,ROW()-4))&gt;0,1,0))</f>
        <v/>
      </c>
      <c r="B1400">
        <f>IF(INDEX(P_Type,ROW()-4)="","",TRIM(UPPER(INDEX(P_Type,ROW()-4))))</f>
        <v/>
      </c>
      <c r="D1400">
        <f>IF(INDEX(L_Type,ROW()-4)="","",TRIM(UPPER(INDEX(L_Type,ROW()-4))))</f>
        <v/>
      </c>
      <c r="E1400">
        <f>IF(INDEX(P_Status,ROW()-4)="","",TRIM(UPPER(INDEX(P_Status,ROW()-4))))</f>
        <v/>
      </c>
      <c r="G1400">
        <f>IF(INDEX(L_Status,ROW()-4)="","",TRIM(UPPER(INDEX(L_Status,ROW()-4))))</f>
        <v/>
      </c>
      <c r="J1400">
        <f>IF(INDEX(L_ID,ROW()-4)="","",IF(SUMPRODUCT((P_ID=INDEX(L_ID,ROW()-4))*(P_StatusN="INACTIVE"))&gt;0,1,0))</f>
        <v/>
      </c>
    </row>
    <row r="1401">
      <c r="A1401">
        <f>IF(INDEX(L_ID,ROW()-4)="","",IF(COUNTIF(P_ID,INDEX(L_ID,ROW()-4))&gt;0,1,0))</f>
        <v/>
      </c>
      <c r="B1401">
        <f>IF(INDEX(P_Type,ROW()-4)="","",TRIM(UPPER(INDEX(P_Type,ROW()-4))))</f>
        <v/>
      </c>
      <c r="D1401">
        <f>IF(INDEX(L_Type,ROW()-4)="","",TRIM(UPPER(INDEX(L_Type,ROW()-4))))</f>
        <v/>
      </c>
      <c r="E1401">
        <f>IF(INDEX(P_Status,ROW()-4)="","",TRIM(UPPER(INDEX(P_Status,ROW()-4))))</f>
        <v/>
      </c>
      <c r="G1401">
        <f>IF(INDEX(L_Status,ROW()-4)="","",TRIM(UPPER(INDEX(L_Status,ROW()-4))))</f>
        <v/>
      </c>
      <c r="J1401">
        <f>IF(INDEX(L_ID,ROW()-4)="","",IF(SUMPRODUCT((P_ID=INDEX(L_ID,ROW()-4))*(P_StatusN="INACTIVE"))&gt;0,1,0))</f>
        <v/>
      </c>
    </row>
    <row r="1402">
      <c r="A1402">
        <f>IF(INDEX(L_ID,ROW()-4)="","",IF(COUNTIF(P_ID,INDEX(L_ID,ROW()-4))&gt;0,1,0))</f>
        <v/>
      </c>
      <c r="B1402">
        <f>IF(INDEX(P_Type,ROW()-4)="","",TRIM(UPPER(INDEX(P_Type,ROW()-4))))</f>
        <v/>
      </c>
      <c r="D1402">
        <f>IF(INDEX(L_Type,ROW()-4)="","",TRIM(UPPER(INDEX(L_Type,ROW()-4))))</f>
        <v/>
      </c>
      <c r="E1402">
        <f>IF(INDEX(P_Status,ROW()-4)="","",TRIM(UPPER(INDEX(P_Status,ROW()-4))))</f>
        <v/>
      </c>
      <c r="G1402">
        <f>IF(INDEX(L_Status,ROW()-4)="","",TRIM(UPPER(INDEX(L_Status,ROW()-4))))</f>
        <v/>
      </c>
      <c r="J1402">
        <f>IF(INDEX(L_ID,ROW()-4)="","",IF(SUMPRODUCT((P_ID=INDEX(L_ID,ROW()-4))*(P_StatusN="INACTIVE"))&gt;0,1,0))</f>
        <v/>
      </c>
    </row>
    <row r="1403">
      <c r="A1403">
        <f>IF(INDEX(L_ID,ROW()-4)="","",IF(COUNTIF(P_ID,INDEX(L_ID,ROW()-4))&gt;0,1,0))</f>
        <v/>
      </c>
      <c r="B1403">
        <f>IF(INDEX(P_Type,ROW()-4)="","",TRIM(UPPER(INDEX(P_Type,ROW()-4))))</f>
        <v/>
      </c>
      <c r="D1403">
        <f>IF(INDEX(L_Type,ROW()-4)="","",TRIM(UPPER(INDEX(L_Type,ROW()-4))))</f>
        <v/>
      </c>
      <c r="E1403">
        <f>IF(INDEX(P_Status,ROW()-4)="","",TRIM(UPPER(INDEX(P_Status,ROW()-4))))</f>
        <v/>
      </c>
      <c r="G1403">
        <f>IF(INDEX(L_Status,ROW()-4)="","",TRIM(UPPER(INDEX(L_Status,ROW()-4))))</f>
        <v/>
      </c>
      <c r="J1403">
        <f>IF(INDEX(L_ID,ROW()-4)="","",IF(SUMPRODUCT((P_ID=INDEX(L_ID,ROW()-4))*(P_StatusN="INACTIVE"))&gt;0,1,0))</f>
        <v/>
      </c>
    </row>
    <row r="1404">
      <c r="A1404">
        <f>IF(INDEX(L_ID,ROW()-4)="","",IF(COUNTIF(P_ID,INDEX(L_ID,ROW()-4))&gt;0,1,0))</f>
        <v/>
      </c>
      <c r="B1404">
        <f>IF(INDEX(P_Type,ROW()-4)="","",TRIM(UPPER(INDEX(P_Type,ROW()-4))))</f>
        <v/>
      </c>
      <c r="D1404">
        <f>IF(INDEX(L_Type,ROW()-4)="","",TRIM(UPPER(INDEX(L_Type,ROW()-4))))</f>
        <v/>
      </c>
      <c r="E1404">
        <f>IF(INDEX(P_Status,ROW()-4)="","",TRIM(UPPER(INDEX(P_Status,ROW()-4))))</f>
        <v/>
      </c>
      <c r="G1404">
        <f>IF(INDEX(L_Status,ROW()-4)="","",TRIM(UPPER(INDEX(L_Status,ROW()-4))))</f>
        <v/>
      </c>
      <c r="J1404">
        <f>IF(INDEX(L_ID,ROW()-4)="","",IF(SUMPRODUCT((P_ID=INDEX(L_ID,ROW()-4))*(P_StatusN="INACTIVE"))&gt;0,1,0))</f>
        <v/>
      </c>
    </row>
    <row r="1405">
      <c r="A1405">
        <f>IF(INDEX(L_ID,ROW()-4)="","",IF(COUNTIF(P_ID,INDEX(L_ID,ROW()-4))&gt;0,1,0))</f>
        <v/>
      </c>
      <c r="B1405">
        <f>IF(INDEX(P_Type,ROW()-4)="","",TRIM(UPPER(INDEX(P_Type,ROW()-4))))</f>
        <v/>
      </c>
      <c r="D1405">
        <f>IF(INDEX(L_Type,ROW()-4)="","",TRIM(UPPER(INDEX(L_Type,ROW()-4))))</f>
        <v/>
      </c>
      <c r="E1405">
        <f>IF(INDEX(P_Status,ROW()-4)="","",TRIM(UPPER(INDEX(P_Status,ROW()-4))))</f>
        <v/>
      </c>
      <c r="G1405">
        <f>IF(INDEX(L_Status,ROW()-4)="","",TRIM(UPPER(INDEX(L_Status,ROW()-4))))</f>
        <v/>
      </c>
      <c r="J1405">
        <f>IF(INDEX(L_ID,ROW()-4)="","",IF(SUMPRODUCT((P_ID=INDEX(L_ID,ROW()-4))*(P_StatusN="INACTIVE"))&gt;0,1,0))</f>
        <v/>
      </c>
    </row>
    <row r="1406">
      <c r="A1406">
        <f>IF(INDEX(L_ID,ROW()-4)="","",IF(COUNTIF(P_ID,INDEX(L_ID,ROW()-4))&gt;0,1,0))</f>
        <v/>
      </c>
      <c r="B1406">
        <f>IF(INDEX(P_Type,ROW()-4)="","",TRIM(UPPER(INDEX(P_Type,ROW()-4))))</f>
        <v/>
      </c>
      <c r="D1406">
        <f>IF(INDEX(L_Type,ROW()-4)="","",TRIM(UPPER(INDEX(L_Type,ROW()-4))))</f>
        <v/>
      </c>
      <c r="E1406">
        <f>IF(INDEX(P_Status,ROW()-4)="","",TRIM(UPPER(INDEX(P_Status,ROW()-4))))</f>
        <v/>
      </c>
      <c r="G1406">
        <f>IF(INDEX(L_Status,ROW()-4)="","",TRIM(UPPER(INDEX(L_Status,ROW()-4))))</f>
        <v/>
      </c>
      <c r="J1406">
        <f>IF(INDEX(L_ID,ROW()-4)="","",IF(SUMPRODUCT((P_ID=INDEX(L_ID,ROW()-4))*(P_StatusN="INACTIVE"))&gt;0,1,0))</f>
        <v/>
      </c>
    </row>
    <row r="1407">
      <c r="A1407">
        <f>IF(INDEX(L_ID,ROW()-4)="","",IF(COUNTIF(P_ID,INDEX(L_ID,ROW()-4))&gt;0,1,0))</f>
        <v/>
      </c>
      <c r="B1407">
        <f>IF(INDEX(P_Type,ROW()-4)="","",TRIM(UPPER(INDEX(P_Type,ROW()-4))))</f>
        <v/>
      </c>
      <c r="D1407">
        <f>IF(INDEX(L_Type,ROW()-4)="","",TRIM(UPPER(INDEX(L_Type,ROW()-4))))</f>
        <v/>
      </c>
      <c r="E1407">
        <f>IF(INDEX(P_Status,ROW()-4)="","",TRIM(UPPER(INDEX(P_Status,ROW()-4))))</f>
        <v/>
      </c>
      <c r="G1407">
        <f>IF(INDEX(L_Status,ROW()-4)="","",TRIM(UPPER(INDEX(L_Status,ROW()-4))))</f>
        <v/>
      </c>
      <c r="J1407">
        <f>IF(INDEX(L_ID,ROW()-4)="","",IF(SUMPRODUCT((P_ID=INDEX(L_ID,ROW()-4))*(P_StatusN="INACTIVE"))&gt;0,1,0))</f>
        <v/>
      </c>
    </row>
    <row r="1408">
      <c r="A1408">
        <f>IF(INDEX(L_ID,ROW()-4)="","",IF(COUNTIF(P_ID,INDEX(L_ID,ROW()-4))&gt;0,1,0))</f>
        <v/>
      </c>
      <c r="B1408">
        <f>IF(INDEX(P_Type,ROW()-4)="","",TRIM(UPPER(INDEX(P_Type,ROW()-4))))</f>
        <v/>
      </c>
      <c r="D1408">
        <f>IF(INDEX(L_Type,ROW()-4)="","",TRIM(UPPER(INDEX(L_Type,ROW()-4))))</f>
        <v/>
      </c>
      <c r="E1408">
        <f>IF(INDEX(P_Status,ROW()-4)="","",TRIM(UPPER(INDEX(P_Status,ROW()-4))))</f>
        <v/>
      </c>
      <c r="G1408">
        <f>IF(INDEX(L_Status,ROW()-4)="","",TRIM(UPPER(INDEX(L_Status,ROW()-4))))</f>
        <v/>
      </c>
      <c r="J1408">
        <f>IF(INDEX(L_ID,ROW()-4)="","",IF(SUMPRODUCT((P_ID=INDEX(L_ID,ROW()-4))*(P_StatusN="INACTIVE"))&gt;0,1,0))</f>
        <v/>
      </c>
    </row>
    <row r="1409">
      <c r="A1409">
        <f>IF(INDEX(L_ID,ROW()-4)="","",IF(COUNTIF(P_ID,INDEX(L_ID,ROW()-4))&gt;0,1,0))</f>
        <v/>
      </c>
      <c r="B1409">
        <f>IF(INDEX(P_Type,ROW()-4)="","",TRIM(UPPER(INDEX(P_Type,ROW()-4))))</f>
        <v/>
      </c>
      <c r="D1409">
        <f>IF(INDEX(L_Type,ROW()-4)="","",TRIM(UPPER(INDEX(L_Type,ROW()-4))))</f>
        <v/>
      </c>
      <c r="E1409">
        <f>IF(INDEX(P_Status,ROW()-4)="","",TRIM(UPPER(INDEX(P_Status,ROW()-4))))</f>
        <v/>
      </c>
      <c r="G1409">
        <f>IF(INDEX(L_Status,ROW()-4)="","",TRIM(UPPER(INDEX(L_Status,ROW()-4))))</f>
        <v/>
      </c>
      <c r="J1409">
        <f>IF(INDEX(L_ID,ROW()-4)="","",IF(SUMPRODUCT((P_ID=INDEX(L_ID,ROW()-4))*(P_StatusN="INACTIVE"))&gt;0,1,0))</f>
        <v/>
      </c>
    </row>
    <row r="1410">
      <c r="A1410">
        <f>IF(INDEX(L_ID,ROW()-4)="","",IF(COUNTIF(P_ID,INDEX(L_ID,ROW()-4))&gt;0,1,0))</f>
        <v/>
      </c>
      <c r="B1410">
        <f>IF(INDEX(P_Type,ROW()-4)="","",TRIM(UPPER(INDEX(P_Type,ROW()-4))))</f>
        <v/>
      </c>
      <c r="D1410">
        <f>IF(INDEX(L_Type,ROW()-4)="","",TRIM(UPPER(INDEX(L_Type,ROW()-4))))</f>
        <v/>
      </c>
      <c r="E1410">
        <f>IF(INDEX(P_Status,ROW()-4)="","",TRIM(UPPER(INDEX(P_Status,ROW()-4))))</f>
        <v/>
      </c>
      <c r="G1410">
        <f>IF(INDEX(L_Status,ROW()-4)="","",TRIM(UPPER(INDEX(L_Status,ROW()-4))))</f>
        <v/>
      </c>
      <c r="J1410">
        <f>IF(INDEX(L_ID,ROW()-4)="","",IF(SUMPRODUCT((P_ID=INDEX(L_ID,ROW()-4))*(P_StatusN="INACTIVE"))&gt;0,1,0))</f>
        <v/>
      </c>
    </row>
    <row r="1411">
      <c r="A1411">
        <f>IF(INDEX(L_ID,ROW()-4)="","",IF(COUNTIF(P_ID,INDEX(L_ID,ROW()-4))&gt;0,1,0))</f>
        <v/>
      </c>
      <c r="B1411">
        <f>IF(INDEX(P_Type,ROW()-4)="","",TRIM(UPPER(INDEX(P_Type,ROW()-4))))</f>
        <v/>
      </c>
      <c r="D1411">
        <f>IF(INDEX(L_Type,ROW()-4)="","",TRIM(UPPER(INDEX(L_Type,ROW()-4))))</f>
        <v/>
      </c>
      <c r="E1411">
        <f>IF(INDEX(P_Status,ROW()-4)="","",TRIM(UPPER(INDEX(P_Status,ROW()-4))))</f>
        <v/>
      </c>
      <c r="G1411">
        <f>IF(INDEX(L_Status,ROW()-4)="","",TRIM(UPPER(INDEX(L_Status,ROW()-4))))</f>
        <v/>
      </c>
      <c r="J1411">
        <f>IF(INDEX(L_ID,ROW()-4)="","",IF(SUMPRODUCT((P_ID=INDEX(L_ID,ROW()-4))*(P_StatusN="INACTIVE"))&gt;0,1,0))</f>
        <v/>
      </c>
    </row>
    <row r="1412">
      <c r="A1412">
        <f>IF(INDEX(L_ID,ROW()-4)="","",IF(COUNTIF(P_ID,INDEX(L_ID,ROW()-4))&gt;0,1,0))</f>
        <v/>
      </c>
      <c r="B1412">
        <f>IF(INDEX(P_Type,ROW()-4)="","",TRIM(UPPER(INDEX(P_Type,ROW()-4))))</f>
        <v/>
      </c>
      <c r="D1412">
        <f>IF(INDEX(L_Type,ROW()-4)="","",TRIM(UPPER(INDEX(L_Type,ROW()-4))))</f>
        <v/>
      </c>
      <c r="E1412">
        <f>IF(INDEX(P_Status,ROW()-4)="","",TRIM(UPPER(INDEX(P_Status,ROW()-4))))</f>
        <v/>
      </c>
      <c r="G1412">
        <f>IF(INDEX(L_Status,ROW()-4)="","",TRIM(UPPER(INDEX(L_Status,ROW()-4))))</f>
        <v/>
      </c>
      <c r="J1412">
        <f>IF(INDEX(L_ID,ROW()-4)="","",IF(SUMPRODUCT((P_ID=INDEX(L_ID,ROW()-4))*(P_StatusN="INACTIVE"))&gt;0,1,0))</f>
        <v/>
      </c>
    </row>
    <row r="1413">
      <c r="A1413">
        <f>IF(INDEX(L_ID,ROW()-4)="","",IF(COUNTIF(P_ID,INDEX(L_ID,ROW()-4))&gt;0,1,0))</f>
        <v/>
      </c>
      <c r="B1413">
        <f>IF(INDEX(P_Type,ROW()-4)="","",TRIM(UPPER(INDEX(P_Type,ROW()-4))))</f>
        <v/>
      </c>
      <c r="D1413">
        <f>IF(INDEX(L_Type,ROW()-4)="","",TRIM(UPPER(INDEX(L_Type,ROW()-4))))</f>
        <v/>
      </c>
      <c r="E1413">
        <f>IF(INDEX(P_Status,ROW()-4)="","",TRIM(UPPER(INDEX(P_Status,ROW()-4))))</f>
        <v/>
      </c>
      <c r="G1413">
        <f>IF(INDEX(L_Status,ROW()-4)="","",TRIM(UPPER(INDEX(L_Status,ROW()-4))))</f>
        <v/>
      </c>
      <c r="J1413">
        <f>IF(INDEX(L_ID,ROW()-4)="","",IF(SUMPRODUCT((P_ID=INDEX(L_ID,ROW()-4))*(P_StatusN="INACTIVE"))&gt;0,1,0))</f>
        <v/>
      </c>
    </row>
    <row r="1414">
      <c r="A1414">
        <f>IF(INDEX(L_ID,ROW()-4)="","",IF(COUNTIF(P_ID,INDEX(L_ID,ROW()-4))&gt;0,1,0))</f>
        <v/>
      </c>
      <c r="B1414">
        <f>IF(INDEX(P_Type,ROW()-4)="","",TRIM(UPPER(INDEX(P_Type,ROW()-4))))</f>
        <v/>
      </c>
      <c r="D1414">
        <f>IF(INDEX(L_Type,ROW()-4)="","",TRIM(UPPER(INDEX(L_Type,ROW()-4))))</f>
        <v/>
      </c>
      <c r="E1414">
        <f>IF(INDEX(P_Status,ROW()-4)="","",TRIM(UPPER(INDEX(P_Status,ROW()-4))))</f>
        <v/>
      </c>
      <c r="G1414">
        <f>IF(INDEX(L_Status,ROW()-4)="","",TRIM(UPPER(INDEX(L_Status,ROW()-4))))</f>
        <v/>
      </c>
      <c r="J1414">
        <f>IF(INDEX(L_ID,ROW()-4)="","",IF(SUMPRODUCT((P_ID=INDEX(L_ID,ROW()-4))*(P_StatusN="INACTIVE"))&gt;0,1,0))</f>
        <v/>
      </c>
    </row>
    <row r="1415">
      <c r="A1415">
        <f>IF(INDEX(L_ID,ROW()-4)="","",IF(COUNTIF(P_ID,INDEX(L_ID,ROW()-4))&gt;0,1,0))</f>
        <v/>
      </c>
      <c r="B1415">
        <f>IF(INDEX(P_Type,ROW()-4)="","",TRIM(UPPER(INDEX(P_Type,ROW()-4))))</f>
        <v/>
      </c>
      <c r="D1415">
        <f>IF(INDEX(L_Type,ROW()-4)="","",TRIM(UPPER(INDEX(L_Type,ROW()-4))))</f>
        <v/>
      </c>
      <c r="E1415">
        <f>IF(INDEX(P_Status,ROW()-4)="","",TRIM(UPPER(INDEX(P_Status,ROW()-4))))</f>
        <v/>
      </c>
      <c r="G1415">
        <f>IF(INDEX(L_Status,ROW()-4)="","",TRIM(UPPER(INDEX(L_Status,ROW()-4))))</f>
        <v/>
      </c>
      <c r="J1415">
        <f>IF(INDEX(L_ID,ROW()-4)="","",IF(SUMPRODUCT((P_ID=INDEX(L_ID,ROW()-4))*(P_StatusN="INACTIVE"))&gt;0,1,0))</f>
        <v/>
      </c>
    </row>
    <row r="1416">
      <c r="A1416">
        <f>IF(INDEX(L_ID,ROW()-4)="","",IF(COUNTIF(P_ID,INDEX(L_ID,ROW()-4))&gt;0,1,0))</f>
        <v/>
      </c>
      <c r="B1416">
        <f>IF(INDEX(P_Type,ROW()-4)="","",TRIM(UPPER(INDEX(P_Type,ROW()-4))))</f>
        <v/>
      </c>
      <c r="D1416">
        <f>IF(INDEX(L_Type,ROW()-4)="","",TRIM(UPPER(INDEX(L_Type,ROW()-4))))</f>
        <v/>
      </c>
      <c r="E1416">
        <f>IF(INDEX(P_Status,ROW()-4)="","",TRIM(UPPER(INDEX(P_Status,ROW()-4))))</f>
        <v/>
      </c>
      <c r="G1416">
        <f>IF(INDEX(L_Status,ROW()-4)="","",TRIM(UPPER(INDEX(L_Status,ROW()-4))))</f>
        <v/>
      </c>
      <c r="J1416">
        <f>IF(INDEX(L_ID,ROW()-4)="","",IF(SUMPRODUCT((P_ID=INDEX(L_ID,ROW()-4))*(P_StatusN="INACTIVE"))&gt;0,1,0))</f>
        <v/>
      </c>
    </row>
    <row r="1417">
      <c r="A1417">
        <f>IF(INDEX(L_ID,ROW()-4)="","",IF(COUNTIF(P_ID,INDEX(L_ID,ROW()-4))&gt;0,1,0))</f>
        <v/>
      </c>
      <c r="B1417">
        <f>IF(INDEX(P_Type,ROW()-4)="","",TRIM(UPPER(INDEX(P_Type,ROW()-4))))</f>
        <v/>
      </c>
      <c r="D1417">
        <f>IF(INDEX(L_Type,ROW()-4)="","",TRIM(UPPER(INDEX(L_Type,ROW()-4))))</f>
        <v/>
      </c>
      <c r="E1417">
        <f>IF(INDEX(P_Status,ROW()-4)="","",TRIM(UPPER(INDEX(P_Status,ROW()-4))))</f>
        <v/>
      </c>
      <c r="G1417">
        <f>IF(INDEX(L_Status,ROW()-4)="","",TRIM(UPPER(INDEX(L_Status,ROW()-4))))</f>
        <v/>
      </c>
      <c r="J1417">
        <f>IF(INDEX(L_ID,ROW()-4)="","",IF(SUMPRODUCT((P_ID=INDEX(L_ID,ROW()-4))*(P_StatusN="INACTIVE"))&gt;0,1,0))</f>
        <v/>
      </c>
    </row>
    <row r="1418">
      <c r="A1418">
        <f>IF(INDEX(L_ID,ROW()-4)="","",IF(COUNTIF(P_ID,INDEX(L_ID,ROW()-4))&gt;0,1,0))</f>
        <v/>
      </c>
      <c r="B1418">
        <f>IF(INDEX(P_Type,ROW()-4)="","",TRIM(UPPER(INDEX(P_Type,ROW()-4))))</f>
        <v/>
      </c>
      <c r="D1418">
        <f>IF(INDEX(L_Type,ROW()-4)="","",TRIM(UPPER(INDEX(L_Type,ROW()-4))))</f>
        <v/>
      </c>
      <c r="E1418">
        <f>IF(INDEX(P_Status,ROW()-4)="","",TRIM(UPPER(INDEX(P_Status,ROW()-4))))</f>
        <v/>
      </c>
      <c r="G1418">
        <f>IF(INDEX(L_Status,ROW()-4)="","",TRIM(UPPER(INDEX(L_Status,ROW()-4))))</f>
        <v/>
      </c>
      <c r="J1418">
        <f>IF(INDEX(L_ID,ROW()-4)="","",IF(SUMPRODUCT((P_ID=INDEX(L_ID,ROW()-4))*(P_StatusN="INACTIVE"))&gt;0,1,0))</f>
        <v/>
      </c>
    </row>
    <row r="1419">
      <c r="A1419">
        <f>IF(INDEX(L_ID,ROW()-4)="","",IF(COUNTIF(P_ID,INDEX(L_ID,ROW()-4))&gt;0,1,0))</f>
        <v/>
      </c>
      <c r="B1419">
        <f>IF(INDEX(P_Type,ROW()-4)="","",TRIM(UPPER(INDEX(P_Type,ROW()-4))))</f>
        <v/>
      </c>
      <c r="D1419">
        <f>IF(INDEX(L_Type,ROW()-4)="","",TRIM(UPPER(INDEX(L_Type,ROW()-4))))</f>
        <v/>
      </c>
      <c r="E1419">
        <f>IF(INDEX(P_Status,ROW()-4)="","",TRIM(UPPER(INDEX(P_Status,ROW()-4))))</f>
        <v/>
      </c>
      <c r="G1419">
        <f>IF(INDEX(L_Status,ROW()-4)="","",TRIM(UPPER(INDEX(L_Status,ROW()-4))))</f>
        <v/>
      </c>
      <c r="J1419">
        <f>IF(INDEX(L_ID,ROW()-4)="","",IF(SUMPRODUCT((P_ID=INDEX(L_ID,ROW()-4))*(P_StatusN="INACTIVE"))&gt;0,1,0))</f>
        <v/>
      </c>
    </row>
    <row r="1420">
      <c r="A1420">
        <f>IF(INDEX(L_ID,ROW()-4)="","",IF(COUNTIF(P_ID,INDEX(L_ID,ROW()-4))&gt;0,1,0))</f>
        <v/>
      </c>
      <c r="B1420">
        <f>IF(INDEX(P_Type,ROW()-4)="","",TRIM(UPPER(INDEX(P_Type,ROW()-4))))</f>
        <v/>
      </c>
      <c r="D1420">
        <f>IF(INDEX(L_Type,ROW()-4)="","",TRIM(UPPER(INDEX(L_Type,ROW()-4))))</f>
        <v/>
      </c>
      <c r="E1420">
        <f>IF(INDEX(P_Status,ROW()-4)="","",TRIM(UPPER(INDEX(P_Status,ROW()-4))))</f>
        <v/>
      </c>
      <c r="G1420">
        <f>IF(INDEX(L_Status,ROW()-4)="","",TRIM(UPPER(INDEX(L_Status,ROW()-4))))</f>
        <v/>
      </c>
      <c r="J1420">
        <f>IF(INDEX(L_ID,ROW()-4)="","",IF(SUMPRODUCT((P_ID=INDEX(L_ID,ROW()-4))*(P_StatusN="INACTIVE"))&gt;0,1,0))</f>
        <v/>
      </c>
    </row>
    <row r="1421">
      <c r="A1421">
        <f>IF(INDEX(L_ID,ROW()-4)="","",IF(COUNTIF(P_ID,INDEX(L_ID,ROW()-4))&gt;0,1,0))</f>
        <v/>
      </c>
      <c r="B1421">
        <f>IF(INDEX(P_Type,ROW()-4)="","",TRIM(UPPER(INDEX(P_Type,ROW()-4))))</f>
        <v/>
      </c>
      <c r="D1421">
        <f>IF(INDEX(L_Type,ROW()-4)="","",TRIM(UPPER(INDEX(L_Type,ROW()-4))))</f>
        <v/>
      </c>
      <c r="E1421">
        <f>IF(INDEX(P_Status,ROW()-4)="","",TRIM(UPPER(INDEX(P_Status,ROW()-4))))</f>
        <v/>
      </c>
      <c r="G1421">
        <f>IF(INDEX(L_Status,ROW()-4)="","",TRIM(UPPER(INDEX(L_Status,ROW()-4))))</f>
        <v/>
      </c>
      <c r="J1421">
        <f>IF(INDEX(L_ID,ROW()-4)="","",IF(SUMPRODUCT((P_ID=INDEX(L_ID,ROW()-4))*(P_StatusN="INACTIVE"))&gt;0,1,0))</f>
        <v/>
      </c>
    </row>
    <row r="1422">
      <c r="A1422">
        <f>IF(INDEX(L_ID,ROW()-4)="","",IF(COUNTIF(P_ID,INDEX(L_ID,ROW()-4))&gt;0,1,0))</f>
        <v/>
      </c>
      <c r="B1422">
        <f>IF(INDEX(P_Type,ROW()-4)="","",TRIM(UPPER(INDEX(P_Type,ROW()-4))))</f>
        <v/>
      </c>
      <c r="D1422">
        <f>IF(INDEX(L_Type,ROW()-4)="","",TRIM(UPPER(INDEX(L_Type,ROW()-4))))</f>
        <v/>
      </c>
      <c r="E1422">
        <f>IF(INDEX(P_Status,ROW()-4)="","",TRIM(UPPER(INDEX(P_Status,ROW()-4))))</f>
        <v/>
      </c>
      <c r="G1422">
        <f>IF(INDEX(L_Status,ROW()-4)="","",TRIM(UPPER(INDEX(L_Status,ROW()-4))))</f>
        <v/>
      </c>
      <c r="J1422">
        <f>IF(INDEX(L_ID,ROW()-4)="","",IF(SUMPRODUCT((P_ID=INDEX(L_ID,ROW()-4))*(P_StatusN="INACTIVE"))&gt;0,1,0))</f>
        <v/>
      </c>
    </row>
    <row r="1423">
      <c r="A1423">
        <f>IF(INDEX(L_ID,ROW()-4)="","",IF(COUNTIF(P_ID,INDEX(L_ID,ROW()-4))&gt;0,1,0))</f>
        <v/>
      </c>
      <c r="B1423">
        <f>IF(INDEX(P_Type,ROW()-4)="","",TRIM(UPPER(INDEX(P_Type,ROW()-4))))</f>
        <v/>
      </c>
      <c r="D1423">
        <f>IF(INDEX(L_Type,ROW()-4)="","",TRIM(UPPER(INDEX(L_Type,ROW()-4))))</f>
        <v/>
      </c>
      <c r="E1423">
        <f>IF(INDEX(P_Status,ROW()-4)="","",TRIM(UPPER(INDEX(P_Status,ROW()-4))))</f>
        <v/>
      </c>
      <c r="G1423">
        <f>IF(INDEX(L_Status,ROW()-4)="","",TRIM(UPPER(INDEX(L_Status,ROW()-4))))</f>
        <v/>
      </c>
      <c r="J1423">
        <f>IF(INDEX(L_ID,ROW()-4)="","",IF(SUMPRODUCT((P_ID=INDEX(L_ID,ROW()-4))*(P_StatusN="INACTIVE"))&gt;0,1,0))</f>
        <v/>
      </c>
    </row>
    <row r="1424">
      <c r="A1424">
        <f>IF(INDEX(L_ID,ROW()-4)="","",IF(COUNTIF(P_ID,INDEX(L_ID,ROW()-4))&gt;0,1,0))</f>
        <v/>
      </c>
      <c r="B1424">
        <f>IF(INDEX(P_Type,ROW()-4)="","",TRIM(UPPER(INDEX(P_Type,ROW()-4))))</f>
        <v/>
      </c>
      <c r="D1424">
        <f>IF(INDEX(L_Type,ROW()-4)="","",TRIM(UPPER(INDEX(L_Type,ROW()-4))))</f>
        <v/>
      </c>
      <c r="E1424">
        <f>IF(INDEX(P_Status,ROW()-4)="","",TRIM(UPPER(INDEX(P_Status,ROW()-4))))</f>
        <v/>
      </c>
      <c r="G1424">
        <f>IF(INDEX(L_Status,ROW()-4)="","",TRIM(UPPER(INDEX(L_Status,ROW()-4))))</f>
        <v/>
      </c>
      <c r="J1424">
        <f>IF(INDEX(L_ID,ROW()-4)="","",IF(SUMPRODUCT((P_ID=INDEX(L_ID,ROW()-4))*(P_StatusN="INACTIVE"))&gt;0,1,0))</f>
        <v/>
      </c>
    </row>
    <row r="1425">
      <c r="A1425">
        <f>IF(INDEX(L_ID,ROW()-4)="","",IF(COUNTIF(P_ID,INDEX(L_ID,ROW()-4))&gt;0,1,0))</f>
        <v/>
      </c>
      <c r="B1425">
        <f>IF(INDEX(P_Type,ROW()-4)="","",TRIM(UPPER(INDEX(P_Type,ROW()-4))))</f>
        <v/>
      </c>
      <c r="D1425">
        <f>IF(INDEX(L_Type,ROW()-4)="","",TRIM(UPPER(INDEX(L_Type,ROW()-4))))</f>
        <v/>
      </c>
      <c r="E1425">
        <f>IF(INDEX(P_Status,ROW()-4)="","",TRIM(UPPER(INDEX(P_Status,ROW()-4))))</f>
        <v/>
      </c>
      <c r="G1425">
        <f>IF(INDEX(L_Status,ROW()-4)="","",TRIM(UPPER(INDEX(L_Status,ROW()-4))))</f>
        <v/>
      </c>
      <c r="J1425">
        <f>IF(INDEX(L_ID,ROW()-4)="","",IF(SUMPRODUCT((P_ID=INDEX(L_ID,ROW()-4))*(P_StatusN="INACTIVE"))&gt;0,1,0))</f>
        <v/>
      </c>
    </row>
    <row r="1426">
      <c r="A1426">
        <f>IF(INDEX(L_ID,ROW()-4)="","",IF(COUNTIF(P_ID,INDEX(L_ID,ROW()-4))&gt;0,1,0))</f>
        <v/>
      </c>
      <c r="B1426">
        <f>IF(INDEX(P_Type,ROW()-4)="","",TRIM(UPPER(INDEX(P_Type,ROW()-4))))</f>
        <v/>
      </c>
      <c r="D1426">
        <f>IF(INDEX(L_Type,ROW()-4)="","",TRIM(UPPER(INDEX(L_Type,ROW()-4))))</f>
        <v/>
      </c>
      <c r="E1426">
        <f>IF(INDEX(P_Status,ROW()-4)="","",TRIM(UPPER(INDEX(P_Status,ROW()-4))))</f>
        <v/>
      </c>
      <c r="G1426">
        <f>IF(INDEX(L_Status,ROW()-4)="","",TRIM(UPPER(INDEX(L_Status,ROW()-4))))</f>
        <v/>
      </c>
      <c r="J1426">
        <f>IF(INDEX(L_ID,ROW()-4)="","",IF(SUMPRODUCT((P_ID=INDEX(L_ID,ROW()-4))*(P_StatusN="INACTIVE"))&gt;0,1,0))</f>
        <v/>
      </c>
    </row>
    <row r="1427">
      <c r="A1427">
        <f>IF(INDEX(L_ID,ROW()-4)="","",IF(COUNTIF(P_ID,INDEX(L_ID,ROW()-4))&gt;0,1,0))</f>
        <v/>
      </c>
      <c r="B1427">
        <f>IF(INDEX(P_Type,ROW()-4)="","",TRIM(UPPER(INDEX(P_Type,ROW()-4))))</f>
        <v/>
      </c>
      <c r="D1427">
        <f>IF(INDEX(L_Type,ROW()-4)="","",TRIM(UPPER(INDEX(L_Type,ROW()-4))))</f>
        <v/>
      </c>
      <c r="E1427">
        <f>IF(INDEX(P_Status,ROW()-4)="","",TRIM(UPPER(INDEX(P_Status,ROW()-4))))</f>
        <v/>
      </c>
      <c r="G1427">
        <f>IF(INDEX(L_Status,ROW()-4)="","",TRIM(UPPER(INDEX(L_Status,ROW()-4))))</f>
        <v/>
      </c>
      <c r="J1427">
        <f>IF(INDEX(L_ID,ROW()-4)="","",IF(SUMPRODUCT((P_ID=INDEX(L_ID,ROW()-4))*(P_StatusN="INACTIVE"))&gt;0,1,0))</f>
        <v/>
      </c>
    </row>
    <row r="1428">
      <c r="A1428">
        <f>IF(INDEX(L_ID,ROW()-4)="","",IF(COUNTIF(P_ID,INDEX(L_ID,ROW()-4))&gt;0,1,0))</f>
        <v/>
      </c>
      <c r="B1428">
        <f>IF(INDEX(P_Type,ROW()-4)="","",TRIM(UPPER(INDEX(P_Type,ROW()-4))))</f>
        <v/>
      </c>
      <c r="D1428">
        <f>IF(INDEX(L_Type,ROW()-4)="","",TRIM(UPPER(INDEX(L_Type,ROW()-4))))</f>
        <v/>
      </c>
      <c r="E1428">
        <f>IF(INDEX(P_Status,ROW()-4)="","",TRIM(UPPER(INDEX(P_Status,ROW()-4))))</f>
        <v/>
      </c>
      <c r="G1428">
        <f>IF(INDEX(L_Status,ROW()-4)="","",TRIM(UPPER(INDEX(L_Status,ROW()-4))))</f>
        <v/>
      </c>
      <c r="J1428">
        <f>IF(INDEX(L_ID,ROW()-4)="","",IF(SUMPRODUCT((P_ID=INDEX(L_ID,ROW()-4))*(P_StatusN="INACTIVE"))&gt;0,1,0))</f>
        <v/>
      </c>
    </row>
    <row r="1429">
      <c r="A1429">
        <f>IF(INDEX(L_ID,ROW()-4)="","",IF(COUNTIF(P_ID,INDEX(L_ID,ROW()-4))&gt;0,1,0))</f>
        <v/>
      </c>
      <c r="B1429">
        <f>IF(INDEX(P_Type,ROW()-4)="","",TRIM(UPPER(INDEX(P_Type,ROW()-4))))</f>
        <v/>
      </c>
      <c r="D1429">
        <f>IF(INDEX(L_Type,ROW()-4)="","",TRIM(UPPER(INDEX(L_Type,ROW()-4))))</f>
        <v/>
      </c>
      <c r="E1429">
        <f>IF(INDEX(P_Status,ROW()-4)="","",TRIM(UPPER(INDEX(P_Status,ROW()-4))))</f>
        <v/>
      </c>
      <c r="G1429">
        <f>IF(INDEX(L_Status,ROW()-4)="","",TRIM(UPPER(INDEX(L_Status,ROW()-4))))</f>
        <v/>
      </c>
      <c r="J1429">
        <f>IF(INDEX(L_ID,ROW()-4)="","",IF(SUMPRODUCT((P_ID=INDEX(L_ID,ROW()-4))*(P_StatusN="INACTIVE"))&gt;0,1,0))</f>
        <v/>
      </c>
    </row>
    <row r="1430">
      <c r="A1430">
        <f>IF(INDEX(L_ID,ROW()-4)="","",IF(COUNTIF(P_ID,INDEX(L_ID,ROW()-4))&gt;0,1,0))</f>
        <v/>
      </c>
      <c r="B1430">
        <f>IF(INDEX(P_Type,ROW()-4)="","",TRIM(UPPER(INDEX(P_Type,ROW()-4))))</f>
        <v/>
      </c>
      <c r="D1430">
        <f>IF(INDEX(L_Type,ROW()-4)="","",TRIM(UPPER(INDEX(L_Type,ROW()-4))))</f>
        <v/>
      </c>
      <c r="E1430">
        <f>IF(INDEX(P_Status,ROW()-4)="","",TRIM(UPPER(INDEX(P_Status,ROW()-4))))</f>
        <v/>
      </c>
      <c r="G1430">
        <f>IF(INDEX(L_Status,ROW()-4)="","",TRIM(UPPER(INDEX(L_Status,ROW()-4))))</f>
        <v/>
      </c>
      <c r="J1430">
        <f>IF(INDEX(L_ID,ROW()-4)="","",IF(SUMPRODUCT((P_ID=INDEX(L_ID,ROW()-4))*(P_StatusN="INACTIVE"))&gt;0,1,0))</f>
        <v/>
      </c>
    </row>
    <row r="1431">
      <c r="A1431">
        <f>IF(INDEX(L_ID,ROW()-4)="","",IF(COUNTIF(P_ID,INDEX(L_ID,ROW()-4))&gt;0,1,0))</f>
        <v/>
      </c>
      <c r="B1431">
        <f>IF(INDEX(P_Type,ROW()-4)="","",TRIM(UPPER(INDEX(P_Type,ROW()-4))))</f>
        <v/>
      </c>
      <c r="D1431">
        <f>IF(INDEX(L_Type,ROW()-4)="","",TRIM(UPPER(INDEX(L_Type,ROW()-4))))</f>
        <v/>
      </c>
      <c r="E1431">
        <f>IF(INDEX(P_Status,ROW()-4)="","",TRIM(UPPER(INDEX(P_Status,ROW()-4))))</f>
        <v/>
      </c>
      <c r="G1431">
        <f>IF(INDEX(L_Status,ROW()-4)="","",TRIM(UPPER(INDEX(L_Status,ROW()-4))))</f>
        <v/>
      </c>
      <c r="J1431">
        <f>IF(INDEX(L_ID,ROW()-4)="","",IF(SUMPRODUCT((P_ID=INDEX(L_ID,ROW()-4))*(P_StatusN="INACTIVE"))&gt;0,1,0))</f>
        <v/>
      </c>
    </row>
    <row r="1432">
      <c r="A1432">
        <f>IF(INDEX(L_ID,ROW()-4)="","",IF(COUNTIF(P_ID,INDEX(L_ID,ROW()-4))&gt;0,1,0))</f>
        <v/>
      </c>
      <c r="B1432">
        <f>IF(INDEX(P_Type,ROW()-4)="","",TRIM(UPPER(INDEX(P_Type,ROW()-4))))</f>
        <v/>
      </c>
      <c r="D1432">
        <f>IF(INDEX(L_Type,ROW()-4)="","",TRIM(UPPER(INDEX(L_Type,ROW()-4))))</f>
        <v/>
      </c>
      <c r="E1432">
        <f>IF(INDEX(P_Status,ROW()-4)="","",TRIM(UPPER(INDEX(P_Status,ROW()-4))))</f>
        <v/>
      </c>
      <c r="G1432">
        <f>IF(INDEX(L_Status,ROW()-4)="","",TRIM(UPPER(INDEX(L_Status,ROW()-4))))</f>
        <v/>
      </c>
      <c r="J1432">
        <f>IF(INDEX(L_ID,ROW()-4)="","",IF(SUMPRODUCT((P_ID=INDEX(L_ID,ROW()-4))*(P_StatusN="INACTIVE"))&gt;0,1,0))</f>
        <v/>
      </c>
    </row>
    <row r="1433">
      <c r="A1433">
        <f>IF(INDEX(L_ID,ROW()-4)="","",IF(COUNTIF(P_ID,INDEX(L_ID,ROW()-4))&gt;0,1,0))</f>
        <v/>
      </c>
      <c r="B1433">
        <f>IF(INDEX(P_Type,ROW()-4)="","",TRIM(UPPER(INDEX(P_Type,ROW()-4))))</f>
        <v/>
      </c>
      <c r="D1433">
        <f>IF(INDEX(L_Type,ROW()-4)="","",TRIM(UPPER(INDEX(L_Type,ROW()-4))))</f>
        <v/>
      </c>
      <c r="E1433">
        <f>IF(INDEX(P_Status,ROW()-4)="","",TRIM(UPPER(INDEX(P_Status,ROW()-4))))</f>
        <v/>
      </c>
      <c r="G1433">
        <f>IF(INDEX(L_Status,ROW()-4)="","",TRIM(UPPER(INDEX(L_Status,ROW()-4))))</f>
        <v/>
      </c>
      <c r="J1433">
        <f>IF(INDEX(L_ID,ROW()-4)="","",IF(SUMPRODUCT((P_ID=INDEX(L_ID,ROW()-4))*(P_StatusN="INACTIVE"))&gt;0,1,0))</f>
        <v/>
      </c>
    </row>
    <row r="1434">
      <c r="A1434">
        <f>IF(INDEX(L_ID,ROW()-4)="","",IF(COUNTIF(P_ID,INDEX(L_ID,ROW()-4))&gt;0,1,0))</f>
        <v/>
      </c>
      <c r="B1434">
        <f>IF(INDEX(P_Type,ROW()-4)="","",TRIM(UPPER(INDEX(P_Type,ROW()-4))))</f>
        <v/>
      </c>
      <c r="D1434">
        <f>IF(INDEX(L_Type,ROW()-4)="","",TRIM(UPPER(INDEX(L_Type,ROW()-4))))</f>
        <v/>
      </c>
      <c r="E1434">
        <f>IF(INDEX(P_Status,ROW()-4)="","",TRIM(UPPER(INDEX(P_Status,ROW()-4))))</f>
        <v/>
      </c>
      <c r="G1434">
        <f>IF(INDEX(L_Status,ROW()-4)="","",TRIM(UPPER(INDEX(L_Status,ROW()-4))))</f>
        <v/>
      </c>
      <c r="J1434">
        <f>IF(INDEX(L_ID,ROW()-4)="","",IF(SUMPRODUCT((P_ID=INDEX(L_ID,ROW()-4))*(P_StatusN="INACTIVE"))&gt;0,1,0))</f>
        <v/>
      </c>
    </row>
    <row r="1435">
      <c r="A1435">
        <f>IF(INDEX(L_ID,ROW()-4)="","",IF(COUNTIF(P_ID,INDEX(L_ID,ROW()-4))&gt;0,1,0))</f>
        <v/>
      </c>
      <c r="B1435">
        <f>IF(INDEX(P_Type,ROW()-4)="","",TRIM(UPPER(INDEX(P_Type,ROW()-4))))</f>
        <v/>
      </c>
      <c r="D1435">
        <f>IF(INDEX(L_Type,ROW()-4)="","",TRIM(UPPER(INDEX(L_Type,ROW()-4))))</f>
        <v/>
      </c>
      <c r="E1435">
        <f>IF(INDEX(P_Status,ROW()-4)="","",TRIM(UPPER(INDEX(P_Status,ROW()-4))))</f>
        <v/>
      </c>
      <c r="G1435">
        <f>IF(INDEX(L_Status,ROW()-4)="","",TRIM(UPPER(INDEX(L_Status,ROW()-4))))</f>
        <v/>
      </c>
      <c r="J1435">
        <f>IF(INDEX(L_ID,ROW()-4)="","",IF(SUMPRODUCT((P_ID=INDEX(L_ID,ROW()-4))*(P_StatusN="INACTIVE"))&gt;0,1,0))</f>
        <v/>
      </c>
    </row>
    <row r="1436">
      <c r="A1436">
        <f>IF(INDEX(L_ID,ROW()-4)="","",IF(COUNTIF(P_ID,INDEX(L_ID,ROW()-4))&gt;0,1,0))</f>
        <v/>
      </c>
      <c r="B1436">
        <f>IF(INDEX(P_Type,ROW()-4)="","",TRIM(UPPER(INDEX(P_Type,ROW()-4))))</f>
        <v/>
      </c>
      <c r="D1436">
        <f>IF(INDEX(L_Type,ROW()-4)="","",TRIM(UPPER(INDEX(L_Type,ROW()-4))))</f>
        <v/>
      </c>
      <c r="E1436">
        <f>IF(INDEX(P_Status,ROW()-4)="","",TRIM(UPPER(INDEX(P_Status,ROW()-4))))</f>
        <v/>
      </c>
      <c r="G1436">
        <f>IF(INDEX(L_Status,ROW()-4)="","",TRIM(UPPER(INDEX(L_Status,ROW()-4))))</f>
        <v/>
      </c>
      <c r="J1436">
        <f>IF(INDEX(L_ID,ROW()-4)="","",IF(SUMPRODUCT((P_ID=INDEX(L_ID,ROW()-4))*(P_StatusN="INACTIVE"))&gt;0,1,0))</f>
        <v/>
      </c>
    </row>
    <row r="1437">
      <c r="A1437">
        <f>IF(INDEX(L_ID,ROW()-4)="","",IF(COUNTIF(P_ID,INDEX(L_ID,ROW()-4))&gt;0,1,0))</f>
        <v/>
      </c>
      <c r="B1437">
        <f>IF(INDEX(P_Type,ROW()-4)="","",TRIM(UPPER(INDEX(P_Type,ROW()-4))))</f>
        <v/>
      </c>
      <c r="D1437">
        <f>IF(INDEX(L_Type,ROW()-4)="","",TRIM(UPPER(INDEX(L_Type,ROW()-4))))</f>
        <v/>
      </c>
      <c r="E1437">
        <f>IF(INDEX(P_Status,ROW()-4)="","",TRIM(UPPER(INDEX(P_Status,ROW()-4))))</f>
        <v/>
      </c>
      <c r="G1437">
        <f>IF(INDEX(L_Status,ROW()-4)="","",TRIM(UPPER(INDEX(L_Status,ROW()-4))))</f>
        <v/>
      </c>
      <c r="J1437">
        <f>IF(INDEX(L_ID,ROW()-4)="","",IF(SUMPRODUCT((P_ID=INDEX(L_ID,ROW()-4))*(P_StatusN="INACTIVE"))&gt;0,1,0))</f>
        <v/>
      </c>
    </row>
    <row r="1438">
      <c r="A1438">
        <f>IF(INDEX(L_ID,ROW()-4)="","",IF(COUNTIF(P_ID,INDEX(L_ID,ROW()-4))&gt;0,1,0))</f>
        <v/>
      </c>
      <c r="B1438">
        <f>IF(INDEX(P_Type,ROW()-4)="","",TRIM(UPPER(INDEX(P_Type,ROW()-4))))</f>
        <v/>
      </c>
      <c r="D1438">
        <f>IF(INDEX(L_Type,ROW()-4)="","",TRIM(UPPER(INDEX(L_Type,ROW()-4))))</f>
        <v/>
      </c>
      <c r="E1438">
        <f>IF(INDEX(P_Status,ROW()-4)="","",TRIM(UPPER(INDEX(P_Status,ROW()-4))))</f>
        <v/>
      </c>
      <c r="G1438">
        <f>IF(INDEX(L_Status,ROW()-4)="","",TRIM(UPPER(INDEX(L_Status,ROW()-4))))</f>
        <v/>
      </c>
      <c r="J1438">
        <f>IF(INDEX(L_ID,ROW()-4)="","",IF(SUMPRODUCT((P_ID=INDEX(L_ID,ROW()-4))*(P_StatusN="INACTIVE"))&gt;0,1,0))</f>
        <v/>
      </c>
    </row>
    <row r="1439">
      <c r="A1439">
        <f>IF(INDEX(L_ID,ROW()-4)="","",IF(COUNTIF(P_ID,INDEX(L_ID,ROW()-4))&gt;0,1,0))</f>
        <v/>
      </c>
      <c r="B1439">
        <f>IF(INDEX(P_Type,ROW()-4)="","",TRIM(UPPER(INDEX(P_Type,ROW()-4))))</f>
        <v/>
      </c>
      <c r="D1439">
        <f>IF(INDEX(L_Type,ROW()-4)="","",TRIM(UPPER(INDEX(L_Type,ROW()-4))))</f>
        <v/>
      </c>
      <c r="E1439">
        <f>IF(INDEX(P_Status,ROW()-4)="","",TRIM(UPPER(INDEX(P_Status,ROW()-4))))</f>
        <v/>
      </c>
      <c r="G1439">
        <f>IF(INDEX(L_Status,ROW()-4)="","",TRIM(UPPER(INDEX(L_Status,ROW()-4))))</f>
        <v/>
      </c>
      <c r="J1439">
        <f>IF(INDEX(L_ID,ROW()-4)="","",IF(SUMPRODUCT((P_ID=INDEX(L_ID,ROW()-4))*(P_StatusN="INACTIVE"))&gt;0,1,0))</f>
        <v/>
      </c>
    </row>
    <row r="1440">
      <c r="A1440">
        <f>IF(INDEX(L_ID,ROW()-4)="","",IF(COUNTIF(P_ID,INDEX(L_ID,ROW()-4))&gt;0,1,0))</f>
        <v/>
      </c>
      <c r="B1440">
        <f>IF(INDEX(P_Type,ROW()-4)="","",TRIM(UPPER(INDEX(P_Type,ROW()-4))))</f>
        <v/>
      </c>
      <c r="D1440">
        <f>IF(INDEX(L_Type,ROW()-4)="","",TRIM(UPPER(INDEX(L_Type,ROW()-4))))</f>
        <v/>
      </c>
      <c r="E1440">
        <f>IF(INDEX(P_Status,ROW()-4)="","",TRIM(UPPER(INDEX(P_Status,ROW()-4))))</f>
        <v/>
      </c>
      <c r="G1440">
        <f>IF(INDEX(L_Status,ROW()-4)="","",TRIM(UPPER(INDEX(L_Status,ROW()-4))))</f>
        <v/>
      </c>
      <c r="J1440">
        <f>IF(INDEX(L_ID,ROW()-4)="","",IF(SUMPRODUCT((P_ID=INDEX(L_ID,ROW()-4))*(P_StatusN="INACTIVE"))&gt;0,1,0))</f>
        <v/>
      </c>
    </row>
    <row r="1441">
      <c r="A1441">
        <f>IF(INDEX(L_ID,ROW()-4)="","",IF(COUNTIF(P_ID,INDEX(L_ID,ROW()-4))&gt;0,1,0))</f>
        <v/>
      </c>
      <c r="B1441">
        <f>IF(INDEX(P_Type,ROW()-4)="","",TRIM(UPPER(INDEX(P_Type,ROW()-4))))</f>
        <v/>
      </c>
      <c r="D1441">
        <f>IF(INDEX(L_Type,ROW()-4)="","",TRIM(UPPER(INDEX(L_Type,ROW()-4))))</f>
        <v/>
      </c>
      <c r="E1441">
        <f>IF(INDEX(P_Status,ROW()-4)="","",TRIM(UPPER(INDEX(P_Status,ROW()-4))))</f>
        <v/>
      </c>
      <c r="G1441">
        <f>IF(INDEX(L_Status,ROW()-4)="","",TRIM(UPPER(INDEX(L_Status,ROW()-4))))</f>
        <v/>
      </c>
      <c r="J1441">
        <f>IF(INDEX(L_ID,ROW()-4)="","",IF(SUMPRODUCT((P_ID=INDEX(L_ID,ROW()-4))*(P_StatusN="INACTIVE"))&gt;0,1,0))</f>
        <v/>
      </c>
    </row>
    <row r="1442">
      <c r="A1442">
        <f>IF(INDEX(L_ID,ROW()-4)="","",IF(COUNTIF(P_ID,INDEX(L_ID,ROW()-4))&gt;0,1,0))</f>
        <v/>
      </c>
      <c r="B1442">
        <f>IF(INDEX(P_Type,ROW()-4)="","",TRIM(UPPER(INDEX(P_Type,ROW()-4))))</f>
        <v/>
      </c>
      <c r="D1442">
        <f>IF(INDEX(L_Type,ROW()-4)="","",TRIM(UPPER(INDEX(L_Type,ROW()-4))))</f>
        <v/>
      </c>
      <c r="E1442">
        <f>IF(INDEX(P_Status,ROW()-4)="","",TRIM(UPPER(INDEX(P_Status,ROW()-4))))</f>
        <v/>
      </c>
      <c r="G1442">
        <f>IF(INDEX(L_Status,ROW()-4)="","",TRIM(UPPER(INDEX(L_Status,ROW()-4))))</f>
        <v/>
      </c>
      <c r="J1442">
        <f>IF(INDEX(L_ID,ROW()-4)="","",IF(SUMPRODUCT((P_ID=INDEX(L_ID,ROW()-4))*(P_StatusN="INACTIVE"))&gt;0,1,0))</f>
        <v/>
      </c>
    </row>
    <row r="1443">
      <c r="A1443">
        <f>IF(INDEX(L_ID,ROW()-4)="","",IF(COUNTIF(P_ID,INDEX(L_ID,ROW()-4))&gt;0,1,0))</f>
        <v/>
      </c>
      <c r="B1443">
        <f>IF(INDEX(P_Type,ROW()-4)="","",TRIM(UPPER(INDEX(P_Type,ROW()-4))))</f>
        <v/>
      </c>
      <c r="D1443">
        <f>IF(INDEX(L_Type,ROW()-4)="","",TRIM(UPPER(INDEX(L_Type,ROW()-4))))</f>
        <v/>
      </c>
      <c r="E1443">
        <f>IF(INDEX(P_Status,ROW()-4)="","",TRIM(UPPER(INDEX(P_Status,ROW()-4))))</f>
        <v/>
      </c>
      <c r="G1443">
        <f>IF(INDEX(L_Status,ROW()-4)="","",TRIM(UPPER(INDEX(L_Status,ROW()-4))))</f>
        <v/>
      </c>
      <c r="J1443">
        <f>IF(INDEX(L_ID,ROW()-4)="","",IF(SUMPRODUCT((P_ID=INDEX(L_ID,ROW()-4))*(P_StatusN="INACTIVE"))&gt;0,1,0))</f>
        <v/>
      </c>
    </row>
    <row r="1444">
      <c r="A1444">
        <f>IF(INDEX(L_ID,ROW()-4)="","",IF(COUNTIF(P_ID,INDEX(L_ID,ROW()-4))&gt;0,1,0))</f>
        <v/>
      </c>
      <c r="B1444">
        <f>IF(INDEX(P_Type,ROW()-4)="","",TRIM(UPPER(INDEX(P_Type,ROW()-4))))</f>
        <v/>
      </c>
      <c r="D1444">
        <f>IF(INDEX(L_Type,ROW()-4)="","",TRIM(UPPER(INDEX(L_Type,ROW()-4))))</f>
        <v/>
      </c>
      <c r="E1444">
        <f>IF(INDEX(P_Status,ROW()-4)="","",TRIM(UPPER(INDEX(P_Status,ROW()-4))))</f>
        <v/>
      </c>
      <c r="G1444">
        <f>IF(INDEX(L_Status,ROW()-4)="","",TRIM(UPPER(INDEX(L_Status,ROW()-4))))</f>
        <v/>
      </c>
      <c r="J1444">
        <f>IF(INDEX(L_ID,ROW()-4)="","",IF(SUMPRODUCT((P_ID=INDEX(L_ID,ROW()-4))*(P_StatusN="INACTIVE"))&gt;0,1,0))</f>
        <v/>
      </c>
    </row>
    <row r="1445">
      <c r="A1445">
        <f>IF(INDEX(L_ID,ROW()-4)="","",IF(COUNTIF(P_ID,INDEX(L_ID,ROW()-4))&gt;0,1,0))</f>
        <v/>
      </c>
      <c r="B1445">
        <f>IF(INDEX(P_Type,ROW()-4)="","",TRIM(UPPER(INDEX(P_Type,ROW()-4))))</f>
        <v/>
      </c>
      <c r="D1445">
        <f>IF(INDEX(L_Type,ROW()-4)="","",TRIM(UPPER(INDEX(L_Type,ROW()-4))))</f>
        <v/>
      </c>
      <c r="E1445">
        <f>IF(INDEX(P_Status,ROW()-4)="","",TRIM(UPPER(INDEX(P_Status,ROW()-4))))</f>
        <v/>
      </c>
      <c r="G1445">
        <f>IF(INDEX(L_Status,ROW()-4)="","",TRIM(UPPER(INDEX(L_Status,ROW()-4))))</f>
        <v/>
      </c>
      <c r="J1445">
        <f>IF(INDEX(L_ID,ROW()-4)="","",IF(SUMPRODUCT((P_ID=INDEX(L_ID,ROW()-4))*(P_StatusN="INACTIVE"))&gt;0,1,0))</f>
        <v/>
      </c>
    </row>
    <row r="1446">
      <c r="A1446">
        <f>IF(INDEX(L_ID,ROW()-4)="","",IF(COUNTIF(P_ID,INDEX(L_ID,ROW()-4))&gt;0,1,0))</f>
        <v/>
      </c>
      <c r="B1446">
        <f>IF(INDEX(P_Type,ROW()-4)="","",TRIM(UPPER(INDEX(P_Type,ROW()-4))))</f>
        <v/>
      </c>
      <c r="D1446">
        <f>IF(INDEX(L_Type,ROW()-4)="","",TRIM(UPPER(INDEX(L_Type,ROW()-4))))</f>
        <v/>
      </c>
      <c r="E1446">
        <f>IF(INDEX(P_Status,ROW()-4)="","",TRIM(UPPER(INDEX(P_Status,ROW()-4))))</f>
        <v/>
      </c>
      <c r="G1446">
        <f>IF(INDEX(L_Status,ROW()-4)="","",TRIM(UPPER(INDEX(L_Status,ROW()-4))))</f>
        <v/>
      </c>
      <c r="J1446">
        <f>IF(INDEX(L_ID,ROW()-4)="","",IF(SUMPRODUCT((P_ID=INDEX(L_ID,ROW()-4))*(P_StatusN="INACTIVE"))&gt;0,1,0))</f>
        <v/>
      </c>
    </row>
    <row r="1447">
      <c r="A1447">
        <f>IF(INDEX(L_ID,ROW()-4)="","",IF(COUNTIF(P_ID,INDEX(L_ID,ROW()-4))&gt;0,1,0))</f>
        <v/>
      </c>
      <c r="B1447">
        <f>IF(INDEX(P_Type,ROW()-4)="","",TRIM(UPPER(INDEX(P_Type,ROW()-4))))</f>
        <v/>
      </c>
      <c r="D1447">
        <f>IF(INDEX(L_Type,ROW()-4)="","",TRIM(UPPER(INDEX(L_Type,ROW()-4))))</f>
        <v/>
      </c>
      <c r="E1447">
        <f>IF(INDEX(P_Status,ROW()-4)="","",TRIM(UPPER(INDEX(P_Status,ROW()-4))))</f>
        <v/>
      </c>
      <c r="G1447">
        <f>IF(INDEX(L_Status,ROW()-4)="","",TRIM(UPPER(INDEX(L_Status,ROW()-4))))</f>
        <v/>
      </c>
      <c r="J1447">
        <f>IF(INDEX(L_ID,ROW()-4)="","",IF(SUMPRODUCT((P_ID=INDEX(L_ID,ROW()-4))*(P_StatusN="INACTIVE"))&gt;0,1,0))</f>
        <v/>
      </c>
    </row>
    <row r="1448">
      <c r="A1448">
        <f>IF(INDEX(L_ID,ROW()-4)="","",IF(COUNTIF(P_ID,INDEX(L_ID,ROW()-4))&gt;0,1,0))</f>
        <v/>
      </c>
      <c r="B1448">
        <f>IF(INDEX(P_Type,ROW()-4)="","",TRIM(UPPER(INDEX(P_Type,ROW()-4))))</f>
        <v/>
      </c>
      <c r="D1448">
        <f>IF(INDEX(L_Type,ROW()-4)="","",TRIM(UPPER(INDEX(L_Type,ROW()-4))))</f>
        <v/>
      </c>
      <c r="E1448">
        <f>IF(INDEX(P_Status,ROW()-4)="","",TRIM(UPPER(INDEX(P_Status,ROW()-4))))</f>
        <v/>
      </c>
      <c r="G1448">
        <f>IF(INDEX(L_Status,ROW()-4)="","",TRIM(UPPER(INDEX(L_Status,ROW()-4))))</f>
        <v/>
      </c>
      <c r="J1448">
        <f>IF(INDEX(L_ID,ROW()-4)="","",IF(SUMPRODUCT((P_ID=INDEX(L_ID,ROW()-4))*(P_StatusN="INACTIVE"))&gt;0,1,0))</f>
        <v/>
      </c>
    </row>
    <row r="1449">
      <c r="A1449">
        <f>IF(INDEX(L_ID,ROW()-4)="","",IF(COUNTIF(P_ID,INDEX(L_ID,ROW()-4))&gt;0,1,0))</f>
        <v/>
      </c>
      <c r="B1449">
        <f>IF(INDEX(P_Type,ROW()-4)="","",TRIM(UPPER(INDEX(P_Type,ROW()-4))))</f>
        <v/>
      </c>
      <c r="D1449">
        <f>IF(INDEX(L_Type,ROW()-4)="","",TRIM(UPPER(INDEX(L_Type,ROW()-4))))</f>
        <v/>
      </c>
      <c r="E1449">
        <f>IF(INDEX(P_Status,ROW()-4)="","",TRIM(UPPER(INDEX(P_Status,ROW()-4))))</f>
        <v/>
      </c>
      <c r="G1449">
        <f>IF(INDEX(L_Status,ROW()-4)="","",TRIM(UPPER(INDEX(L_Status,ROW()-4))))</f>
        <v/>
      </c>
      <c r="J1449">
        <f>IF(INDEX(L_ID,ROW()-4)="","",IF(SUMPRODUCT((P_ID=INDEX(L_ID,ROW()-4))*(P_StatusN="INACTIVE"))&gt;0,1,0))</f>
        <v/>
      </c>
    </row>
    <row r="1450">
      <c r="A1450">
        <f>IF(INDEX(L_ID,ROW()-4)="","",IF(COUNTIF(P_ID,INDEX(L_ID,ROW()-4))&gt;0,1,0))</f>
        <v/>
      </c>
      <c r="B1450">
        <f>IF(INDEX(P_Type,ROW()-4)="","",TRIM(UPPER(INDEX(P_Type,ROW()-4))))</f>
        <v/>
      </c>
      <c r="D1450">
        <f>IF(INDEX(L_Type,ROW()-4)="","",TRIM(UPPER(INDEX(L_Type,ROW()-4))))</f>
        <v/>
      </c>
      <c r="E1450">
        <f>IF(INDEX(P_Status,ROW()-4)="","",TRIM(UPPER(INDEX(P_Status,ROW()-4))))</f>
        <v/>
      </c>
      <c r="G1450">
        <f>IF(INDEX(L_Status,ROW()-4)="","",TRIM(UPPER(INDEX(L_Status,ROW()-4))))</f>
        <v/>
      </c>
      <c r="J1450">
        <f>IF(INDEX(L_ID,ROW()-4)="","",IF(SUMPRODUCT((P_ID=INDEX(L_ID,ROW()-4))*(P_StatusN="INACTIVE"))&gt;0,1,0))</f>
        <v/>
      </c>
    </row>
    <row r="1451">
      <c r="A1451">
        <f>IF(INDEX(L_ID,ROW()-4)="","",IF(COUNTIF(P_ID,INDEX(L_ID,ROW()-4))&gt;0,1,0))</f>
        <v/>
      </c>
      <c r="B1451">
        <f>IF(INDEX(P_Type,ROW()-4)="","",TRIM(UPPER(INDEX(P_Type,ROW()-4))))</f>
        <v/>
      </c>
      <c r="D1451">
        <f>IF(INDEX(L_Type,ROW()-4)="","",TRIM(UPPER(INDEX(L_Type,ROW()-4))))</f>
        <v/>
      </c>
      <c r="E1451">
        <f>IF(INDEX(P_Status,ROW()-4)="","",TRIM(UPPER(INDEX(P_Status,ROW()-4))))</f>
        <v/>
      </c>
      <c r="G1451">
        <f>IF(INDEX(L_Status,ROW()-4)="","",TRIM(UPPER(INDEX(L_Status,ROW()-4))))</f>
        <v/>
      </c>
      <c r="J1451">
        <f>IF(INDEX(L_ID,ROW()-4)="","",IF(SUMPRODUCT((P_ID=INDEX(L_ID,ROW()-4))*(P_StatusN="INACTIVE"))&gt;0,1,0))</f>
        <v/>
      </c>
    </row>
    <row r="1452">
      <c r="A1452">
        <f>IF(INDEX(L_ID,ROW()-4)="","",IF(COUNTIF(P_ID,INDEX(L_ID,ROW()-4))&gt;0,1,0))</f>
        <v/>
      </c>
      <c r="B1452">
        <f>IF(INDEX(P_Type,ROW()-4)="","",TRIM(UPPER(INDEX(P_Type,ROW()-4))))</f>
        <v/>
      </c>
      <c r="D1452">
        <f>IF(INDEX(L_Type,ROW()-4)="","",TRIM(UPPER(INDEX(L_Type,ROW()-4))))</f>
        <v/>
      </c>
      <c r="E1452">
        <f>IF(INDEX(P_Status,ROW()-4)="","",TRIM(UPPER(INDEX(P_Status,ROW()-4))))</f>
        <v/>
      </c>
      <c r="G1452">
        <f>IF(INDEX(L_Status,ROW()-4)="","",TRIM(UPPER(INDEX(L_Status,ROW()-4))))</f>
        <v/>
      </c>
      <c r="J1452">
        <f>IF(INDEX(L_ID,ROW()-4)="","",IF(SUMPRODUCT((P_ID=INDEX(L_ID,ROW()-4))*(P_StatusN="INACTIVE"))&gt;0,1,0))</f>
        <v/>
      </c>
    </row>
    <row r="1453">
      <c r="A1453">
        <f>IF(INDEX(L_ID,ROW()-4)="","",IF(COUNTIF(P_ID,INDEX(L_ID,ROW()-4))&gt;0,1,0))</f>
        <v/>
      </c>
      <c r="B1453">
        <f>IF(INDEX(P_Type,ROW()-4)="","",TRIM(UPPER(INDEX(P_Type,ROW()-4))))</f>
        <v/>
      </c>
      <c r="D1453">
        <f>IF(INDEX(L_Type,ROW()-4)="","",TRIM(UPPER(INDEX(L_Type,ROW()-4))))</f>
        <v/>
      </c>
      <c r="E1453">
        <f>IF(INDEX(P_Status,ROW()-4)="","",TRIM(UPPER(INDEX(P_Status,ROW()-4))))</f>
        <v/>
      </c>
      <c r="G1453">
        <f>IF(INDEX(L_Status,ROW()-4)="","",TRIM(UPPER(INDEX(L_Status,ROW()-4))))</f>
        <v/>
      </c>
      <c r="J1453">
        <f>IF(INDEX(L_ID,ROW()-4)="","",IF(SUMPRODUCT((P_ID=INDEX(L_ID,ROW()-4))*(P_StatusN="INACTIVE"))&gt;0,1,0))</f>
        <v/>
      </c>
    </row>
    <row r="1454">
      <c r="A1454">
        <f>IF(INDEX(L_ID,ROW()-4)="","",IF(COUNTIF(P_ID,INDEX(L_ID,ROW()-4))&gt;0,1,0))</f>
        <v/>
      </c>
      <c r="B1454">
        <f>IF(INDEX(P_Type,ROW()-4)="","",TRIM(UPPER(INDEX(P_Type,ROW()-4))))</f>
        <v/>
      </c>
      <c r="D1454">
        <f>IF(INDEX(L_Type,ROW()-4)="","",TRIM(UPPER(INDEX(L_Type,ROW()-4))))</f>
        <v/>
      </c>
      <c r="E1454">
        <f>IF(INDEX(P_Status,ROW()-4)="","",TRIM(UPPER(INDEX(P_Status,ROW()-4))))</f>
        <v/>
      </c>
      <c r="G1454">
        <f>IF(INDEX(L_Status,ROW()-4)="","",TRIM(UPPER(INDEX(L_Status,ROW()-4))))</f>
        <v/>
      </c>
      <c r="J1454">
        <f>IF(INDEX(L_ID,ROW()-4)="","",IF(SUMPRODUCT((P_ID=INDEX(L_ID,ROW()-4))*(P_StatusN="INACTIVE"))&gt;0,1,0))</f>
        <v/>
      </c>
    </row>
    <row r="1455">
      <c r="A1455">
        <f>IF(INDEX(L_ID,ROW()-4)="","",IF(COUNTIF(P_ID,INDEX(L_ID,ROW()-4))&gt;0,1,0))</f>
        <v/>
      </c>
      <c r="B1455">
        <f>IF(INDEX(P_Type,ROW()-4)="","",TRIM(UPPER(INDEX(P_Type,ROW()-4))))</f>
        <v/>
      </c>
      <c r="D1455">
        <f>IF(INDEX(L_Type,ROW()-4)="","",TRIM(UPPER(INDEX(L_Type,ROW()-4))))</f>
        <v/>
      </c>
      <c r="E1455">
        <f>IF(INDEX(P_Status,ROW()-4)="","",TRIM(UPPER(INDEX(P_Status,ROW()-4))))</f>
        <v/>
      </c>
      <c r="G1455">
        <f>IF(INDEX(L_Status,ROW()-4)="","",TRIM(UPPER(INDEX(L_Status,ROW()-4))))</f>
        <v/>
      </c>
      <c r="J1455">
        <f>IF(INDEX(L_ID,ROW()-4)="","",IF(SUMPRODUCT((P_ID=INDEX(L_ID,ROW()-4))*(P_StatusN="INACTIVE"))&gt;0,1,0))</f>
        <v/>
      </c>
    </row>
    <row r="1456">
      <c r="A1456">
        <f>IF(INDEX(L_ID,ROW()-4)="","",IF(COUNTIF(P_ID,INDEX(L_ID,ROW()-4))&gt;0,1,0))</f>
        <v/>
      </c>
      <c r="B1456">
        <f>IF(INDEX(P_Type,ROW()-4)="","",TRIM(UPPER(INDEX(P_Type,ROW()-4))))</f>
        <v/>
      </c>
      <c r="D1456">
        <f>IF(INDEX(L_Type,ROW()-4)="","",TRIM(UPPER(INDEX(L_Type,ROW()-4))))</f>
        <v/>
      </c>
      <c r="E1456">
        <f>IF(INDEX(P_Status,ROW()-4)="","",TRIM(UPPER(INDEX(P_Status,ROW()-4))))</f>
        <v/>
      </c>
      <c r="G1456">
        <f>IF(INDEX(L_Status,ROW()-4)="","",TRIM(UPPER(INDEX(L_Status,ROW()-4))))</f>
        <v/>
      </c>
      <c r="J1456">
        <f>IF(INDEX(L_ID,ROW()-4)="","",IF(SUMPRODUCT((P_ID=INDEX(L_ID,ROW()-4))*(P_StatusN="INACTIVE"))&gt;0,1,0))</f>
        <v/>
      </c>
    </row>
    <row r="1457">
      <c r="A1457">
        <f>IF(INDEX(L_ID,ROW()-4)="","",IF(COUNTIF(P_ID,INDEX(L_ID,ROW()-4))&gt;0,1,0))</f>
        <v/>
      </c>
      <c r="B1457">
        <f>IF(INDEX(P_Type,ROW()-4)="","",TRIM(UPPER(INDEX(P_Type,ROW()-4))))</f>
        <v/>
      </c>
      <c r="D1457">
        <f>IF(INDEX(L_Type,ROW()-4)="","",TRIM(UPPER(INDEX(L_Type,ROW()-4))))</f>
        <v/>
      </c>
      <c r="E1457">
        <f>IF(INDEX(P_Status,ROW()-4)="","",TRIM(UPPER(INDEX(P_Status,ROW()-4))))</f>
        <v/>
      </c>
      <c r="G1457">
        <f>IF(INDEX(L_Status,ROW()-4)="","",TRIM(UPPER(INDEX(L_Status,ROW()-4))))</f>
        <v/>
      </c>
      <c r="J1457">
        <f>IF(INDEX(L_ID,ROW()-4)="","",IF(SUMPRODUCT((P_ID=INDEX(L_ID,ROW()-4))*(P_StatusN="INACTIVE"))&gt;0,1,0))</f>
        <v/>
      </c>
    </row>
    <row r="1458">
      <c r="A1458">
        <f>IF(INDEX(L_ID,ROW()-4)="","",IF(COUNTIF(P_ID,INDEX(L_ID,ROW()-4))&gt;0,1,0))</f>
        <v/>
      </c>
      <c r="B1458">
        <f>IF(INDEX(P_Type,ROW()-4)="","",TRIM(UPPER(INDEX(P_Type,ROW()-4))))</f>
        <v/>
      </c>
      <c r="D1458">
        <f>IF(INDEX(L_Type,ROW()-4)="","",TRIM(UPPER(INDEX(L_Type,ROW()-4))))</f>
        <v/>
      </c>
      <c r="E1458">
        <f>IF(INDEX(P_Status,ROW()-4)="","",TRIM(UPPER(INDEX(P_Status,ROW()-4))))</f>
        <v/>
      </c>
      <c r="G1458">
        <f>IF(INDEX(L_Status,ROW()-4)="","",TRIM(UPPER(INDEX(L_Status,ROW()-4))))</f>
        <v/>
      </c>
      <c r="J1458">
        <f>IF(INDEX(L_ID,ROW()-4)="","",IF(SUMPRODUCT((P_ID=INDEX(L_ID,ROW()-4))*(P_StatusN="INACTIVE"))&gt;0,1,0))</f>
        <v/>
      </c>
    </row>
    <row r="1459">
      <c r="A1459">
        <f>IF(INDEX(L_ID,ROW()-4)="","",IF(COUNTIF(P_ID,INDEX(L_ID,ROW()-4))&gt;0,1,0))</f>
        <v/>
      </c>
      <c r="B1459">
        <f>IF(INDEX(P_Type,ROW()-4)="","",TRIM(UPPER(INDEX(P_Type,ROW()-4))))</f>
        <v/>
      </c>
      <c r="D1459">
        <f>IF(INDEX(L_Type,ROW()-4)="","",TRIM(UPPER(INDEX(L_Type,ROW()-4))))</f>
        <v/>
      </c>
      <c r="E1459">
        <f>IF(INDEX(P_Status,ROW()-4)="","",TRIM(UPPER(INDEX(P_Status,ROW()-4))))</f>
        <v/>
      </c>
      <c r="G1459">
        <f>IF(INDEX(L_Status,ROW()-4)="","",TRIM(UPPER(INDEX(L_Status,ROW()-4))))</f>
        <v/>
      </c>
      <c r="J1459">
        <f>IF(INDEX(L_ID,ROW()-4)="","",IF(SUMPRODUCT((P_ID=INDEX(L_ID,ROW()-4))*(P_StatusN="INACTIVE"))&gt;0,1,0))</f>
        <v/>
      </c>
    </row>
    <row r="1460">
      <c r="A1460">
        <f>IF(INDEX(L_ID,ROW()-4)="","",IF(COUNTIF(P_ID,INDEX(L_ID,ROW()-4))&gt;0,1,0))</f>
        <v/>
      </c>
      <c r="B1460">
        <f>IF(INDEX(P_Type,ROW()-4)="","",TRIM(UPPER(INDEX(P_Type,ROW()-4))))</f>
        <v/>
      </c>
      <c r="D1460">
        <f>IF(INDEX(L_Type,ROW()-4)="","",TRIM(UPPER(INDEX(L_Type,ROW()-4))))</f>
        <v/>
      </c>
      <c r="E1460">
        <f>IF(INDEX(P_Status,ROW()-4)="","",TRIM(UPPER(INDEX(P_Status,ROW()-4))))</f>
        <v/>
      </c>
      <c r="G1460">
        <f>IF(INDEX(L_Status,ROW()-4)="","",TRIM(UPPER(INDEX(L_Status,ROW()-4))))</f>
        <v/>
      </c>
      <c r="J1460">
        <f>IF(INDEX(L_ID,ROW()-4)="","",IF(SUMPRODUCT((P_ID=INDEX(L_ID,ROW()-4))*(P_StatusN="INACTIVE"))&gt;0,1,0))</f>
        <v/>
      </c>
    </row>
    <row r="1461">
      <c r="A1461">
        <f>IF(INDEX(L_ID,ROW()-4)="","",IF(COUNTIF(P_ID,INDEX(L_ID,ROW()-4))&gt;0,1,0))</f>
        <v/>
      </c>
      <c r="B1461">
        <f>IF(INDEX(P_Type,ROW()-4)="","",TRIM(UPPER(INDEX(P_Type,ROW()-4))))</f>
        <v/>
      </c>
      <c r="D1461">
        <f>IF(INDEX(L_Type,ROW()-4)="","",TRIM(UPPER(INDEX(L_Type,ROW()-4))))</f>
        <v/>
      </c>
      <c r="E1461">
        <f>IF(INDEX(P_Status,ROW()-4)="","",TRIM(UPPER(INDEX(P_Status,ROW()-4))))</f>
        <v/>
      </c>
      <c r="G1461">
        <f>IF(INDEX(L_Status,ROW()-4)="","",TRIM(UPPER(INDEX(L_Status,ROW()-4))))</f>
        <v/>
      </c>
      <c r="J1461">
        <f>IF(INDEX(L_ID,ROW()-4)="","",IF(SUMPRODUCT((P_ID=INDEX(L_ID,ROW()-4))*(P_StatusN="INACTIVE"))&gt;0,1,0))</f>
        <v/>
      </c>
    </row>
    <row r="1462">
      <c r="A1462">
        <f>IF(INDEX(L_ID,ROW()-4)="","",IF(COUNTIF(P_ID,INDEX(L_ID,ROW()-4))&gt;0,1,0))</f>
        <v/>
      </c>
      <c r="B1462">
        <f>IF(INDEX(P_Type,ROW()-4)="","",TRIM(UPPER(INDEX(P_Type,ROW()-4))))</f>
        <v/>
      </c>
      <c r="D1462">
        <f>IF(INDEX(L_Type,ROW()-4)="","",TRIM(UPPER(INDEX(L_Type,ROW()-4))))</f>
        <v/>
      </c>
      <c r="E1462">
        <f>IF(INDEX(P_Status,ROW()-4)="","",TRIM(UPPER(INDEX(P_Status,ROW()-4))))</f>
        <v/>
      </c>
      <c r="G1462">
        <f>IF(INDEX(L_Status,ROW()-4)="","",TRIM(UPPER(INDEX(L_Status,ROW()-4))))</f>
        <v/>
      </c>
      <c r="J1462">
        <f>IF(INDEX(L_ID,ROW()-4)="","",IF(SUMPRODUCT((P_ID=INDEX(L_ID,ROW()-4))*(P_StatusN="INACTIVE"))&gt;0,1,0))</f>
        <v/>
      </c>
    </row>
    <row r="1463">
      <c r="A1463">
        <f>IF(INDEX(L_ID,ROW()-4)="","",IF(COUNTIF(P_ID,INDEX(L_ID,ROW()-4))&gt;0,1,0))</f>
        <v/>
      </c>
      <c r="B1463">
        <f>IF(INDEX(P_Type,ROW()-4)="","",TRIM(UPPER(INDEX(P_Type,ROW()-4))))</f>
        <v/>
      </c>
      <c r="D1463">
        <f>IF(INDEX(L_Type,ROW()-4)="","",TRIM(UPPER(INDEX(L_Type,ROW()-4))))</f>
        <v/>
      </c>
      <c r="E1463">
        <f>IF(INDEX(P_Status,ROW()-4)="","",TRIM(UPPER(INDEX(P_Status,ROW()-4))))</f>
        <v/>
      </c>
      <c r="G1463">
        <f>IF(INDEX(L_Status,ROW()-4)="","",TRIM(UPPER(INDEX(L_Status,ROW()-4))))</f>
        <v/>
      </c>
      <c r="J1463">
        <f>IF(INDEX(L_ID,ROW()-4)="","",IF(SUMPRODUCT((P_ID=INDEX(L_ID,ROW()-4))*(P_StatusN="INACTIVE"))&gt;0,1,0))</f>
        <v/>
      </c>
    </row>
    <row r="1464">
      <c r="A1464">
        <f>IF(INDEX(L_ID,ROW()-4)="","",IF(COUNTIF(P_ID,INDEX(L_ID,ROW()-4))&gt;0,1,0))</f>
        <v/>
      </c>
      <c r="B1464">
        <f>IF(INDEX(P_Type,ROW()-4)="","",TRIM(UPPER(INDEX(P_Type,ROW()-4))))</f>
        <v/>
      </c>
      <c r="D1464">
        <f>IF(INDEX(L_Type,ROW()-4)="","",TRIM(UPPER(INDEX(L_Type,ROW()-4))))</f>
        <v/>
      </c>
      <c r="E1464">
        <f>IF(INDEX(P_Status,ROW()-4)="","",TRIM(UPPER(INDEX(P_Status,ROW()-4))))</f>
        <v/>
      </c>
      <c r="G1464">
        <f>IF(INDEX(L_Status,ROW()-4)="","",TRIM(UPPER(INDEX(L_Status,ROW()-4))))</f>
        <v/>
      </c>
      <c r="J1464">
        <f>IF(INDEX(L_ID,ROW()-4)="","",IF(SUMPRODUCT((P_ID=INDEX(L_ID,ROW()-4))*(P_StatusN="INACTIVE"))&gt;0,1,0))</f>
        <v/>
      </c>
    </row>
    <row r="1465">
      <c r="A1465">
        <f>IF(INDEX(L_ID,ROW()-4)="","",IF(COUNTIF(P_ID,INDEX(L_ID,ROW()-4))&gt;0,1,0))</f>
        <v/>
      </c>
      <c r="B1465">
        <f>IF(INDEX(P_Type,ROW()-4)="","",TRIM(UPPER(INDEX(P_Type,ROW()-4))))</f>
        <v/>
      </c>
      <c r="D1465">
        <f>IF(INDEX(L_Type,ROW()-4)="","",TRIM(UPPER(INDEX(L_Type,ROW()-4))))</f>
        <v/>
      </c>
      <c r="E1465">
        <f>IF(INDEX(P_Status,ROW()-4)="","",TRIM(UPPER(INDEX(P_Status,ROW()-4))))</f>
        <v/>
      </c>
      <c r="G1465">
        <f>IF(INDEX(L_Status,ROW()-4)="","",TRIM(UPPER(INDEX(L_Status,ROW()-4))))</f>
        <v/>
      </c>
      <c r="J1465">
        <f>IF(INDEX(L_ID,ROW()-4)="","",IF(SUMPRODUCT((P_ID=INDEX(L_ID,ROW()-4))*(P_StatusN="INACTIVE"))&gt;0,1,0))</f>
        <v/>
      </c>
    </row>
    <row r="1466">
      <c r="A1466">
        <f>IF(INDEX(L_ID,ROW()-4)="","",IF(COUNTIF(P_ID,INDEX(L_ID,ROW()-4))&gt;0,1,0))</f>
        <v/>
      </c>
      <c r="B1466">
        <f>IF(INDEX(P_Type,ROW()-4)="","",TRIM(UPPER(INDEX(P_Type,ROW()-4))))</f>
        <v/>
      </c>
      <c r="D1466">
        <f>IF(INDEX(L_Type,ROW()-4)="","",TRIM(UPPER(INDEX(L_Type,ROW()-4))))</f>
        <v/>
      </c>
      <c r="E1466">
        <f>IF(INDEX(P_Status,ROW()-4)="","",TRIM(UPPER(INDEX(P_Status,ROW()-4))))</f>
        <v/>
      </c>
      <c r="G1466">
        <f>IF(INDEX(L_Status,ROW()-4)="","",TRIM(UPPER(INDEX(L_Status,ROW()-4))))</f>
        <v/>
      </c>
      <c r="J1466">
        <f>IF(INDEX(L_ID,ROW()-4)="","",IF(SUMPRODUCT((P_ID=INDEX(L_ID,ROW()-4))*(P_StatusN="INACTIVE"))&gt;0,1,0))</f>
        <v/>
      </c>
    </row>
    <row r="1467">
      <c r="A1467">
        <f>IF(INDEX(L_ID,ROW()-4)="","",IF(COUNTIF(P_ID,INDEX(L_ID,ROW()-4))&gt;0,1,0))</f>
        <v/>
      </c>
      <c r="B1467">
        <f>IF(INDEX(P_Type,ROW()-4)="","",TRIM(UPPER(INDEX(P_Type,ROW()-4))))</f>
        <v/>
      </c>
      <c r="D1467">
        <f>IF(INDEX(L_Type,ROW()-4)="","",TRIM(UPPER(INDEX(L_Type,ROW()-4))))</f>
        <v/>
      </c>
      <c r="E1467">
        <f>IF(INDEX(P_Status,ROW()-4)="","",TRIM(UPPER(INDEX(P_Status,ROW()-4))))</f>
        <v/>
      </c>
      <c r="G1467">
        <f>IF(INDEX(L_Status,ROW()-4)="","",TRIM(UPPER(INDEX(L_Status,ROW()-4))))</f>
        <v/>
      </c>
      <c r="J1467">
        <f>IF(INDEX(L_ID,ROW()-4)="","",IF(SUMPRODUCT((P_ID=INDEX(L_ID,ROW()-4))*(P_StatusN="INACTIVE"))&gt;0,1,0))</f>
        <v/>
      </c>
    </row>
    <row r="1468">
      <c r="A1468">
        <f>IF(INDEX(L_ID,ROW()-4)="","",IF(COUNTIF(P_ID,INDEX(L_ID,ROW()-4))&gt;0,1,0))</f>
        <v/>
      </c>
      <c r="B1468">
        <f>IF(INDEX(P_Type,ROW()-4)="","",TRIM(UPPER(INDEX(P_Type,ROW()-4))))</f>
        <v/>
      </c>
      <c r="D1468">
        <f>IF(INDEX(L_Type,ROW()-4)="","",TRIM(UPPER(INDEX(L_Type,ROW()-4))))</f>
        <v/>
      </c>
      <c r="E1468">
        <f>IF(INDEX(P_Status,ROW()-4)="","",TRIM(UPPER(INDEX(P_Status,ROW()-4))))</f>
        <v/>
      </c>
      <c r="G1468">
        <f>IF(INDEX(L_Status,ROW()-4)="","",TRIM(UPPER(INDEX(L_Status,ROW()-4))))</f>
        <v/>
      </c>
      <c r="J1468">
        <f>IF(INDEX(L_ID,ROW()-4)="","",IF(SUMPRODUCT((P_ID=INDEX(L_ID,ROW()-4))*(P_StatusN="INACTIVE"))&gt;0,1,0))</f>
        <v/>
      </c>
    </row>
    <row r="1469">
      <c r="A1469">
        <f>IF(INDEX(L_ID,ROW()-4)="","",IF(COUNTIF(P_ID,INDEX(L_ID,ROW()-4))&gt;0,1,0))</f>
        <v/>
      </c>
      <c r="B1469">
        <f>IF(INDEX(P_Type,ROW()-4)="","",TRIM(UPPER(INDEX(P_Type,ROW()-4))))</f>
        <v/>
      </c>
      <c r="D1469">
        <f>IF(INDEX(L_Type,ROW()-4)="","",TRIM(UPPER(INDEX(L_Type,ROW()-4))))</f>
        <v/>
      </c>
      <c r="E1469">
        <f>IF(INDEX(P_Status,ROW()-4)="","",TRIM(UPPER(INDEX(P_Status,ROW()-4))))</f>
        <v/>
      </c>
      <c r="G1469">
        <f>IF(INDEX(L_Status,ROW()-4)="","",TRIM(UPPER(INDEX(L_Status,ROW()-4))))</f>
        <v/>
      </c>
      <c r="J1469">
        <f>IF(INDEX(L_ID,ROW()-4)="","",IF(SUMPRODUCT((P_ID=INDEX(L_ID,ROW()-4))*(P_StatusN="INACTIVE"))&gt;0,1,0))</f>
        <v/>
      </c>
    </row>
    <row r="1470">
      <c r="A1470">
        <f>IF(INDEX(L_ID,ROW()-4)="","",IF(COUNTIF(P_ID,INDEX(L_ID,ROW()-4))&gt;0,1,0))</f>
        <v/>
      </c>
      <c r="B1470">
        <f>IF(INDEX(P_Type,ROW()-4)="","",TRIM(UPPER(INDEX(P_Type,ROW()-4))))</f>
        <v/>
      </c>
      <c r="D1470">
        <f>IF(INDEX(L_Type,ROW()-4)="","",TRIM(UPPER(INDEX(L_Type,ROW()-4))))</f>
        <v/>
      </c>
      <c r="E1470">
        <f>IF(INDEX(P_Status,ROW()-4)="","",TRIM(UPPER(INDEX(P_Status,ROW()-4))))</f>
        <v/>
      </c>
      <c r="G1470">
        <f>IF(INDEX(L_Status,ROW()-4)="","",TRIM(UPPER(INDEX(L_Status,ROW()-4))))</f>
        <v/>
      </c>
      <c r="J1470">
        <f>IF(INDEX(L_ID,ROW()-4)="","",IF(SUMPRODUCT((P_ID=INDEX(L_ID,ROW()-4))*(P_StatusN="INACTIVE"))&gt;0,1,0))</f>
        <v/>
      </c>
    </row>
    <row r="1471">
      <c r="A1471">
        <f>IF(INDEX(L_ID,ROW()-4)="","",IF(COUNTIF(P_ID,INDEX(L_ID,ROW()-4))&gt;0,1,0))</f>
        <v/>
      </c>
      <c r="B1471">
        <f>IF(INDEX(P_Type,ROW()-4)="","",TRIM(UPPER(INDEX(P_Type,ROW()-4))))</f>
        <v/>
      </c>
      <c r="D1471">
        <f>IF(INDEX(L_Type,ROW()-4)="","",TRIM(UPPER(INDEX(L_Type,ROW()-4))))</f>
        <v/>
      </c>
      <c r="E1471">
        <f>IF(INDEX(P_Status,ROW()-4)="","",TRIM(UPPER(INDEX(P_Status,ROW()-4))))</f>
        <v/>
      </c>
      <c r="G1471">
        <f>IF(INDEX(L_Status,ROW()-4)="","",TRIM(UPPER(INDEX(L_Status,ROW()-4))))</f>
        <v/>
      </c>
      <c r="J1471">
        <f>IF(INDEX(L_ID,ROW()-4)="","",IF(SUMPRODUCT((P_ID=INDEX(L_ID,ROW()-4))*(P_StatusN="INACTIVE"))&gt;0,1,0))</f>
        <v/>
      </c>
    </row>
    <row r="1472">
      <c r="A1472">
        <f>IF(INDEX(L_ID,ROW()-4)="","",IF(COUNTIF(P_ID,INDEX(L_ID,ROW()-4))&gt;0,1,0))</f>
        <v/>
      </c>
      <c r="B1472">
        <f>IF(INDEX(P_Type,ROW()-4)="","",TRIM(UPPER(INDEX(P_Type,ROW()-4))))</f>
        <v/>
      </c>
      <c r="D1472">
        <f>IF(INDEX(L_Type,ROW()-4)="","",TRIM(UPPER(INDEX(L_Type,ROW()-4))))</f>
        <v/>
      </c>
      <c r="E1472">
        <f>IF(INDEX(P_Status,ROW()-4)="","",TRIM(UPPER(INDEX(P_Status,ROW()-4))))</f>
        <v/>
      </c>
      <c r="G1472">
        <f>IF(INDEX(L_Status,ROW()-4)="","",TRIM(UPPER(INDEX(L_Status,ROW()-4))))</f>
        <v/>
      </c>
      <c r="J1472">
        <f>IF(INDEX(L_ID,ROW()-4)="","",IF(SUMPRODUCT((P_ID=INDEX(L_ID,ROW()-4))*(P_StatusN="INACTIVE"))&gt;0,1,0))</f>
        <v/>
      </c>
    </row>
    <row r="1473">
      <c r="A1473">
        <f>IF(INDEX(L_ID,ROW()-4)="","",IF(COUNTIF(P_ID,INDEX(L_ID,ROW()-4))&gt;0,1,0))</f>
        <v/>
      </c>
      <c r="B1473">
        <f>IF(INDEX(P_Type,ROW()-4)="","",TRIM(UPPER(INDEX(P_Type,ROW()-4))))</f>
        <v/>
      </c>
      <c r="D1473">
        <f>IF(INDEX(L_Type,ROW()-4)="","",TRIM(UPPER(INDEX(L_Type,ROW()-4))))</f>
        <v/>
      </c>
      <c r="E1473">
        <f>IF(INDEX(P_Status,ROW()-4)="","",TRIM(UPPER(INDEX(P_Status,ROW()-4))))</f>
        <v/>
      </c>
      <c r="G1473">
        <f>IF(INDEX(L_Status,ROW()-4)="","",TRIM(UPPER(INDEX(L_Status,ROW()-4))))</f>
        <v/>
      </c>
      <c r="J1473">
        <f>IF(INDEX(L_ID,ROW()-4)="","",IF(SUMPRODUCT((P_ID=INDEX(L_ID,ROW()-4))*(P_StatusN="INACTIVE"))&gt;0,1,0))</f>
        <v/>
      </c>
    </row>
    <row r="1474">
      <c r="A1474">
        <f>IF(INDEX(L_ID,ROW()-4)="","",IF(COUNTIF(P_ID,INDEX(L_ID,ROW()-4))&gt;0,1,0))</f>
        <v/>
      </c>
      <c r="B1474">
        <f>IF(INDEX(P_Type,ROW()-4)="","",TRIM(UPPER(INDEX(P_Type,ROW()-4))))</f>
        <v/>
      </c>
      <c r="D1474">
        <f>IF(INDEX(L_Type,ROW()-4)="","",TRIM(UPPER(INDEX(L_Type,ROW()-4))))</f>
        <v/>
      </c>
      <c r="E1474">
        <f>IF(INDEX(P_Status,ROW()-4)="","",TRIM(UPPER(INDEX(P_Status,ROW()-4))))</f>
        <v/>
      </c>
      <c r="G1474">
        <f>IF(INDEX(L_Status,ROW()-4)="","",TRIM(UPPER(INDEX(L_Status,ROW()-4))))</f>
        <v/>
      </c>
      <c r="J1474">
        <f>IF(INDEX(L_ID,ROW()-4)="","",IF(SUMPRODUCT((P_ID=INDEX(L_ID,ROW()-4))*(P_StatusN="INACTIVE"))&gt;0,1,0))</f>
        <v/>
      </c>
    </row>
    <row r="1475">
      <c r="A1475">
        <f>IF(INDEX(L_ID,ROW()-4)="","",IF(COUNTIF(P_ID,INDEX(L_ID,ROW()-4))&gt;0,1,0))</f>
        <v/>
      </c>
      <c r="B1475">
        <f>IF(INDEX(P_Type,ROW()-4)="","",TRIM(UPPER(INDEX(P_Type,ROW()-4))))</f>
        <v/>
      </c>
      <c r="D1475">
        <f>IF(INDEX(L_Type,ROW()-4)="","",TRIM(UPPER(INDEX(L_Type,ROW()-4))))</f>
        <v/>
      </c>
      <c r="E1475">
        <f>IF(INDEX(P_Status,ROW()-4)="","",TRIM(UPPER(INDEX(P_Status,ROW()-4))))</f>
        <v/>
      </c>
      <c r="G1475">
        <f>IF(INDEX(L_Status,ROW()-4)="","",TRIM(UPPER(INDEX(L_Status,ROW()-4))))</f>
        <v/>
      </c>
      <c r="J1475">
        <f>IF(INDEX(L_ID,ROW()-4)="","",IF(SUMPRODUCT((P_ID=INDEX(L_ID,ROW()-4))*(P_StatusN="INACTIVE"))&gt;0,1,0))</f>
        <v/>
      </c>
    </row>
    <row r="1476">
      <c r="A1476">
        <f>IF(INDEX(L_ID,ROW()-4)="","",IF(COUNTIF(P_ID,INDEX(L_ID,ROW()-4))&gt;0,1,0))</f>
        <v/>
      </c>
      <c r="B1476">
        <f>IF(INDEX(P_Type,ROW()-4)="","",TRIM(UPPER(INDEX(P_Type,ROW()-4))))</f>
        <v/>
      </c>
      <c r="D1476">
        <f>IF(INDEX(L_Type,ROW()-4)="","",TRIM(UPPER(INDEX(L_Type,ROW()-4))))</f>
        <v/>
      </c>
      <c r="E1476">
        <f>IF(INDEX(P_Status,ROW()-4)="","",TRIM(UPPER(INDEX(P_Status,ROW()-4))))</f>
        <v/>
      </c>
      <c r="G1476">
        <f>IF(INDEX(L_Status,ROW()-4)="","",TRIM(UPPER(INDEX(L_Status,ROW()-4))))</f>
        <v/>
      </c>
      <c r="J1476">
        <f>IF(INDEX(L_ID,ROW()-4)="","",IF(SUMPRODUCT((P_ID=INDEX(L_ID,ROW()-4))*(P_StatusN="INACTIVE"))&gt;0,1,0))</f>
        <v/>
      </c>
    </row>
    <row r="1477">
      <c r="A1477">
        <f>IF(INDEX(L_ID,ROW()-4)="","",IF(COUNTIF(P_ID,INDEX(L_ID,ROW()-4))&gt;0,1,0))</f>
        <v/>
      </c>
      <c r="B1477">
        <f>IF(INDEX(P_Type,ROW()-4)="","",TRIM(UPPER(INDEX(P_Type,ROW()-4))))</f>
        <v/>
      </c>
      <c r="D1477">
        <f>IF(INDEX(L_Type,ROW()-4)="","",TRIM(UPPER(INDEX(L_Type,ROW()-4))))</f>
        <v/>
      </c>
      <c r="E1477">
        <f>IF(INDEX(P_Status,ROW()-4)="","",TRIM(UPPER(INDEX(P_Status,ROW()-4))))</f>
        <v/>
      </c>
      <c r="G1477">
        <f>IF(INDEX(L_Status,ROW()-4)="","",TRIM(UPPER(INDEX(L_Status,ROW()-4))))</f>
        <v/>
      </c>
      <c r="J1477">
        <f>IF(INDEX(L_ID,ROW()-4)="","",IF(SUMPRODUCT((P_ID=INDEX(L_ID,ROW()-4))*(P_StatusN="INACTIVE"))&gt;0,1,0))</f>
        <v/>
      </c>
    </row>
    <row r="1478">
      <c r="A1478">
        <f>IF(INDEX(L_ID,ROW()-4)="","",IF(COUNTIF(P_ID,INDEX(L_ID,ROW()-4))&gt;0,1,0))</f>
        <v/>
      </c>
      <c r="B1478">
        <f>IF(INDEX(P_Type,ROW()-4)="","",TRIM(UPPER(INDEX(P_Type,ROW()-4))))</f>
        <v/>
      </c>
      <c r="D1478">
        <f>IF(INDEX(L_Type,ROW()-4)="","",TRIM(UPPER(INDEX(L_Type,ROW()-4))))</f>
        <v/>
      </c>
      <c r="E1478">
        <f>IF(INDEX(P_Status,ROW()-4)="","",TRIM(UPPER(INDEX(P_Status,ROW()-4))))</f>
        <v/>
      </c>
      <c r="G1478">
        <f>IF(INDEX(L_Status,ROW()-4)="","",TRIM(UPPER(INDEX(L_Status,ROW()-4))))</f>
        <v/>
      </c>
      <c r="J1478">
        <f>IF(INDEX(L_ID,ROW()-4)="","",IF(SUMPRODUCT((P_ID=INDEX(L_ID,ROW()-4))*(P_StatusN="INACTIVE"))&gt;0,1,0))</f>
        <v/>
      </c>
    </row>
    <row r="1479">
      <c r="A1479">
        <f>IF(INDEX(L_ID,ROW()-4)="","",IF(COUNTIF(P_ID,INDEX(L_ID,ROW()-4))&gt;0,1,0))</f>
        <v/>
      </c>
      <c r="B1479">
        <f>IF(INDEX(P_Type,ROW()-4)="","",TRIM(UPPER(INDEX(P_Type,ROW()-4))))</f>
        <v/>
      </c>
      <c r="D1479">
        <f>IF(INDEX(L_Type,ROW()-4)="","",TRIM(UPPER(INDEX(L_Type,ROW()-4))))</f>
        <v/>
      </c>
      <c r="E1479">
        <f>IF(INDEX(P_Status,ROW()-4)="","",TRIM(UPPER(INDEX(P_Status,ROW()-4))))</f>
        <v/>
      </c>
      <c r="G1479">
        <f>IF(INDEX(L_Status,ROW()-4)="","",TRIM(UPPER(INDEX(L_Status,ROW()-4))))</f>
        <v/>
      </c>
      <c r="J1479">
        <f>IF(INDEX(L_ID,ROW()-4)="","",IF(SUMPRODUCT((P_ID=INDEX(L_ID,ROW()-4))*(P_StatusN="INACTIVE"))&gt;0,1,0))</f>
        <v/>
      </c>
    </row>
    <row r="1480">
      <c r="A1480">
        <f>IF(INDEX(L_ID,ROW()-4)="","",IF(COUNTIF(P_ID,INDEX(L_ID,ROW()-4))&gt;0,1,0))</f>
        <v/>
      </c>
      <c r="B1480">
        <f>IF(INDEX(P_Type,ROW()-4)="","",TRIM(UPPER(INDEX(P_Type,ROW()-4))))</f>
        <v/>
      </c>
      <c r="D1480">
        <f>IF(INDEX(L_Type,ROW()-4)="","",TRIM(UPPER(INDEX(L_Type,ROW()-4))))</f>
        <v/>
      </c>
      <c r="E1480">
        <f>IF(INDEX(P_Status,ROW()-4)="","",TRIM(UPPER(INDEX(P_Status,ROW()-4))))</f>
        <v/>
      </c>
      <c r="G1480">
        <f>IF(INDEX(L_Status,ROW()-4)="","",TRIM(UPPER(INDEX(L_Status,ROW()-4))))</f>
        <v/>
      </c>
      <c r="J1480">
        <f>IF(INDEX(L_ID,ROW()-4)="","",IF(SUMPRODUCT((P_ID=INDEX(L_ID,ROW()-4))*(P_StatusN="INACTIVE"))&gt;0,1,0))</f>
        <v/>
      </c>
    </row>
    <row r="1481">
      <c r="A1481">
        <f>IF(INDEX(L_ID,ROW()-4)="","",IF(COUNTIF(P_ID,INDEX(L_ID,ROW()-4))&gt;0,1,0))</f>
        <v/>
      </c>
      <c r="B1481">
        <f>IF(INDEX(P_Type,ROW()-4)="","",TRIM(UPPER(INDEX(P_Type,ROW()-4))))</f>
        <v/>
      </c>
      <c r="D1481">
        <f>IF(INDEX(L_Type,ROW()-4)="","",TRIM(UPPER(INDEX(L_Type,ROW()-4))))</f>
        <v/>
      </c>
      <c r="E1481">
        <f>IF(INDEX(P_Status,ROW()-4)="","",TRIM(UPPER(INDEX(P_Status,ROW()-4))))</f>
        <v/>
      </c>
      <c r="G1481">
        <f>IF(INDEX(L_Status,ROW()-4)="","",TRIM(UPPER(INDEX(L_Status,ROW()-4))))</f>
        <v/>
      </c>
      <c r="J1481">
        <f>IF(INDEX(L_ID,ROW()-4)="","",IF(SUMPRODUCT((P_ID=INDEX(L_ID,ROW()-4))*(P_StatusN="INACTIVE"))&gt;0,1,0))</f>
        <v/>
      </c>
    </row>
    <row r="1482">
      <c r="A1482">
        <f>IF(INDEX(L_ID,ROW()-4)="","",IF(COUNTIF(P_ID,INDEX(L_ID,ROW()-4))&gt;0,1,0))</f>
        <v/>
      </c>
      <c r="B1482">
        <f>IF(INDEX(P_Type,ROW()-4)="","",TRIM(UPPER(INDEX(P_Type,ROW()-4))))</f>
        <v/>
      </c>
      <c r="D1482">
        <f>IF(INDEX(L_Type,ROW()-4)="","",TRIM(UPPER(INDEX(L_Type,ROW()-4))))</f>
        <v/>
      </c>
      <c r="E1482">
        <f>IF(INDEX(P_Status,ROW()-4)="","",TRIM(UPPER(INDEX(P_Status,ROW()-4))))</f>
        <v/>
      </c>
      <c r="G1482">
        <f>IF(INDEX(L_Status,ROW()-4)="","",TRIM(UPPER(INDEX(L_Status,ROW()-4))))</f>
        <v/>
      </c>
      <c r="J1482">
        <f>IF(INDEX(L_ID,ROW()-4)="","",IF(SUMPRODUCT((P_ID=INDEX(L_ID,ROW()-4))*(P_StatusN="INACTIVE"))&gt;0,1,0))</f>
        <v/>
      </c>
    </row>
    <row r="1483">
      <c r="A1483">
        <f>IF(INDEX(L_ID,ROW()-4)="","",IF(COUNTIF(P_ID,INDEX(L_ID,ROW()-4))&gt;0,1,0))</f>
        <v/>
      </c>
      <c r="B1483">
        <f>IF(INDEX(P_Type,ROW()-4)="","",TRIM(UPPER(INDEX(P_Type,ROW()-4))))</f>
        <v/>
      </c>
      <c r="D1483">
        <f>IF(INDEX(L_Type,ROW()-4)="","",TRIM(UPPER(INDEX(L_Type,ROW()-4))))</f>
        <v/>
      </c>
      <c r="E1483">
        <f>IF(INDEX(P_Status,ROW()-4)="","",TRIM(UPPER(INDEX(P_Status,ROW()-4))))</f>
        <v/>
      </c>
      <c r="G1483">
        <f>IF(INDEX(L_Status,ROW()-4)="","",TRIM(UPPER(INDEX(L_Status,ROW()-4))))</f>
        <v/>
      </c>
      <c r="J1483">
        <f>IF(INDEX(L_ID,ROW()-4)="","",IF(SUMPRODUCT((P_ID=INDEX(L_ID,ROW()-4))*(P_StatusN="INACTIVE"))&gt;0,1,0))</f>
        <v/>
      </c>
    </row>
    <row r="1484">
      <c r="A1484">
        <f>IF(INDEX(L_ID,ROW()-4)="","",IF(COUNTIF(P_ID,INDEX(L_ID,ROW()-4))&gt;0,1,0))</f>
        <v/>
      </c>
      <c r="B1484">
        <f>IF(INDEX(P_Type,ROW()-4)="","",TRIM(UPPER(INDEX(P_Type,ROW()-4))))</f>
        <v/>
      </c>
      <c r="D1484">
        <f>IF(INDEX(L_Type,ROW()-4)="","",TRIM(UPPER(INDEX(L_Type,ROW()-4))))</f>
        <v/>
      </c>
      <c r="E1484">
        <f>IF(INDEX(P_Status,ROW()-4)="","",TRIM(UPPER(INDEX(P_Status,ROW()-4))))</f>
        <v/>
      </c>
      <c r="G1484">
        <f>IF(INDEX(L_Status,ROW()-4)="","",TRIM(UPPER(INDEX(L_Status,ROW()-4))))</f>
        <v/>
      </c>
      <c r="J1484">
        <f>IF(INDEX(L_ID,ROW()-4)="","",IF(SUMPRODUCT((P_ID=INDEX(L_ID,ROW()-4))*(P_StatusN="INACTIVE"))&gt;0,1,0))</f>
        <v/>
      </c>
    </row>
    <row r="1485">
      <c r="A1485">
        <f>IF(INDEX(L_ID,ROW()-4)="","",IF(COUNTIF(P_ID,INDEX(L_ID,ROW()-4))&gt;0,1,0))</f>
        <v/>
      </c>
      <c r="B1485">
        <f>IF(INDEX(P_Type,ROW()-4)="","",TRIM(UPPER(INDEX(P_Type,ROW()-4))))</f>
        <v/>
      </c>
      <c r="D1485">
        <f>IF(INDEX(L_Type,ROW()-4)="","",TRIM(UPPER(INDEX(L_Type,ROW()-4))))</f>
        <v/>
      </c>
      <c r="E1485">
        <f>IF(INDEX(P_Status,ROW()-4)="","",TRIM(UPPER(INDEX(P_Status,ROW()-4))))</f>
        <v/>
      </c>
      <c r="G1485">
        <f>IF(INDEX(L_Status,ROW()-4)="","",TRIM(UPPER(INDEX(L_Status,ROW()-4))))</f>
        <v/>
      </c>
      <c r="J1485">
        <f>IF(INDEX(L_ID,ROW()-4)="","",IF(SUMPRODUCT((P_ID=INDEX(L_ID,ROW()-4))*(P_StatusN="INACTIVE"))&gt;0,1,0))</f>
        <v/>
      </c>
    </row>
    <row r="1486">
      <c r="A1486">
        <f>IF(INDEX(L_ID,ROW()-4)="","",IF(COUNTIF(P_ID,INDEX(L_ID,ROW()-4))&gt;0,1,0))</f>
        <v/>
      </c>
      <c r="B1486">
        <f>IF(INDEX(P_Type,ROW()-4)="","",TRIM(UPPER(INDEX(P_Type,ROW()-4))))</f>
        <v/>
      </c>
      <c r="D1486">
        <f>IF(INDEX(L_Type,ROW()-4)="","",TRIM(UPPER(INDEX(L_Type,ROW()-4))))</f>
        <v/>
      </c>
      <c r="E1486">
        <f>IF(INDEX(P_Status,ROW()-4)="","",TRIM(UPPER(INDEX(P_Status,ROW()-4))))</f>
        <v/>
      </c>
      <c r="G1486">
        <f>IF(INDEX(L_Status,ROW()-4)="","",TRIM(UPPER(INDEX(L_Status,ROW()-4))))</f>
        <v/>
      </c>
      <c r="J1486">
        <f>IF(INDEX(L_ID,ROW()-4)="","",IF(SUMPRODUCT((P_ID=INDEX(L_ID,ROW()-4))*(P_StatusN="INACTIVE"))&gt;0,1,0))</f>
        <v/>
      </c>
    </row>
    <row r="1487">
      <c r="A1487">
        <f>IF(INDEX(L_ID,ROW()-4)="","",IF(COUNTIF(P_ID,INDEX(L_ID,ROW()-4))&gt;0,1,0))</f>
        <v/>
      </c>
      <c r="B1487">
        <f>IF(INDEX(P_Type,ROW()-4)="","",TRIM(UPPER(INDEX(P_Type,ROW()-4))))</f>
        <v/>
      </c>
      <c r="D1487">
        <f>IF(INDEX(L_Type,ROW()-4)="","",TRIM(UPPER(INDEX(L_Type,ROW()-4))))</f>
        <v/>
      </c>
      <c r="E1487">
        <f>IF(INDEX(P_Status,ROW()-4)="","",TRIM(UPPER(INDEX(P_Status,ROW()-4))))</f>
        <v/>
      </c>
      <c r="G1487">
        <f>IF(INDEX(L_Status,ROW()-4)="","",TRIM(UPPER(INDEX(L_Status,ROW()-4))))</f>
        <v/>
      </c>
      <c r="J1487">
        <f>IF(INDEX(L_ID,ROW()-4)="","",IF(SUMPRODUCT((P_ID=INDEX(L_ID,ROW()-4))*(P_StatusN="INACTIVE"))&gt;0,1,0))</f>
        <v/>
      </c>
    </row>
    <row r="1488">
      <c r="A1488">
        <f>IF(INDEX(L_ID,ROW()-4)="","",IF(COUNTIF(P_ID,INDEX(L_ID,ROW()-4))&gt;0,1,0))</f>
        <v/>
      </c>
      <c r="B1488">
        <f>IF(INDEX(P_Type,ROW()-4)="","",TRIM(UPPER(INDEX(P_Type,ROW()-4))))</f>
        <v/>
      </c>
      <c r="D1488">
        <f>IF(INDEX(L_Type,ROW()-4)="","",TRIM(UPPER(INDEX(L_Type,ROW()-4))))</f>
        <v/>
      </c>
      <c r="E1488">
        <f>IF(INDEX(P_Status,ROW()-4)="","",TRIM(UPPER(INDEX(P_Status,ROW()-4))))</f>
        <v/>
      </c>
      <c r="G1488">
        <f>IF(INDEX(L_Status,ROW()-4)="","",TRIM(UPPER(INDEX(L_Status,ROW()-4))))</f>
        <v/>
      </c>
      <c r="J1488">
        <f>IF(INDEX(L_ID,ROW()-4)="","",IF(SUMPRODUCT((P_ID=INDEX(L_ID,ROW()-4))*(P_StatusN="INACTIVE"))&gt;0,1,0))</f>
        <v/>
      </c>
    </row>
    <row r="1489">
      <c r="A1489">
        <f>IF(INDEX(L_ID,ROW()-4)="","",IF(COUNTIF(P_ID,INDEX(L_ID,ROW()-4))&gt;0,1,0))</f>
        <v/>
      </c>
      <c r="B1489">
        <f>IF(INDEX(P_Type,ROW()-4)="","",TRIM(UPPER(INDEX(P_Type,ROW()-4))))</f>
        <v/>
      </c>
      <c r="D1489">
        <f>IF(INDEX(L_Type,ROW()-4)="","",TRIM(UPPER(INDEX(L_Type,ROW()-4))))</f>
        <v/>
      </c>
      <c r="E1489">
        <f>IF(INDEX(P_Status,ROW()-4)="","",TRIM(UPPER(INDEX(P_Status,ROW()-4))))</f>
        <v/>
      </c>
      <c r="G1489">
        <f>IF(INDEX(L_Status,ROW()-4)="","",TRIM(UPPER(INDEX(L_Status,ROW()-4))))</f>
        <v/>
      </c>
      <c r="J1489">
        <f>IF(INDEX(L_ID,ROW()-4)="","",IF(SUMPRODUCT((P_ID=INDEX(L_ID,ROW()-4))*(P_StatusN="INACTIVE"))&gt;0,1,0))</f>
        <v/>
      </c>
    </row>
    <row r="1490">
      <c r="A1490">
        <f>IF(INDEX(L_ID,ROW()-4)="","",IF(COUNTIF(P_ID,INDEX(L_ID,ROW()-4))&gt;0,1,0))</f>
        <v/>
      </c>
      <c r="B1490">
        <f>IF(INDEX(P_Type,ROW()-4)="","",TRIM(UPPER(INDEX(P_Type,ROW()-4))))</f>
        <v/>
      </c>
      <c r="D1490">
        <f>IF(INDEX(L_Type,ROW()-4)="","",TRIM(UPPER(INDEX(L_Type,ROW()-4))))</f>
        <v/>
      </c>
      <c r="E1490">
        <f>IF(INDEX(P_Status,ROW()-4)="","",TRIM(UPPER(INDEX(P_Status,ROW()-4))))</f>
        <v/>
      </c>
      <c r="G1490">
        <f>IF(INDEX(L_Status,ROW()-4)="","",TRIM(UPPER(INDEX(L_Status,ROW()-4))))</f>
        <v/>
      </c>
      <c r="J1490">
        <f>IF(INDEX(L_ID,ROW()-4)="","",IF(SUMPRODUCT((P_ID=INDEX(L_ID,ROW()-4))*(P_StatusN="INACTIVE"))&gt;0,1,0))</f>
        <v/>
      </c>
    </row>
    <row r="1491">
      <c r="A1491">
        <f>IF(INDEX(L_ID,ROW()-4)="","",IF(COUNTIF(P_ID,INDEX(L_ID,ROW()-4))&gt;0,1,0))</f>
        <v/>
      </c>
      <c r="B1491">
        <f>IF(INDEX(P_Type,ROW()-4)="","",TRIM(UPPER(INDEX(P_Type,ROW()-4))))</f>
        <v/>
      </c>
      <c r="D1491">
        <f>IF(INDEX(L_Type,ROW()-4)="","",TRIM(UPPER(INDEX(L_Type,ROW()-4))))</f>
        <v/>
      </c>
      <c r="E1491">
        <f>IF(INDEX(P_Status,ROW()-4)="","",TRIM(UPPER(INDEX(P_Status,ROW()-4))))</f>
        <v/>
      </c>
      <c r="G1491">
        <f>IF(INDEX(L_Status,ROW()-4)="","",TRIM(UPPER(INDEX(L_Status,ROW()-4))))</f>
        <v/>
      </c>
      <c r="J1491">
        <f>IF(INDEX(L_ID,ROW()-4)="","",IF(SUMPRODUCT((P_ID=INDEX(L_ID,ROW()-4))*(P_StatusN="INACTIVE"))&gt;0,1,0))</f>
        <v/>
      </c>
    </row>
    <row r="1492">
      <c r="A1492">
        <f>IF(INDEX(L_ID,ROW()-4)="","",IF(COUNTIF(P_ID,INDEX(L_ID,ROW()-4))&gt;0,1,0))</f>
        <v/>
      </c>
      <c r="B1492">
        <f>IF(INDEX(P_Type,ROW()-4)="","",TRIM(UPPER(INDEX(P_Type,ROW()-4))))</f>
        <v/>
      </c>
      <c r="D1492">
        <f>IF(INDEX(L_Type,ROW()-4)="","",TRIM(UPPER(INDEX(L_Type,ROW()-4))))</f>
        <v/>
      </c>
      <c r="E1492">
        <f>IF(INDEX(P_Status,ROW()-4)="","",TRIM(UPPER(INDEX(P_Status,ROW()-4))))</f>
        <v/>
      </c>
      <c r="G1492">
        <f>IF(INDEX(L_Status,ROW()-4)="","",TRIM(UPPER(INDEX(L_Status,ROW()-4))))</f>
        <v/>
      </c>
      <c r="J1492">
        <f>IF(INDEX(L_ID,ROW()-4)="","",IF(SUMPRODUCT((P_ID=INDEX(L_ID,ROW()-4))*(P_StatusN="INACTIVE"))&gt;0,1,0))</f>
        <v/>
      </c>
    </row>
    <row r="1493">
      <c r="A1493">
        <f>IF(INDEX(L_ID,ROW()-4)="","",IF(COUNTIF(P_ID,INDEX(L_ID,ROW()-4))&gt;0,1,0))</f>
        <v/>
      </c>
      <c r="B1493">
        <f>IF(INDEX(P_Type,ROW()-4)="","",TRIM(UPPER(INDEX(P_Type,ROW()-4))))</f>
        <v/>
      </c>
      <c r="D1493">
        <f>IF(INDEX(L_Type,ROW()-4)="","",TRIM(UPPER(INDEX(L_Type,ROW()-4))))</f>
        <v/>
      </c>
      <c r="E1493">
        <f>IF(INDEX(P_Status,ROW()-4)="","",TRIM(UPPER(INDEX(P_Status,ROW()-4))))</f>
        <v/>
      </c>
      <c r="G1493">
        <f>IF(INDEX(L_Status,ROW()-4)="","",TRIM(UPPER(INDEX(L_Status,ROW()-4))))</f>
        <v/>
      </c>
      <c r="J1493">
        <f>IF(INDEX(L_ID,ROW()-4)="","",IF(SUMPRODUCT((P_ID=INDEX(L_ID,ROW()-4))*(P_StatusN="INACTIVE"))&gt;0,1,0))</f>
        <v/>
      </c>
    </row>
    <row r="1494">
      <c r="A1494">
        <f>IF(INDEX(L_ID,ROW()-4)="","",IF(COUNTIF(P_ID,INDEX(L_ID,ROW()-4))&gt;0,1,0))</f>
        <v/>
      </c>
      <c r="B1494">
        <f>IF(INDEX(P_Type,ROW()-4)="","",TRIM(UPPER(INDEX(P_Type,ROW()-4))))</f>
        <v/>
      </c>
      <c r="D1494">
        <f>IF(INDEX(L_Type,ROW()-4)="","",TRIM(UPPER(INDEX(L_Type,ROW()-4))))</f>
        <v/>
      </c>
      <c r="E1494">
        <f>IF(INDEX(P_Status,ROW()-4)="","",TRIM(UPPER(INDEX(P_Status,ROW()-4))))</f>
        <v/>
      </c>
      <c r="G1494">
        <f>IF(INDEX(L_Status,ROW()-4)="","",TRIM(UPPER(INDEX(L_Status,ROW()-4))))</f>
        <v/>
      </c>
      <c r="J1494">
        <f>IF(INDEX(L_ID,ROW()-4)="","",IF(SUMPRODUCT((P_ID=INDEX(L_ID,ROW()-4))*(P_StatusN="INACTIVE"))&gt;0,1,0))</f>
        <v/>
      </c>
    </row>
    <row r="1495">
      <c r="A1495">
        <f>IF(INDEX(L_ID,ROW()-4)="","",IF(COUNTIF(P_ID,INDEX(L_ID,ROW()-4))&gt;0,1,0))</f>
        <v/>
      </c>
      <c r="B1495">
        <f>IF(INDEX(P_Type,ROW()-4)="","",TRIM(UPPER(INDEX(P_Type,ROW()-4))))</f>
        <v/>
      </c>
      <c r="D1495">
        <f>IF(INDEX(L_Type,ROW()-4)="","",TRIM(UPPER(INDEX(L_Type,ROW()-4))))</f>
        <v/>
      </c>
      <c r="E1495">
        <f>IF(INDEX(P_Status,ROW()-4)="","",TRIM(UPPER(INDEX(P_Status,ROW()-4))))</f>
        <v/>
      </c>
      <c r="G1495">
        <f>IF(INDEX(L_Status,ROW()-4)="","",TRIM(UPPER(INDEX(L_Status,ROW()-4))))</f>
        <v/>
      </c>
      <c r="J1495">
        <f>IF(INDEX(L_ID,ROW()-4)="","",IF(SUMPRODUCT((P_ID=INDEX(L_ID,ROW()-4))*(P_StatusN="INACTIVE"))&gt;0,1,0))</f>
        <v/>
      </c>
    </row>
    <row r="1496">
      <c r="A1496">
        <f>IF(INDEX(L_ID,ROW()-4)="","",IF(COUNTIF(P_ID,INDEX(L_ID,ROW()-4))&gt;0,1,0))</f>
        <v/>
      </c>
      <c r="B1496">
        <f>IF(INDEX(P_Type,ROW()-4)="","",TRIM(UPPER(INDEX(P_Type,ROW()-4))))</f>
        <v/>
      </c>
      <c r="D1496">
        <f>IF(INDEX(L_Type,ROW()-4)="","",TRIM(UPPER(INDEX(L_Type,ROW()-4))))</f>
        <v/>
      </c>
      <c r="E1496">
        <f>IF(INDEX(P_Status,ROW()-4)="","",TRIM(UPPER(INDEX(P_Status,ROW()-4))))</f>
        <v/>
      </c>
      <c r="G1496">
        <f>IF(INDEX(L_Status,ROW()-4)="","",TRIM(UPPER(INDEX(L_Status,ROW()-4))))</f>
        <v/>
      </c>
      <c r="J1496">
        <f>IF(INDEX(L_ID,ROW()-4)="","",IF(SUMPRODUCT((P_ID=INDEX(L_ID,ROW()-4))*(P_StatusN="INACTIVE"))&gt;0,1,0))</f>
        <v/>
      </c>
    </row>
    <row r="1497">
      <c r="A1497">
        <f>IF(INDEX(L_ID,ROW()-4)="","",IF(COUNTIF(P_ID,INDEX(L_ID,ROW()-4))&gt;0,1,0))</f>
        <v/>
      </c>
      <c r="B1497">
        <f>IF(INDEX(P_Type,ROW()-4)="","",TRIM(UPPER(INDEX(P_Type,ROW()-4))))</f>
        <v/>
      </c>
      <c r="D1497">
        <f>IF(INDEX(L_Type,ROW()-4)="","",TRIM(UPPER(INDEX(L_Type,ROW()-4))))</f>
        <v/>
      </c>
      <c r="E1497">
        <f>IF(INDEX(P_Status,ROW()-4)="","",TRIM(UPPER(INDEX(P_Status,ROW()-4))))</f>
        <v/>
      </c>
      <c r="G1497">
        <f>IF(INDEX(L_Status,ROW()-4)="","",TRIM(UPPER(INDEX(L_Status,ROW()-4))))</f>
        <v/>
      </c>
      <c r="J1497">
        <f>IF(INDEX(L_ID,ROW()-4)="","",IF(SUMPRODUCT((P_ID=INDEX(L_ID,ROW()-4))*(P_StatusN="INACTIVE"))&gt;0,1,0))</f>
        <v/>
      </c>
    </row>
    <row r="1498">
      <c r="A1498">
        <f>IF(INDEX(L_ID,ROW()-4)="","",IF(COUNTIF(P_ID,INDEX(L_ID,ROW()-4))&gt;0,1,0))</f>
        <v/>
      </c>
      <c r="B1498">
        <f>IF(INDEX(P_Type,ROW()-4)="","",TRIM(UPPER(INDEX(P_Type,ROW()-4))))</f>
        <v/>
      </c>
      <c r="D1498">
        <f>IF(INDEX(L_Type,ROW()-4)="","",TRIM(UPPER(INDEX(L_Type,ROW()-4))))</f>
        <v/>
      </c>
      <c r="E1498">
        <f>IF(INDEX(P_Status,ROW()-4)="","",TRIM(UPPER(INDEX(P_Status,ROW()-4))))</f>
        <v/>
      </c>
      <c r="G1498">
        <f>IF(INDEX(L_Status,ROW()-4)="","",TRIM(UPPER(INDEX(L_Status,ROW()-4))))</f>
        <v/>
      </c>
      <c r="J1498">
        <f>IF(INDEX(L_ID,ROW()-4)="","",IF(SUMPRODUCT((P_ID=INDEX(L_ID,ROW()-4))*(P_StatusN="INACTIVE"))&gt;0,1,0))</f>
        <v/>
      </c>
    </row>
    <row r="1499">
      <c r="A1499">
        <f>IF(INDEX(L_ID,ROW()-4)="","",IF(COUNTIF(P_ID,INDEX(L_ID,ROW()-4))&gt;0,1,0))</f>
        <v/>
      </c>
      <c r="B1499">
        <f>IF(INDEX(P_Type,ROW()-4)="","",TRIM(UPPER(INDEX(P_Type,ROW()-4))))</f>
        <v/>
      </c>
      <c r="D1499">
        <f>IF(INDEX(L_Type,ROW()-4)="","",TRIM(UPPER(INDEX(L_Type,ROW()-4))))</f>
        <v/>
      </c>
      <c r="E1499">
        <f>IF(INDEX(P_Status,ROW()-4)="","",TRIM(UPPER(INDEX(P_Status,ROW()-4))))</f>
        <v/>
      </c>
      <c r="G1499">
        <f>IF(INDEX(L_Status,ROW()-4)="","",TRIM(UPPER(INDEX(L_Status,ROW()-4))))</f>
        <v/>
      </c>
      <c r="J1499">
        <f>IF(INDEX(L_ID,ROW()-4)="","",IF(SUMPRODUCT((P_ID=INDEX(L_ID,ROW()-4))*(P_StatusN="INACTIVE"))&gt;0,1,0))</f>
        <v/>
      </c>
    </row>
    <row r="1500">
      <c r="A1500">
        <f>IF(INDEX(L_ID,ROW()-4)="","",IF(COUNTIF(P_ID,INDEX(L_ID,ROW()-4))&gt;0,1,0))</f>
        <v/>
      </c>
      <c r="B1500">
        <f>IF(INDEX(P_Type,ROW()-4)="","",TRIM(UPPER(INDEX(P_Type,ROW()-4))))</f>
        <v/>
      </c>
      <c r="D1500">
        <f>IF(INDEX(L_Type,ROW()-4)="","",TRIM(UPPER(INDEX(L_Type,ROW()-4))))</f>
        <v/>
      </c>
      <c r="E1500">
        <f>IF(INDEX(P_Status,ROW()-4)="","",TRIM(UPPER(INDEX(P_Status,ROW()-4))))</f>
        <v/>
      </c>
      <c r="G1500">
        <f>IF(INDEX(L_Status,ROW()-4)="","",TRIM(UPPER(INDEX(L_Status,ROW()-4))))</f>
        <v/>
      </c>
      <c r="J1500">
        <f>IF(INDEX(L_ID,ROW()-4)="","",IF(SUMPRODUCT((P_ID=INDEX(L_ID,ROW()-4))*(P_StatusN="INACTIVE"))&gt;0,1,0))</f>
        <v/>
      </c>
    </row>
    <row r="1501">
      <c r="A1501">
        <f>IF(INDEX(L_ID,ROW()-4)="","",IF(COUNTIF(P_ID,INDEX(L_ID,ROW()-4))&gt;0,1,0))</f>
        <v/>
      </c>
      <c r="B1501">
        <f>IF(INDEX(P_Type,ROW()-4)="","",TRIM(UPPER(INDEX(P_Type,ROW()-4))))</f>
        <v/>
      </c>
      <c r="D1501">
        <f>IF(INDEX(L_Type,ROW()-4)="","",TRIM(UPPER(INDEX(L_Type,ROW()-4))))</f>
        <v/>
      </c>
      <c r="E1501">
        <f>IF(INDEX(P_Status,ROW()-4)="","",TRIM(UPPER(INDEX(P_Status,ROW()-4))))</f>
        <v/>
      </c>
      <c r="G1501">
        <f>IF(INDEX(L_Status,ROW()-4)="","",TRIM(UPPER(INDEX(L_Status,ROW()-4))))</f>
        <v/>
      </c>
      <c r="J1501">
        <f>IF(INDEX(L_ID,ROW()-4)="","",IF(SUMPRODUCT((P_ID=INDEX(L_ID,ROW()-4))*(P_StatusN="INACTIVE"))&gt;0,1,0))</f>
        <v/>
      </c>
    </row>
    <row r="1502">
      <c r="A1502">
        <f>IF(INDEX(L_ID,ROW()-4)="","",IF(COUNTIF(P_ID,INDEX(L_ID,ROW()-4))&gt;0,1,0))</f>
        <v/>
      </c>
      <c r="B1502">
        <f>IF(INDEX(P_Type,ROW()-4)="","",TRIM(UPPER(INDEX(P_Type,ROW()-4))))</f>
        <v/>
      </c>
      <c r="D1502">
        <f>IF(INDEX(L_Type,ROW()-4)="","",TRIM(UPPER(INDEX(L_Type,ROW()-4))))</f>
        <v/>
      </c>
      <c r="E1502">
        <f>IF(INDEX(P_Status,ROW()-4)="","",TRIM(UPPER(INDEX(P_Status,ROW()-4))))</f>
        <v/>
      </c>
      <c r="G1502">
        <f>IF(INDEX(L_Status,ROW()-4)="","",TRIM(UPPER(INDEX(L_Status,ROW()-4))))</f>
        <v/>
      </c>
      <c r="J1502">
        <f>IF(INDEX(L_ID,ROW()-4)="","",IF(SUMPRODUCT((P_ID=INDEX(L_ID,ROW()-4))*(P_StatusN="INACTIVE"))&gt;0,1,0))</f>
        <v/>
      </c>
    </row>
    <row r="1503">
      <c r="A1503">
        <f>IF(INDEX(L_ID,ROW()-4)="","",IF(COUNTIF(P_ID,INDEX(L_ID,ROW()-4))&gt;0,1,0))</f>
        <v/>
      </c>
      <c r="B1503">
        <f>IF(INDEX(P_Type,ROW()-4)="","",TRIM(UPPER(INDEX(P_Type,ROW()-4))))</f>
        <v/>
      </c>
      <c r="D1503">
        <f>IF(INDEX(L_Type,ROW()-4)="","",TRIM(UPPER(INDEX(L_Type,ROW()-4))))</f>
        <v/>
      </c>
      <c r="E1503">
        <f>IF(INDEX(P_Status,ROW()-4)="","",TRIM(UPPER(INDEX(P_Status,ROW()-4))))</f>
        <v/>
      </c>
      <c r="G1503">
        <f>IF(INDEX(L_Status,ROW()-4)="","",TRIM(UPPER(INDEX(L_Status,ROW()-4))))</f>
        <v/>
      </c>
      <c r="J1503">
        <f>IF(INDEX(L_ID,ROW()-4)="","",IF(SUMPRODUCT((P_ID=INDEX(L_ID,ROW()-4))*(P_StatusN="INACTIVE"))&gt;0,1,0))</f>
        <v/>
      </c>
    </row>
    <row r="1504">
      <c r="A1504">
        <f>IF(INDEX(L_ID,ROW()-4)="","",IF(COUNTIF(P_ID,INDEX(L_ID,ROW()-4))&gt;0,1,0))</f>
        <v/>
      </c>
      <c r="B1504">
        <f>IF(INDEX(P_Type,ROW()-4)="","",TRIM(UPPER(INDEX(P_Type,ROW()-4))))</f>
        <v/>
      </c>
      <c r="D1504">
        <f>IF(INDEX(L_Type,ROW()-4)="","",TRIM(UPPER(INDEX(L_Type,ROW()-4))))</f>
        <v/>
      </c>
      <c r="E1504">
        <f>IF(INDEX(P_Status,ROW()-4)="","",TRIM(UPPER(INDEX(P_Status,ROW()-4))))</f>
        <v/>
      </c>
      <c r="G1504">
        <f>IF(INDEX(L_Status,ROW()-4)="","",TRIM(UPPER(INDEX(L_Status,ROW()-4))))</f>
        <v/>
      </c>
      <c r="J1504">
        <f>IF(INDEX(L_ID,ROW()-4)="","",IF(SUMPRODUCT((P_ID=INDEX(L_ID,ROW()-4))*(P_StatusN="INACTIVE"))&gt;0,1,0))</f>
        <v/>
      </c>
    </row>
    <row r="1505">
      <c r="A1505">
        <f>IF(INDEX(L_ID,ROW()-4)="","",IF(COUNTIF(P_ID,INDEX(L_ID,ROW()-4))&gt;0,1,0))</f>
        <v/>
      </c>
      <c r="B1505">
        <f>IF(INDEX(P_Type,ROW()-4)="","",TRIM(UPPER(INDEX(P_Type,ROW()-4))))</f>
        <v/>
      </c>
      <c r="D1505">
        <f>IF(INDEX(L_Type,ROW()-4)="","",TRIM(UPPER(INDEX(L_Type,ROW()-4))))</f>
        <v/>
      </c>
      <c r="E1505">
        <f>IF(INDEX(P_Status,ROW()-4)="","",TRIM(UPPER(INDEX(P_Status,ROW()-4))))</f>
        <v/>
      </c>
      <c r="G1505">
        <f>IF(INDEX(L_Status,ROW()-4)="","",TRIM(UPPER(INDEX(L_Status,ROW()-4))))</f>
        <v/>
      </c>
      <c r="J1505">
        <f>IF(INDEX(L_ID,ROW()-4)="","",IF(SUMPRODUCT((P_ID=INDEX(L_ID,ROW()-4))*(P_StatusN="INACTIVE"))&gt;0,1,0))</f>
        <v/>
      </c>
    </row>
    <row r="1506">
      <c r="A1506">
        <f>IF(INDEX(L_ID,ROW()-4)="","",IF(COUNTIF(P_ID,INDEX(L_ID,ROW()-4))&gt;0,1,0))</f>
        <v/>
      </c>
      <c r="B1506">
        <f>IF(INDEX(P_Type,ROW()-4)="","",TRIM(UPPER(INDEX(P_Type,ROW()-4))))</f>
        <v/>
      </c>
      <c r="D1506">
        <f>IF(INDEX(L_Type,ROW()-4)="","",TRIM(UPPER(INDEX(L_Type,ROW()-4))))</f>
        <v/>
      </c>
      <c r="E1506">
        <f>IF(INDEX(P_Status,ROW()-4)="","",TRIM(UPPER(INDEX(P_Status,ROW()-4))))</f>
        <v/>
      </c>
      <c r="G1506">
        <f>IF(INDEX(L_Status,ROW()-4)="","",TRIM(UPPER(INDEX(L_Status,ROW()-4))))</f>
        <v/>
      </c>
      <c r="J1506">
        <f>IF(INDEX(L_ID,ROW()-4)="","",IF(SUMPRODUCT((P_ID=INDEX(L_ID,ROW()-4))*(P_StatusN="INACTIVE"))&gt;0,1,0))</f>
        <v/>
      </c>
    </row>
    <row r="1507">
      <c r="A1507">
        <f>IF(INDEX(L_ID,ROW()-4)="","",IF(COUNTIF(P_ID,INDEX(L_ID,ROW()-4))&gt;0,1,0))</f>
        <v/>
      </c>
      <c r="B1507">
        <f>IF(INDEX(P_Type,ROW()-4)="","",TRIM(UPPER(INDEX(P_Type,ROW()-4))))</f>
        <v/>
      </c>
      <c r="D1507">
        <f>IF(INDEX(L_Type,ROW()-4)="","",TRIM(UPPER(INDEX(L_Type,ROW()-4))))</f>
        <v/>
      </c>
      <c r="E1507">
        <f>IF(INDEX(P_Status,ROW()-4)="","",TRIM(UPPER(INDEX(P_Status,ROW()-4))))</f>
        <v/>
      </c>
      <c r="G1507">
        <f>IF(INDEX(L_Status,ROW()-4)="","",TRIM(UPPER(INDEX(L_Status,ROW()-4))))</f>
        <v/>
      </c>
      <c r="J1507">
        <f>IF(INDEX(L_ID,ROW()-4)="","",IF(SUMPRODUCT((P_ID=INDEX(L_ID,ROW()-4))*(P_StatusN="INACTIVE"))&gt;0,1,0))</f>
        <v/>
      </c>
    </row>
    <row r="1508">
      <c r="A1508">
        <f>IF(INDEX(L_ID,ROW()-4)="","",IF(COUNTIF(P_ID,INDEX(L_ID,ROW()-4))&gt;0,1,0))</f>
        <v/>
      </c>
      <c r="B1508">
        <f>IF(INDEX(P_Type,ROW()-4)="","",TRIM(UPPER(INDEX(P_Type,ROW()-4))))</f>
        <v/>
      </c>
      <c r="D1508">
        <f>IF(INDEX(L_Type,ROW()-4)="","",TRIM(UPPER(INDEX(L_Type,ROW()-4))))</f>
        <v/>
      </c>
      <c r="E1508">
        <f>IF(INDEX(P_Status,ROW()-4)="","",TRIM(UPPER(INDEX(P_Status,ROW()-4))))</f>
        <v/>
      </c>
      <c r="G1508">
        <f>IF(INDEX(L_Status,ROW()-4)="","",TRIM(UPPER(INDEX(L_Status,ROW()-4))))</f>
        <v/>
      </c>
      <c r="J1508">
        <f>IF(INDEX(L_ID,ROW()-4)="","",IF(SUMPRODUCT((P_ID=INDEX(L_ID,ROW()-4))*(P_StatusN="INACTIVE"))&gt;0,1,0))</f>
        <v/>
      </c>
    </row>
    <row r="1509">
      <c r="A1509">
        <f>IF(INDEX(L_ID,ROW()-4)="","",IF(COUNTIF(P_ID,INDEX(L_ID,ROW()-4))&gt;0,1,0))</f>
        <v/>
      </c>
      <c r="B1509">
        <f>IF(INDEX(P_Type,ROW()-4)="","",TRIM(UPPER(INDEX(P_Type,ROW()-4))))</f>
        <v/>
      </c>
      <c r="D1509">
        <f>IF(INDEX(L_Type,ROW()-4)="","",TRIM(UPPER(INDEX(L_Type,ROW()-4))))</f>
        <v/>
      </c>
      <c r="E1509">
        <f>IF(INDEX(P_Status,ROW()-4)="","",TRIM(UPPER(INDEX(P_Status,ROW()-4))))</f>
        <v/>
      </c>
      <c r="G1509">
        <f>IF(INDEX(L_Status,ROW()-4)="","",TRIM(UPPER(INDEX(L_Status,ROW()-4))))</f>
        <v/>
      </c>
      <c r="J1509">
        <f>IF(INDEX(L_ID,ROW()-4)="","",IF(SUMPRODUCT((P_ID=INDEX(L_ID,ROW()-4))*(P_StatusN="INACTIVE"))&gt;0,1,0))</f>
        <v/>
      </c>
    </row>
    <row r="1510">
      <c r="A1510">
        <f>IF(INDEX(L_ID,ROW()-4)="","",IF(COUNTIF(P_ID,INDEX(L_ID,ROW()-4))&gt;0,1,0))</f>
        <v/>
      </c>
      <c r="B1510">
        <f>IF(INDEX(P_Type,ROW()-4)="","",TRIM(UPPER(INDEX(P_Type,ROW()-4))))</f>
        <v/>
      </c>
      <c r="D1510">
        <f>IF(INDEX(L_Type,ROW()-4)="","",TRIM(UPPER(INDEX(L_Type,ROW()-4))))</f>
        <v/>
      </c>
      <c r="E1510">
        <f>IF(INDEX(P_Status,ROW()-4)="","",TRIM(UPPER(INDEX(P_Status,ROW()-4))))</f>
        <v/>
      </c>
      <c r="G1510">
        <f>IF(INDEX(L_Status,ROW()-4)="","",TRIM(UPPER(INDEX(L_Status,ROW()-4))))</f>
        <v/>
      </c>
      <c r="J1510">
        <f>IF(INDEX(L_ID,ROW()-4)="","",IF(SUMPRODUCT((P_ID=INDEX(L_ID,ROW()-4))*(P_StatusN="INACTIVE"))&gt;0,1,0))</f>
        <v/>
      </c>
    </row>
    <row r="1511">
      <c r="A1511">
        <f>IF(INDEX(L_ID,ROW()-4)="","",IF(COUNTIF(P_ID,INDEX(L_ID,ROW()-4))&gt;0,1,0))</f>
        <v/>
      </c>
      <c r="B1511">
        <f>IF(INDEX(P_Type,ROW()-4)="","",TRIM(UPPER(INDEX(P_Type,ROW()-4))))</f>
        <v/>
      </c>
      <c r="D1511">
        <f>IF(INDEX(L_Type,ROW()-4)="","",TRIM(UPPER(INDEX(L_Type,ROW()-4))))</f>
        <v/>
      </c>
      <c r="E1511">
        <f>IF(INDEX(P_Status,ROW()-4)="","",TRIM(UPPER(INDEX(P_Status,ROW()-4))))</f>
        <v/>
      </c>
      <c r="G1511">
        <f>IF(INDEX(L_Status,ROW()-4)="","",TRIM(UPPER(INDEX(L_Status,ROW()-4))))</f>
        <v/>
      </c>
      <c r="J1511">
        <f>IF(INDEX(L_ID,ROW()-4)="","",IF(SUMPRODUCT((P_ID=INDEX(L_ID,ROW()-4))*(P_StatusN="INACTIVE"))&gt;0,1,0))</f>
        <v/>
      </c>
    </row>
    <row r="1512">
      <c r="A1512">
        <f>IF(INDEX(L_ID,ROW()-4)="","",IF(COUNTIF(P_ID,INDEX(L_ID,ROW()-4))&gt;0,1,0))</f>
        <v/>
      </c>
      <c r="B1512">
        <f>IF(INDEX(P_Type,ROW()-4)="","",TRIM(UPPER(INDEX(P_Type,ROW()-4))))</f>
        <v/>
      </c>
      <c r="D1512">
        <f>IF(INDEX(L_Type,ROW()-4)="","",TRIM(UPPER(INDEX(L_Type,ROW()-4))))</f>
        <v/>
      </c>
      <c r="E1512">
        <f>IF(INDEX(P_Status,ROW()-4)="","",TRIM(UPPER(INDEX(P_Status,ROW()-4))))</f>
        <v/>
      </c>
      <c r="G1512">
        <f>IF(INDEX(L_Status,ROW()-4)="","",TRIM(UPPER(INDEX(L_Status,ROW()-4))))</f>
        <v/>
      </c>
      <c r="J1512">
        <f>IF(INDEX(L_ID,ROW()-4)="","",IF(SUMPRODUCT((P_ID=INDEX(L_ID,ROW()-4))*(P_StatusN="INACTIVE"))&gt;0,1,0))</f>
        <v/>
      </c>
    </row>
    <row r="1513">
      <c r="A1513">
        <f>IF(INDEX(L_ID,ROW()-4)="","",IF(COUNTIF(P_ID,INDEX(L_ID,ROW()-4))&gt;0,1,0))</f>
        <v/>
      </c>
      <c r="B1513">
        <f>IF(INDEX(P_Type,ROW()-4)="","",TRIM(UPPER(INDEX(P_Type,ROW()-4))))</f>
        <v/>
      </c>
      <c r="D1513">
        <f>IF(INDEX(L_Type,ROW()-4)="","",TRIM(UPPER(INDEX(L_Type,ROW()-4))))</f>
        <v/>
      </c>
      <c r="E1513">
        <f>IF(INDEX(P_Status,ROW()-4)="","",TRIM(UPPER(INDEX(P_Status,ROW()-4))))</f>
        <v/>
      </c>
      <c r="G1513">
        <f>IF(INDEX(L_Status,ROW()-4)="","",TRIM(UPPER(INDEX(L_Status,ROW()-4))))</f>
        <v/>
      </c>
      <c r="J1513">
        <f>IF(INDEX(L_ID,ROW()-4)="","",IF(SUMPRODUCT((P_ID=INDEX(L_ID,ROW()-4))*(P_StatusN="INACTIVE"))&gt;0,1,0))</f>
        <v/>
      </c>
    </row>
    <row r="1514">
      <c r="A1514">
        <f>IF(INDEX(L_ID,ROW()-4)="","",IF(COUNTIF(P_ID,INDEX(L_ID,ROW()-4))&gt;0,1,0))</f>
        <v/>
      </c>
      <c r="B1514">
        <f>IF(INDEX(P_Type,ROW()-4)="","",TRIM(UPPER(INDEX(P_Type,ROW()-4))))</f>
        <v/>
      </c>
      <c r="D1514">
        <f>IF(INDEX(L_Type,ROW()-4)="","",TRIM(UPPER(INDEX(L_Type,ROW()-4))))</f>
        <v/>
      </c>
      <c r="E1514">
        <f>IF(INDEX(P_Status,ROW()-4)="","",TRIM(UPPER(INDEX(P_Status,ROW()-4))))</f>
        <v/>
      </c>
      <c r="G1514">
        <f>IF(INDEX(L_Status,ROW()-4)="","",TRIM(UPPER(INDEX(L_Status,ROW()-4))))</f>
        <v/>
      </c>
      <c r="J1514">
        <f>IF(INDEX(L_ID,ROW()-4)="","",IF(SUMPRODUCT((P_ID=INDEX(L_ID,ROW()-4))*(P_StatusN="INACTIVE"))&gt;0,1,0))</f>
        <v/>
      </c>
    </row>
    <row r="1515">
      <c r="A1515">
        <f>IF(INDEX(L_ID,ROW()-4)="","",IF(COUNTIF(P_ID,INDEX(L_ID,ROW()-4))&gt;0,1,0))</f>
        <v/>
      </c>
      <c r="B1515">
        <f>IF(INDEX(P_Type,ROW()-4)="","",TRIM(UPPER(INDEX(P_Type,ROW()-4))))</f>
        <v/>
      </c>
      <c r="D1515">
        <f>IF(INDEX(L_Type,ROW()-4)="","",TRIM(UPPER(INDEX(L_Type,ROW()-4))))</f>
        <v/>
      </c>
      <c r="E1515">
        <f>IF(INDEX(P_Status,ROW()-4)="","",TRIM(UPPER(INDEX(P_Status,ROW()-4))))</f>
        <v/>
      </c>
      <c r="G1515">
        <f>IF(INDEX(L_Status,ROW()-4)="","",TRIM(UPPER(INDEX(L_Status,ROW()-4))))</f>
        <v/>
      </c>
      <c r="J1515">
        <f>IF(INDEX(L_ID,ROW()-4)="","",IF(SUMPRODUCT((P_ID=INDEX(L_ID,ROW()-4))*(P_StatusN="INACTIVE"))&gt;0,1,0))</f>
        <v/>
      </c>
    </row>
    <row r="1516">
      <c r="A1516">
        <f>IF(INDEX(L_ID,ROW()-4)="","",IF(COUNTIF(P_ID,INDEX(L_ID,ROW()-4))&gt;0,1,0))</f>
        <v/>
      </c>
      <c r="B1516">
        <f>IF(INDEX(P_Type,ROW()-4)="","",TRIM(UPPER(INDEX(P_Type,ROW()-4))))</f>
        <v/>
      </c>
      <c r="D1516">
        <f>IF(INDEX(L_Type,ROW()-4)="","",TRIM(UPPER(INDEX(L_Type,ROW()-4))))</f>
        <v/>
      </c>
      <c r="E1516">
        <f>IF(INDEX(P_Status,ROW()-4)="","",TRIM(UPPER(INDEX(P_Status,ROW()-4))))</f>
        <v/>
      </c>
      <c r="G1516">
        <f>IF(INDEX(L_Status,ROW()-4)="","",TRIM(UPPER(INDEX(L_Status,ROW()-4))))</f>
        <v/>
      </c>
      <c r="J1516">
        <f>IF(INDEX(L_ID,ROW()-4)="","",IF(SUMPRODUCT((P_ID=INDEX(L_ID,ROW()-4))*(P_StatusN="INACTIVE"))&gt;0,1,0))</f>
        <v/>
      </c>
    </row>
    <row r="1517">
      <c r="A1517">
        <f>IF(INDEX(L_ID,ROW()-4)="","",IF(COUNTIF(P_ID,INDEX(L_ID,ROW()-4))&gt;0,1,0))</f>
        <v/>
      </c>
      <c r="B1517">
        <f>IF(INDEX(P_Type,ROW()-4)="","",TRIM(UPPER(INDEX(P_Type,ROW()-4))))</f>
        <v/>
      </c>
      <c r="D1517">
        <f>IF(INDEX(L_Type,ROW()-4)="","",TRIM(UPPER(INDEX(L_Type,ROW()-4))))</f>
        <v/>
      </c>
      <c r="E1517">
        <f>IF(INDEX(P_Status,ROW()-4)="","",TRIM(UPPER(INDEX(P_Status,ROW()-4))))</f>
        <v/>
      </c>
      <c r="G1517">
        <f>IF(INDEX(L_Status,ROW()-4)="","",TRIM(UPPER(INDEX(L_Status,ROW()-4))))</f>
        <v/>
      </c>
      <c r="J1517">
        <f>IF(INDEX(L_ID,ROW()-4)="","",IF(SUMPRODUCT((P_ID=INDEX(L_ID,ROW()-4))*(P_StatusN="INACTIVE"))&gt;0,1,0))</f>
        <v/>
      </c>
    </row>
    <row r="1518">
      <c r="A1518">
        <f>IF(INDEX(L_ID,ROW()-4)="","",IF(COUNTIF(P_ID,INDEX(L_ID,ROW()-4))&gt;0,1,0))</f>
        <v/>
      </c>
      <c r="B1518">
        <f>IF(INDEX(P_Type,ROW()-4)="","",TRIM(UPPER(INDEX(P_Type,ROW()-4))))</f>
        <v/>
      </c>
      <c r="D1518">
        <f>IF(INDEX(L_Type,ROW()-4)="","",TRIM(UPPER(INDEX(L_Type,ROW()-4))))</f>
        <v/>
      </c>
      <c r="E1518">
        <f>IF(INDEX(P_Status,ROW()-4)="","",TRIM(UPPER(INDEX(P_Status,ROW()-4))))</f>
        <v/>
      </c>
      <c r="G1518">
        <f>IF(INDEX(L_Status,ROW()-4)="","",TRIM(UPPER(INDEX(L_Status,ROW()-4))))</f>
        <v/>
      </c>
      <c r="J1518">
        <f>IF(INDEX(L_ID,ROW()-4)="","",IF(SUMPRODUCT((P_ID=INDEX(L_ID,ROW()-4))*(P_StatusN="INACTIVE"))&gt;0,1,0))</f>
        <v/>
      </c>
    </row>
    <row r="1519">
      <c r="A1519">
        <f>IF(INDEX(L_ID,ROW()-4)="","",IF(COUNTIF(P_ID,INDEX(L_ID,ROW()-4))&gt;0,1,0))</f>
        <v/>
      </c>
      <c r="B1519">
        <f>IF(INDEX(P_Type,ROW()-4)="","",TRIM(UPPER(INDEX(P_Type,ROW()-4))))</f>
        <v/>
      </c>
      <c r="D1519">
        <f>IF(INDEX(L_Type,ROW()-4)="","",TRIM(UPPER(INDEX(L_Type,ROW()-4))))</f>
        <v/>
      </c>
      <c r="E1519">
        <f>IF(INDEX(P_Status,ROW()-4)="","",TRIM(UPPER(INDEX(P_Status,ROW()-4))))</f>
        <v/>
      </c>
      <c r="G1519">
        <f>IF(INDEX(L_Status,ROW()-4)="","",TRIM(UPPER(INDEX(L_Status,ROW()-4))))</f>
        <v/>
      </c>
      <c r="J1519">
        <f>IF(INDEX(L_ID,ROW()-4)="","",IF(SUMPRODUCT((P_ID=INDEX(L_ID,ROW()-4))*(P_StatusN="INACTIVE"))&gt;0,1,0))</f>
        <v/>
      </c>
    </row>
    <row r="1520">
      <c r="A1520">
        <f>IF(INDEX(L_ID,ROW()-4)="","",IF(COUNTIF(P_ID,INDEX(L_ID,ROW()-4))&gt;0,1,0))</f>
        <v/>
      </c>
      <c r="B1520">
        <f>IF(INDEX(P_Type,ROW()-4)="","",TRIM(UPPER(INDEX(P_Type,ROW()-4))))</f>
        <v/>
      </c>
      <c r="D1520">
        <f>IF(INDEX(L_Type,ROW()-4)="","",TRIM(UPPER(INDEX(L_Type,ROW()-4))))</f>
        <v/>
      </c>
      <c r="E1520">
        <f>IF(INDEX(P_Status,ROW()-4)="","",TRIM(UPPER(INDEX(P_Status,ROW()-4))))</f>
        <v/>
      </c>
      <c r="G1520">
        <f>IF(INDEX(L_Status,ROW()-4)="","",TRIM(UPPER(INDEX(L_Status,ROW()-4))))</f>
        <v/>
      </c>
      <c r="J1520">
        <f>IF(INDEX(L_ID,ROW()-4)="","",IF(SUMPRODUCT((P_ID=INDEX(L_ID,ROW()-4))*(P_StatusN="INACTIVE"))&gt;0,1,0))</f>
        <v/>
      </c>
    </row>
    <row r="1521">
      <c r="A1521">
        <f>IF(INDEX(L_ID,ROW()-4)="","",IF(COUNTIF(P_ID,INDEX(L_ID,ROW()-4))&gt;0,1,0))</f>
        <v/>
      </c>
      <c r="B1521">
        <f>IF(INDEX(P_Type,ROW()-4)="","",TRIM(UPPER(INDEX(P_Type,ROW()-4))))</f>
        <v/>
      </c>
      <c r="D1521">
        <f>IF(INDEX(L_Type,ROW()-4)="","",TRIM(UPPER(INDEX(L_Type,ROW()-4))))</f>
        <v/>
      </c>
      <c r="E1521">
        <f>IF(INDEX(P_Status,ROW()-4)="","",TRIM(UPPER(INDEX(P_Status,ROW()-4))))</f>
        <v/>
      </c>
      <c r="G1521">
        <f>IF(INDEX(L_Status,ROW()-4)="","",TRIM(UPPER(INDEX(L_Status,ROW()-4))))</f>
        <v/>
      </c>
      <c r="J1521">
        <f>IF(INDEX(L_ID,ROW()-4)="","",IF(SUMPRODUCT((P_ID=INDEX(L_ID,ROW()-4))*(P_StatusN="INACTIVE"))&gt;0,1,0))</f>
        <v/>
      </c>
    </row>
    <row r="1522">
      <c r="A1522">
        <f>IF(INDEX(L_ID,ROW()-4)="","",IF(COUNTIF(P_ID,INDEX(L_ID,ROW()-4))&gt;0,1,0))</f>
        <v/>
      </c>
      <c r="B1522">
        <f>IF(INDEX(P_Type,ROW()-4)="","",TRIM(UPPER(INDEX(P_Type,ROW()-4))))</f>
        <v/>
      </c>
      <c r="D1522">
        <f>IF(INDEX(L_Type,ROW()-4)="","",TRIM(UPPER(INDEX(L_Type,ROW()-4))))</f>
        <v/>
      </c>
      <c r="E1522">
        <f>IF(INDEX(P_Status,ROW()-4)="","",TRIM(UPPER(INDEX(P_Status,ROW()-4))))</f>
        <v/>
      </c>
      <c r="G1522">
        <f>IF(INDEX(L_Status,ROW()-4)="","",TRIM(UPPER(INDEX(L_Status,ROW()-4))))</f>
        <v/>
      </c>
      <c r="J1522">
        <f>IF(INDEX(L_ID,ROW()-4)="","",IF(SUMPRODUCT((P_ID=INDEX(L_ID,ROW()-4))*(P_StatusN="INACTIVE"))&gt;0,1,0))</f>
        <v/>
      </c>
    </row>
    <row r="1523">
      <c r="A1523">
        <f>IF(INDEX(L_ID,ROW()-4)="","",IF(COUNTIF(P_ID,INDEX(L_ID,ROW()-4))&gt;0,1,0))</f>
        <v/>
      </c>
      <c r="B1523">
        <f>IF(INDEX(P_Type,ROW()-4)="","",TRIM(UPPER(INDEX(P_Type,ROW()-4))))</f>
        <v/>
      </c>
      <c r="D1523">
        <f>IF(INDEX(L_Type,ROW()-4)="","",TRIM(UPPER(INDEX(L_Type,ROW()-4))))</f>
        <v/>
      </c>
      <c r="E1523">
        <f>IF(INDEX(P_Status,ROW()-4)="","",TRIM(UPPER(INDEX(P_Status,ROW()-4))))</f>
        <v/>
      </c>
      <c r="G1523">
        <f>IF(INDEX(L_Status,ROW()-4)="","",TRIM(UPPER(INDEX(L_Status,ROW()-4))))</f>
        <v/>
      </c>
      <c r="J1523">
        <f>IF(INDEX(L_ID,ROW()-4)="","",IF(SUMPRODUCT((P_ID=INDEX(L_ID,ROW()-4))*(P_StatusN="INACTIVE"))&gt;0,1,0))</f>
        <v/>
      </c>
    </row>
    <row r="1524">
      <c r="A1524">
        <f>IF(INDEX(L_ID,ROW()-4)="","",IF(COUNTIF(P_ID,INDEX(L_ID,ROW()-4))&gt;0,1,0))</f>
        <v/>
      </c>
      <c r="B1524">
        <f>IF(INDEX(P_Type,ROW()-4)="","",TRIM(UPPER(INDEX(P_Type,ROW()-4))))</f>
        <v/>
      </c>
      <c r="D1524">
        <f>IF(INDEX(L_Type,ROW()-4)="","",TRIM(UPPER(INDEX(L_Type,ROW()-4))))</f>
        <v/>
      </c>
      <c r="E1524">
        <f>IF(INDEX(P_Status,ROW()-4)="","",TRIM(UPPER(INDEX(P_Status,ROW()-4))))</f>
        <v/>
      </c>
      <c r="G1524">
        <f>IF(INDEX(L_Status,ROW()-4)="","",TRIM(UPPER(INDEX(L_Status,ROW()-4))))</f>
        <v/>
      </c>
      <c r="J1524">
        <f>IF(INDEX(L_ID,ROW()-4)="","",IF(SUMPRODUCT((P_ID=INDEX(L_ID,ROW()-4))*(P_StatusN="INACTIVE"))&gt;0,1,0))</f>
        <v/>
      </c>
    </row>
    <row r="1525">
      <c r="A1525">
        <f>IF(INDEX(L_ID,ROW()-4)="","",IF(COUNTIF(P_ID,INDEX(L_ID,ROW()-4))&gt;0,1,0))</f>
        <v/>
      </c>
      <c r="B1525">
        <f>IF(INDEX(P_Type,ROW()-4)="","",TRIM(UPPER(INDEX(P_Type,ROW()-4))))</f>
        <v/>
      </c>
      <c r="D1525">
        <f>IF(INDEX(L_Type,ROW()-4)="","",TRIM(UPPER(INDEX(L_Type,ROW()-4))))</f>
        <v/>
      </c>
      <c r="E1525">
        <f>IF(INDEX(P_Status,ROW()-4)="","",TRIM(UPPER(INDEX(P_Status,ROW()-4))))</f>
        <v/>
      </c>
      <c r="G1525">
        <f>IF(INDEX(L_Status,ROW()-4)="","",TRIM(UPPER(INDEX(L_Status,ROW()-4))))</f>
        <v/>
      </c>
      <c r="J1525">
        <f>IF(INDEX(L_ID,ROW()-4)="","",IF(SUMPRODUCT((P_ID=INDEX(L_ID,ROW()-4))*(P_StatusN="INACTIVE"))&gt;0,1,0))</f>
        <v/>
      </c>
    </row>
    <row r="1526">
      <c r="A1526">
        <f>IF(INDEX(L_ID,ROW()-4)="","",IF(COUNTIF(P_ID,INDEX(L_ID,ROW()-4))&gt;0,1,0))</f>
        <v/>
      </c>
      <c r="B1526">
        <f>IF(INDEX(P_Type,ROW()-4)="","",TRIM(UPPER(INDEX(P_Type,ROW()-4))))</f>
        <v/>
      </c>
      <c r="D1526">
        <f>IF(INDEX(L_Type,ROW()-4)="","",TRIM(UPPER(INDEX(L_Type,ROW()-4))))</f>
        <v/>
      </c>
      <c r="E1526">
        <f>IF(INDEX(P_Status,ROW()-4)="","",TRIM(UPPER(INDEX(P_Status,ROW()-4))))</f>
        <v/>
      </c>
      <c r="G1526">
        <f>IF(INDEX(L_Status,ROW()-4)="","",TRIM(UPPER(INDEX(L_Status,ROW()-4))))</f>
        <v/>
      </c>
      <c r="J1526">
        <f>IF(INDEX(L_ID,ROW()-4)="","",IF(SUMPRODUCT((P_ID=INDEX(L_ID,ROW()-4))*(P_StatusN="INACTIVE"))&gt;0,1,0))</f>
        <v/>
      </c>
    </row>
    <row r="1527">
      <c r="A1527">
        <f>IF(INDEX(L_ID,ROW()-4)="","",IF(COUNTIF(P_ID,INDEX(L_ID,ROW()-4))&gt;0,1,0))</f>
        <v/>
      </c>
      <c r="B1527">
        <f>IF(INDEX(P_Type,ROW()-4)="","",TRIM(UPPER(INDEX(P_Type,ROW()-4))))</f>
        <v/>
      </c>
      <c r="D1527">
        <f>IF(INDEX(L_Type,ROW()-4)="","",TRIM(UPPER(INDEX(L_Type,ROW()-4))))</f>
        <v/>
      </c>
      <c r="E1527">
        <f>IF(INDEX(P_Status,ROW()-4)="","",TRIM(UPPER(INDEX(P_Status,ROW()-4))))</f>
        <v/>
      </c>
      <c r="G1527">
        <f>IF(INDEX(L_Status,ROW()-4)="","",TRIM(UPPER(INDEX(L_Status,ROW()-4))))</f>
        <v/>
      </c>
      <c r="J1527">
        <f>IF(INDEX(L_ID,ROW()-4)="","",IF(SUMPRODUCT((P_ID=INDEX(L_ID,ROW()-4))*(P_StatusN="INACTIVE"))&gt;0,1,0))</f>
        <v/>
      </c>
    </row>
    <row r="1528">
      <c r="A1528">
        <f>IF(INDEX(L_ID,ROW()-4)="","",IF(COUNTIF(P_ID,INDEX(L_ID,ROW()-4))&gt;0,1,0))</f>
        <v/>
      </c>
      <c r="B1528">
        <f>IF(INDEX(P_Type,ROW()-4)="","",TRIM(UPPER(INDEX(P_Type,ROW()-4))))</f>
        <v/>
      </c>
      <c r="D1528">
        <f>IF(INDEX(L_Type,ROW()-4)="","",TRIM(UPPER(INDEX(L_Type,ROW()-4))))</f>
        <v/>
      </c>
      <c r="E1528">
        <f>IF(INDEX(P_Status,ROW()-4)="","",TRIM(UPPER(INDEX(P_Status,ROW()-4))))</f>
        <v/>
      </c>
      <c r="G1528">
        <f>IF(INDEX(L_Status,ROW()-4)="","",TRIM(UPPER(INDEX(L_Status,ROW()-4))))</f>
        <v/>
      </c>
      <c r="J1528">
        <f>IF(INDEX(L_ID,ROW()-4)="","",IF(SUMPRODUCT((P_ID=INDEX(L_ID,ROW()-4))*(P_StatusN="INACTIVE"))&gt;0,1,0))</f>
        <v/>
      </c>
    </row>
    <row r="1529">
      <c r="A1529">
        <f>IF(INDEX(L_ID,ROW()-4)="","",IF(COUNTIF(P_ID,INDEX(L_ID,ROW()-4))&gt;0,1,0))</f>
        <v/>
      </c>
      <c r="B1529">
        <f>IF(INDEX(P_Type,ROW()-4)="","",TRIM(UPPER(INDEX(P_Type,ROW()-4))))</f>
        <v/>
      </c>
      <c r="D1529">
        <f>IF(INDEX(L_Type,ROW()-4)="","",TRIM(UPPER(INDEX(L_Type,ROW()-4))))</f>
        <v/>
      </c>
      <c r="E1529">
        <f>IF(INDEX(P_Status,ROW()-4)="","",TRIM(UPPER(INDEX(P_Status,ROW()-4))))</f>
        <v/>
      </c>
      <c r="G1529">
        <f>IF(INDEX(L_Status,ROW()-4)="","",TRIM(UPPER(INDEX(L_Status,ROW()-4))))</f>
        <v/>
      </c>
      <c r="J1529">
        <f>IF(INDEX(L_ID,ROW()-4)="","",IF(SUMPRODUCT((P_ID=INDEX(L_ID,ROW()-4))*(P_StatusN="INACTIVE"))&gt;0,1,0))</f>
        <v/>
      </c>
    </row>
    <row r="1530">
      <c r="A1530">
        <f>IF(INDEX(L_ID,ROW()-4)="","",IF(COUNTIF(P_ID,INDEX(L_ID,ROW()-4))&gt;0,1,0))</f>
        <v/>
      </c>
      <c r="B1530">
        <f>IF(INDEX(P_Type,ROW()-4)="","",TRIM(UPPER(INDEX(P_Type,ROW()-4))))</f>
        <v/>
      </c>
      <c r="D1530">
        <f>IF(INDEX(L_Type,ROW()-4)="","",TRIM(UPPER(INDEX(L_Type,ROW()-4))))</f>
        <v/>
      </c>
      <c r="E1530">
        <f>IF(INDEX(P_Status,ROW()-4)="","",TRIM(UPPER(INDEX(P_Status,ROW()-4))))</f>
        <v/>
      </c>
      <c r="G1530">
        <f>IF(INDEX(L_Status,ROW()-4)="","",TRIM(UPPER(INDEX(L_Status,ROW()-4))))</f>
        <v/>
      </c>
      <c r="J1530">
        <f>IF(INDEX(L_ID,ROW()-4)="","",IF(SUMPRODUCT((P_ID=INDEX(L_ID,ROW()-4))*(P_StatusN="INACTIVE"))&gt;0,1,0))</f>
        <v/>
      </c>
    </row>
    <row r="1531">
      <c r="A1531">
        <f>IF(INDEX(L_ID,ROW()-4)="","",IF(COUNTIF(P_ID,INDEX(L_ID,ROW()-4))&gt;0,1,0))</f>
        <v/>
      </c>
      <c r="B1531">
        <f>IF(INDEX(P_Type,ROW()-4)="","",TRIM(UPPER(INDEX(P_Type,ROW()-4))))</f>
        <v/>
      </c>
      <c r="D1531">
        <f>IF(INDEX(L_Type,ROW()-4)="","",TRIM(UPPER(INDEX(L_Type,ROW()-4))))</f>
        <v/>
      </c>
      <c r="E1531">
        <f>IF(INDEX(P_Status,ROW()-4)="","",TRIM(UPPER(INDEX(P_Status,ROW()-4))))</f>
        <v/>
      </c>
      <c r="G1531">
        <f>IF(INDEX(L_Status,ROW()-4)="","",TRIM(UPPER(INDEX(L_Status,ROW()-4))))</f>
        <v/>
      </c>
      <c r="J1531">
        <f>IF(INDEX(L_ID,ROW()-4)="","",IF(SUMPRODUCT((P_ID=INDEX(L_ID,ROW()-4))*(P_StatusN="INACTIVE"))&gt;0,1,0))</f>
        <v/>
      </c>
    </row>
    <row r="1532">
      <c r="A1532">
        <f>IF(INDEX(L_ID,ROW()-4)="","",IF(COUNTIF(P_ID,INDEX(L_ID,ROW()-4))&gt;0,1,0))</f>
        <v/>
      </c>
      <c r="B1532">
        <f>IF(INDEX(P_Type,ROW()-4)="","",TRIM(UPPER(INDEX(P_Type,ROW()-4))))</f>
        <v/>
      </c>
      <c r="D1532">
        <f>IF(INDEX(L_Type,ROW()-4)="","",TRIM(UPPER(INDEX(L_Type,ROW()-4))))</f>
        <v/>
      </c>
      <c r="E1532">
        <f>IF(INDEX(P_Status,ROW()-4)="","",TRIM(UPPER(INDEX(P_Status,ROW()-4))))</f>
        <v/>
      </c>
      <c r="G1532">
        <f>IF(INDEX(L_Status,ROW()-4)="","",TRIM(UPPER(INDEX(L_Status,ROW()-4))))</f>
        <v/>
      </c>
      <c r="J1532">
        <f>IF(INDEX(L_ID,ROW()-4)="","",IF(SUMPRODUCT((P_ID=INDEX(L_ID,ROW()-4))*(P_StatusN="INACTIVE"))&gt;0,1,0))</f>
        <v/>
      </c>
    </row>
    <row r="1533">
      <c r="A1533">
        <f>IF(INDEX(L_ID,ROW()-4)="","",IF(COUNTIF(P_ID,INDEX(L_ID,ROW()-4))&gt;0,1,0))</f>
        <v/>
      </c>
      <c r="B1533">
        <f>IF(INDEX(P_Type,ROW()-4)="","",TRIM(UPPER(INDEX(P_Type,ROW()-4))))</f>
        <v/>
      </c>
      <c r="D1533">
        <f>IF(INDEX(L_Type,ROW()-4)="","",TRIM(UPPER(INDEX(L_Type,ROW()-4))))</f>
        <v/>
      </c>
      <c r="E1533">
        <f>IF(INDEX(P_Status,ROW()-4)="","",TRIM(UPPER(INDEX(P_Status,ROW()-4))))</f>
        <v/>
      </c>
      <c r="G1533">
        <f>IF(INDEX(L_Status,ROW()-4)="","",TRIM(UPPER(INDEX(L_Status,ROW()-4))))</f>
        <v/>
      </c>
      <c r="J1533">
        <f>IF(INDEX(L_ID,ROW()-4)="","",IF(SUMPRODUCT((P_ID=INDEX(L_ID,ROW()-4))*(P_StatusN="INACTIVE"))&gt;0,1,0))</f>
        <v/>
      </c>
    </row>
    <row r="1534">
      <c r="A1534">
        <f>IF(INDEX(L_ID,ROW()-4)="","",IF(COUNTIF(P_ID,INDEX(L_ID,ROW()-4))&gt;0,1,0))</f>
        <v/>
      </c>
      <c r="B1534">
        <f>IF(INDEX(P_Type,ROW()-4)="","",TRIM(UPPER(INDEX(P_Type,ROW()-4))))</f>
        <v/>
      </c>
      <c r="D1534">
        <f>IF(INDEX(L_Type,ROW()-4)="","",TRIM(UPPER(INDEX(L_Type,ROW()-4))))</f>
        <v/>
      </c>
      <c r="E1534">
        <f>IF(INDEX(P_Status,ROW()-4)="","",TRIM(UPPER(INDEX(P_Status,ROW()-4))))</f>
        <v/>
      </c>
      <c r="G1534">
        <f>IF(INDEX(L_Status,ROW()-4)="","",TRIM(UPPER(INDEX(L_Status,ROW()-4))))</f>
        <v/>
      </c>
      <c r="J1534">
        <f>IF(INDEX(L_ID,ROW()-4)="","",IF(SUMPRODUCT((P_ID=INDEX(L_ID,ROW()-4))*(P_StatusN="INACTIVE"))&gt;0,1,0))</f>
        <v/>
      </c>
    </row>
    <row r="1535">
      <c r="A1535">
        <f>IF(INDEX(L_ID,ROW()-4)="","",IF(COUNTIF(P_ID,INDEX(L_ID,ROW()-4))&gt;0,1,0))</f>
        <v/>
      </c>
      <c r="B1535">
        <f>IF(INDEX(P_Type,ROW()-4)="","",TRIM(UPPER(INDEX(P_Type,ROW()-4))))</f>
        <v/>
      </c>
      <c r="D1535">
        <f>IF(INDEX(L_Type,ROW()-4)="","",TRIM(UPPER(INDEX(L_Type,ROW()-4))))</f>
        <v/>
      </c>
      <c r="E1535">
        <f>IF(INDEX(P_Status,ROW()-4)="","",TRIM(UPPER(INDEX(P_Status,ROW()-4))))</f>
        <v/>
      </c>
      <c r="G1535">
        <f>IF(INDEX(L_Status,ROW()-4)="","",TRIM(UPPER(INDEX(L_Status,ROW()-4))))</f>
        <v/>
      </c>
      <c r="J1535">
        <f>IF(INDEX(L_ID,ROW()-4)="","",IF(SUMPRODUCT((P_ID=INDEX(L_ID,ROW()-4))*(P_StatusN="INACTIVE"))&gt;0,1,0))</f>
        <v/>
      </c>
    </row>
    <row r="1536">
      <c r="A1536">
        <f>IF(INDEX(L_ID,ROW()-4)="","",IF(COUNTIF(P_ID,INDEX(L_ID,ROW()-4))&gt;0,1,0))</f>
        <v/>
      </c>
      <c r="B1536">
        <f>IF(INDEX(P_Type,ROW()-4)="","",TRIM(UPPER(INDEX(P_Type,ROW()-4))))</f>
        <v/>
      </c>
      <c r="D1536">
        <f>IF(INDEX(L_Type,ROW()-4)="","",TRIM(UPPER(INDEX(L_Type,ROW()-4))))</f>
        <v/>
      </c>
      <c r="E1536">
        <f>IF(INDEX(P_Status,ROW()-4)="","",TRIM(UPPER(INDEX(P_Status,ROW()-4))))</f>
        <v/>
      </c>
      <c r="G1536">
        <f>IF(INDEX(L_Status,ROW()-4)="","",TRIM(UPPER(INDEX(L_Status,ROW()-4))))</f>
        <v/>
      </c>
      <c r="J1536">
        <f>IF(INDEX(L_ID,ROW()-4)="","",IF(SUMPRODUCT((P_ID=INDEX(L_ID,ROW()-4))*(P_StatusN="INACTIVE"))&gt;0,1,0))</f>
        <v/>
      </c>
    </row>
    <row r="1537">
      <c r="A1537">
        <f>IF(INDEX(L_ID,ROW()-4)="","",IF(COUNTIF(P_ID,INDEX(L_ID,ROW()-4))&gt;0,1,0))</f>
        <v/>
      </c>
      <c r="B1537">
        <f>IF(INDEX(P_Type,ROW()-4)="","",TRIM(UPPER(INDEX(P_Type,ROW()-4))))</f>
        <v/>
      </c>
      <c r="D1537">
        <f>IF(INDEX(L_Type,ROW()-4)="","",TRIM(UPPER(INDEX(L_Type,ROW()-4))))</f>
        <v/>
      </c>
      <c r="E1537">
        <f>IF(INDEX(P_Status,ROW()-4)="","",TRIM(UPPER(INDEX(P_Status,ROW()-4))))</f>
        <v/>
      </c>
      <c r="G1537">
        <f>IF(INDEX(L_Status,ROW()-4)="","",TRIM(UPPER(INDEX(L_Status,ROW()-4))))</f>
        <v/>
      </c>
      <c r="J1537">
        <f>IF(INDEX(L_ID,ROW()-4)="","",IF(SUMPRODUCT((P_ID=INDEX(L_ID,ROW()-4))*(P_StatusN="INACTIVE"))&gt;0,1,0))</f>
        <v/>
      </c>
    </row>
    <row r="1538">
      <c r="A1538">
        <f>IF(INDEX(L_ID,ROW()-4)="","",IF(COUNTIF(P_ID,INDEX(L_ID,ROW()-4))&gt;0,1,0))</f>
        <v/>
      </c>
      <c r="B1538">
        <f>IF(INDEX(P_Type,ROW()-4)="","",TRIM(UPPER(INDEX(P_Type,ROW()-4))))</f>
        <v/>
      </c>
      <c r="D1538">
        <f>IF(INDEX(L_Type,ROW()-4)="","",TRIM(UPPER(INDEX(L_Type,ROW()-4))))</f>
        <v/>
      </c>
      <c r="E1538">
        <f>IF(INDEX(P_Status,ROW()-4)="","",TRIM(UPPER(INDEX(P_Status,ROW()-4))))</f>
        <v/>
      </c>
      <c r="G1538">
        <f>IF(INDEX(L_Status,ROW()-4)="","",TRIM(UPPER(INDEX(L_Status,ROW()-4))))</f>
        <v/>
      </c>
      <c r="J1538">
        <f>IF(INDEX(L_ID,ROW()-4)="","",IF(SUMPRODUCT((P_ID=INDEX(L_ID,ROW()-4))*(P_StatusN="INACTIVE"))&gt;0,1,0))</f>
        <v/>
      </c>
    </row>
    <row r="1539">
      <c r="A1539">
        <f>IF(INDEX(L_ID,ROW()-4)="","",IF(COUNTIF(P_ID,INDEX(L_ID,ROW()-4))&gt;0,1,0))</f>
        <v/>
      </c>
      <c r="B1539">
        <f>IF(INDEX(P_Type,ROW()-4)="","",TRIM(UPPER(INDEX(P_Type,ROW()-4))))</f>
        <v/>
      </c>
      <c r="D1539">
        <f>IF(INDEX(L_Type,ROW()-4)="","",TRIM(UPPER(INDEX(L_Type,ROW()-4))))</f>
        <v/>
      </c>
      <c r="E1539">
        <f>IF(INDEX(P_Status,ROW()-4)="","",TRIM(UPPER(INDEX(P_Status,ROW()-4))))</f>
        <v/>
      </c>
      <c r="G1539">
        <f>IF(INDEX(L_Status,ROW()-4)="","",TRIM(UPPER(INDEX(L_Status,ROW()-4))))</f>
        <v/>
      </c>
      <c r="J1539">
        <f>IF(INDEX(L_ID,ROW()-4)="","",IF(SUMPRODUCT((P_ID=INDEX(L_ID,ROW()-4))*(P_StatusN="INACTIVE"))&gt;0,1,0))</f>
        <v/>
      </c>
    </row>
    <row r="1540">
      <c r="A1540">
        <f>IF(INDEX(L_ID,ROW()-4)="","",IF(COUNTIF(P_ID,INDEX(L_ID,ROW()-4))&gt;0,1,0))</f>
        <v/>
      </c>
      <c r="B1540">
        <f>IF(INDEX(P_Type,ROW()-4)="","",TRIM(UPPER(INDEX(P_Type,ROW()-4))))</f>
        <v/>
      </c>
      <c r="D1540">
        <f>IF(INDEX(L_Type,ROW()-4)="","",TRIM(UPPER(INDEX(L_Type,ROW()-4))))</f>
        <v/>
      </c>
      <c r="E1540">
        <f>IF(INDEX(P_Status,ROW()-4)="","",TRIM(UPPER(INDEX(P_Status,ROW()-4))))</f>
        <v/>
      </c>
      <c r="G1540">
        <f>IF(INDEX(L_Status,ROW()-4)="","",TRIM(UPPER(INDEX(L_Status,ROW()-4))))</f>
        <v/>
      </c>
      <c r="J1540">
        <f>IF(INDEX(L_ID,ROW()-4)="","",IF(SUMPRODUCT((P_ID=INDEX(L_ID,ROW()-4))*(P_StatusN="INACTIVE"))&gt;0,1,0))</f>
        <v/>
      </c>
    </row>
    <row r="1541">
      <c r="A1541">
        <f>IF(INDEX(L_ID,ROW()-4)="","",IF(COUNTIF(P_ID,INDEX(L_ID,ROW()-4))&gt;0,1,0))</f>
        <v/>
      </c>
      <c r="B1541">
        <f>IF(INDEX(P_Type,ROW()-4)="","",TRIM(UPPER(INDEX(P_Type,ROW()-4))))</f>
        <v/>
      </c>
      <c r="D1541">
        <f>IF(INDEX(L_Type,ROW()-4)="","",TRIM(UPPER(INDEX(L_Type,ROW()-4))))</f>
        <v/>
      </c>
      <c r="E1541">
        <f>IF(INDEX(P_Status,ROW()-4)="","",TRIM(UPPER(INDEX(P_Status,ROW()-4))))</f>
        <v/>
      </c>
      <c r="G1541">
        <f>IF(INDEX(L_Status,ROW()-4)="","",TRIM(UPPER(INDEX(L_Status,ROW()-4))))</f>
        <v/>
      </c>
      <c r="J1541">
        <f>IF(INDEX(L_ID,ROW()-4)="","",IF(SUMPRODUCT((P_ID=INDEX(L_ID,ROW()-4))*(P_StatusN="INACTIVE"))&gt;0,1,0))</f>
        <v/>
      </c>
    </row>
    <row r="1542">
      <c r="A1542">
        <f>IF(INDEX(L_ID,ROW()-4)="","",IF(COUNTIF(P_ID,INDEX(L_ID,ROW()-4))&gt;0,1,0))</f>
        <v/>
      </c>
      <c r="B1542">
        <f>IF(INDEX(P_Type,ROW()-4)="","",TRIM(UPPER(INDEX(P_Type,ROW()-4))))</f>
        <v/>
      </c>
      <c r="D1542">
        <f>IF(INDEX(L_Type,ROW()-4)="","",TRIM(UPPER(INDEX(L_Type,ROW()-4))))</f>
        <v/>
      </c>
      <c r="E1542">
        <f>IF(INDEX(P_Status,ROW()-4)="","",TRIM(UPPER(INDEX(P_Status,ROW()-4))))</f>
        <v/>
      </c>
      <c r="G1542">
        <f>IF(INDEX(L_Status,ROW()-4)="","",TRIM(UPPER(INDEX(L_Status,ROW()-4))))</f>
        <v/>
      </c>
      <c r="J1542">
        <f>IF(INDEX(L_ID,ROW()-4)="","",IF(SUMPRODUCT((P_ID=INDEX(L_ID,ROW()-4))*(P_StatusN="INACTIVE"))&gt;0,1,0))</f>
        <v/>
      </c>
    </row>
    <row r="1543">
      <c r="A1543">
        <f>IF(INDEX(L_ID,ROW()-4)="","",IF(COUNTIF(P_ID,INDEX(L_ID,ROW()-4))&gt;0,1,0))</f>
        <v/>
      </c>
      <c r="B1543">
        <f>IF(INDEX(P_Type,ROW()-4)="","",TRIM(UPPER(INDEX(P_Type,ROW()-4))))</f>
        <v/>
      </c>
      <c r="D1543">
        <f>IF(INDEX(L_Type,ROW()-4)="","",TRIM(UPPER(INDEX(L_Type,ROW()-4))))</f>
        <v/>
      </c>
      <c r="E1543">
        <f>IF(INDEX(P_Status,ROW()-4)="","",TRIM(UPPER(INDEX(P_Status,ROW()-4))))</f>
        <v/>
      </c>
      <c r="G1543">
        <f>IF(INDEX(L_Status,ROW()-4)="","",TRIM(UPPER(INDEX(L_Status,ROW()-4))))</f>
        <v/>
      </c>
      <c r="J1543">
        <f>IF(INDEX(L_ID,ROW()-4)="","",IF(SUMPRODUCT((P_ID=INDEX(L_ID,ROW()-4))*(P_StatusN="INACTIVE"))&gt;0,1,0))</f>
        <v/>
      </c>
    </row>
    <row r="1544">
      <c r="A1544">
        <f>IF(INDEX(L_ID,ROW()-4)="","",IF(COUNTIF(P_ID,INDEX(L_ID,ROW()-4))&gt;0,1,0))</f>
        <v/>
      </c>
      <c r="B1544">
        <f>IF(INDEX(P_Type,ROW()-4)="","",TRIM(UPPER(INDEX(P_Type,ROW()-4))))</f>
        <v/>
      </c>
      <c r="D1544">
        <f>IF(INDEX(L_Type,ROW()-4)="","",TRIM(UPPER(INDEX(L_Type,ROW()-4))))</f>
        <v/>
      </c>
      <c r="E1544">
        <f>IF(INDEX(P_Status,ROW()-4)="","",TRIM(UPPER(INDEX(P_Status,ROW()-4))))</f>
        <v/>
      </c>
      <c r="G1544">
        <f>IF(INDEX(L_Status,ROW()-4)="","",TRIM(UPPER(INDEX(L_Status,ROW()-4))))</f>
        <v/>
      </c>
      <c r="J1544">
        <f>IF(INDEX(L_ID,ROW()-4)="","",IF(SUMPRODUCT((P_ID=INDEX(L_ID,ROW()-4))*(P_StatusN="INACTIVE"))&gt;0,1,0))</f>
        <v/>
      </c>
    </row>
    <row r="1545">
      <c r="A1545">
        <f>IF(INDEX(L_ID,ROW()-4)="","",IF(COUNTIF(P_ID,INDEX(L_ID,ROW()-4))&gt;0,1,0))</f>
        <v/>
      </c>
      <c r="B1545">
        <f>IF(INDEX(P_Type,ROW()-4)="","",TRIM(UPPER(INDEX(P_Type,ROW()-4))))</f>
        <v/>
      </c>
      <c r="D1545">
        <f>IF(INDEX(L_Type,ROW()-4)="","",TRIM(UPPER(INDEX(L_Type,ROW()-4))))</f>
        <v/>
      </c>
      <c r="E1545">
        <f>IF(INDEX(P_Status,ROW()-4)="","",TRIM(UPPER(INDEX(P_Status,ROW()-4))))</f>
        <v/>
      </c>
      <c r="G1545">
        <f>IF(INDEX(L_Status,ROW()-4)="","",TRIM(UPPER(INDEX(L_Status,ROW()-4))))</f>
        <v/>
      </c>
      <c r="J1545">
        <f>IF(INDEX(L_ID,ROW()-4)="","",IF(SUMPRODUCT((P_ID=INDEX(L_ID,ROW()-4))*(P_StatusN="INACTIVE"))&gt;0,1,0))</f>
        <v/>
      </c>
    </row>
    <row r="1546">
      <c r="A1546">
        <f>IF(INDEX(L_ID,ROW()-4)="","",IF(COUNTIF(P_ID,INDEX(L_ID,ROW()-4))&gt;0,1,0))</f>
        <v/>
      </c>
      <c r="B1546">
        <f>IF(INDEX(P_Type,ROW()-4)="","",TRIM(UPPER(INDEX(P_Type,ROW()-4))))</f>
        <v/>
      </c>
      <c r="D1546">
        <f>IF(INDEX(L_Type,ROW()-4)="","",TRIM(UPPER(INDEX(L_Type,ROW()-4))))</f>
        <v/>
      </c>
      <c r="E1546">
        <f>IF(INDEX(P_Status,ROW()-4)="","",TRIM(UPPER(INDEX(P_Status,ROW()-4))))</f>
        <v/>
      </c>
      <c r="G1546">
        <f>IF(INDEX(L_Status,ROW()-4)="","",TRIM(UPPER(INDEX(L_Status,ROW()-4))))</f>
        <v/>
      </c>
      <c r="J1546">
        <f>IF(INDEX(L_ID,ROW()-4)="","",IF(SUMPRODUCT((P_ID=INDEX(L_ID,ROW()-4))*(P_StatusN="INACTIVE"))&gt;0,1,0))</f>
        <v/>
      </c>
    </row>
    <row r="1547">
      <c r="A1547">
        <f>IF(INDEX(L_ID,ROW()-4)="","",IF(COUNTIF(P_ID,INDEX(L_ID,ROW()-4))&gt;0,1,0))</f>
        <v/>
      </c>
      <c r="B1547">
        <f>IF(INDEX(P_Type,ROW()-4)="","",TRIM(UPPER(INDEX(P_Type,ROW()-4))))</f>
        <v/>
      </c>
      <c r="D1547">
        <f>IF(INDEX(L_Type,ROW()-4)="","",TRIM(UPPER(INDEX(L_Type,ROW()-4))))</f>
        <v/>
      </c>
      <c r="E1547">
        <f>IF(INDEX(P_Status,ROW()-4)="","",TRIM(UPPER(INDEX(P_Status,ROW()-4))))</f>
        <v/>
      </c>
      <c r="G1547">
        <f>IF(INDEX(L_Status,ROW()-4)="","",TRIM(UPPER(INDEX(L_Status,ROW()-4))))</f>
        <v/>
      </c>
      <c r="J1547">
        <f>IF(INDEX(L_ID,ROW()-4)="","",IF(SUMPRODUCT((P_ID=INDEX(L_ID,ROW()-4))*(P_StatusN="INACTIVE"))&gt;0,1,0))</f>
        <v/>
      </c>
    </row>
    <row r="1548">
      <c r="A1548">
        <f>IF(INDEX(L_ID,ROW()-4)="","",IF(COUNTIF(P_ID,INDEX(L_ID,ROW()-4))&gt;0,1,0))</f>
        <v/>
      </c>
      <c r="B1548">
        <f>IF(INDEX(P_Type,ROW()-4)="","",TRIM(UPPER(INDEX(P_Type,ROW()-4))))</f>
        <v/>
      </c>
      <c r="D1548">
        <f>IF(INDEX(L_Type,ROW()-4)="","",TRIM(UPPER(INDEX(L_Type,ROW()-4))))</f>
        <v/>
      </c>
      <c r="E1548">
        <f>IF(INDEX(P_Status,ROW()-4)="","",TRIM(UPPER(INDEX(P_Status,ROW()-4))))</f>
        <v/>
      </c>
      <c r="G1548">
        <f>IF(INDEX(L_Status,ROW()-4)="","",TRIM(UPPER(INDEX(L_Status,ROW()-4))))</f>
        <v/>
      </c>
      <c r="J1548">
        <f>IF(INDEX(L_ID,ROW()-4)="","",IF(SUMPRODUCT((P_ID=INDEX(L_ID,ROW()-4))*(P_StatusN="INACTIVE"))&gt;0,1,0))</f>
        <v/>
      </c>
    </row>
    <row r="1549">
      <c r="A1549">
        <f>IF(INDEX(L_ID,ROW()-4)="","",IF(COUNTIF(P_ID,INDEX(L_ID,ROW()-4))&gt;0,1,0))</f>
        <v/>
      </c>
      <c r="B1549">
        <f>IF(INDEX(P_Type,ROW()-4)="","",TRIM(UPPER(INDEX(P_Type,ROW()-4))))</f>
        <v/>
      </c>
      <c r="D1549">
        <f>IF(INDEX(L_Type,ROW()-4)="","",TRIM(UPPER(INDEX(L_Type,ROW()-4))))</f>
        <v/>
      </c>
      <c r="E1549">
        <f>IF(INDEX(P_Status,ROW()-4)="","",TRIM(UPPER(INDEX(P_Status,ROW()-4))))</f>
        <v/>
      </c>
      <c r="G1549">
        <f>IF(INDEX(L_Status,ROW()-4)="","",TRIM(UPPER(INDEX(L_Status,ROW()-4))))</f>
        <v/>
      </c>
      <c r="J1549">
        <f>IF(INDEX(L_ID,ROW()-4)="","",IF(SUMPRODUCT((P_ID=INDEX(L_ID,ROW()-4))*(P_StatusN="INACTIVE"))&gt;0,1,0))</f>
        <v/>
      </c>
    </row>
    <row r="1550">
      <c r="A1550">
        <f>IF(INDEX(L_ID,ROW()-4)="","",IF(COUNTIF(P_ID,INDEX(L_ID,ROW()-4))&gt;0,1,0))</f>
        <v/>
      </c>
      <c r="B1550">
        <f>IF(INDEX(P_Type,ROW()-4)="","",TRIM(UPPER(INDEX(P_Type,ROW()-4))))</f>
        <v/>
      </c>
      <c r="D1550">
        <f>IF(INDEX(L_Type,ROW()-4)="","",TRIM(UPPER(INDEX(L_Type,ROW()-4))))</f>
        <v/>
      </c>
      <c r="E1550">
        <f>IF(INDEX(P_Status,ROW()-4)="","",TRIM(UPPER(INDEX(P_Status,ROW()-4))))</f>
        <v/>
      </c>
      <c r="G1550">
        <f>IF(INDEX(L_Status,ROW()-4)="","",TRIM(UPPER(INDEX(L_Status,ROW()-4))))</f>
        <v/>
      </c>
      <c r="J1550">
        <f>IF(INDEX(L_ID,ROW()-4)="","",IF(SUMPRODUCT((P_ID=INDEX(L_ID,ROW()-4))*(P_StatusN="INACTIVE"))&gt;0,1,0))</f>
        <v/>
      </c>
    </row>
    <row r="1551">
      <c r="A1551">
        <f>IF(INDEX(L_ID,ROW()-4)="","",IF(COUNTIF(P_ID,INDEX(L_ID,ROW()-4))&gt;0,1,0))</f>
        <v/>
      </c>
      <c r="B1551">
        <f>IF(INDEX(P_Type,ROW()-4)="","",TRIM(UPPER(INDEX(P_Type,ROW()-4))))</f>
        <v/>
      </c>
      <c r="D1551">
        <f>IF(INDEX(L_Type,ROW()-4)="","",TRIM(UPPER(INDEX(L_Type,ROW()-4))))</f>
        <v/>
      </c>
      <c r="E1551">
        <f>IF(INDEX(P_Status,ROW()-4)="","",TRIM(UPPER(INDEX(P_Status,ROW()-4))))</f>
        <v/>
      </c>
      <c r="G1551">
        <f>IF(INDEX(L_Status,ROW()-4)="","",TRIM(UPPER(INDEX(L_Status,ROW()-4))))</f>
        <v/>
      </c>
      <c r="J1551">
        <f>IF(INDEX(L_ID,ROW()-4)="","",IF(SUMPRODUCT((P_ID=INDEX(L_ID,ROW()-4))*(P_StatusN="INACTIVE"))&gt;0,1,0))</f>
        <v/>
      </c>
    </row>
    <row r="1552">
      <c r="A1552">
        <f>IF(INDEX(L_ID,ROW()-4)="","",IF(COUNTIF(P_ID,INDEX(L_ID,ROW()-4))&gt;0,1,0))</f>
        <v/>
      </c>
      <c r="B1552">
        <f>IF(INDEX(P_Type,ROW()-4)="","",TRIM(UPPER(INDEX(P_Type,ROW()-4))))</f>
        <v/>
      </c>
      <c r="D1552">
        <f>IF(INDEX(L_Type,ROW()-4)="","",TRIM(UPPER(INDEX(L_Type,ROW()-4))))</f>
        <v/>
      </c>
      <c r="E1552">
        <f>IF(INDEX(P_Status,ROW()-4)="","",TRIM(UPPER(INDEX(P_Status,ROW()-4))))</f>
        <v/>
      </c>
      <c r="G1552">
        <f>IF(INDEX(L_Status,ROW()-4)="","",TRIM(UPPER(INDEX(L_Status,ROW()-4))))</f>
        <v/>
      </c>
      <c r="J1552">
        <f>IF(INDEX(L_ID,ROW()-4)="","",IF(SUMPRODUCT((P_ID=INDEX(L_ID,ROW()-4))*(P_StatusN="INACTIVE"))&gt;0,1,0))</f>
        <v/>
      </c>
    </row>
    <row r="1553">
      <c r="A1553">
        <f>IF(INDEX(L_ID,ROW()-4)="","",IF(COUNTIF(P_ID,INDEX(L_ID,ROW()-4))&gt;0,1,0))</f>
        <v/>
      </c>
      <c r="B1553">
        <f>IF(INDEX(P_Type,ROW()-4)="","",TRIM(UPPER(INDEX(P_Type,ROW()-4))))</f>
        <v/>
      </c>
      <c r="D1553">
        <f>IF(INDEX(L_Type,ROW()-4)="","",TRIM(UPPER(INDEX(L_Type,ROW()-4))))</f>
        <v/>
      </c>
      <c r="E1553">
        <f>IF(INDEX(P_Status,ROW()-4)="","",TRIM(UPPER(INDEX(P_Status,ROW()-4))))</f>
        <v/>
      </c>
      <c r="G1553">
        <f>IF(INDEX(L_Status,ROW()-4)="","",TRIM(UPPER(INDEX(L_Status,ROW()-4))))</f>
        <v/>
      </c>
      <c r="J1553">
        <f>IF(INDEX(L_ID,ROW()-4)="","",IF(SUMPRODUCT((P_ID=INDEX(L_ID,ROW()-4))*(P_StatusN="INACTIVE"))&gt;0,1,0))</f>
        <v/>
      </c>
    </row>
    <row r="1554">
      <c r="A1554">
        <f>IF(INDEX(L_ID,ROW()-4)="","",IF(COUNTIF(P_ID,INDEX(L_ID,ROW()-4))&gt;0,1,0))</f>
        <v/>
      </c>
      <c r="B1554">
        <f>IF(INDEX(P_Type,ROW()-4)="","",TRIM(UPPER(INDEX(P_Type,ROW()-4))))</f>
        <v/>
      </c>
      <c r="D1554">
        <f>IF(INDEX(L_Type,ROW()-4)="","",TRIM(UPPER(INDEX(L_Type,ROW()-4))))</f>
        <v/>
      </c>
      <c r="E1554">
        <f>IF(INDEX(P_Status,ROW()-4)="","",TRIM(UPPER(INDEX(P_Status,ROW()-4))))</f>
        <v/>
      </c>
      <c r="G1554">
        <f>IF(INDEX(L_Status,ROW()-4)="","",TRIM(UPPER(INDEX(L_Status,ROW()-4))))</f>
        <v/>
      </c>
      <c r="J1554">
        <f>IF(INDEX(L_ID,ROW()-4)="","",IF(SUMPRODUCT((P_ID=INDEX(L_ID,ROW()-4))*(P_StatusN="INACTIVE"))&gt;0,1,0))</f>
        <v/>
      </c>
    </row>
    <row r="1555">
      <c r="A1555">
        <f>IF(INDEX(L_ID,ROW()-4)="","",IF(COUNTIF(P_ID,INDEX(L_ID,ROW()-4))&gt;0,1,0))</f>
        <v/>
      </c>
      <c r="B1555">
        <f>IF(INDEX(P_Type,ROW()-4)="","",TRIM(UPPER(INDEX(P_Type,ROW()-4))))</f>
        <v/>
      </c>
      <c r="D1555">
        <f>IF(INDEX(L_Type,ROW()-4)="","",TRIM(UPPER(INDEX(L_Type,ROW()-4))))</f>
        <v/>
      </c>
      <c r="E1555">
        <f>IF(INDEX(P_Status,ROW()-4)="","",TRIM(UPPER(INDEX(P_Status,ROW()-4))))</f>
        <v/>
      </c>
      <c r="G1555">
        <f>IF(INDEX(L_Status,ROW()-4)="","",TRIM(UPPER(INDEX(L_Status,ROW()-4))))</f>
        <v/>
      </c>
      <c r="J1555">
        <f>IF(INDEX(L_ID,ROW()-4)="","",IF(SUMPRODUCT((P_ID=INDEX(L_ID,ROW()-4))*(P_StatusN="INACTIVE"))&gt;0,1,0))</f>
        <v/>
      </c>
    </row>
    <row r="1556">
      <c r="A1556">
        <f>IF(INDEX(L_ID,ROW()-4)="","",IF(COUNTIF(P_ID,INDEX(L_ID,ROW()-4))&gt;0,1,0))</f>
        <v/>
      </c>
      <c r="B1556">
        <f>IF(INDEX(P_Type,ROW()-4)="","",TRIM(UPPER(INDEX(P_Type,ROW()-4))))</f>
        <v/>
      </c>
      <c r="D1556">
        <f>IF(INDEX(L_Type,ROW()-4)="","",TRIM(UPPER(INDEX(L_Type,ROW()-4))))</f>
        <v/>
      </c>
      <c r="E1556">
        <f>IF(INDEX(P_Status,ROW()-4)="","",TRIM(UPPER(INDEX(P_Status,ROW()-4))))</f>
        <v/>
      </c>
      <c r="G1556">
        <f>IF(INDEX(L_Status,ROW()-4)="","",TRIM(UPPER(INDEX(L_Status,ROW()-4))))</f>
        <v/>
      </c>
      <c r="J1556">
        <f>IF(INDEX(L_ID,ROW()-4)="","",IF(SUMPRODUCT((P_ID=INDEX(L_ID,ROW()-4))*(P_StatusN="INACTIVE"))&gt;0,1,0))</f>
        <v/>
      </c>
    </row>
    <row r="1557">
      <c r="A1557">
        <f>IF(INDEX(L_ID,ROW()-4)="","",IF(COUNTIF(P_ID,INDEX(L_ID,ROW()-4))&gt;0,1,0))</f>
        <v/>
      </c>
      <c r="B1557">
        <f>IF(INDEX(P_Type,ROW()-4)="","",TRIM(UPPER(INDEX(P_Type,ROW()-4))))</f>
        <v/>
      </c>
      <c r="D1557">
        <f>IF(INDEX(L_Type,ROW()-4)="","",TRIM(UPPER(INDEX(L_Type,ROW()-4))))</f>
        <v/>
      </c>
      <c r="E1557">
        <f>IF(INDEX(P_Status,ROW()-4)="","",TRIM(UPPER(INDEX(P_Status,ROW()-4))))</f>
        <v/>
      </c>
      <c r="G1557">
        <f>IF(INDEX(L_Status,ROW()-4)="","",TRIM(UPPER(INDEX(L_Status,ROW()-4))))</f>
        <v/>
      </c>
      <c r="J1557">
        <f>IF(INDEX(L_ID,ROW()-4)="","",IF(SUMPRODUCT((P_ID=INDEX(L_ID,ROW()-4))*(P_StatusN="INACTIVE"))&gt;0,1,0))</f>
        <v/>
      </c>
    </row>
    <row r="1558">
      <c r="A1558">
        <f>IF(INDEX(L_ID,ROW()-4)="","",IF(COUNTIF(P_ID,INDEX(L_ID,ROW()-4))&gt;0,1,0))</f>
        <v/>
      </c>
      <c r="B1558">
        <f>IF(INDEX(P_Type,ROW()-4)="","",TRIM(UPPER(INDEX(P_Type,ROW()-4))))</f>
        <v/>
      </c>
      <c r="D1558">
        <f>IF(INDEX(L_Type,ROW()-4)="","",TRIM(UPPER(INDEX(L_Type,ROW()-4))))</f>
        <v/>
      </c>
      <c r="E1558">
        <f>IF(INDEX(P_Status,ROW()-4)="","",TRIM(UPPER(INDEX(P_Status,ROW()-4))))</f>
        <v/>
      </c>
      <c r="G1558">
        <f>IF(INDEX(L_Status,ROW()-4)="","",TRIM(UPPER(INDEX(L_Status,ROW()-4))))</f>
        <v/>
      </c>
      <c r="J1558">
        <f>IF(INDEX(L_ID,ROW()-4)="","",IF(SUMPRODUCT((P_ID=INDEX(L_ID,ROW()-4))*(P_StatusN="INACTIVE"))&gt;0,1,0))</f>
        <v/>
      </c>
    </row>
    <row r="1559">
      <c r="A1559">
        <f>IF(INDEX(L_ID,ROW()-4)="","",IF(COUNTIF(P_ID,INDEX(L_ID,ROW()-4))&gt;0,1,0))</f>
        <v/>
      </c>
      <c r="B1559">
        <f>IF(INDEX(P_Type,ROW()-4)="","",TRIM(UPPER(INDEX(P_Type,ROW()-4))))</f>
        <v/>
      </c>
      <c r="D1559">
        <f>IF(INDEX(L_Type,ROW()-4)="","",TRIM(UPPER(INDEX(L_Type,ROW()-4))))</f>
        <v/>
      </c>
      <c r="E1559">
        <f>IF(INDEX(P_Status,ROW()-4)="","",TRIM(UPPER(INDEX(P_Status,ROW()-4))))</f>
        <v/>
      </c>
      <c r="G1559">
        <f>IF(INDEX(L_Status,ROW()-4)="","",TRIM(UPPER(INDEX(L_Status,ROW()-4))))</f>
        <v/>
      </c>
      <c r="J1559">
        <f>IF(INDEX(L_ID,ROW()-4)="","",IF(SUMPRODUCT((P_ID=INDEX(L_ID,ROW()-4))*(P_StatusN="INACTIVE"))&gt;0,1,0))</f>
        <v/>
      </c>
    </row>
    <row r="1560">
      <c r="A1560">
        <f>IF(INDEX(L_ID,ROW()-4)="","",IF(COUNTIF(P_ID,INDEX(L_ID,ROW()-4))&gt;0,1,0))</f>
        <v/>
      </c>
      <c r="B1560">
        <f>IF(INDEX(P_Type,ROW()-4)="","",TRIM(UPPER(INDEX(P_Type,ROW()-4))))</f>
        <v/>
      </c>
      <c r="D1560">
        <f>IF(INDEX(L_Type,ROW()-4)="","",TRIM(UPPER(INDEX(L_Type,ROW()-4))))</f>
        <v/>
      </c>
      <c r="E1560">
        <f>IF(INDEX(P_Status,ROW()-4)="","",TRIM(UPPER(INDEX(P_Status,ROW()-4))))</f>
        <v/>
      </c>
      <c r="G1560">
        <f>IF(INDEX(L_Status,ROW()-4)="","",TRIM(UPPER(INDEX(L_Status,ROW()-4))))</f>
        <v/>
      </c>
      <c r="J1560">
        <f>IF(INDEX(L_ID,ROW()-4)="","",IF(SUMPRODUCT((P_ID=INDEX(L_ID,ROW()-4))*(P_StatusN="INACTIVE"))&gt;0,1,0))</f>
        <v/>
      </c>
    </row>
    <row r="1561">
      <c r="A1561">
        <f>IF(INDEX(L_ID,ROW()-4)="","",IF(COUNTIF(P_ID,INDEX(L_ID,ROW()-4))&gt;0,1,0))</f>
        <v/>
      </c>
      <c r="B1561">
        <f>IF(INDEX(P_Type,ROW()-4)="","",TRIM(UPPER(INDEX(P_Type,ROW()-4))))</f>
        <v/>
      </c>
      <c r="D1561">
        <f>IF(INDEX(L_Type,ROW()-4)="","",TRIM(UPPER(INDEX(L_Type,ROW()-4))))</f>
        <v/>
      </c>
      <c r="E1561">
        <f>IF(INDEX(P_Status,ROW()-4)="","",TRIM(UPPER(INDEX(P_Status,ROW()-4))))</f>
        <v/>
      </c>
      <c r="G1561">
        <f>IF(INDEX(L_Status,ROW()-4)="","",TRIM(UPPER(INDEX(L_Status,ROW()-4))))</f>
        <v/>
      </c>
      <c r="J1561">
        <f>IF(INDEX(L_ID,ROW()-4)="","",IF(SUMPRODUCT((P_ID=INDEX(L_ID,ROW()-4))*(P_StatusN="INACTIVE"))&gt;0,1,0))</f>
        <v/>
      </c>
    </row>
    <row r="1562">
      <c r="A1562">
        <f>IF(INDEX(L_ID,ROW()-4)="","",IF(COUNTIF(P_ID,INDEX(L_ID,ROW()-4))&gt;0,1,0))</f>
        <v/>
      </c>
      <c r="B1562">
        <f>IF(INDEX(P_Type,ROW()-4)="","",TRIM(UPPER(INDEX(P_Type,ROW()-4))))</f>
        <v/>
      </c>
      <c r="D1562">
        <f>IF(INDEX(L_Type,ROW()-4)="","",TRIM(UPPER(INDEX(L_Type,ROW()-4))))</f>
        <v/>
      </c>
      <c r="E1562">
        <f>IF(INDEX(P_Status,ROW()-4)="","",TRIM(UPPER(INDEX(P_Status,ROW()-4))))</f>
        <v/>
      </c>
      <c r="G1562">
        <f>IF(INDEX(L_Status,ROW()-4)="","",TRIM(UPPER(INDEX(L_Status,ROW()-4))))</f>
        <v/>
      </c>
      <c r="J1562">
        <f>IF(INDEX(L_ID,ROW()-4)="","",IF(SUMPRODUCT((P_ID=INDEX(L_ID,ROW()-4))*(P_StatusN="INACTIVE"))&gt;0,1,0))</f>
        <v/>
      </c>
    </row>
    <row r="1563">
      <c r="A1563">
        <f>IF(INDEX(L_ID,ROW()-4)="","",IF(COUNTIF(P_ID,INDEX(L_ID,ROW()-4))&gt;0,1,0))</f>
        <v/>
      </c>
      <c r="B1563">
        <f>IF(INDEX(P_Type,ROW()-4)="","",TRIM(UPPER(INDEX(P_Type,ROW()-4))))</f>
        <v/>
      </c>
      <c r="D1563">
        <f>IF(INDEX(L_Type,ROW()-4)="","",TRIM(UPPER(INDEX(L_Type,ROW()-4))))</f>
        <v/>
      </c>
      <c r="E1563">
        <f>IF(INDEX(P_Status,ROW()-4)="","",TRIM(UPPER(INDEX(P_Status,ROW()-4))))</f>
        <v/>
      </c>
      <c r="G1563">
        <f>IF(INDEX(L_Status,ROW()-4)="","",TRIM(UPPER(INDEX(L_Status,ROW()-4))))</f>
        <v/>
      </c>
      <c r="J1563">
        <f>IF(INDEX(L_ID,ROW()-4)="","",IF(SUMPRODUCT((P_ID=INDEX(L_ID,ROW()-4))*(P_StatusN="INACTIVE"))&gt;0,1,0))</f>
        <v/>
      </c>
    </row>
    <row r="1564">
      <c r="A1564">
        <f>IF(INDEX(L_ID,ROW()-4)="","",IF(COUNTIF(P_ID,INDEX(L_ID,ROW()-4))&gt;0,1,0))</f>
        <v/>
      </c>
      <c r="B1564">
        <f>IF(INDEX(P_Type,ROW()-4)="","",TRIM(UPPER(INDEX(P_Type,ROW()-4))))</f>
        <v/>
      </c>
      <c r="D1564">
        <f>IF(INDEX(L_Type,ROW()-4)="","",TRIM(UPPER(INDEX(L_Type,ROW()-4))))</f>
        <v/>
      </c>
      <c r="E1564">
        <f>IF(INDEX(P_Status,ROW()-4)="","",TRIM(UPPER(INDEX(P_Status,ROW()-4))))</f>
        <v/>
      </c>
      <c r="G1564">
        <f>IF(INDEX(L_Status,ROW()-4)="","",TRIM(UPPER(INDEX(L_Status,ROW()-4))))</f>
        <v/>
      </c>
      <c r="J1564">
        <f>IF(INDEX(L_ID,ROW()-4)="","",IF(SUMPRODUCT((P_ID=INDEX(L_ID,ROW()-4))*(P_StatusN="INACTIVE"))&gt;0,1,0))</f>
        <v/>
      </c>
    </row>
    <row r="1565">
      <c r="A1565">
        <f>IF(INDEX(L_ID,ROW()-4)="","",IF(COUNTIF(P_ID,INDEX(L_ID,ROW()-4))&gt;0,1,0))</f>
        <v/>
      </c>
      <c r="B1565">
        <f>IF(INDEX(P_Type,ROW()-4)="","",TRIM(UPPER(INDEX(P_Type,ROW()-4))))</f>
        <v/>
      </c>
      <c r="D1565">
        <f>IF(INDEX(L_Type,ROW()-4)="","",TRIM(UPPER(INDEX(L_Type,ROW()-4))))</f>
        <v/>
      </c>
      <c r="E1565">
        <f>IF(INDEX(P_Status,ROW()-4)="","",TRIM(UPPER(INDEX(P_Status,ROW()-4))))</f>
        <v/>
      </c>
      <c r="G1565">
        <f>IF(INDEX(L_Status,ROW()-4)="","",TRIM(UPPER(INDEX(L_Status,ROW()-4))))</f>
        <v/>
      </c>
      <c r="J1565">
        <f>IF(INDEX(L_ID,ROW()-4)="","",IF(SUMPRODUCT((P_ID=INDEX(L_ID,ROW()-4))*(P_StatusN="INACTIVE"))&gt;0,1,0))</f>
        <v/>
      </c>
    </row>
    <row r="1566">
      <c r="A1566">
        <f>IF(INDEX(L_ID,ROW()-4)="","",IF(COUNTIF(P_ID,INDEX(L_ID,ROW()-4))&gt;0,1,0))</f>
        <v/>
      </c>
      <c r="B1566">
        <f>IF(INDEX(P_Type,ROW()-4)="","",TRIM(UPPER(INDEX(P_Type,ROW()-4))))</f>
        <v/>
      </c>
      <c r="D1566">
        <f>IF(INDEX(L_Type,ROW()-4)="","",TRIM(UPPER(INDEX(L_Type,ROW()-4))))</f>
        <v/>
      </c>
      <c r="E1566">
        <f>IF(INDEX(P_Status,ROW()-4)="","",TRIM(UPPER(INDEX(P_Status,ROW()-4))))</f>
        <v/>
      </c>
      <c r="G1566">
        <f>IF(INDEX(L_Status,ROW()-4)="","",TRIM(UPPER(INDEX(L_Status,ROW()-4))))</f>
        <v/>
      </c>
      <c r="J1566">
        <f>IF(INDEX(L_ID,ROW()-4)="","",IF(SUMPRODUCT((P_ID=INDEX(L_ID,ROW()-4))*(P_StatusN="INACTIVE"))&gt;0,1,0))</f>
        <v/>
      </c>
    </row>
    <row r="1567">
      <c r="A1567">
        <f>IF(INDEX(L_ID,ROW()-4)="","",IF(COUNTIF(P_ID,INDEX(L_ID,ROW()-4))&gt;0,1,0))</f>
        <v/>
      </c>
      <c r="B1567">
        <f>IF(INDEX(P_Type,ROW()-4)="","",TRIM(UPPER(INDEX(P_Type,ROW()-4))))</f>
        <v/>
      </c>
      <c r="D1567">
        <f>IF(INDEX(L_Type,ROW()-4)="","",TRIM(UPPER(INDEX(L_Type,ROW()-4))))</f>
        <v/>
      </c>
      <c r="E1567">
        <f>IF(INDEX(P_Status,ROW()-4)="","",TRIM(UPPER(INDEX(P_Status,ROW()-4))))</f>
        <v/>
      </c>
      <c r="G1567">
        <f>IF(INDEX(L_Status,ROW()-4)="","",TRIM(UPPER(INDEX(L_Status,ROW()-4))))</f>
        <v/>
      </c>
      <c r="J1567">
        <f>IF(INDEX(L_ID,ROW()-4)="","",IF(SUMPRODUCT((P_ID=INDEX(L_ID,ROW()-4))*(P_StatusN="INACTIVE"))&gt;0,1,0))</f>
        <v/>
      </c>
    </row>
    <row r="1568">
      <c r="A1568">
        <f>IF(INDEX(L_ID,ROW()-4)="","",IF(COUNTIF(P_ID,INDEX(L_ID,ROW()-4))&gt;0,1,0))</f>
        <v/>
      </c>
      <c r="B1568">
        <f>IF(INDEX(P_Type,ROW()-4)="","",TRIM(UPPER(INDEX(P_Type,ROW()-4))))</f>
        <v/>
      </c>
      <c r="D1568">
        <f>IF(INDEX(L_Type,ROW()-4)="","",TRIM(UPPER(INDEX(L_Type,ROW()-4))))</f>
        <v/>
      </c>
      <c r="E1568">
        <f>IF(INDEX(P_Status,ROW()-4)="","",TRIM(UPPER(INDEX(P_Status,ROW()-4))))</f>
        <v/>
      </c>
      <c r="G1568">
        <f>IF(INDEX(L_Status,ROW()-4)="","",TRIM(UPPER(INDEX(L_Status,ROW()-4))))</f>
        <v/>
      </c>
      <c r="J1568">
        <f>IF(INDEX(L_ID,ROW()-4)="","",IF(SUMPRODUCT((P_ID=INDEX(L_ID,ROW()-4))*(P_StatusN="INACTIVE"))&gt;0,1,0))</f>
        <v/>
      </c>
    </row>
    <row r="1569">
      <c r="A1569">
        <f>IF(INDEX(L_ID,ROW()-4)="","",IF(COUNTIF(P_ID,INDEX(L_ID,ROW()-4))&gt;0,1,0))</f>
        <v/>
      </c>
      <c r="B1569">
        <f>IF(INDEX(P_Type,ROW()-4)="","",TRIM(UPPER(INDEX(P_Type,ROW()-4))))</f>
        <v/>
      </c>
      <c r="D1569">
        <f>IF(INDEX(L_Type,ROW()-4)="","",TRIM(UPPER(INDEX(L_Type,ROW()-4))))</f>
        <v/>
      </c>
      <c r="E1569">
        <f>IF(INDEX(P_Status,ROW()-4)="","",TRIM(UPPER(INDEX(P_Status,ROW()-4))))</f>
        <v/>
      </c>
      <c r="G1569">
        <f>IF(INDEX(L_Status,ROW()-4)="","",TRIM(UPPER(INDEX(L_Status,ROW()-4))))</f>
        <v/>
      </c>
      <c r="J1569">
        <f>IF(INDEX(L_ID,ROW()-4)="","",IF(SUMPRODUCT((P_ID=INDEX(L_ID,ROW()-4))*(P_StatusN="INACTIVE"))&gt;0,1,0))</f>
        <v/>
      </c>
    </row>
    <row r="1570">
      <c r="A1570">
        <f>IF(INDEX(L_ID,ROW()-4)="","",IF(COUNTIF(P_ID,INDEX(L_ID,ROW()-4))&gt;0,1,0))</f>
        <v/>
      </c>
      <c r="B1570">
        <f>IF(INDEX(P_Type,ROW()-4)="","",TRIM(UPPER(INDEX(P_Type,ROW()-4))))</f>
        <v/>
      </c>
      <c r="D1570">
        <f>IF(INDEX(L_Type,ROW()-4)="","",TRIM(UPPER(INDEX(L_Type,ROW()-4))))</f>
        <v/>
      </c>
      <c r="E1570">
        <f>IF(INDEX(P_Status,ROW()-4)="","",TRIM(UPPER(INDEX(P_Status,ROW()-4))))</f>
        <v/>
      </c>
      <c r="G1570">
        <f>IF(INDEX(L_Status,ROW()-4)="","",TRIM(UPPER(INDEX(L_Status,ROW()-4))))</f>
        <v/>
      </c>
      <c r="J1570">
        <f>IF(INDEX(L_ID,ROW()-4)="","",IF(SUMPRODUCT((P_ID=INDEX(L_ID,ROW()-4))*(P_StatusN="INACTIVE"))&gt;0,1,0))</f>
        <v/>
      </c>
    </row>
    <row r="1571">
      <c r="A1571">
        <f>IF(INDEX(L_ID,ROW()-4)="","",IF(COUNTIF(P_ID,INDEX(L_ID,ROW()-4))&gt;0,1,0))</f>
        <v/>
      </c>
      <c r="B1571">
        <f>IF(INDEX(P_Type,ROW()-4)="","",TRIM(UPPER(INDEX(P_Type,ROW()-4))))</f>
        <v/>
      </c>
      <c r="D1571">
        <f>IF(INDEX(L_Type,ROW()-4)="","",TRIM(UPPER(INDEX(L_Type,ROW()-4))))</f>
        <v/>
      </c>
      <c r="E1571">
        <f>IF(INDEX(P_Status,ROW()-4)="","",TRIM(UPPER(INDEX(P_Status,ROW()-4))))</f>
        <v/>
      </c>
      <c r="G1571">
        <f>IF(INDEX(L_Status,ROW()-4)="","",TRIM(UPPER(INDEX(L_Status,ROW()-4))))</f>
        <v/>
      </c>
      <c r="J1571">
        <f>IF(INDEX(L_ID,ROW()-4)="","",IF(SUMPRODUCT((P_ID=INDEX(L_ID,ROW()-4))*(P_StatusN="INACTIVE"))&gt;0,1,0))</f>
        <v/>
      </c>
    </row>
    <row r="1572">
      <c r="A1572">
        <f>IF(INDEX(L_ID,ROW()-4)="","",IF(COUNTIF(P_ID,INDEX(L_ID,ROW()-4))&gt;0,1,0))</f>
        <v/>
      </c>
      <c r="B1572">
        <f>IF(INDEX(P_Type,ROW()-4)="","",TRIM(UPPER(INDEX(P_Type,ROW()-4))))</f>
        <v/>
      </c>
      <c r="D1572">
        <f>IF(INDEX(L_Type,ROW()-4)="","",TRIM(UPPER(INDEX(L_Type,ROW()-4))))</f>
        <v/>
      </c>
      <c r="E1572">
        <f>IF(INDEX(P_Status,ROW()-4)="","",TRIM(UPPER(INDEX(P_Status,ROW()-4))))</f>
        <v/>
      </c>
      <c r="G1572">
        <f>IF(INDEX(L_Status,ROW()-4)="","",TRIM(UPPER(INDEX(L_Status,ROW()-4))))</f>
        <v/>
      </c>
      <c r="J1572">
        <f>IF(INDEX(L_ID,ROW()-4)="","",IF(SUMPRODUCT((P_ID=INDEX(L_ID,ROW()-4))*(P_StatusN="INACTIVE"))&gt;0,1,0))</f>
        <v/>
      </c>
    </row>
    <row r="1573">
      <c r="A1573">
        <f>IF(INDEX(L_ID,ROW()-4)="","",IF(COUNTIF(P_ID,INDEX(L_ID,ROW()-4))&gt;0,1,0))</f>
        <v/>
      </c>
      <c r="B1573">
        <f>IF(INDEX(P_Type,ROW()-4)="","",TRIM(UPPER(INDEX(P_Type,ROW()-4))))</f>
        <v/>
      </c>
      <c r="D1573">
        <f>IF(INDEX(L_Type,ROW()-4)="","",TRIM(UPPER(INDEX(L_Type,ROW()-4))))</f>
        <v/>
      </c>
      <c r="E1573">
        <f>IF(INDEX(P_Status,ROW()-4)="","",TRIM(UPPER(INDEX(P_Status,ROW()-4))))</f>
        <v/>
      </c>
      <c r="G1573">
        <f>IF(INDEX(L_Status,ROW()-4)="","",TRIM(UPPER(INDEX(L_Status,ROW()-4))))</f>
        <v/>
      </c>
      <c r="J1573">
        <f>IF(INDEX(L_ID,ROW()-4)="","",IF(SUMPRODUCT((P_ID=INDEX(L_ID,ROW()-4))*(P_StatusN="INACTIVE"))&gt;0,1,0))</f>
        <v/>
      </c>
    </row>
    <row r="1574">
      <c r="A1574">
        <f>IF(INDEX(L_ID,ROW()-4)="","",IF(COUNTIF(P_ID,INDEX(L_ID,ROW()-4))&gt;0,1,0))</f>
        <v/>
      </c>
      <c r="B1574">
        <f>IF(INDEX(P_Type,ROW()-4)="","",TRIM(UPPER(INDEX(P_Type,ROW()-4))))</f>
        <v/>
      </c>
      <c r="D1574">
        <f>IF(INDEX(L_Type,ROW()-4)="","",TRIM(UPPER(INDEX(L_Type,ROW()-4))))</f>
        <v/>
      </c>
      <c r="E1574">
        <f>IF(INDEX(P_Status,ROW()-4)="","",TRIM(UPPER(INDEX(P_Status,ROW()-4))))</f>
        <v/>
      </c>
      <c r="G1574">
        <f>IF(INDEX(L_Status,ROW()-4)="","",TRIM(UPPER(INDEX(L_Status,ROW()-4))))</f>
        <v/>
      </c>
      <c r="J1574">
        <f>IF(INDEX(L_ID,ROW()-4)="","",IF(SUMPRODUCT((P_ID=INDEX(L_ID,ROW()-4))*(P_StatusN="INACTIVE"))&gt;0,1,0))</f>
        <v/>
      </c>
    </row>
    <row r="1575">
      <c r="A1575">
        <f>IF(INDEX(L_ID,ROW()-4)="","",IF(COUNTIF(P_ID,INDEX(L_ID,ROW()-4))&gt;0,1,0))</f>
        <v/>
      </c>
      <c r="B1575">
        <f>IF(INDEX(P_Type,ROW()-4)="","",TRIM(UPPER(INDEX(P_Type,ROW()-4))))</f>
        <v/>
      </c>
      <c r="D1575">
        <f>IF(INDEX(L_Type,ROW()-4)="","",TRIM(UPPER(INDEX(L_Type,ROW()-4))))</f>
        <v/>
      </c>
      <c r="E1575">
        <f>IF(INDEX(P_Status,ROW()-4)="","",TRIM(UPPER(INDEX(P_Status,ROW()-4))))</f>
        <v/>
      </c>
      <c r="G1575">
        <f>IF(INDEX(L_Status,ROW()-4)="","",TRIM(UPPER(INDEX(L_Status,ROW()-4))))</f>
        <v/>
      </c>
      <c r="J1575">
        <f>IF(INDEX(L_ID,ROW()-4)="","",IF(SUMPRODUCT((P_ID=INDEX(L_ID,ROW()-4))*(P_StatusN="INACTIVE"))&gt;0,1,0))</f>
        <v/>
      </c>
    </row>
    <row r="1576">
      <c r="A1576">
        <f>IF(INDEX(L_ID,ROW()-4)="","",IF(COUNTIF(P_ID,INDEX(L_ID,ROW()-4))&gt;0,1,0))</f>
        <v/>
      </c>
      <c r="B1576">
        <f>IF(INDEX(P_Type,ROW()-4)="","",TRIM(UPPER(INDEX(P_Type,ROW()-4))))</f>
        <v/>
      </c>
      <c r="D1576">
        <f>IF(INDEX(L_Type,ROW()-4)="","",TRIM(UPPER(INDEX(L_Type,ROW()-4))))</f>
        <v/>
      </c>
      <c r="E1576">
        <f>IF(INDEX(P_Status,ROW()-4)="","",TRIM(UPPER(INDEX(P_Status,ROW()-4))))</f>
        <v/>
      </c>
      <c r="G1576">
        <f>IF(INDEX(L_Status,ROW()-4)="","",TRIM(UPPER(INDEX(L_Status,ROW()-4))))</f>
        <v/>
      </c>
      <c r="J1576">
        <f>IF(INDEX(L_ID,ROW()-4)="","",IF(SUMPRODUCT((P_ID=INDEX(L_ID,ROW()-4))*(P_StatusN="INACTIVE"))&gt;0,1,0))</f>
        <v/>
      </c>
    </row>
    <row r="1577">
      <c r="A1577">
        <f>IF(INDEX(L_ID,ROW()-4)="","",IF(COUNTIF(P_ID,INDEX(L_ID,ROW()-4))&gt;0,1,0))</f>
        <v/>
      </c>
      <c r="B1577">
        <f>IF(INDEX(P_Type,ROW()-4)="","",TRIM(UPPER(INDEX(P_Type,ROW()-4))))</f>
        <v/>
      </c>
      <c r="D1577">
        <f>IF(INDEX(L_Type,ROW()-4)="","",TRIM(UPPER(INDEX(L_Type,ROW()-4))))</f>
        <v/>
      </c>
      <c r="E1577">
        <f>IF(INDEX(P_Status,ROW()-4)="","",TRIM(UPPER(INDEX(P_Status,ROW()-4))))</f>
        <v/>
      </c>
      <c r="G1577">
        <f>IF(INDEX(L_Status,ROW()-4)="","",TRIM(UPPER(INDEX(L_Status,ROW()-4))))</f>
        <v/>
      </c>
      <c r="J1577">
        <f>IF(INDEX(L_ID,ROW()-4)="","",IF(SUMPRODUCT((P_ID=INDEX(L_ID,ROW()-4))*(P_StatusN="INACTIVE"))&gt;0,1,0))</f>
        <v/>
      </c>
    </row>
    <row r="1578">
      <c r="A1578">
        <f>IF(INDEX(L_ID,ROW()-4)="","",IF(COUNTIF(P_ID,INDEX(L_ID,ROW()-4))&gt;0,1,0))</f>
        <v/>
      </c>
      <c r="B1578">
        <f>IF(INDEX(P_Type,ROW()-4)="","",TRIM(UPPER(INDEX(P_Type,ROW()-4))))</f>
        <v/>
      </c>
      <c r="D1578">
        <f>IF(INDEX(L_Type,ROW()-4)="","",TRIM(UPPER(INDEX(L_Type,ROW()-4))))</f>
        <v/>
      </c>
      <c r="E1578">
        <f>IF(INDEX(P_Status,ROW()-4)="","",TRIM(UPPER(INDEX(P_Status,ROW()-4))))</f>
        <v/>
      </c>
      <c r="G1578">
        <f>IF(INDEX(L_Status,ROW()-4)="","",TRIM(UPPER(INDEX(L_Status,ROW()-4))))</f>
        <v/>
      </c>
      <c r="J1578">
        <f>IF(INDEX(L_ID,ROW()-4)="","",IF(SUMPRODUCT((P_ID=INDEX(L_ID,ROW()-4))*(P_StatusN="INACTIVE"))&gt;0,1,0))</f>
        <v/>
      </c>
    </row>
    <row r="1579">
      <c r="A1579">
        <f>IF(INDEX(L_ID,ROW()-4)="","",IF(COUNTIF(P_ID,INDEX(L_ID,ROW()-4))&gt;0,1,0))</f>
        <v/>
      </c>
      <c r="B1579">
        <f>IF(INDEX(P_Type,ROW()-4)="","",TRIM(UPPER(INDEX(P_Type,ROW()-4))))</f>
        <v/>
      </c>
      <c r="D1579">
        <f>IF(INDEX(L_Type,ROW()-4)="","",TRIM(UPPER(INDEX(L_Type,ROW()-4))))</f>
        <v/>
      </c>
      <c r="E1579">
        <f>IF(INDEX(P_Status,ROW()-4)="","",TRIM(UPPER(INDEX(P_Status,ROW()-4))))</f>
        <v/>
      </c>
      <c r="G1579">
        <f>IF(INDEX(L_Status,ROW()-4)="","",TRIM(UPPER(INDEX(L_Status,ROW()-4))))</f>
        <v/>
      </c>
      <c r="J1579">
        <f>IF(INDEX(L_ID,ROW()-4)="","",IF(SUMPRODUCT((P_ID=INDEX(L_ID,ROW()-4))*(P_StatusN="INACTIVE"))&gt;0,1,0))</f>
        <v/>
      </c>
    </row>
    <row r="1580">
      <c r="A1580">
        <f>IF(INDEX(L_ID,ROW()-4)="","",IF(COUNTIF(P_ID,INDEX(L_ID,ROW()-4))&gt;0,1,0))</f>
        <v/>
      </c>
      <c r="B1580">
        <f>IF(INDEX(P_Type,ROW()-4)="","",TRIM(UPPER(INDEX(P_Type,ROW()-4))))</f>
        <v/>
      </c>
      <c r="D1580">
        <f>IF(INDEX(L_Type,ROW()-4)="","",TRIM(UPPER(INDEX(L_Type,ROW()-4))))</f>
        <v/>
      </c>
      <c r="E1580">
        <f>IF(INDEX(P_Status,ROW()-4)="","",TRIM(UPPER(INDEX(P_Status,ROW()-4))))</f>
        <v/>
      </c>
      <c r="G1580">
        <f>IF(INDEX(L_Status,ROW()-4)="","",TRIM(UPPER(INDEX(L_Status,ROW()-4))))</f>
        <v/>
      </c>
      <c r="J1580">
        <f>IF(INDEX(L_ID,ROW()-4)="","",IF(SUMPRODUCT((P_ID=INDEX(L_ID,ROW()-4))*(P_StatusN="INACTIVE"))&gt;0,1,0))</f>
        <v/>
      </c>
    </row>
    <row r="1581">
      <c r="A1581">
        <f>IF(INDEX(L_ID,ROW()-4)="","",IF(COUNTIF(P_ID,INDEX(L_ID,ROW()-4))&gt;0,1,0))</f>
        <v/>
      </c>
      <c r="B1581">
        <f>IF(INDEX(P_Type,ROW()-4)="","",TRIM(UPPER(INDEX(P_Type,ROW()-4))))</f>
        <v/>
      </c>
      <c r="D1581">
        <f>IF(INDEX(L_Type,ROW()-4)="","",TRIM(UPPER(INDEX(L_Type,ROW()-4))))</f>
        <v/>
      </c>
      <c r="E1581">
        <f>IF(INDEX(P_Status,ROW()-4)="","",TRIM(UPPER(INDEX(P_Status,ROW()-4))))</f>
        <v/>
      </c>
      <c r="G1581">
        <f>IF(INDEX(L_Status,ROW()-4)="","",TRIM(UPPER(INDEX(L_Status,ROW()-4))))</f>
        <v/>
      </c>
      <c r="J1581">
        <f>IF(INDEX(L_ID,ROW()-4)="","",IF(SUMPRODUCT((P_ID=INDEX(L_ID,ROW()-4))*(P_StatusN="INACTIVE"))&gt;0,1,0))</f>
        <v/>
      </c>
    </row>
    <row r="1582">
      <c r="A1582">
        <f>IF(INDEX(L_ID,ROW()-4)="","",IF(COUNTIF(P_ID,INDEX(L_ID,ROW()-4))&gt;0,1,0))</f>
        <v/>
      </c>
      <c r="B1582">
        <f>IF(INDEX(P_Type,ROW()-4)="","",TRIM(UPPER(INDEX(P_Type,ROW()-4))))</f>
        <v/>
      </c>
      <c r="D1582">
        <f>IF(INDEX(L_Type,ROW()-4)="","",TRIM(UPPER(INDEX(L_Type,ROW()-4))))</f>
        <v/>
      </c>
      <c r="E1582">
        <f>IF(INDEX(P_Status,ROW()-4)="","",TRIM(UPPER(INDEX(P_Status,ROW()-4))))</f>
        <v/>
      </c>
      <c r="G1582">
        <f>IF(INDEX(L_Status,ROW()-4)="","",TRIM(UPPER(INDEX(L_Status,ROW()-4))))</f>
        <v/>
      </c>
      <c r="J1582">
        <f>IF(INDEX(L_ID,ROW()-4)="","",IF(SUMPRODUCT((P_ID=INDEX(L_ID,ROW()-4))*(P_StatusN="INACTIVE"))&gt;0,1,0))</f>
        <v/>
      </c>
    </row>
    <row r="1583">
      <c r="A1583">
        <f>IF(INDEX(L_ID,ROW()-4)="","",IF(COUNTIF(P_ID,INDEX(L_ID,ROW()-4))&gt;0,1,0))</f>
        <v/>
      </c>
      <c r="B1583">
        <f>IF(INDEX(P_Type,ROW()-4)="","",TRIM(UPPER(INDEX(P_Type,ROW()-4))))</f>
        <v/>
      </c>
      <c r="D1583">
        <f>IF(INDEX(L_Type,ROW()-4)="","",TRIM(UPPER(INDEX(L_Type,ROW()-4))))</f>
        <v/>
      </c>
      <c r="E1583">
        <f>IF(INDEX(P_Status,ROW()-4)="","",TRIM(UPPER(INDEX(P_Status,ROW()-4))))</f>
        <v/>
      </c>
      <c r="G1583">
        <f>IF(INDEX(L_Status,ROW()-4)="","",TRIM(UPPER(INDEX(L_Status,ROW()-4))))</f>
        <v/>
      </c>
      <c r="J1583">
        <f>IF(INDEX(L_ID,ROW()-4)="","",IF(SUMPRODUCT((P_ID=INDEX(L_ID,ROW()-4))*(P_StatusN="INACTIVE"))&gt;0,1,0))</f>
        <v/>
      </c>
    </row>
    <row r="1584">
      <c r="A1584">
        <f>IF(INDEX(L_ID,ROW()-4)="","",IF(COUNTIF(P_ID,INDEX(L_ID,ROW()-4))&gt;0,1,0))</f>
        <v/>
      </c>
      <c r="B1584">
        <f>IF(INDEX(P_Type,ROW()-4)="","",TRIM(UPPER(INDEX(P_Type,ROW()-4))))</f>
        <v/>
      </c>
      <c r="D1584">
        <f>IF(INDEX(L_Type,ROW()-4)="","",TRIM(UPPER(INDEX(L_Type,ROW()-4))))</f>
        <v/>
      </c>
      <c r="E1584">
        <f>IF(INDEX(P_Status,ROW()-4)="","",TRIM(UPPER(INDEX(P_Status,ROW()-4))))</f>
        <v/>
      </c>
      <c r="G1584">
        <f>IF(INDEX(L_Status,ROW()-4)="","",TRIM(UPPER(INDEX(L_Status,ROW()-4))))</f>
        <v/>
      </c>
      <c r="J1584">
        <f>IF(INDEX(L_ID,ROW()-4)="","",IF(SUMPRODUCT((P_ID=INDEX(L_ID,ROW()-4))*(P_StatusN="INACTIVE"))&gt;0,1,0))</f>
        <v/>
      </c>
    </row>
    <row r="1585">
      <c r="A1585">
        <f>IF(INDEX(L_ID,ROW()-4)="","",IF(COUNTIF(P_ID,INDEX(L_ID,ROW()-4))&gt;0,1,0))</f>
        <v/>
      </c>
      <c r="B1585">
        <f>IF(INDEX(P_Type,ROW()-4)="","",TRIM(UPPER(INDEX(P_Type,ROW()-4))))</f>
        <v/>
      </c>
      <c r="D1585">
        <f>IF(INDEX(L_Type,ROW()-4)="","",TRIM(UPPER(INDEX(L_Type,ROW()-4))))</f>
        <v/>
      </c>
      <c r="E1585">
        <f>IF(INDEX(P_Status,ROW()-4)="","",TRIM(UPPER(INDEX(P_Status,ROW()-4))))</f>
        <v/>
      </c>
      <c r="G1585">
        <f>IF(INDEX(L_Status,ROW()-4)="","",TRIM(UPPER(INDEX(L_Status,ROW()-4))))</f>
        <v/>
      </c>
      <c r="J1585">
        <f>IF(INDEX(L_ID,ROW()-4)="","",IF(SUMPRODUCT((P_ID=INDEX(L_ID,ROW()-4))*(P_StatusN="INACTIVE"))&gt;0,1,0))</f>
        <v/>
      </c>
    </row>
    <row r="1586">
      <c r="A1586">
        <f>IF(INDEX(L_ID,ROW()-4)="","",IF(COUNTIF(P_ID,INDEX(L_ID,ROW()-4))&gt;0,1,0))</f>
        <v/>
      </c>
      <c r="B1586">
        <f>IF(INDEX(P_Type,ROW()-4)="","",TRIM(UPPER(INDEX(P_Type,ROW()-4))))</f>
        <v/>
      </c>
      <c r="D1586">
        <f>IF(INDEX(L_Type,ROW()-4)="","",TRIM(UPPER(INDEX(L_Type,ROW()-4))))</f>
        <v/>
      </c>
      <c r="E1586">
        <f>IF(INDEX(P_Status,ROW()-4)="","",TRIM(UPPER(INDEX(P_Status,ROW()-4))))</f>
        <v/>
      </c>
      <c r="G1586">
        <f>IF(INDEX(L_Status,ROW()-4)="","",TRIM(UPPER(INDEX(L_Status,ROW()-4))))</f>
        <v/>
      </c>
      <c r="J1586">
        <f>IF(INDEX(L_ID,ROW()-4)="","",IF(SUMPRODUCT((P_ID=INDEX(L_ID,ROW()-4))*(P_StatusN="INACTIVE"))&gt;0,1,0))</f>
        <v/>
      </c>
    </row>
    <row r="1587">
      <c r="A1587">
        <f>IF(INDEX(L_ID,ROW()-4)="","",IF(COUNTIF(P_ID,INDEX(L_ID,ROW()-4))&gt;0,1,0))</f>
        <v/>
      </c>
      <c r="B1587">
        <f>IF(INDEX(P_Type,ROW()-4)="","",TRIM(UPPER(INDEX(P_Type,ROW()-4))))</f>
        <v/>
      </c>
      <c r="D1587">
        <f>IF(INDEX(L_Type,ROW()-4)="","",TRIM(UPPER(INDEX(L_Type,ROW()-4))))</f>
        <v/>
      </c>
      <c r="E1587">
        <f>IF(INDEX(P_Status,ROW()-4)="","",TRIM(UPPER(INDEX(P_Status,ROW()-4))))</f>
        <v/>
      </c>
      <c r="G1587">
        <f>IF(INDEX(L_Status,ROW()-4)="","",TRIM(UPPER(INDEX(L_Status,ROW()-4))))</f>
        <v/>
      </c>
      <c r="J1587">
        <f>IF(INDEX(L_ID,ROW()-4)="","",IF(SUMPRODUCT((P_ID=INDEX(L_ID,ROW()-4))*(P_StatusN="INACTIVE"))&gt;0,1,0))</f>
        <v/>
      </c>
    </row>
    <row r="1588">
      <c r="A1588">
        <f>IF(INDEX(L_ID,ROW()-4)="","",IF(COUNTIF(P_ID,INDEX(L_ID,ROW()-4))&gt;0,1,0))</f>
        <v/>
      </c>
      <c r="B1588">
        <f>IF(INDEX(P_Type,ROW()-4)="","",TRIM(UPPER(INDEX(P_Type,ROW()-4))))</f>
        <v/>
      </c>
      <c r="D1588">
        <f>IF(INDEX(L_Type,ROW()-4)="","",TRIM(UPPER(INDEX(L_Type,ROW()-4))))</f>
        <v/>
      </c>
      <c r="E1588">
        <f>IF(INDEX(P_Status,ROW()-4)="","",TRIM(UPPER(INDEX(P_Status,ROW()-4))))</f>
        <v/>
      </c>
      <c r="G1588">
        <f>IF(INDEX(L_Status,ROW()-4)="","",TRIM(UPPER(INDEX(L_Status,ROW()-4))))</f>
        <v/>
      </c>
      <c r="J1588">
        <f>IF(INDEX(L_ID,ROW()-4)="","",IF(SUMPRODUCT((P_ID=INDEX(L_ID,ROW()-4))*(P_StatusN="INACTIVE"))&gt;0,1,0))</f>
        <v/>
      </c>
    </row>
    <row r="1589">
      <c r="A1589">
        <f>IF(INDEX(L_ID,ROW()-4)="","",IF(COUNTIF(P_ID,INDEX(L_ID,ROW()-4))&gt;0,1,0))</f>
        <v/>
      </c>
      <c r="B1589">
        <f>IF(INDEX(P_Type,ROW()-4)="","",TRIM(UPPER(INDEX(P_Type,ROW()-4))))</f>
        <v/>
      </c>
      <c r="D1589">
        <f>IF(INDEX(L_Type,ROW()-4)="","",TRIM(UPPER(INDEX(L_Type,ROW()-4))))</f>
        <v/>
      </c>
      <c r="E1589">
        <f>IF(INDEX(P_Status,ROW()-4)="","",TRIM(UPPER(INDEX(P_Status,ROW()-4))))</f>
        <v/>
      </c>
      <c r="G1589">
        <f>IF(INDEX(L_Status,ROW()-4)="","",TRIM(UPPER(INDEX(L_Status,ROW()-4))))</f>
        <v/>
      </c>
      <c r="J1589">
        <f>IF(INDEX(L_ID,ROW()-4)="","",IF(SUMPRODUCT((P_ID=INDEX(L_ID,ROW()-4))*(P_StatusN="INACTIVE"))&gt;0,1,0))</f>
        <v/>
      </c>
    </row>
    <row r="1590">
      <c r="A1590">
        <f>IF(INDEX(L_ID,ROW()-4)="","",IF(COUNTIF(P_ID,INDEX(L_ID,ROW()-4))&gt;0,1,0))</f>
        <v/>
      </c>
      <c r="B1590">
        <f>IF(INDEX(P_Type,ROW()-4)="","",TRIM(UPPER(INDEX(P_Type,ROW()-4))))</f>
        <v/>
      </c>
      <c r="D1590">
        <f>IF(INDEX(L_Type,ROW()-4)="","",TRIM(UPPER(INDEX(L_Type,ROW()-4))))</f>
        <v/>
      </c>
      <c r="E1590">
        <f>IF(INDEX(P_Status,ROW()-4)="","",TRIM(UPPER(INDEX(P_Status,ROW()-4))))</f>
        <v/>
      </c>
      <c r="G1590">
        <f>IF(INDEX(L_Status,ROW()-4)="","",TRIM(UPPER(INDEX(L_Status,ROW()-4))))</f>
        <v/>
      </c>
      <c r="J1590">
        <f>IF(INDEX(L_ID,ROW()-4)="","",IF(SUMPRODUCT((P_ID=INDEX(L_ID,ROW()-4))*(P_StatusN="INACTIVE"))&gt;0,1,0))</f>
        <v/>
      </c>
    </row>
    <row r="1591">
      <c r="A1591">
        <f>IF(INDEX(L_ID,ROW()-4)="","",IF(COUNTIF(P_ID,INDEX(L_ID,ROW()-4))&gt;0,1,0))</f>
        <v/>
      </c>
      <c r="B1591">
        <f>IF(INDEX(P_Type,ROW()-4)="","",TRIM(UPPER(INDEX(P_Type,ROW()-4))))</f>
        <v/>
      </c>
      <c r="D1591">
        <f>IF(INDEX(L_Type,ROW()-4)="","",TRIM(UPPER(INDEX(L_Type,ROW()-4))))</f>
        <v/>
      </c>
      <c r="E1591">
        <f>IF(INDEX(P_Status,ROW()-4)="","",TRIM(UPPER(INDEX(P_Status,ROW()-4))))</f>
        <v/>
      </c>
      <c r="G1591">
        <f>IF(INDEX(L_Status,ROW()-4)="","",TRIM(UPPER(INDEX(L_Status,ROW()-4))))</f>
        <v/>
      </c>
      <c r="J1591">
        <f>IF(INDEX(L_ID,ROW()-4)="","",IF(SUMPRODUCT((P_ID=INDEX(L_ID,ROW()-4))*(P_StatusN="INACTIVE"))&gt;0,1,0))</f>
        <v/>
      </c>
    </row>
    <row r="1592">
      <c r="A1592">
        <f>IF(INDEX(L_ID,ROW()-4)="","",IF(COUNTIF(P_ID,INDEX(L_ID,ROW()-4))&gt;0,1,0))</f>
        <v/>
      </c>
      <c r="B1592">
        <f>IF(INDEX(P_Type,ROW()-4)="","",TRIM(UPPER(INDEX(P_Type,ROW()-4))))</f>
        <v/>
      </c>
      <c r="D1592">
        <f>IF(INDEX(L_Type,ROW()-4)="","",TRIM(UPPER(INDEX(L_Type,ROW()-4))))</f>
        <v/>
      </c>
      <c r="E1592">
        <f>IF(INDEX(P_Status,ROW()-4)="","",TRIM(UPPER(INDEX(P_Status,ROW()-4))))</f>
        <v/>
      </c>
      <c r="G1592">
        <f>IF(INDEX(L_Status,ROW()-4)="","",TRIM(UPPER(INDEX(L_Status,ROW()-4))))</f>
        <v/>
      </c>
      <c r="J1592">
        <f>IF(INDEX(L_ID,ROW()-4)="","",IF(SUMPRODUCT((P_ID=INDEX(L_ID,ROW()-4))*(P_StatusN="INACTIVE"))&gt;0,1,0))</f>
        <v/>
      </c>
    </row>
    <row r="1593">
      <c r="A1593">
        <f>IF(INDEX(L_ID,ROW()-4)="","",IF(COUNTIF(P_ID,INDEX(L_ID,ROW()-4))&gt;0,1,0))</f>
        <v/>
      </c>
      <c r="B1593">
        <f>IF(INDEX(P_Type,ROW()-4)="","",TRIM(UPPER(INDEX(P_Type,ROW()-4))))</f>
        <v/>
      </c>
      <c r="D1593">
        <f>IF(INDEX(L_Type,ROW()-4)="","",TRIM(UPPER(INDEX(L_Type,ROW()-4))))</f>
        <v/>
      </c>
      <c r="E1593">
        <f>IF(INDEX(P_Status,ROW()-4)="","",TRIM(UPPER(INDEX(P_Status,ROW()-4))))</f>
        <v/>
      </c>
      <c r="G1593">
        <f>IF(INDEX(L_Status,ROW()-4)="","",TRIM(UPPER(INDEX(L_Status,ROW()-4))))</f>
        <v/>
      </c>
      <c r="J1593">
        <f>IF(INDEX(L_ID,ROW()-4)="","",IF(SUMPRODUCT((P_ID=INDEX(L_ID,ROW()-4))*(P_StatusN="INACTIVE"))&gt;0,1,0))</f>
        <v/>
      </c>
    </row>
    <row r="1594">
      <c r="A1594">
        <f>IF(INDEX(L_ID,ROW()-4)="","",IF(COUNTIF(P_ID,INDEX(L_ID,ROW()-4))&gt;0,1,0))</f>
        <v/>
      </c>
      <c r="B1594">
        <f>IF(INDEX(P_Type,ROW()-4)="","",TRIM(UPPER(INDEX(P_Type,ROW()-4))))</f>
        <v/>
      </c>
      <c r="D1594">
        <f>IF(INDEX(L_Type,ROW()-4)="","",TRIM(UPPER(INDEX(L_Type,ROW()-4))))</f>
        <v/>
      </c>
      <c r="E1594">
        <f>IF(INDEX(P_Status,ROW()-4)="","",TRIM(UPPER(INDEX(P_Status,ROW()-4))))</f>
        <v/>
      </c>
      <c r="G1594">
        <f>IF(INDEX(L_Status,ROW()-4)="","",TRIM(UPPER(INDEX(L_Status,ROW()-4))))</f>
        <v/>
      </c>
      <c r="J1594">
        <f>IF(INDEX(L_ID,ROW()-4)="","",IF(SUMPRODUCT((P_ID=INDEX(L_ID,ROW()-4))*(P_StatusN="INACTIVE"))&gt;0,1,0))</f>
        <v/>
      </c>
    </row>
    <row r="1595">
      <c r="A1595">
        <f>IF(INDEX(L_ID,ROW()-4)="","",IF(COUNTIF(P_ID,INDEX(L_ID,ROW()-4))&gt;0,1,0))</f>
        <v/>
      </c>
      <c r="B1595">
        <f>IF(INDEX(P_Type,ROW()-4)="","",TRIM(UPPER(INDEX(P_Type,ROW()-4))))</f>
        <v/>
      </c>
      <c r="D1595">
        <f>IF(INDEX(L_Type,ROW()-4)="","",TRIM(UPPER(INDEX(L_Type,ROW()-4))))</f>
        <v/>
      </c>
      <c r="E1595">
        <f>IF(INDEX(P_Status,ROW()-4)="","",TRIM(UPPER(INDEX(P_Status,ROW()-4))))</f>
        <v/>
      </c>
      <c r="G1595">
        <f>IF(INDEX(L_Status,ROW()-4)="","",TRIM(UPPER(INDEX(L_Status,ROW()-4))))</f>
        <v/>
      </c>
      <c r="J1595">
        <f>IF(INDEX(L_ID,ROW()-4)="","",IF(SUMPRODUCT((P_ID=INDEX(L_ID,ROW()-4))*(P_StatusN="INACTIVE"))&gt;0,1,0))</f>
        <v/>
      </c>
    </row>
    <row r="1596">
      <c r="A1596">
        <f>IF(INDEX(L_ID,ROW()-4)="","",IF(COUNTIF(P_ID,INDEX(L_ID,ROW()-4))&gt;0,1,0))</f>
        <v/>
      </c>
      <c r="B1596">
        <f>IF(INDEX(P_Type,ROW()-4)="","",TRIM(UPPER(INDEX(P_Type,ROW()-4))))</f>
        <v/>
      </c>
      <c r="D1596">
        <f>IF(INDEX(L_Type,ROW()-4)="","",TRIM(UPPER(INDEX(L_Type,ROW()-4))))</f>
        <v/>
      </c>
      <c r="E1596">
        <f>IF(INDEX(P_Status,ROW()-4)="","",TRIM(UPPER(INDEX(P_Status,ROW()-4))))</f>
        <v/>
      </c>
      <c r="G1596">
        <f>IF(INDEX(L_Status,ROW()-4)="","",TRIM(UPPER(INDEX(L_Status,ROW()-4))))</f>
        <v/>
      </c>
      <c r="J1596">
        <f>IF(INDEX(L_ID,ROW()-4)="","",IF(SUMPRODUCT((P_ID=INDEX(L_ID,ROW()-4))*(P_StatusN="INACTIVE"))&gt;0,1,0))</f>
        <v/>
      </c>
    </row>
    <row r="1597">
      <c r="A1597">
        <f>IF(INDEX(L_ID,ROW()-4)="","",IF(COUNTIF(P_ID,INDEX(L_ID,ROW()-4))&gt;0,1,0))</f>
        <v/>
      </c>
      <c r="B1597">
        <f>IF(INDEX(P_Type,ROW()-4)="","",TRIM(UPPER(INDEX(P_Type,ROW()-4))))</f>
        <v/>
      </c>
      <c r="D1597">
        <f>IF(INDEX(L_Type,ROW()-4)="","",TRIM(UPPER(INDEX(L_Type,ROW()-4))))</f>
        <v/>
      </c>
      <c r="E1597">
        <f>IF(INDEX(P_Status,ROW()-4)="","",TRIM(UPPER(INDEX(P_Status,ROW()-4))))</f>
        <v/>
      </c>
      <c r="G1597">
        <f>IF(INDEX(L_Status,ROW()-4)="","",TRIM(UPPER(INDEX(L_Status,ROW()-4))))</f>
        <v/>
      </c>
      <c r="J1597">
        <f>IF(INDEX(L_ID,ROW()-4)="","",IF(SUMPRODUCT((P_ID=INDEX(L_ID,ROW()-4))*(P_StatusN="INACTIVE"))&gt;0,1,0))</f>
        <v/>
      </c>
    </row>
    <row r="1598">
      <c r="A1598">
        <f>IF(INDEX(L_ID,ROW()-4)="","",IF(COUNTIF(P_ID,INDEX(L_ID,ROW()-4))&gt;0,1,0))</f>
        <v/>
      </c>
      <c r="B1598">
        <f>IF(INDEX(P_Type,ROW()-4)="","",TRIM(UPPER(INDEX(P_Type,ROW()-4))))</f>
        <v/>
      </c>
      <c r="D1598">
        <f>IF(INDEX(L_Type,ROW()-4)="","",TRIM(UPPER(INDEX(L_Type,ROW()-4))))</f>
        <v/>
      </c>
      <c r="E1598">
        <f>IF(INDEX(P_Status,ROW()-4)="","",TRIM(UPPER(INDEX(P_Status,ROW()-4))))</f>
        <v/>
      </c>
      <c r="G1598">
        <f>IF(INDEX(L_Status,ROW()-4)="","",TRIM(UPPER(INDEX(L_Status,ROW()-4))))</f>
        <v/>
      </c>
      <c r="J1598">
        <f>IF(INDEX(L_ID,ROW()-4)="","",IF(SUMPRODUCT((P_ID=INDEX(L_ID,ROW()-4))*(P_StatusN="INACTIVE"))&gt;0,1,0))</f>
        <v/>
      </c>
    </row>
    <row r="1599">
      <c r="A1599">
        <f>IF(INDEX(L_ID,ROW()-4)="","",IF(COUNTIF(P_ID,INDEX(L_ID,ROW()-4))&gt;0,1,0))</f>
        <v/>
      </c>
      <c r="B1599">
        <f>IF(INDEX(P_Type,ROW()-4)="","",TRIM(UPPER(INDEX(P_Type,ROW()-4))))</f>
        <v/>
      </c>
      <c r="D1599">
        <f>IF(INDEX(L_Type,ROW()-4)="","",TRIM(UPPER(INDEX(L_Type,ROW()-4))))</f>
        <v/>
      </c>
      <c r="E1599">
        <f>IF(INDEX(P_Status,ROW()-4)="","",TRIM(UPPER(INDEX(P_Status,ROW()-4))))</f>
        <v/>
      </c>
      <c r="G1599">
        <f>IF(INDEX(L_Status,ROW()-4)="","",TRIM(UPPER(INDEX(L_Status,ROW()-4))))</f>
        <v/>
      </c>
      <c r="J1599">
        <f>IF(INDEX(L_ID,ROW()-4)="","",IF(SUMPRODUCT((P_ID=INDEX(L_ID,ROW()-4))*(P_StatusN="INACTIVE"))&gt;0,1,0))</f>
        <v/>
      </c>
    </row>
    <row r="1600">
      <c r="A1600">
        <f>IF(INDEX(L_ID,ROW()-4)="","",IF(COUNTIF(P_ID,INDEX(L_ID,ROW()-4))&gt;0,1,0))</f>
        <v/>
      </c>
      <c r="B1600">
        <f>IF(INDEX(P_Type,ROW()-4)="","",TRIM(UPPER(INDEX(P_Type,ROW()-4))))</f>
        <v/>
      </c>
      <c r="D1600">
        <f>IF(INDEX(L_Type,ROW()-4)="","",TRIM(UPPER(INDEX(L_Type,ROW()-4))))</f>
        <v/>
      </c>
      <c r="E1600">
        <f>IF(INDEX(P_Status,ROW()-4)="","",TRIM(UPPER(INDEX(P_Status,ROW()-4))))</f>
        <v/>
      </c>
      <c r="G1600">
        <f>IF(INDEX(L_Status,ROW()-4)="","",TRIM(UPPER(INDEX(L_Status,ROW()-4))))</f>
        <v/>
      </c>
      <c r="J1600">
        <f>IF(INDEX(L_ID,ROW()-4)="","",IF(SUMPRODUCT((P_ID=INDEX(L_ID,ROW()-4))*(P_StatusN="INACTIVE"))&gt;0,1,0))</f>
        <v/>
      </c>
    </row>
    <row r="1601">
      <c r="A1601">
        <f>IF(INDEX(L_ID,ROW()-4)="","",IF(COUNTIF(P_ID,INDEX(L_ID,ROW()-4))&gt;0,1,0))</f>
        <v/>
      </c>
      <c r="B1601">
        <f>IF(INDEX(P_Type,ROW()-4)="","",TRIM(UPPER(INDEX(P_Type,ROW()-4))))</f>
        <v/>
      </c>
      <c r="D1601">
        <f>IF(INDEX(L_Type,ROW()-4)="","",TRIM(UPPER(INDEX(L_Type,ROW()-4))))</f>
        <v/>
      </c>
      <c r="E1601">
        <f>IF(INDEX(P_Status,ROW()-4)="","",TRIM(UPPER(INDEX(P_Status,ROW()-4))))</f>
        <v/>
      </c>
      <c r="G1601">
        <f>IF(INDEX(L_Status,ROW()-4)="","",TRIM(UPPER(INDEX(L_Status,ROW()-4))))</f>
        <v/>
      </c>
      <c r="J1601">
        <f>IF(INDEX(L_ID,ROW()-4)="","",IF(SUMPRODUCT((P_ID=INDEX(L_ID,ROW()-4))*(P_StatusN="INACTIVE"))&gt;0,1,0))</f>
        <v/>
      </c>
    </row>
    <row r="1602">
      <c r="A1602">
        <f>IF(INDEX(L_ID,ROW()-4)="","",IF(COUNTIF(P_ID,INDEX(L_ID,ROW()-4))&gt;0,1,0))</f>
        <v/>
      </c>
      <c r="B1602">
        <f>IF(INDEX(P_Type,ROW()-4)="","",TRIM(UPPER(INDEX(P_Type,ROW()-4))))</f>
        <v/>
      </c>
      <c r="D1602">
        <f>IF(INDEX(L_Type,ROW()-4)="","",TRIM(UPPER(INDEX(L_Type,ROW()-4))))</f>
        <v/>
      </c>
      <c r="E1602">
        <f>IF(INDEX(P_Status,ROW()-4)="","",TRIM(UPPER(INDEX(P_Status,ROW()-4))))</f>
        <v/>
      </c>
      <c r="G1602">
        <f>IF(INDEX(L_Status,ROW()-4)="","",TRIM(UPPER(INDEX(L_Status,ROW()-4))))</f>
        <v/>
      </c>
      <c r="J1602">
        <f>IF(INDEX(L_ID,ROW()-4)="","",IF(SUMPRODUCT((P_ID=INDEX(L_ID,ROW()-4))*(P_StatusN="INACTIVE"))&gt;0,1,0))</f>
        <v/>
      </c>
    </row>
    <row r="1603">
      <c r="A1603">
        <f>IF(INDEX(L_ID,ROW()-4)="","",IF(COUNTIF(P_ID,INDEX(L_ID,ROW()-4))&gt;0,1,0))</f>
        <v/>
      </c>
      <c r="B1603">
        <f>IF(INDEX(P_Type,ROW()-4)="","",TRIM(UPPER(INDEX(P_Type,ROW()-4))))</f>
        <v/>
      </c>
      <c r="D1603">
        <f>IF(INDEX(L_Type,ROW()-4)="","",TRIM(UPPER(INDEX(L_Type,ROW()-4))))</f>
        <v/>
      </c>
      <c r="E1603">
        <f>IF(INDEX(P_Status,ROW()-4)="","",TRIM(UPPER(INDEX(P_Status,ROW()-4))))</f>
        <v/>
      </c>
      <c r="G1603">
        <f>IF(INDEX(L_Status,ROW()-4)="","",TRIM(UPPER(INDEX(L_Status,ROW()-4))))</f>
        <v/>
      </c>
      <c r="J1603">
        <f>IF(INDEX(L_ID,ROW()-4)="","",IF(SUMPRODUCT((P_ID=INDEX(L_ID,ROW()-4))*(P_StatusN="INACTIVE"))&gt;0,1,0))</f>
        <v/>
      </c>
    </row>
    <row r="1604">
      <c r="A1604">
        <f>IF(INDEX(L_ID,ROW()-4)="","",IF(COUNTIF(P_ID,INDEX(L_ID,ROW()-4))&gt;0,1,0))</f>
        <v/>
      </c>
      <c r="B1604">
        <f>IF(INDEX(P_Type,ROW()-4)="","",TRIM(UPPER(INDEX(P_Type,ROW()-4))))</f>
        <v/>
      </c>
      <c r="D1604">
        <f>IF(INDEX(L_Type,ROW()-4)="","",TRIM(UPPER(INDEX(L_Type,ROW()-4))))</f>
        <v/>
      </c>
      <c r="E1604">
        <f>IF(INDEX(P_Status,ROW()-4)="","",TRIM(UPPER(INDEX(P_Status,ROW()-4))))</f>
        <v/>
      </c>
      <c r="G1604">
        <f>IF(INDEX(L_Status,ROW()-4)="","",TRIM(UPPER(INDEX(L_Status,ROW()-4))))</f>
        <v/>
      </c>
      <c r="J1604">
        <f>IF(INDEX(L_ID,ROW()-4)="","",IF(SUMPRODUCT((P_ID=INDEX(L_ID,ROW()-4))*(P_StatusN="INACTIVE"))&gt;0,1,0))</f>
        <v/>
      </c>
    </row>
    <row r="1605">
      <c r="A1605">
        <f>IF(INDEX(L_ID,ROW()-4)="","",IF(COUNTIF(P_ID,INDEX(L_ID,ROW()-4))&gt;0,1,0))</f>
        <v/>
      </c>
      <c r="B1605">
        <f>IF(INDEX(P_Type,ROW()-4)="","",TRIM(UPPER(INDEX(P_Type,ROW()-4))))</f>
        <v/>
      </c>
      <c r="D1605">
        <f>IF(INDEX(L_Type,ROW()-4)="","",TRIM(UPPER(INDEX(L_Type,ROW()-4))))</f>
        <v/>
      </c>
      <c r="E1605">
        <f>IF(INDEX(P_Status,ROW()-4)="","",TRIM(UPPER(INDEX(P_Status,ROW()-4))))</f>
        <v/>
      </c>
      <c r="G1605">
        <f>IF(INDEX(L_Status,ROW()-4)="","",TRIM(UPPER(INDEX(L_Status,ROW()-4))))</f>
        <v/>
      </c>
      <c r="J1605">
        <f>IF(INDEX(L_ID,ROW()-4)="","",IF(SUMPRODUCT((P_ID=INDEX(L_ID,ROW()-4))*(P_StatusN="INACTIVE"))&gt;0,1,0))</f>
        <v/>
      </c>
    </row>
    <row r="1606">
      <c r="A1606">
        <f>IF(INDEX(L_ID,ROW()-4)="","",IF(COUNTIF(P_ID,INDEX(L_ID,ROW()-4))&gt;0,1,0))</f>
        <v/>
      </c>
      <c r="B1606">
        <f>IF(INDEX(P_Type,ROW()-4)="","",TRIM(UPPER(INDEX(P_Type,ROW()-4))))</f>
        <v/>
      </c>
      <c r="D1606">
        <f>IF(INDEX(L_Type,ROW()-4)="","",TRIM(UPPER(INDEX(L_Type,ROW()-4))))</f>
        <v/>
      </c>
      <c r="E1606">
        <f>IF(INDEX(P_Status,ROW()-4)="","",TRIM(UPPER(INDEX(P_Status,ROW()-4))))</f>
        <v/>
      </c>
      <c r="G1606">
        <f>IF(INDEX(L_Status,ROW()-4)="","",TRIM(UPPER(INDEX(L_Status,ROW()-4))))</f>
        <v/>
      </c>
      <c r="J1606">
        <f>IF(INDEX(L_ID,ROW()-4)="","",IF(SUMPRODUCT((P_ID=INDEX(L_ID,ROW()-4))*(P_StatusN="INACTIVE"))&gt;0,1,0))</f>
        <v/>
      </c>
    </row>
    <row r="1607">
      <c r="A1607">
        <f>IF(INDEX(L_ID,ROW()-4)="","",IF(COUNTIF(P_ID,INDEX(L_ID,ROW()-4))&gt;0,1,0))</f>
        <v/>
      </c>
      <c r="B1607">
        <f>IF(INDEX(P_Type,ROW()-4)="","",TRIM(UPPER(INDEX(P_Type,ROW()-4))))</f>
        <v/>
      </c>
      <c r="D1607">
        <f>IF(INDEX(L_Type,ROW()-4)="","",TRIM(UPPER(INDEX(L_Type,ROW()-4))))</f>
        <v/>
      </c>
      <c r="E1607">
        <f>IF(INDEX(P_Status,ROW()-4)="","",TRIM(UPPER(INDEX(P_Status,ROW()-4))))</f>
        <v/>
      </c>
      <c r="G1607">
        <f>IF(INDEX(L_Status,ROW()-4)="","",TRIM(UPPER(INDEX(L_Status,ROW()-4))))</f>
        <v/>
      </c>
      <c r="J1607">
        <f>IF(INDEX(L_ID,ROW()-4)="","",IF(SUMPRODUCT((P_ID=INDEX(L_ID,ROW()-4))*(P_StatusN="INACTIVE"))&gt;0,1,0))</f>
        <v/>
      </c>
    </row>
    <row r="1608">
      <c r="A1608">
        <f>IF(INDEX(L_ID,ROW()-4)="","",IF(COUNTIF(P_ID,INDEX(L_ID,ROW()-4))&gt;0,1,0))</f>
        <v/>
      </c>
      <c r="B1608">
        <f>IF(INDEX(P_Type,ROW()-4)="","",TRIM(UPPER(INDEX(P_Type,ROW()-4))))</f>
        <v/>
      </c>
      <c r="D1608">
        <f>IF(INDEX(L_Type,ROW()-4)="","",TRIM(UPPER(INDEX(L_Type,ROW()-4))))</f>
        <v/>
      </c>
      <c r="E1608">
        <f>IF(INDEX(P_Status,ROW()-4)="","",TRIM(UPPER(INDEX(P_Status,ROW()-4))))</f>
        <v/>
      </c>
      <c r="G1608">
        <f>IF(INDEX(L_Status,ROW()-4)="","",TRIM(UPPER(INDEX(L_Status,ROW()-4))))</f>
        <v/>
      </c>
      <c r="J1608">
        <f>IF(INDEX(L_ID,ROW()-4)="","",IF(SUMPRODUCT((P_ID=INDEX(L_ID,ROW()-4))*(P_StatusN="INACTIVE"))&gt;0,1,0))</f>
        <v/>
      </c>
    </row>
    <row r="1609">
      <c r="A1609">
        <f>IF(INDEX(L_ID,ROW()-4)="","",IF(COUNTIF(P_ID,INDEX(L_ID,ROW()-4))&gt;0,1,0))</f>
        <v/>
      </c>
      <c r="B1609">
        <f>IF(INDEX(P_Type,ROW()-4)="","",TRIM(UPPER(INDEX(P_Type,ROW()-4))))</f>
        <v/>
      </c>
      <c r="D1609">
        <f>IF(INDEX(L_Type,ROW()-4)="","",TRIM(UPPER(INDEX(L_Type,ROW()-4))))</f>
        <v/>
      </c>
      <c r="E1609">
        <f>IF(INDEX(P_Status,ROW()-4)="","",TRIM(UPPER(INDEX(P_Status,ROW()-4))))</f>
        <v/>
      </c>
      <c r="G1609">
        <f>IF(INDEX(L_Status,ROW()-4)="","",TRIM(UPPER(INDEX(L_Status,ROW()-4))))</f>
        <v/>
      </c>
      <c r="J1609">
        <f>IF(INDEX(L_ID,ROW()-4)="","",IF(SUMPRODUCT((P_ID=INDEX(L_ID,ROW()-4))*(P_StatusN="INACTIVE"))&gt;0,1,0))</f>
        <v/>
      </c>
    </row>
    <row r="1610">
      <c r="A1610">
        <f>IF(INDEX(L_ID,ROW()-4)="","",IF(COUNTIF(P_ID,INDEX(L_ID,ROW()-4))&gt;0,1,0))</f>
        <v/>
      </c>
      <c r="B1610">
        <f>IF(INDEX(P_Type,ROW()-4)="","",TRIM(UPPER(INDEX(P_Type,ROW()-4))))</f>
        <v/>
      </c>
      <c r="D1610">
        <f>IF(INDEX(L_Type,ROW()-4)="","",TRIM(UPPER(INDEX(L_Type,ROW()-4))))</f>
        <v/>
      </c>
      <c r="E1610">
        <f>IF(INDEX(P_Status,ROW()-4)="","",TRIM(UPPER(INDEX(P_Status,ROW()-4))))</f>
        <v/>
      </c>
      <c r="G1610">
        <f>IF(INDEX(L_Status,ROW()-4)="","",TRIM(UPPER(INDEX(L_Status,ROW()-4))))</f>
        <v/>
      </c>
      <c r="J1610">
        <f>IF(INDEX(L_ID,ROW()-4)="","",IF(SUMPRODUCT((P_ID=INDEX(L_ID,ROW()-4))*(P_StatusN="INACTIVE"))&gt;0,1,0))</f>
        <v/>
      </c>
    </row>
    <row r="1611">
      <c r="A1611">
        <f>IF(INDEX(L_ID,ROW()-4)="","",IF(COUNTIF(P_ID,INDEX(L_ID,ROW()-4))&gt;0,1,0))</f>
        <v/>
      </c>
      <c r="B1611">
        <f>IF(INDEX(P_Type,ROW()-4)="","",TRIM(UPPER(INDEX(P_Type,ROW()-4))))</f>
        <v/>
      </c>
      <c r="D1611">
        <f>IF(INDEX(L_Type,ROW()-4)="","",TRIM(UPPER(INDEX(L_Type,ROW()-4))))</f>
        <v/>
      </c>
      <c r="E1611">
        <f>IF(INDEX(P_Status,ROW()-4)="","",TRIM(UPPER(INDEX(P_Status,ROW()-4))))</f>
        <v/>
      </c>
      <c r="G1611">
        <f>IF(INDEX(L_Status,ROW()-4)="","",TRIM(UPPER(INDEX(L_Status,ROW()-4))))</f>
        <v/>
      </c>
      <c r="J1611">
        <f>IF(INDEX(L_ID,ROW()-4)="","",IF(SUMPRODUCT((P_ID=INDEX(L_ID,ROW()-4))*(P_StatusN="INACTIVE"))&gt;0,1,0))</f>
        <v/>
      </c>
    </row>
    <row r="1612">
      <c r="A1612">
        <f>IF(INDEX(L_ID,ROW()-4)="","",IF(COUNTIF(P_ID,INDEX(L_ID,ROW()-4))&gt;0,1,0))</f>
        <v/>
      </c>
      <c r="B1612">
        <f>IF(INDEX(P_Type,ROW()-4)="","",TRIM(UPPER(INDEX(P_Type,ROW()-4))))</f>
        <v/>
      </c>
      <c r="D1612">
        <f>IF(INDEX(L_Type,ROW()-4)="","",TRIM(UPPER(INDEX(L_Type,ROW()-4))))</f>
        <v/>
      </c>
      <c r="E1612">
        <f>IF(INDEX(P_Status,ROW()-4)="","",TRIM(UPPER(INDEX(P_Status,ROW()-4))))</f>
        <v/>
      </c>
      <c r="G1612">
        <f>IF(INDEX(L_Status,ROW()-4)="","",TRIM(UPPER(INDEX(L_Status,ROW()-4))))</f>
        <v/>
      </c>
      <c r="J1612">
        <f>IF(INDEX(L_ID,ROW()-4)="","",IF(SUMPRODUCT((P_ID=INDEX(L_ID,ROW()-4))*(P_StatusN="INACTIVE"))&gt;0,1,0))</f>
        <v/>
      </c>
    </row>
    <row r="1613">
      <c r="A1613">
        <f>IF(INDEX(L_ID,ROW()-4)="","",IF(COUNTIF(P_ID,INDEX(L_ID,ROW()-4))&gt;0,1,0))</f>
        <v/>
      </c>
      <c r="B1613">
        <f>IF(INDEX(P_Type,ROW()-4)="","",TRIM(UPPER(INDEX(P_Type,ROW()-4))))</f>
        <v/>
      </c>
      <c r="D1613">
        <f>IF(INDEX(L_Type,ROW()-4)="","",TRIM(UPPER(INDEX(L_Type,ROW()-4))))</f>
        <v/>
      </c>
      <c r="E1613">
        <f>IF(INDEX(P_Status,ROW()-4)="","",TRIM(UPPER(INDEX(P_Status,ROW()-4))))</f>
        <v/>
      </c>
      <c r="G1613">
        <f>IF(INDEX(L_Status,ROW()-4)="","",TRIM(UPPER(INDEX(L_Status,ROW()-4))))</f>
        <v/>
      </c>
      <c r="J1613">
        <f>IF(INDEX(L_ID,ROW()-4)="","",IF(SUMPRODUCT((P_ID=INDEX(L_ID,ROW()-4))*(P_StatusN="INACTIVE"))&gt;0,1,0))</f>
        <v/>
      </c>
    </row>
    <row r="1614">
      <c r="A1614">
        <f>IF(INDEX(L_ID,ROW()-4)="","",IF(COUNTIF(P_ID,INDEX(L_ID,ROW()-4))&gt;0,1,0))</f>
        <v/>
      </c>
      <c r="B1614">
        <f>IF(INDEX(P_Type,ROW()-4)="","",TRIM(UPPER(INDEX(P_Type,ROW()-4))))</f>
        <v/>
      </c>
      <c r="D1614">
        <f>IF(INDEX(L_Type,ROW()-4)="","",TRIM(UPPER(INDEX(L_Type,ROW()-4))))</f>
        <v/>
      </c>
      <c r="E1614">
        <f>IF(INDEX(P_Status,ROW()-4)="","",TRIM(UPPER(INDEX(P_Status,ROW()-4))))</f>
        <v/>
      </c>
      <c r="G1614">
        <f>IF(INDEX(L_Status,ROW()-4)="","",TRIM(UPPER(INDEX(L_Status,ROW()-4))))</f>
        <v/>
      </c>
      <c r="J1614">
        <f>IF(INDEX(L_ID,ROW()-4)="","",IF(SUMPRODUCT((P_ID=INDEX(L_ID,ROW()-4))*(P_StatusN="INACTIVE"))&gt;0,1,0))</f>
        <v/>
      </c>
    </row>
    <row r="1615">
      <c r="A1615">
        <f>IF(INDEX(L_ID,ROW()-4)="","",IF(COUNTIF(P_ID,INDEX(L_ID,ROW()-4))&gt;0,1,0))</f>
        <v/>
      </c>
      <c r="B1615">
        <f>IF(INDEX(P_Type,ROW()-4)="","",TRIM(UPPER(INDEX(P_Type,ROW()-4))))</f>
        <v/>
      </c>
      <c r="D1615">
        <f>IF(INDEX(L_Type,ROW()-4)="","",TRIM(UPPER(INDEX(L_Type,ROW()-4))))</f>
        <v/>
      </c>
      <c r="E1615">
        <f>IF(INDEX(P_Status,ROW()-4)="","",TRIM(UPPER(INDEX(P_Status,ROW()-4))))</f>
        <v/>
      </c>
      <c r="G1615">
        <f>IF(INDEX(L_Status,ROW()-4)="","",TRIM(UPPER(INDEX(L_Status,ROW()-4))))</f>
        <v/>
      </c>
      <c r="J1615">
        <f>IF(INDEX(L_ID,ROW()-4)="","",IF(SUMPRODUCT((P_ID=INDEX(L_ID,ROW()-4))*(P_StatusN="INACTIVE"))&gt;0,1,0))</f>
        <v/>
      </c>
    </row>
    <row r="1616">
      <c r="A1616">
        <f>IF(INDEX(L_ID,ROW()-4)="","",IF(COUNTIF(P_ID,INDEX(L_ID,ROW()-4))&gt;0,1,0))</f>
        <v/>
      </c>
      <c r="B1616">
        <f>IF(INDEX(P_Type,ROW()-4)="","",TRIM(UPPER(INDEX(P_Type,ROW()-4))))</f>
        <v/>
      </c>
      <c r="D1616">
        <f>IF(INDEX(L_Type,ROW()-4)="","",TRIM(UPPER(INDEX(L_Type,ROW()-4))))</f>
        <v/>
      </c>
      <c r="E1616">
        <f>IF(INDEX(P_Status,ROW()-4)="","",TRIM(UPPER(INDEX(P_Status,ROW()-4))))</f>
        <v/>
      </c>
      <c r="G1616">
        <f>IF(INDEX(L_Status,ROW()-4)="","",TRIM(UPPER(INDEX(L_Status,ROW()-4))))</f>
        <v/>
      </c>
      <c r="J1616">
        <f>IF(INDEX(L_ID,ROW()-4)="","",IF(SUMPRODUCT((P_ID=INDEX(L_ID,ROW()-4))*(P_StatusN="INACTIVE"))&gt;0,1,0))</f>
        <v/>
      </c>
    </row>
    <row r="1617">
      <c r="A1617">
        <f>IF(INDEX(L_ID,ROW()-4)="","",IF(COUNTIF(P_ID,INDEX(L_ID,ROW()-4))&gt;0,1,0))</f>
        <v/>
      </c>
      <c r="B1617">
        <f>IF(INDEX(P_Type,ROW()-4)="","",TRIM(UPPER(INDEX(P_Type,ROW()-4))))</f>
        <v/>
      </c>
      <c r="D1617">
        <f>IF(INDEX(L_Type,ROW()-4)="","",TRIM(UPPER(INDEX(L_Type,ROW()-4))))</f>
        <v/>
      </c>
      <c r="E1617">
        <f>IF(INDEX(P_Status,ROW()-4)="","",TRIM(UPPER(INDEX(P_Status,ROW()-4))))</f>
        <v/>
      </c>
      <c r="G1617">
        <f>IF(INDEX(L_Status,ROW()-4)="","",TRIM(UPPER(INDEX(L_Status,ROW()-4))))</f>
        <v/>
      </c>
      <c r="J1617">
        <f>IF(INDEX(L_ID,ROW()-4)="","",IF(SUMPRODUCT((P_ID=INDEX(L_ID,ROW()-4))*(P_StatusN="INACTIVE"))&gt;0,1,0))</f>
        <v/>
      </c>
    </row>
    <row r="1618">
      <c r="A1618">
        <f>IF(INDEX(L_ID,ROW()-4)="","",IF(COUNTIF(P_ID,INDEX(L_ID,ROW()-4))&gt;0,1,0))</f>
        <v/>
      </c>
      <c r="B1618">
        <f>IF(INDEX(P_Type,ROW()-4)="","",TRIM(UPPER(INDEX(P_Type,ROW()-4))))</f>
        <v/>
      </c>
      <c r="D1618">
        <f>IF(INDEX(L_Type,ROW()-4)="","",TRIM(UPPER(INDEX(L_Type,ROW()-4))))</f>
        <v/>
      </c>
      <c r="E1618">
        <f>IF(INDEX(P_Status,ROW()-4)="","",TRIM(UPPER(INDEX(P_Status,ROW()-4))))</f>
        <v/>
      </c>
      <c r="G1618">
        <f>IF(INDEX(L_Status,ROW()-4)="","",TRIM(UPPER(INDEX(L_Status,ROW()-4))))</f>
        <v/>
      </c>
      <c r="J1618">
        <f>IF(INDEX(L_ID,ROW()-4)="","",IF(SUMPRODUCT((P_ID=INDEX(L_ID,ROW()-4))*(P_StatusN="INACTIVE"))&gt;0,1,0))</f>
        <v/>
      </c>
    </row>
    <row r="1619">
      <c r="A1619">
        <f>IF(INDEX(L_ID,ROW()-4)="","",IF(COUNTIF(P_ID,INDEX(L_ID,ROW()-4))&gt;0,1,0))</f>
        <v/>
      </c>
      <c r="B1619">
        <f>IF(INDEX(P_Type,ROW()-4)="","",TRIM(UPPER(INDEX(P_Type,ROW()-4))))</f>
        <v/>
      </c>
      <c r="D1619">
        <f>IF(INDEX(L_Type,ROW()-4)="","",TRIM(UPPER(INDEX(L_Type,ROW()-4))))</f>
        <v/>
      </c>
      <c r="E1619">
        <f>IF(INDEX(P_Status,ROW()-4)="","",TRIM(UPPER(INDEX(P_Status,ROW()-4))))</f>
        <v/>
      </c>
      <c r="G1619">
        <f>IF(INDEX(L_Status,ROW()-4)="","",TRIM(UPPER(INDEX(L_Status,ROW()-4))))</f>
        <v/>
      </c>
      <c r="J1619">
        <f>IF(INDEX(L_ID,ROW()-4)="","",IF(SUMPRODUCT((P_ID=INDEX(L_ID,ROW()-4))*(P_StatusN="INACTIVE"))&gt;0,1,0))</f>
        <v/>
      </c>
    </row>
    <row r="1620">
      <c r="A1620">
        <f>IF(INDEX(L_ID,ROW()-4)="","",IF(COUNTIF(P_ID,INDEX(L_ID,ROW()-4))&gt;0,1,0))</f>
        <v/>
      </c>
      <c r="B1620">
        <f>IF(INDEX(P_Type,ROW()-4)="","",TRIM(UPPER(INDEX(P_Type,ROW()-4))))</f>
        <v/>
      </c>
      <c r="D1620">
        <f>IF(INDEX(L_Type,ROW()-4)="","",TRIM(UPPER(INDEX(L_Type,ROW()-4))))</f>
        <v/>
      </c>
      <c r="E1620">
        <f>IF(INDEX(P_Status,ROW()-4)="","",TRIM(UPPER(INDEX(P_Status,ROW()-4))))</f>
        <v/>
      </c>
      <c r="G1620">
        <f>IF(INDEX(L_Status,ROW()-4)="","",TRIM(UPPER(INDEX(L_Status,ROW()-4))))</f>
        <v/>
      </c>
      <c r="J1620">
        <f>IF(INDEX(L_ID,ROW()-4)="","",IF(SUMPRODUCT((P_ID=INDEX(L_ID,ROW()-4))*(P_StatusN="INACTIVE"))&gt;0,1,0))</f>
        <v/>
      </c>
    </row>
    <row r="1621">
      <c r="A1621">
        <f>IF(INDEX(L_ID,ROW()-4)="","",IF(COUNTIF(P_ID,INDEX(L_ID,ROW()-4))&gt;0,1,0))</f>
        <v/>
      </c>
      <c r="B1621">
        <f>IF(INDEX(P_Type,ROW()-4)="","",TRIM(UPPER(INDEX(P_Type,ROW()-4))))</f>
        <v/>
      </c>
      <c r="D1621">
        <f>IF(INDEX(L_Type,ROW()-4)="","",TRIM(UPPER(INDEX(L_Type,ROW()-4))))</f>
        <v/>
      </c>
      <c r="E1621">
        <f>IF(INDEX(P_Status,ROW()-4)="","",TRIM(UPPER(INDEX(P_Status,ROW()-4))))</f>
        <v/>
      </c>
      <c r="G1621">
        <f>IF(INDEX(L_Status,ROW()-4)="","",TRIM(UPPER(INDEX(L_Status,ROW()-4))))</f>
        <v/>
      </c>
      <c r="J1621">
        <f>IF(INDEX(L_ID,ROW()-4)="","",IF(SUMPRODUCT((P_ID=INDEX(L_ID,ROW()-4))*(P_StatusN="INACTIVE"))&gt;0,1,0))</f>
        <v/>
      </c>
    </row>
    <row r="1622">
      <c r="A1622">
        <f>IF(INDEX(L_ID,ROW()-4)="","",IF(COUNTIF(P_ID,INDEX(L_ID,ROW()-4))&gt;0,1,0))</f>
        <v/>
      </c>
      <c r="B1622">
        <f>IF(INDEX(P_Type,ROW()-4)="","",TRIM(UPPER(INDEX(P_Type,ROW()-4))))</f>
        <v/>
      </c>
      <c r="D1622">
        <f>IF(INDEX(L_Type,ROW()-4)="","",TRIM(UPPER(INDEX(L_Type,ROW()-4))))</f>
        <v/>
      </c>
      <c r="E1622">
        <f>IF(INDEX(P_Status,ROW()-4)="","",TRIM(UPPER(INDEX(P_Status,ROW()-4))))</f>
        <v/>
      </c>
      <c r="G1622">
        <f>IF(INDEX(L_Status,ROW()-4)="","",TRIM(UPPER(INDEX(L_Status,ROW()-4))))</f>
        <v/>
      </c>
      <c r="J1622">
        <f>IF(INDEX(L_ID,ROW()-4)="","",IF(SUMPRODUCT((P_ID=INDEX(L_ID,ROW()-4))*(P_StatusN="INACTIVE"))&gt;0,1,0))</f>
        <v/>
      </c>
    </row>
    <row r="1623">
      <c r="A1623">
        <f>IF(INDEX(L_ID,ROW()-4)="","",IF(COUNTIF(P_ID,INDEX(L_ID,ROW()-4))&gt;0,1,0))</f>
        <v/>
      </c>
      <c r="B1623">
        <f>IF(INDEX(P_Type,ROW()-4)="","",TRIM(UPPER(INDEX(P_Type,ROW()-4))))</f>
        <v/>
      </c>
      <c r="D1623">
        <f>IF(INDEX(L_Type,ROW()-4)="","",TRIM(UPPER(INDEX(L_Type,ROW()-4))))</f>
        <v/>
      </c>
      <c r="E1623">
        <f>IF(INDEX(P_Status,ROW()-4)="","",TRIM(UPPER(INDEX(P_Status,ROW()-4))))</f>
        <v/>
      </c>
      <c r="G1623">
        <f>IF(INDEX(L_Status,ROW()-4)="","",TRIM(UPPER(INDEX(L_Status,ROW()-4))))</f>
        <v/>
      </c>
      <c r="J1623">
        <f>IF(INDEX(L_ID,ROW()-4)="","",IF(SUMPRODUCT((P_ID=INDEX(L_ID,ROW()-4))*(P_StatusN="INACTIVE"))&gt;0,1,0))</f>
        <v/>
      </c>
    </row>
    <row r="1624">
      <c r="A1624">
        <f>IF(INDEX(L_ID,ROW()-4)="","",IF(COUNTIF(P_ID,INDEX(L_ID,ROW()-4))&gt;0,1,0))</f>
        <v/>
      </c>
      <c r="B1624">
        <f>IF(INDEX(P_Type,ROW()-4)="","",TRIM(UPPER(INDEX(P_Type,ROW()-4))))</f>
        <v/>
      </c>
      <c r="D1624">
        <f>IF(INDEX(L_Type,ROW()-4)="","",TRIM(UPPER(INDEX(L_Type,ROW()-4))))</f>
        <v/>
      </c>
      <c r="E1624">
        <f>IF(INDEX(P_Status,ROW()-4)="","",TRIM(UPPER(INDEX(P_Status,ROW()-4))))</f>
        <v/>
      </c>
      <c r="G1624">
        <f>IF(INDEX(L_Status,ROW()-4)="","",TRIM(UPPER(INDEX(L_Status,ROW()-4))))</f>
        <v/>
      </c>
      <c r="J1624">
        <f>IF(INDEX(L_ID,ROW()-4)="","",IF(SUMPRODUCT((P_ID=INDEX(L_ID,ROW()-4))*(P_StatusN="INACTIVE"))&gt;0,1,0))</f>
        <v/>
      </c>
    </row>
    <row r="1625">
      <c r="A1625">
        <f>IF(INDEX(L_ID,ROW()-4)="","",IF(COUNTIF(P_ID,INDEX(L_ID,ROW()-4))&gt;0,1,0))</f>
        <v/>
      </c>
      <c r="B1625">
        <f>IF(INDEX(P_Type,ROW()-4)="","",TRIM(UPPER(INDEX(P_Type,ROW()-4))))</f>
        <v/>
      </c>
      <c r="D1625">
        <f>IF(INDEX(L_Type,ROW()-4)="","",TRIM(UPPER(INDEX(L_Type,ROW()-4))))</f>
        <v/>
      </c>
      <c r="E1625">
        <f>IF(INDEX(P_Status,ROW()-4)="","",TRIM(UPPER(INDEX(P_Status,ROW()-4))))</f>
        <v/>
      </c>
      <c r="G1625">
        <f>IF(INDEX(L_Status,ROW()-4)="","",TRIM(UPPER(INDEX(L_Status,ROW()-4))))</f>
        <v/>
      </c>
      <c r="J1625">
        <f>IF(INDEX(L_ID,ROW()-4)="","",IF(SUMPRODUCT((P_ID=INDEX(L_ID,ROW()-4))*(P_StatusN="INACTIVE"))&gt;0,1,0))</f>
        <v/>
      </c>
    </row>
    <row r="1626">
      <c r="A1626">
        <f>IF(INDEX(L_ID,ROW()-4)="","",IF(COUNTIF(P_ID,INDEX(L_ID,ROW()-4))&gt;0,1,0))</f>
        <v/>
      </c>
      <c r="B1626">
        <f>IF(INDEX(P_Type,ROW()-4)="","",TRIM(UPPER(INDEX(P_Type,ROW()-4))))</f>
        <v/>
      </c>
      <c r="D1626">
        <f>IF(INDEX(L_Type,ROW()-4)="","",TRIM(UPPER(INDEX(L_Type,ROW()-4))))</f>
        <v/>
      </c>
      <c r="E1626">
        <f>IF(INDEX(P_Status,ROW()-4)="","",TRIM(UPPER(INDEX(P_Status,ROW()-4))))</f>
        <v/>
      </c>
      <c r="G1626">
        <f>IF(INDEX(L_Status,ROW()-4)="","",TRIM(UPPER(INDEX(L_Status,ROW()-4))))</f>
        <v/>
      </c>
      <c r="J1626">
        <f>IF(INDEX(L_ID,ROW()-4)="","",IF(SUMPRODUCT((P_ID=INDEX(L_ID,ROW()-4))*(P_StatusN="INACTIVE"))&gt;0,1,0))</f>
        <v/>
      </c>
    </row>
    <row r="1627">
      <c r="A1627">
        <f>IF(INDEX(L_ID,ROW()-4)="","",IF(COUNTIF(P_ID,INDEX(L_ID,ROW()-4))&gt;0,1,0))</f>
        <v/>
      </c>
      <c r="B1627">
        <f>IF(INDEX(P_Type,ROW()-4)="","",TRIM(UPPER(INDEX(P_Type,ROW()-4))))</f>
        <v/>
      </c>
      <c r="D1627">
        <f>IF(INDEX(L_Type,ROW()-4)="","",TRIM(UPPER(INDEX(L_Type,ROW()-4))))</f>
        <v/>
      </c>
      <c r="E1627">
        <f>IF(INDEX(P_Status,ROW()-4)="","",TRIM(UPPER(INDEX(P_Status,ROW()-4))))</f>
        <v/>
      </c>
      <c r="G1627">
        <f>IF(INDEX(L_Status,ROW()-4)="","",TRIM(UPPER(INDEX(L_Status,ROW()-4))))</f>
        <v/>
      </c>
      <c r="J1627">
        <f>IF(INDEX(L_ID,ROW()-4)="","",IF(SUMPRODUCT((P_ID=INDEX(L_ID,ROW()-4))*(P_StatusN="INACTIVE"))&gt;0,1,0))</f>
        <v/>
      </c>
    </row>
    <row r="1628">
      <c r="A1628">
        <f>IF(INDEX(L_ID,ROW()-4)="","",IF(COUNTIF(P_ID,INDEX(L_ID,ROW()-4))&gt;0,1,0))</f>
        <v/>
      </c>
      <c r="B1628">
        <f>IF(INDEX(P_Type,ROW()-4)="","",TRIM(UPPER(INDEX(P_Type,ROW()-4))))</f>
        <v/>
      </c>
      <c r="D1628">
        <f>IF(INDEX(L_Type,ROW()-4)="","",TRIM(UPPER(INDEX(L_Type,ROW()-4))))</f>
        <v/>
      </c>
      <c r="E1628">
        <f>IF(INDEX(P_Status,ROW()-4)="","",TRIM(UPPER(INDEX(P_Status,ROW()-4))))</f>
        <v/>
      </c>
      <c r="G1628">
        <f>IF(INDEX(L_Status,ROW()-4)="","",TRIM(UPPER(INDEX(L_Status,ROW()-4))))</f>
        <v/>
      </c>
      <c r="J1628">
        <f>IF(INDEX(L_ID,ROW()-4)="","",IF(SUMPRODUCT((P_ID=INDEX(L_ID,ROW()-4))*(P_StatusN="INACTIVE"))&gt;0,1,0))</f>
        <v/>
      </c>
    </row>
    <row r="1629">
      <c r="A1629">
        <f>IF(INDEX(L_ID,ROW()-4)="","",IF(COUNTIF(P_ID,INDEX(L_ID,ROW()-4))&gt;0,1,0))</f>
        <v/>
      </c>
      <c r="B1629">
        <f>IF(INDEX(P_Type,ROW()-4)="","",TRIM(UPPER(INDEX(P_Type,ROW()-4))))</f>
        <v/>
      </c>
      <c r="D1629">
        <f>IF(INDEX(L_Type,ROW()-4)="","",TRIM(UPPER(INDEX(L_Type,ROW()-4))))</f>
        <v/>
      </c>
      <c r="E1629">
        <f>IF(INDEX(P_Status,ROW()-4)="","",TRIM(UPPER(INDEX(P_Status,ROW()-4))))</f>
        <v/>
      </c>
      <c r="G1629">
        <f>IF(INDEX(L_Status,ROW()-4)="","",TRIM(UPPER(INDEX(L_Status,ROW()-4))))</f>
        <v/>
      </c>
      <c r="J1629">
        <f>IF(INDEX(L_ID,ROW()-4)="","",IF(SUMPRODUCT((P_ID=INDEX(L_ID,ROW()-4))*(P_StatusN="INACTIVE"))&gt;0,1,0))</f>
        <v/>
      </c>
    </row>
    <row r="1630">
      <c r="A1630">
        <f>IF(INDEX(L_ID,ROW()-4)="","",IF(COUNTIF(P_ID,INDEX(L_ID,ROW()-4))&gt;0,1,0))</f>
        <v/>
      </c>
      <c r="B1630">
        <f>IF(INDEX(P_Type,ROW()-4)="","",TRIM(UPPER(INDEX(P_Type,ROW()-4))))</f>
        <v/>
      </c>
      <c r="D1630">
        <f>IF(INDEX(L_Type,ROW()-4)="","",TRIM(UPPER(INDEX(L_Type,ROW()-4))))</f>
        <v/>
      </c>
      <c r="E1630">
        <f>IF(INDEX(P_Status,ROW()-4)="","",TRIM(UPPER(INDEX(P_Status,ROW()-4))))</f>
        <v/>
      </c>
      <c r="G1630">
        <f>IF(INDEX(L_Status,ROW()-4)="","",TRIM(UPPER(INDEX(L_Status,ROW()-4))))</f>
        <v/>
      </c>
      <c r="J1630">
        <f>IF(INDEX(L_ID,ROW()-4)="","",IF(SUMPRODUCT((P_ID=INDEX(L_ID,ROW()-4))*(P_StatusN="INACTIVE"))&gt;0,1,0))</f>
        <v/>
      </c>
    </row>
    <row r="1631">
      <c r="A1631">
        <f>IF(INDEX(L_ID,ROW()-4)="","",IF(COUNTIF(P_ID,INDEX(L_ID,ROW()-4))&gt;0,1,0))</f>
        <v/>
      </c>
      <c r="B1631">
        <f>IF(INDEX(P_Type,ROW()-4)="","",TRIM(UPPER(INDEX(P_Type,ROW()-4))))</f>
        <v/>
      </c>
      <c r="D1631">
        <f>IF(INDEX(L_Type,ROW()-4)="","",TRIM(UPPER(INDEX(L_Type,ROW()-4))))</f>
        <v/>
      </c>
      <c r="E1631">
        <f>IF(INDEX(P_Status,ROW()-4)="","",TRIM(UPPER(INDEX(P_Status,ROW()-4))))</f>
        <v/>
      </c>
      <c r="G1631">
        <f>IF(INDEX(L_Status,ROW()-4)="","",TRIM(UPPER(INDEX(L_Status,ROW()-4))))</f>
        <v/>
      </c>
      <c r="J1631">
        <f>IF(INDEX(L_ID,ROW()-4)="","",IF(SUMPRODUCT((P_ID=INDEX(L_ID,ROW()-4))*(P_StatusN="INACTIVE"))&gt;0,1,0))</f>
        <v/>
      </c>
    </row>
    <row r="1632">
      <c r="A1632">
        <f>IF(INDEX(L_ID,ROW()-4)="","",IF(COUNTIF(P_ID,INDEX(L_ID,ROW()-4))&gt;0,1,0))</f>
        <v/>
      </c>
      <c r="B1632">
        <f>IF(INDEX(P_Type,ROW()-4)="","",TRIM(UPPER(INDEX(P_Type,ROW()-4))))</f>
        <v/>
      </c>
      <c r="D1632">
        <f>IF(INDEX(L_Type,ROW()-4)="","",TRIM(UPPER(INDEX(L_Type,ROW()-4))))</f>
        <v/>
      </c>
      <c r="E1632">
        <f>IF(INDEX(P_Status,ROW()-4)="","",TRIM(UPPER(INDEX(P_Status,ROW()-4))))</f>
        <v/>
      </c>
      <c r="G1632">
        <f>IF(INDEX(L_Status,ROW()-4)="","",TRIM(UPPER(INDEX(L_Status,ROW()-4))))</f>
        <v/>
      </c>
      <c r="J1632">
        <f>IF(INDEX(L_ID,ROW()-4)="","",IF(SUMPRODUCT((P_ID=INDEX(L_ID,ROW()-4))*(P_StatusN="INACTIVE"))&gt;0,1,0))</f>
        <v/>
      </c>
    </row>
    <row r="1633">
      <c r="A1633">
        <f>IF(INDEX(L_ID,ROW()-4)="","",IF(COUNTIF(P_ID,INDEX(L_ID,ROW()-4))&gt;0,1,0))</f>
        <v/>
      </c>
      <c r="B1633">
        <f>IF(INDEX(P_Type,ROW()-4)="","",TRIM(UPPER(INDEX(P_Type,ROW()-4))))</f>
        <v/>
      </c>
      <c r="D1633">
        <f>IF(INDEX(L_Type,ROW()-4)="","",TRIM(UPPER(INDEX(L_Type,ROW()-4))))</f>
        <v/>
      </c>
      <c r="E1633">
        <f>IF(INDEX(P_Status,ROW()-4)="","",TRIM(UPPER(INDEX(P_Status,ROW()-4))))</f>
        <v/>
      </c>
      <c r="G1633">
        <f>IF(INDEX(L_Status,ROW()-4)="","",TRIM(UPPER(INDEX(L_Status,ROW()-4))))</f>
        <v/>
      </c>
      <c r="J1633">
        <f>IF(INDEX(L_ID,ROW()-4)="","",IF(SUMPRODUCT((P_ID=INDEX(L_ID,ROW()-4))*(P_StatusN="INACTIVE"))&gt;0,1,0))</f>
        <v/>
      </c>
    </row>
    <row r="1634">
      <c r="A1634">
        <f>IF(INDEX(L_ID,ROW()-4)="","",IF(COUNTIF(P_ID,INDEX(L_ID,ROW()-4))&gt;0,1,0))</f>
        <v/>
      </c>
      <c r="B1634">
        <f>IF(INDEX(P_Type,ROW()-4)="","",TRIM(UPPER(INDEX(P_Type,ROW()-4))))</f>
        <v/>
      </c>
      <c r="D1634">
        <f>IF(INDEX(L_Type,ROW()-4)="","",TRIM(UPPER(INDEX(L_Type,ROW()-4))))</f>
        <v/>
      </c>
      <c r="E1634">
        <f>IF(INDEX(P_Status,ROW()-4)="","",TRIM(UPPER(INDEX(P_Status,ROW()-4))))</f>
        <v/>
      </c>
      <c r="G1634">
        <f>IF(INDEX(L_Status,ROW()-4)="","",TRIM(UPPER(INDEX(L_Status,ROW()-4))))</f>
        <v/>
      </c>
      <c r="J1634">
        <f>IF(INDEX(L_ID,ROW()-4)="","",IF(SUMPRODUCT((P_ID=INDEX(L_ID,ROW()-4))*(P_StatusN="INACTIVE"))&gt;0,1,0))</f>
        <v/>
      </c>
    </row>
    <row r="1635">
      <c r="A1635">
        <f>IF(INDEX(L_ID,ROW()-4)="","",IF(COUNTIF(P_ID,INDEX(L_ID,ROW()-4))&gt;0,1,0))</f>
        <v/>
      </c>
      <c r="B1635">
        <f>IF(INDEX(P_Type,ROW()-4)="","",TRIM(UPPER(INDEX(P_Type,ROW()-4))))</f>
        <v/>
      </c>
      <c r="D1635">
        <f>IF(INDEX(L_Type,ROW()-4)="","",TRIM(UPPER(INDEX(L_Type,ROW()-4))))</f>
        <v/>
      </c>
      <c r="E1635">
        <f>IF(INDEX(P_Status,ROW()-4)="","",TRIM(UPPER(INDEX(P_Status,ROW()-4))))</f>
        <v/>
      </c>
      <c r="G1635">
        <f>IF(INDEX(L_Status,ROW()-4)="","",TRIM(UPPER(INDEX(L_Status,ROW()-4))))</f>
        <v/>
      </c>
      <c r="J1635">
        <f>IF(INDEX(L_ID,ROW()-4)="","",IF(SUMPRODUCT((P_ID=INDEX(L_ID,ROW()-4))*(P_StatusN="INACTIVE"))&gt;0,1,0))</f>
        <v/>
      </c>
    </row>
    <row r="1636">
      <c r="A1636">
        <f>IF(INDEX(L_ID,ROW()-4)="","",IF(COUNTIF(P_ID,INDEX(L_ID,ROW()-4))&gt;0,1,0))</f>
        <v/>
      </c>
      <c r="B1636">
        <f>IF(INDEX(P_Type,ROW()-4)="","",TRIM(UPPER(INDEX(P_Type,ROW()-4))))</f>
        <v/>
      </c>
      <c r="D1636">
        <f>IF(INDEX(L_Type,ROW()-4)="","",TRIM(UPPER(INDEX(L_Type,ROW()-4))))</f>
        <v/>
      </c>
      <c r="E1636">
        <f>IF(INDEX(P_Status,ROW()-4)="","",TRIM(UPPER(INDEX(P_Status,ROW()-4))))</f>
        <v/>
      </c>
      <c r="G1636">
        <f>IF(INDEX(L_Status,ROW()-4)="","",TRIM(UPPER(INDEX(L_Status,ROW()-4))))</f>
        <v/>
      </c>
      <c r="J1636">
        <f>IF(INDEX(L_ID,ROW()-4)="","",IF(SUMPRODUCT((P_ID=INDEX(L_ID,ROW()-4))*(P_StatusN="INACTIVE"))&gt;0,1,0))</f>
        <v/>
      </c>
    </row>
    <row r="1637">
      <c r="A1637">
        <f>IF(INDEX(L_ID,ROW()-4)="","",IF(COUNTIF(P_ID,INDEX(L_ID,ROW()-4))&gt;0,1,0))</f>
        <v/>
      </c>
      <c r="B1637">
        <f>IF(INDEX(P_Type,ROW()-4)="","",TRIM(UPPER(INDEX(P_Type,ROW()-4))))</f>
        <v/>
      </c>
      <c r="D1637">
        <f>IF(INDEX(L_Type,ROW()-4)="","",TRIM(UPPER(INDEX(L_Type,ROW()-4))))</f>
        <v/>
      </c>
      <c r="E1637">
        <f>IF(INDEX(P_Status,ROW()-4)="","",TRIM(UPPER(INDEX(P_Status,ROW()-4))))</f>
        <v/>
      </c>
      <c r="G1637">
        <f>IF(INDEX(L_Status,ROW()-4)="","",TRIM(UPPER(INDEX(L_Status,ROW()-4))))</f>
        <v/>
      </c>
      <c r="J1637">
        <f>IF(INDEX(L_ID,ROW()-4)="","",IF(SUMPRODUCT((P_ID=INDEX(L_ID,ROW()-4))*(P_StatusN="INACTIVE"))&gt;0,1,0))</f>
        <v/>
      </c>
    </row>
    <row r="1638">
      <c r="A1638">
        <f>IF(INDEX(L_ID,ROW()-4)="","",IF(COUNTIF(P_ID,INDEX(L_ID,ROW()-4))&gt;0,1,0))</f>
        <v/>
      </c>
      <c r="B1638">
        <f>IF(INDEX(P_Type,ROW()-4)="","",TRIM(UPPER(INDEX(P_Type,ROW()-4))))</f>
        <v/>
      </c>
      <c r="D1638">
        <f>IF(INDEX(L_Type,ROW()-4)="","",TRIM(UPPER(INDEX(L_Type,ROW()-4))))</f>
        <v/>
      </c>
      <c r="E1638">
        <f>IF(INDEX(P_Status,ROW()-4)="","",TRIM(UPPER(INDEX(P_Status,ROW()-4))))</f>
        <v/>
      </c>
      <c r="G1638">
        <f>IF(INDEX(L_Status,ROW()-4)="","",TRIM(UPPER(INDEX(L_Status,ROW()-4))))</f>
        <v/>
      </c>
      <c r="J1638">
        <f>IF(INDEX(L_ID,ROW()-4)="","",IF(SUMPRODUCT((P_ID=INDEX(L_ID,ROW()-4))*(P_StatusN="INACTIVE"))&gt;0,1,0))</f>
        <v/>
      </c>
    </row>
    <row r="1639">
      <c r="A1639">
        <f>IF(INDEX(L_ID,ROW()-4)="","",IF(COUNTIF(P_ID,INDEX(L_ID,ROW()-4))&gt;0,1,0))</f>
        <v/>
      </c>
      <c r="B1639">
        <f>IF(INDEX(P_Type,ROW()-4)="","",TRIM(UPPER(INDEX(P_Type,ROW()-4))))</f>
        <v/>
      </c>
      <c r="D1639">
        <f>IF(INDEX(L_Type,ROW()-4)="","",TRIM(UPPER(INDEX(L_Type,ROW()-4))))</f>
        <v/>
      </c>
      <c r="E1639">
        <f>IF(INDEX(P_Status,ROW()-4)="","",TRIM(UPPER(INDEX(P_Status,ROW()-4))))</f>
        <v/>
      </c>
      <c r="G1639">
        <f>IF(INDEX(L_Status,ROW()-4)="","",TRIM(UPPER(INDEX(L_Status,ROW()-4))))</f>
        <v/>
      </c>
      <c r="J1639">
        <f>IF(INDEX(L_ID,ROW()-4)="","",IF(SUMPRODUCT((P_ID=INDEX(L_ID,ROW()-4))*(P_StatusN="INACTIVE"))&gt;0,1,0))</f>
        <v/>
      </c>
    </row>
    <row r="1640">
      <c r="A1640">
        <f>IF(INDEX(L_ID,ROW()-4)="","",IF(COUNTIF(P_ID,INDEX(L_ID,ROW()-4))&gt;0,1,0))</f>
        <v/>
      </c>
      <c r="B1640">
        <f>IF(INDEX(P_Type,ROW()-4)="","",TRIM(UPPER(INDEX(P_Type,ROW()-4))))</f>
        <v/>
      </c>
      <c r="D1640">
        <f>IF(INDEX(L_Type,ROW()-4)="","",TRIM(UPPER(INDEX(L_Type,ROW()-4))))</f>
        <v/>
      </c>
      <c r="E1640">
        <f>IF(INDEX(P_Status,ROW()-4)="","",TRIM(UPPER(INDEX(P_Status,ROW()-4))))</f>
        <v/>
      </c>
      <c r="G1640">
        <f>IF(INDEX(L_Status,ROW()-4)="","",TRIM(UPPER(INDEX(L_Status,ROW()-4))))</f>
        <v/>
      </c>
      <c r="J1640">
        <f>IF(INDEX(L_ID,ROW()-4)="","",IF(SUMPRODUCT((P_ID=INDEX(L_ID,ROW()-4))*(P_StatusN="INACTIVE"))&gt;0,1,0))</f>
        <v/>
      </c>
    </row>
    <row r="1641">
      <c r="A1641">
        <f>IF(INDEX(L_ID,ROW()-4)="","",IF(COUNTIF(P_ID,INDEX(L_ID,ROW()-4))&gt;0,1,0))</f>
        <v/>
      </c>
      <c r="B1641">
        <f>IF(INDEX(P_Type,ROW()-4)="","",TRIM(UPPER(INDEX(P_Type,ROW()-4))))</f>
        <v/>
      </c>
      <c r="D1641">
        <f>IF(INDEX(L_Type,ROW()-4)="","",TRIM(UPPER(INDEX(L_Type,ROW()-4))))</f>
        <v/>
      </c>
      <c r="E1641">
        <f>IF(INDEX(P_Status,ROW()-4)="","",TRIM(UPPER(INDEX(P_Status,ROW()-4))))</f>
        <v/>
      </c>
      <c r="G1641">
        <f>IF(INDEX(L_Status,ROW()-4)="","",TRIM(UPPER(INDEX(L_Status,ROW()-4))))</f>
        <v/>
      </c>
      <c r="J1641">
        <f>IF(INDEX(L_ID,ROW()-4)="","",IF(SUMPRODUCT((P_ID=INDEX(L_ID,ROW()-4))*(P_StatusN="INACTIVE"))&gt;0,1,0))</f>
        <v/>
      </c>
    </row>
    <row r="1642">
      <c r="A1642">
        <f>IF(INDEX(L_ID,ROW()-4)="","",IF(COUNTIF(P_ID,INDEX(L_ID,ROW()-4))&gt;0,1,0))</f>
        <v/>
      </c>
      <c r="B1642">
        <f>IF(INDEX(P_Type,ROW()-4)="","",TRIM(UPPER(INDEX(P_Type,ROW()-4))))</f>
        <v/>
      </c>
      <c r="D1642">
        <f>IF(INDEX(L_Type,ROW()-4)="","",TRIM(UPPER(INDEX(L_Type,ROW()-4))))</f>
        <v/>
      </c>
      <c r="E1642">
        <f>IF(INDEX(P_Status,ROW()-4)="","",TRIM(UPPER(INDEX(P_Status,ROW()-4))))</f>
        <v/>
      </c>
      <c r="G1642">
        <f>IF(INDEX(L_Status,ROW()-4)="","",TRIM(UPPER(INDEX(L_Status,ROW()-4))))</f>
        <v/>
      </c>
      <c r="J1642">
        <f>IF(INDEX(L_ID,ROW()-4)="","",IF(SUMPRODUCT((P_ID=INDEX(L_ID,ROW()-4))*(P_StatusN="INACTIVE"))&gt;0,1,0))</f>
        <v/>
      </c>
    </row>
    <row r="1643">
      <c r="A1643">
        <f>IF(INDEX(L_ID,ROW()-4)="","",IF(COUNTIF(P_ID,INDEX(L_ID,ROW()-4))&gt;0,1,0))</f>
        <v/>
      </c>
      <c r="B1643">
        <f>IF(INDEX(P_Type,ROW()-4)="","",TRIM(UPPER(INDEX(P_Type,ROW()-4))))</f>
        <v/>
      </c>
      <c r="D1643">
        <f>IF(INDEX(L_Type,ROW()-4)="","",TRIM(UPPER(INDEX(L_Type,ROW()-4))))</f>
        <v/>
      </c>
      <c r="E1643">
        <f>IF(INDEX(P_Status,ROW()-4)="","",TRIM(UPPER(INDEX(P_Status,ROW()-4))))</f>
        <v/>
      </c>
      <c r="G1643">
        <f>IF(INDEX(L_Status,ROW()-4)="","",TRIM(UPPER(INDEX(L_Status,ROW()-4))))</f>
        <v/>
      </c>
      <c r="J1643">
        <f>IF(INDEX(L_ID,ROW()-4)="","",IF(SUMPRODUCT((P_ID=INDEX(L_ID,ROW()-4))*(P_StatusN="INACTIVE"))&gt;0,1,0))</f>
        <v/>
      </c>
    </row>
    <row r="1644">
      <c r="A1644">
        <f>IF(INDEX(L_ID,ROW()-4)="","",IF(COUNTIF(P_ID,INDEX(L_ID,ROW()-4))&gt;0,1,0))</f>
        <v/>
      </c>
      <c r="B1644">
        <f>IF(INDEX(P_Type,ROW()-4)="","",TRIM(UPPER(INDEX(P_Type,ROW()-4))))</f>
        <v/>
      </c>
      <c r="D1644">
        <f>IF(INDEX(L_Type,ROW()-4)="","",TRIM(UPPER(INDEX(L_Type,ROW()-4))))</f>
        <v/>
      </c>
      <c r="E1644">
        <f>IF(INDEX(P_Status,ROW()-4)="","",TRIM(UPPER(INDEX(P_Status,ROW()-4))))</f>
        <v/>
      </c>
      <c r="G1644">
        <f>IF(INDEX(L_Status,ROW()-4)="","",TRIM(UPPER(INDEX(L_Status,ROW()-4))))</f>
        <v/>
      </c>
      <c r="J1644">
        <f>IF(INDEX(L_ID,ROW()-4)="","",IF(SUMPRODUCT((P_ID=INDEX(L_ID,ROW()-4))*(P_StatusN="INACTIVE"))&gt;0,1,0))</f>
        <v/>
      </c>
    </row>
    <row r="1645">
      <c r="A1645">
        <f>IF(INDEX(L_ID,ROW()-4)="","",IF(COUNTIF(P_ID,INDEX(L_ID,ROW()-4))&gt;0,1,0))</f>
        <v/>
      </c>
      <c r="B1645">
        <f>IF(INDEX(P_Type,ROW()-4)="","",TRIM(UPPER(INDEX(P_Type,ROW()-4))))</f>
        <v/>
      </c>
      <c r="D1645">
        <f>IF(INDEX(L_Type,ROW()-4)="","",TRIM(UPPER(INDEX(L_Type,ROW()-4))))</f>
        <v/>
      </c>
      <c r="E1645">
        <f>IF(INDEX(P_Status,ROW()-4)="","",TRIM(UPPER(INDEX(P_Status,ROW()-4))))</f>
        <v/>
      </c>
      <c r="G1645">
        <f>IF(INDEX(L_Status,ROW()-4)="","",TRIM(UPPER(INDEX(L_Status,ROW()-4))))</f>
        <v/>
      </c>
      <c r="J1645">
        <f>IF(INDEX(L_ID,ROW()-4)="","",IF(SUMPRODUCT((P_ID=INDEX(L_ID,ROW()-4))*(P_StatusN="INACTIVE"))&gt;0,1,0))</f>
        <v/>
      </c>
    </row>
    <row r="1646">
      <c r="A1646">
        <f>IF(INDEX(L_ID,ROW()-4)="","",IF(COUNTIF(P_ID,INDEX(L_ID,ROW()-4))&gt;0,1,0))</f>
        <v/>
      </c>
      <c r="B1646">
        <f>IF(INDEX(P_Type,ROW()-4)="","",TRIM(UPPER(INDEX(P_Type,ROW()-4))))</f>
        <v/>
      </c>
      <c r="D1646">
        <f>IF(INDEX(L_Type,ROW()-4)="","",TRIM(UPPER(INDEX(L_Type,ROW()-4))))</f>
        <v/>
      </c>
      <c r="E1646">
        <f>IF(INDEX(P_Status,ROW()-4)="","",TRIM(UPPER(INDEX(P_Status,ROW()-4))))</f>
        <v/>
      </c>
      <c r="G1646">
        <f>IF(INDEX(L_Status,ROW()-4)="","",TRIM(UPPER(INDEX(L_Status,ROW()-4))))</f>
        <v/>
      </c>
      <c r="J1646">
        <f>IF(INDEX(L_ID,ROW()-4)="","",IF(SUMPRODUCT((P_ID=INDEX(L_ID,ROW()-4))*(P_StatusN="INACTIVE"))&gt;0,1,0))</f>
        <v/>
      </c>
    </row>
    <row r="1647">
      <c r="A1647">
        <f>IF(INDEX(L_ID,ROW()-4)="","",IF(COUNTIF(P_ID,INDEX(L_ID,ROW()-4))&gt;0,1,0))</f>
        <v/>
      </c>
      <c r="B1647">
        <f>IF(INDEX(P_Type,ROW()-4)="","",TRIM(UPPER(INDEX(P_Type,ROW()-4))))</f>
        <v/>
      </c>
      <c r="D1647">
        <f>IF(INDEX(L_Type,ROW()-4)="","",TRIM(UPPER(INDEX(L_Type,ROW()-4))))</f>
        <v/>
      </c>
      <c r="E1647">
        <f>IF(INDEX(P_Status,ROW()-4)="","",TRIM(UPPER(INDEX(P_Status,ROW()-4))))</f>
        <v/>
      </c>
      <c r="G1647">
        <f>IF(INDEX(L_Status,ROW()-4)="","",TRIM(UPPER(INDEX(L_Status,ROW()-4))))</f>
        <v/>
      </c>
      <c r="J1647">
        <f>IF(INDEX(L_ID,ROW()-4)="","",IF(SUMPRODUCT((P_ID=INDEX(L_ID,ROW()-4))*(P_StatusN="INACTIVE"))&gt;0,1,0))</f>
        <v/>
      </c>
    </row>
    <row r="1648">
      <c r="A1648">
        <f>IF(INDEX(L_ID,ROW()-4)="","",IF(COUNTIF(P_ID,INDEX(L_ID,ROW()-4))&gt;0,1,0))</f>
        <v/>
      </c>
      <c r="B1648">
        <f>IF(INDEX(P_Type,ROW()-4)="","",TRIM(UPPER(INDEX(P_Type,ROW()-4))))</f>
        <v/>
      </c>
      <c r="D1648">
        <f>IF(INDEX(L_Type,ROW()-4)="","",TRIM(UPPER(INDEX(L_Type,ROW()-4))))</f>
        <v/>
      </c>
      <c r="E1648">
        <f>IF(INDEX(P_Status,ROW()-4)="","",TRIM(UPPER(INDEX(P_Status,ROW()-4))))</f>
        <v/>
      </c>
      <c r="G1648">
        <f>IF(INDEX(L_Status,ROW()-4)="","",TRIM(UPPER(INDEX(L_Status,ROW()-4))))</f>
        <v/>
      </c>
      <c r="J1648">
        <f>IF(INDEX(L_ID,ROW()-4)="","",IF(SUMPRODUCT((P_ID=INDEX(L_ID,ROW()-4))*(P_StatusN="INACTIVE"))&gt;0,1,0))</f>
        <v/>
      </c>
    </row>
    <row r="1649">
      <c r="A1649">
        <f>IF(INDEX(L_ID,ROW()-4)="","",IF(COUNTIF(P_ID,INDEX(L_ID,ROW()-4))&gt;0,1,0))</f>
        <v/>
      </c>
      <c r="B1649">
        <f>IF(INDEX(P_Type,ROW()-4)="","",TRIM(UPPER(INDEX(P_Type,ROW()-4))))</f>
        <v/>
      </c>
      <c r="D1649">
        <f>IF(INDEX(L_Type,ROW()-4)="","",TRIM(UPPER(INDEX(L_Type,ROW()-4))))</f>
        <v/>
      </c>
      <c r="E1649">
        <f>IF(INDEX(P_Status,ROW()-4)="","",TRIM(UPPER(INDEX(P_Status,ROW()-4))))</f>
        <v/>
      </c>
      <c r="G1649">
        <f>IF(INDEX(L_Status,ROW()-4)="","",TRIM(UPPER(INDEX(L_Status,ROW()-4))))</f>
        <v/>
      </c>
      <c r="J1649">
        <f>IF(INDEX(L_ID,ROW()-4)="","",IF(SUMPRODUCT((P_ID=INDEX(L_ID,ROW()-4))*(P_StatusN="INACTIVE"))&gt;0,1,0))</f>
        <v/>
      </c>
    </row>
    <row r="1650">
      <c r="A1650">
        <f>IF(INDEX(L_ID,ROW()-4)="","",IF(COUNTIF(P_ID,INDEX(L_ID,ROW()-4))&gt;0,1,0))</f>
        <v/>
      </c>
      <c r="B1650">
        <f>IF(INDEX(P_Type,ROW()-4)="","",TRIM(UPPER(INDEX(P_Type,ROW()-4))))</f>
        <v/>
      </c>
      <c r="D1650">
        <f>IF(INDEX(L_Type,ROW()-4)="","",TRIM(UPPER(INDEX(L_Type,ROW()-4))))</f>
        <v/>
      </c>
      <c r="E1650">
        <f>IF(INDEX(P_Status,ROW()-4)="","",TRIM(UPPER(INDEX(P_Status,ROW()-4))))</f>
        <v/>
      </c>
      <c r="G1650">
        <f>IF(INDEX(L_Status,ROW()-4)="","",TRIM(UPPER(INDEX(L_Status,ROW()-4))))</f>
        <v/>
      </c>
      <c r="J1650">
        <f>IF(INDEX(L_ID,ROW()-4)="","",IF(SUMPRODUCT((P_ID=INDEX(L_ID,ROW()-4))*(P_StatusN="INACTIVE"))&gt;0,1,0))</f>
        <v/>
      </c>
    </row>
    <row r="1651">
      <c r="A1651">
        <f>IF(INDEX(L_ID,ROW()-4)="","",IF(COUNTIF(P_ID,INDEX(L_ID,ROW()-4))&gt;0,1,0))</f>
        <v/>
      </c>
      <c r="B1651">
        <f>IF(INDEX(P_Type,ROW()-4)="","",TRIM(UPPER(INDEX(P_Type,ROW()-4))))</f>
        <v/>
      </c>
      <c r="D1651">
        <f>IF(INDEX(L_Type,ROW()-4)="","",TRIM(UPPER(INDEX(L_Type,ROW()-4))))</f>
        <v/>
      </c>
      <c r="E1651">
        <f>IF(INDEX(P_Status,ROW()-4)="","",TRIM(UPPER(INDEX(P_Status,ROW()-4))))</f>
        <v/>
      </c>
      <c r="G1651">
        <f>IF(INDEX(L_Status,ROW()-4)="","",TRIM(UPPER(INDEX(L_Status,ROW()-4))))</f>
        <v/>
      </c>
      <c r="J1651">
        <f>IF(INDEX(L_ID,ROW()-4)="","",IF(SUMPRODUCT((P_ID=INDEX(L_ID,ROW()-4))*(P_StatusN="INACTIVE"))&gt;0,1,0))</f>
        <v/>
      </c>
    </row>
    <row r="1652">
      <c r="A1652">
        <f>IF(INDEX(L_ID,ROW()-4)="","",IF(COUNTIF(P_ID,INDEX(L_ID,ROW()-4))&gt;0,1,0))</f>
        <v/>
      </c>
      <c r="B1652">
        <f>IF(INDEX(P_Type,ROW()-4)="","",TRIM(UPPER(INDEX(P_Type,ROW()-4))))</f>
        <v/>
      </c>
      <c r="D1652">
        <f>IF(INDEX(L_Type,ROW()-4)="","",TRIM(UPPER(INDEX(L_Type,ROW()-4))))</f>
        <v/>
      </c>
      <c r="E1652">
        <f>IF(INDEX(P_Status,ROW()-4)="","",TRIM(UPPER(INDEX(P_Status,ROW()-4))))</f>
        <v/>
      </c>
      <c r="G1652">
        <f>IF(INDEX(L_Status,ROW()-4)="","",TRIM(UPPER(INDEX(L_Status,ROW()-4))))</f>
        <v/>
      </c>
      <c r="J1652">
        <f>IF(INDEX(L_ID,ROW()-4)="","",IF(SUMPRODUCT((P_ID=INDEX(L_ID,ROW()-4))*(P_StatusN="INACTIVE"))&gt;0,1,0))</f>
        <v/>
      </c>
    </row>
    <row r="1653">
      <c r="A1653">
        <f>IF(INDEX(L_ID,ROW()-4)="","",IF(COUNTIF(P_ID,INDEX(L_ID,ROW()-4))&gt;0,1,0))</f>
        <v/>
      </c>
      <c r="B1653">
        <f>IF(INDEX(P_Type,ROW()-4)="","",TRIM(UPPER(INDEX(P_Type,ROW()-4))))</f>
        <v/>
      </c>
      <c r="D1653">
        <f>IF(INDEX(L_Type,ROW()-4)="","",TRIM(UPPER(INDEX(L_Type,ROW()-4))))</f>
        <v/>
      </c>
      <c r="E1653">
        <f>IF(INDEX(P_Status,ROW()-4)="","",TRIM(UPPER(INDEX(P_Status,ROW()-4))))</f>
        <v/>
      </c>
      <c r="G1653">
        <f>IF(INDEX(L_Status,ROW()-4)="","",TRIM(UPPER(INDEX(L_Status,ROW()-4))))</f>
        <v/>
      </c>
      <c r="J1653">
        <f>IF(INDEX(L_ID,ROW()-4)="","",IF(SUMPRODUCT((P_ID=INDEX(L_ID,ROW()-4))*(P_StatusN="INACTIVE"))&gt;0,1,0))</f>
        <v/>
      </c>
    </row>
    <row r="1654">
      <c r="A1654">
        <f>IF(INDEX(L_ID,ROW()-4)="","",IF(COUNTIF(P_ID,INDEX(L_ID,ROW()-4))&gt;0,1,0))</f>
        <v/>
      </c>
      <c r="B1654">
        <f>IF(INDEX(P_Type,ROW()-4)="","",TRIM(UPPER(INDEX(P_Type,ROW()-4))))</f>
        <v/>
      </c>
      <c r="D1654">
        <f>IF(INDEX(L_Type,ROW()-4)="","",TRIM(UPPER(INDEX(L_Type,ROW()-4))))</f>
        <v/>
      </c>
      <c r="E1654">
        <f>IF(INDEX(P_Status,ROW()-4)="","",TRIM(UPPER(INDEX(P_Status,ROW()-4))))</f>
        <v/>
      </c>
      <c r="G1654">
        <f>IF(INDEX(L_Status,ROW()-4)="","",TRIM(UPPER(INDEX(L_Status,ROW()-4))))</f>
        <v/>
      </c>
      <c r="J1654">
        <f>IF(INDEX(L_ID,ROW()-4)="","",IF(SUMPRODUCT((P_ID=INDEX(L_ID,ROW()-4))*(P_StatusN="INACTIVE"))&gt;0,1,0))</f>
        <v/>
      </c>
    </row>
    <row r="1655">
      <c r="A1655">
        <f>IF(INDEX(L_ID,ROW()-4)="","",IF(COUNTIF(P_ID,INDEX(L_ID,ROW()-4))&gt;0,1,0))</f>
        <v/>
      </c>
      <c r="B1655">
        <f>IF(INDEX(P_Type,ROW()-4)="","",TRIM(UPPER(INDEX(P_Type,ROW()-4))))</f>
        <v/>
      </c>
      <c r="D1655">
        <f>IF(INDEX(L_Type,ROW()-4)="","",TRIM(UPPER(INDEX(L_Type,ROW()-4))))</f>
        <v/>
      </c>
      <c r="E1655">
        <f>IF(INDEX(P_Status,ROW()-4)="","",TRIM(UPPER(INDEX(P_Status,ROW()-4))))</f>
        <v/>
      </c>
      <c r="G1655">
        <f>IF(INDEX(L_Status,ROW()-4)="","",TRIM(UPPER(INDEX(L_Status,ROW()-4))))</f>
        <v/>
      </c>
      <c r="J1655">
        <f>IF(INDEX(L_ID,ROW()-4)="","",IF(SUMPRODUCT((P_ID=INDEX(L_ID,ROW()-4))*(P_StatusN="INACTIVE"))&gt;0,1,0))</f>
        <v/>
      </c>
    </row>
    <row r="1656">
      <c r="A1656">
        <f>IF(INDEX(L_ID,ROW()-4)="","",IF(COUNTIF(P_ID,INDEX(L_ID,ROW()-4))&gt;0,1,0))</f>
        <v/>
      </c>
      <c r="B1656">
        <f>IF(INDEX(P_Type,ROW()-4)="","",TRIM(UPPER(INDEX(P_Type,ROW()-4))))</f>
        <v/>
      </c>
      <c r="D1656">
        <f>IF(INDEX(L_Type,ROW()-4)="","",TRIM(UPPER(INDEX(L_Type,ROW()-4))))</f>
        <v/>
      </c>
      <c r="E1656">
        <f>IF(INDEX(P_Status,ROW()-4)="","",TRIM(UPPER(INDEX(P_Status,ROW()-4))))</f>
        <v/>
      </c>
      <c r="G1656">
        <f>IF(INDEX(L_Status,ROW()-4)="","",TRIM(UPPER(INDEX(L_Status,ROW()-4))))</f>
        <v/>
      </c>
      <c r="J1656">
        <f>IF(INDEX(L_ID,ROW()-4)="","",IF(SUMPRODUCT((P_ID=INDEX(L_ID,ROW()-4))*(P_StatusN="INACTIVE"))&gt;0,1,0))</f>
        <v/>
      </c>
    </row>
    <row r="1657">
      <c r="A1657">
        <f>IF(INDEX(L_ID,ROW()-4)="","",IF(COUNTIF(P_ID,INDEX(L_ID,ROW()-4))&gt;0,1,0))</f>
        <v/>
      </c>
      <c r="B1657">
        <f>IF(INDEX(P_Type,ROW()-4)="","",TRIM(UPPER(INDEX(P_Type,ROW()-4))))</f>
        <v/>
      </c>
      <c r="D1657">
        <f>IF(INDEX(L_Type,ROW()-4)="","",TRIM(UPPER(INDEX(L_Type,ROW()-4))))</f>
        <v/>
      </c>
      <c r="E1657">
        <f>IF(INDEX(P_Status,ROW()-4)="","",TRIM(UPPER(INDEX(P_Status,ROW()-4))))</f>
        <v/>
      </c>
      <c r="G1657">
        <f>IF(INDEX(L_Status,ROW()-4)="","",TRIM(UPPER(INDEX(L_Status,ROW()-4))))</f>
        <v/>
      </c>
      <c r="J1657">
        <f>IF(INDEX(L_ID,ROW()-4)="","",IF(SUMPRODUCT((P_ID=INDEX(L_ID,ROW()-4))*(P_StatusN="INACTIVE"))&gt;0,1,0))</f>
        <v/>
      </c>
    </row>
    <row r="1658">
      <c r="A1658">
        <f>IF(INDEX(L_ID,ROW()-4)="","",IF(COUNTIF(P_ID,INDEX(L_ID,ROW()-4))&gt;0,1,0))</f>
        <v/>
      </c>
      <c r="B1658">
        <f>IF(INDEX(P_Type,ROW()-4)="","",TRIM(UPPER(INDEX(P_Type,ROW()-4))))</f>
        <v/>
      </c>
      <c r="D1658">
        <f>IF(INDEX(L_Type,ROW()-4)="","",TRIM(UPPER(INDEX(L_Type,ROW()-4))))</f>
        <v/>
      </c>
      <c r="E1658">
        <f>IF(INDEX(P_Status,ROW()-4)="","",TRIM(UPPER(INDEX(P_Status,ROW()-4))))</f>
        <v/>
      </c>
      <c r="G1658">
        <f>IF(INDEX(L_Status,ROW()-4)="","",TRIM(UPPER(INDEX(L_Status,ROW()-4))))</f>
        <v/>
      </c>
      <c r="J1658">
        <f>IF(INDEX(L_ID,ROW()-4)="","",IF(SUMPRODUCT((P_ID=INDEX(L_ID,ROW()-4))*(P_StatusN="INACTIVE"))&gt;0,1,0))</f>
        <v/>
      </c>
    </row>
    <row r="1659">
      <c r="A1659">
        <f>IF(INDEX(L_ID,ROW()-4)="","",IF(COUNTIF(P_ID,INDEX(L_ID,ROW()-4))&gt;0,1,0))</f>
        <v/>
      </c>
      <c r="B1659">
        <f>IF(INDEX(P_Type,ROW()-4)="","",TRIM(UPPER(INDEX(P_Type,ROW()-4))))</f>
        <v/>
      </c>
      <c r="D1659">
        <f>IF(INDEX(L_Type,ROW()-4)="","",TRIM(UPPER(INDEX(L_Type,ROW()-4))))</f>
        <v/>
      </c>
      <c r="E1659">
        <f>IF(INDEX(P_Status,ROW()-4)="","",TRIM(UPPER(INDEX(P_Status,ROW()-4))))</f>
        <v/>
      </c>
      <c r="G1659">
        <f>IF(INDEX(L_Status,ROW()-4)="","",TRIM(UPPER(INDEX(L_Status,ROW()-4))))</f>
        <v/>
      </c>
      <c r="J1659">
        <f>IF(INDEX(L_ID,ROW()-4)="","",IF(SUMPRODUCT((P_ID=INDEX(L_ID,ROW()-4))*(P_StatusN="INACTIVE"))&gt;0,1,0))</f>
        <v/>
      </c>
    </row>
    <row r="1660">
      <c r="A1660">
        <f>IF(INDEX(L_ID,ROW()-4)="","",IF(COUNTIF(P_ID,INDEX(L_ID,ROW()-4))&gt;0,1,0))</f>
        <v/>
      </c>
      <c r="B1660">
        <f>IF(INDEX(P_Type,ROW()-4)="","",TRIM(UPPER(INDEX(P_Type,ROW()-4))))</f>
        <v/>
      </c>
      <c r="D1660">
        <f>IF(INDEX(L_Type,ROW()-4)="","",TRIM(UPPER(INDEX(L_Type,ROW()-4))))</f>
        <v/>
      </c>
      <c r="E1660">
        <f>IF(INDEX(P_Status,ROW()-4)="","",TRIM(UPPER(INDEX(P_Status,ROW()-4))))</f>
        <v/>
      </c>
      <c r="G1660">
        <f>IF(INDEX(L_Status,ROW()-4)="","",TRIM(UPPER(INDEX(L_Status,ROW()-4))))</f>
        <v/>
      </c>
      <c r="J1660">
        <f>IF(INDEX(L_ID,ROW()-4)="","",IF(SUMPRODUCT((P_ID=INDEX(L_ID,ROW()-4))*(P_StatusN="INACTIVE"))&gt;0,1,0))</f>
        <v/>
      </c>
    </row>
    <row r="1661">
      <c r="A1661">
        <f>IF(INDEX(L_ID,ROW()-4)="","",IF(COUNTIF(P_ID,INDEX(L_ID,ROW()-4))&gt;0,1,0))</f>
        <v/>
      </c>
      <c r="B1661">
        <f>IF(INDEX(P_Type,ROW()-4)="","",TRIM(UPPER(INDEX(P_Type,ROW()-4))))</f>
        <v/>
      </c>
      <c r="D1661">
        <f>IF(INDEX(L_Type,ROW()-4)="","",TRIM(UPPER(INDEX(L_Type,ROW()-4))))</f>
        <v/>
      </c>
      <c r="E1661">
        <f>IF(INDEX(P_Status,ROW()-4)="","",TRIM(UPPER(INDEX(P_Status,ROW()-4))))</f>
        <v/>
      </c>
      <c r="G1661">
        <f>IF(INDEX(L_Status,ROW()-4)="","",TRIM(UPPER(INDEX(L_Status,ROW()-4))))</f>
        <v/>
      </c>
      <c r="J1661">
        <f>IF(INDEX(L_ID,ROW()-4)="","",IF(SUMPRODUCT((P_ID=INDEX(L_ID,ROW()-4))*(P_StatusN="INACTIVE"))&gt;0,1,0))</f>
        <v/>
      </c>
    </row>
    <row r="1662">
      <c r="A1662">
        <f>IF(INDEX(L_ID,ROW()-4)="","",IF(COUNTIF(P_ID,INDEX(L_ID,ROW()-4))&gt;0,1,0))</f>
        <v/>
      </c>
      <c r="B1662">
        <f>IF(INDEX(P_Type,ROW()-4)="","",TRIM(UPPER(INDEX(P_Type,ROW()-4))))</f>
        <v/>
      </c>
      <c r="D1662">
        <f>IF(INDEX(L_Type,ROW()-4)="","",TRIM(UPPER(INDEX(L_Type,ROW()-4))))</f>
        <v/>
      </c>
      <c r="E1662">
        <f>IF(INDEX(P_Status,ROW()-4)="","",TRIM(UPPER(INDEX(P_Status,ROW()-4))))</f>
        <v/>
      </c>
      <c r="G1662">
        <f>IF(INDEX(L_Status,ROW()-4)="","",TRIM(UPPER(INDEX(L_Status,ROW()-4))))</f>
        <v/>
      </c>
      <c r="J1662">
        <f>IF(INDEX(L_ID,ROW()-4)="","",IF(SUMPRODUCT((P_ID=INDEX(L_ID,ROW()-4))*(P_StatusN="INACTIVE"))&gt;0,1,0))</f>
        <v/>
      </c>
    </row>
    <row r="1663">
      <c r="A1663">
        <f>IF(INDEX(L_ID,ROW()-4)="","",IF(COUNTIF(P_ID,INDEX(L_ID,ROW()-4))&gt;0,1,0))</f>
        <v/>
      </c>
      <c r="B1663">
        <f>IF(INDEX(P_Type,ROW()-4)="","",TRIM(UPPER(INDEX(P_Type,ROW()-4))))</f>
        <v/>
      </c>
      <c r="D1663">
        <f>IF(INDEX(L_Type,ROW()-4)="","",TRIM(UPPER(INDEX(L_Type,ROW()-4))))</f>
        <v/>
      </c>
      <c r="E1663">
        <f>IF(INDEX(P_Status,ROW()-4)="","",TRIM(UPPER(INDEX(P_Status,ROW()-4))))</f>
        <v/>
      </c>
      <c r="G1663">
        <f>IF(INDEX(L_Status,ROW()-4)="","",TRIM(UPPER(INDEX(L_Status,ROW()-4))))</f>
        <v/>
      </c>
      <c r="J1663">
        <f>IF(INDEX(L_ID,ROW()-4)="","",IF(SUMPRODUCT((P_ID=INDEX(L_ID,ROW()-4))*(P_StatusN="INACTIVE"))&gt;0,1,0))</f>
        <v/>
      </c>
    </row>
    <row r="1664">
      <c r="A1664">
        <f>IF(INDEX(L_ID,ROW()-4)="","",IF(COUNTIF(P_ID,INDEX(L_ID,ROW()-4))&gt;0,1,0))</f>
        <v/>
      </c>
      <c r="B1664">
        <f>IF(INDEX(P_Type,ROW()-4)="","",TRIM(UPPER(INDEX(P_Type,ROW()-4))))</f>
        <v/>
      </c>
      <c r="D1664">
        <f>IF(INDEX(L_Type,ROW()-4)="","",TRIM(UPPER(INDEX(L_Type,ROW()-4))))</f>
        <v/>
      </c>
      <c r="E1664">
        <f>IF(INDEX(P_Status,ROW()-4)="","",TRIM(UPPER(INDEX(P_Status,ROW()-4))))</f>
        <v/>
      </c>
      <c r="G1664">
        <f>IF(INDEX(L_Status,ROW()-4)="","",TRIM(UPPER(INDEX(L_Status,ROW()-4))))</f>
        <v/>
      </c>
      <c r="J1664">
        <f>IF(INDEX(L_ID,ROW()-4)="","",IF(SUMPRODUCT((P_ID=INDEX(L_ID,ROW()-4))*(P_StatusN="INACTIVE"))&gt;0,1,0))</f>
        <v/>
      </c>
    </row>
    <row r="1665">
      <c r="A1665">
        <f>IF(INDEX(L_ID,ROW()-4)="","",IF(COUNTIF(P_ID,INDEX(L_ID,ROW()-4))&gt;0,1,0))</f>
        <v/>
      </c>
      <c r="B1665">
        <f>IF(INDEX(P_Type,ROW()-4)="","",TRIM(UPPER(INDEX(P_Type,ROW()-4))))</f>
        <v/>
      </c>
      <c r="D1665">
        <f>IF(INDEX(L_Type,ROW()-4)="","",TRIM(UPPER(INDEX(L_Type,ROW()-4))))</f>
        <v/>
      </c>
      <c r="E1665">
        <f>IF(INDEX(P_Status,ROW()-4)="","",TRIM(UPPER(INDEX(P_Status,ROW()-4))))</f>
        <v/>
      </c>
      <c r="G1665">
        <f>IF(INDEX(L_Status,ROW()-4)="","",TRIM(UPPER(INDEX(L_Status,ROW()-4))))</f>
        <v/>
      </c>
      <c r="J1665">
        <f>IF(INDEX(L_ID,ROW()-4)="","",IF(SUMPRODUCT((P_ID=INDEX(L_ID,ROW()-4))*(P_StatusN="INACTIVE"))&gt;0,1,0))</f>
        <v/>
      </c>
    </row>
    <row r="1666">
      <c r="A1666">
        <f>IF(INDEX(L_ID,ROW()-4)="","",IF(COUNTIF(P_ID,INDEX(L_ID,ROW()-4))&gt;0,1,0))</f>
        <v/>
      </c>
      <c r="B1666">
        <f>IF(INDEX(P_Type,ROW()-4)="","",TRIM(UPPER(INDEX(P_Type,ROW()-4))))</f>
        <v/>
      </c>
      <c r="D1666">
        <f>IF(INDEX(L_Type,ROW()-4)="","",TRIM(UPPER(INDEX(L_Type,ROW()-4))))</f>
        <v/>
      </c>
      <c r="E1666">
        <f>IF(INDEX(P_Status,ROW()-4)="","",TRIM(UPPER(INDEX(P_Status,ROW()-4))))</f>
        <v/>
      </c>
      <c r="G1666">
        <f>IF(INDEX(L_Status,ROW()-4)="","",TRIM(UPPER(INDEX(L_Status,ROW()-4))))</f>
        <v/>
      </c>
      <c r="J1666">
        <f>IF(INDEX(L_ID,ROW()-4)="","",IF(SUMPRODUCT((P_ID=INDEX(L_ID,ROW()-4))*(P_StatusN="INACTIVE"))&gt;0,1,0))</f>
        <v/>
      </c>
    </row>
    <row r="1667">
      <c r="A1667">
        <f>IF(INDEX(L_ID,ROW()-4)="","",IF(COUNTIF(P_ID,INDEX(L_ID,ROW()-4))&gt;0,1,0))</f>
        <v/>
      </c>
      <c r="B1667">
        <f>IF(INDEX(P_Type,ROW()-4)="","",TRIM(UPPER(INDEX(P_Type,ROW()-4))))</f>
        <v/>
      </c>
      <c r="D1667">
        <f>IF(INDEX(L_Type,ROW()-4)="","",TRIM(UPPER(INDEX(L_Type,ROW()-4))))</f>
        <v/>
      </c>
      <c r="E1667">
        <f>IF(INDEX(P_Status,ROW()-4)="","",TRIM(UPPER(INDEX(P_Status,ROW()-4))))</f>
        <v/>
      </c>
      <c r="G1667">
        <f>IF(INDEX(L_Status,ROW()-4)="","",TRIM(UPPER(INDEX(L_Status,ROW()-4))))</f>
        <v/>
      </c>
      <c r="J1667">
        <f>IF(INDEX(L_ID,ROW()-4)="","",IF(SUMPRODUCT((P_ID=INDEX(L_ID,ROW()-4))*(P_StatusN="INACTIVE"))&gt;0,1,0))</f>
        <v/>
      </c>
    </row>
    <row r="1668">
      <c r="A1668">
        <f>IF(INDEX(L_ID,ROW()-4)="","",IF(COUNTIF(P_ID,INDEX(L_ID,ROW()-4))&gt;0,1,0))</f>
        <v/>
      </c>
      <c r="B1668">
        <f>IF(INDEX(P_Type,ROW()-4)="","",TRIM(UPPER(INDEX(P_Type,ROW()-4))))</f>
        <v/>
      </c>
      <c r="D1668">
        <f>IF(INDEX(L_Type,ROW()-4)="","",TRIM(UPPER(INDEX(L_Type,ROW()-4))))</f>
        <v/>
      </c>
      <c r="E1668">
        <f>IF(INDEX(P_Status,ROW()-4)="","",TRIM(UPPER(INDEX(P_Status,ROW()-4))))</f>
        <v/>
      </c>
      <c r="G1668">
        <f>IF(INDEX(L_Status,ROW()-4)="","",TRIM(UPPER(INDEX(L_Status,ROW()-4))))</f>
        <v/>
      </c>
      <c r="J1668">
        <f>IF(INDEX(L_ID,ROW()-4)="","",IF(SUMPRODUCT((P_ID=INDEX(L_ID,ROW()-4))*(P_StatusN="INACTIVE"))&gt;0,1,0))</f>
        <v/>
      </c>
    </row>
    <row r="1669">
      <c r="A1669">
        <f>IF(INDEX(L_ID,ROW()-4)="","",IF(COUNTIF(P_ID,INDEX(L_ID,ROW()-4))&gt;0,1,0))</f>
        <v/>
      </c>
      <c r="B1669">
        <f>IF(INDEX(P_Type,ROW()-4)="","",TRIM(UPPER(INDEX(P_Type,ROW()-4))))</f>
        <v/>
      </c>
      <c r="D1669">
        <f>IF(INDEX(L_Type,ROW()-4)="","",TRIM(UPPER(INDEX(L_Type,ROW()-4))))</f>
        <v/>
      </c>
      <c r="E1669">
        <f>IF(INDEX(P_Status,ROW()-4)="","",TRIM(UPPER(INDEX(P_Status,ROW()-4))))</f>
        <v/>
      </c>
      <c r="G1669">
        <f>IF(INDEX(L_Status,ROW()-4)="","",TRIM(UPPER(INDEX(L_Status,ROW()-4))))</f>
        <v/>
      </c>
      <c r="J1669">
        <f>IF(INDEX(L_ID,ROW()-4)="","",IF(SUMPRODUCT((P_ID=INDEX(L_ID,ROW()-4))*(P_StatusN="INACTIVE"))&gt;0,1,0))</f>
        <v/>
      </c>
    </row>
    <row r="1670">
      <c r="A1670">
        <f>IF(INDEX(L_ID,ROW()-4)="","",IF(COUNTIF(P_ID,INDEX(L_ID,ROW()-4))&gt;0,1,0))</f>
        <v/>
      </c>
      <c r="B1670">
        <f>IF(INDEX(P_Type,ROW()-4)="","",TRIM(UPPER(INDEX(P_Type,ROW()-4))))</f>
        <v/>
      </c>
      <c r="D1670">
        <f>IF(INDEX(L_Type,ROW()-4)="","",TRIM(UPPER(INDEX(L_Type,ROW()-4))))</f>
        <v/>
      </c>
      <c r="E1670">
        <f>IF(INDEX(P_Status,ROW()-4)="","",TRIM(UPPER(INDEX(P_Status,ROW()-4))))</f>
        <v/>
      </c>
      <c r="G1670">
        <f>IF(INDEX(L_Status,ROW()-4)="","",TRIM(UPPER(INDEX(L_Status,ROW()-4))))</f>
        <v/>
      </c>
      <c r="J1670">
        <f>IF(INDEX(L_ID,ROW()-4)="","",IF(SUMPRODUCT((P_ID=INDEX(L_ID,ROW()-4))*(P_StatusN="INACTIVE"))&gt;0,1,0))</f>
        <v/>
      </c>
    </row>
    <row r="1671">
      <c r="A1671">
        <f>IF(INDEX(L_ID,ROW()-4)="","",IF(COUNTIF(P_ID,INDEX(L_ID,ROW()-4))&gt;0,1,0))</f>
        <v/>
      </c>
      <c r="B1671">
        <f>IF(INDEX(P_Type,ROW()-4)="","",TRIM(UPPER(INDEX(P_Type,ROW()-4))))</f>
        <v/>
      </c>
      <c r="D1671">
        <f>IF(INDEX(L_Type,ROW()-4)="","",TRIM(UPPER(INDEX(L_Type,ROW()-4))))</f>
        <v/>
      </c>
      <c r="E1671">
        <f>IF(INDEX(P_Status,ROW()-4)="","",TRIM(UPPER(INDEX(P_Status,ROW()-4))))</f>
        <v/>
      </c>
      <c r="G1671">
        <f>IF(INDEX(L_Status,ROW()-4)="","",TRIM(UPPER(INDEX(L_Status,ROW()-4))))</f>
        <v/>
      </c>
      <c r="J1671">
        <f>IF(INDEX(L_ID,ROW()-4)="","",IF(SUMPRODUCT((P_ID=INDEX(L_ID,ROW()-4))*(P_StatusN="INACTIVE"))&gt;0,1,0))</f>
        <v/>
      </c>
    </row>
    <row r="1672">
      <c r="A1672">
        <f>IF(INDEX(L_ID,ROW()-4)="","",IF(COUNTIF(P_ID,INDEX(L_ID,ROW()-4))&gt;0,1,0))</f>
        <v/>
      </c>
      <c r="B1672">
        <f>IF(INDEX(P_Type,ROW()-4)="","",TRIM(UPPER(INDEX(P_Type,ROW()-4))))</f>
        <v/>
      </c>
      <c r="D1672">
        <f>IF(INDEX(L_Type,ROW()-4)="","",TRIM(UPPER(INDEX(L_Type,ROW()-4))))</f>
        <v/>
      </c>
      <c r="E1672">
        <f>IF(INDEX(P_Status,ROW()-4)="","",TRIM(UPPER(INDEX(P_Status,ROW()-4))))</f>
        <v/>
      </c>
      <c r="G1672">
        <f>IF(INDEX(L_Status,ROW()-4)="","",TRIM(UPPER(INDEX(L_Status,ROW()-4))))</f>
        <v/>
      </c>
      <c r="J1672">
        <f>IF(INDEX(L_ID,ROW()-4)="","",IF(SUMPRODUCT((P_ID=INDEX(L_ID,ROW()-4))*(P_StatusN="INACTIVE"))&gt;0,1,0))</f>
        <v/>
      </c>
    </row>
    <row r="1673">
      <c r="A1673">
        <f>IF(INDEX(L_ID,ROW()-4)="","",IF(COUNTIF(P_ID,INDEX(L_ID,ROW()-4))&gt;0,1,0))</f>
        <v/>
      </c>
      <c r="B1673">
        <f>IF(INDEX(P_Type,ROW()-4)="","",TRIM(UPPER(INDEX(P_Type,ROW()-4))))</f>
        <v/>
      </c>
      <c r="D1673">
        <f>IF(INDEX(L_Type,ROW()-4)="","",TRIM(UPPER(INDEX(L_Type,ROW()-4))))</f>
        <v/>
      </c>
      <c r="E1673">
        <f>IF(INDEX(P_Status,ROW()-4)="","",TRIM(UPPER(INDEX(P_Status,ROW()-4))))</f>
        <v/>
      </c>
      <c r="G1673">
        <f>IF(INDEX(L_Status,ROW()-4)="","",TRIM(UPPER(INDEX(L_Status,ROW()-4))))</f>
        <v/>
      </c>
      <c r="J1673">
        <f>IF(INDEX(L_ID,ROW()-4)="","",IF(SUMPRODUCT((P_ID=INDEX(L_ID,ROW()-4))*(P_StatusN="INACTIVE"))&gt;0,1,0))</f>
        <v/>
      </c>
    </row>
    <row r="1674">
      <c r="A1674">
        <f>IF(INDEX(L_ID,ROW()-4)="","",IF(COUNTIF(P_ID,INDEX(L_ID,ROW()-4))&gt;0,1,0))</f>
        <v/>
      </c>
      <c r="B1674">
        <f>IF(INDEX(P_Type,ROW()-4)="","",TRIM(UPPER(INDEX(P_Type,ROW()-4))))</f>
        <v/>
      </c>
      <c r="D1674">
        <f>IF(INDEX(L_Type,ROW()-4)="","",TRIM(UPPER(INDEX(L_Type,ROW()-4))))</f>
        <v/>
      </c>
      <c r="E1674">
        <f>IF(INDEX(P_Status,ROW()-4)="","",TRIM(UPPER(INDEX(P_Status,ROW()-4))))</f>
        <v/>
      </c>
      <c r="G1674">
        <f>IF(INDEX(L_Status,ROW()-4)="","",TRIM(UPPER(INDEX(L_Status,ROW()-4))))</f>
        <v/>
      </c>
      <c r="J1674">
        <f>IF(INDEX(L_ID,ROW()-4)="","",IF(SUMPRODUCT((P_ID=INDEX(L_ID,ROW()-4))*(P_StatusN="INACTIVE"))&gt;0,1,0))</f>
        <v/>
      </c>
    </row>
    <row r="1675">
      <c r="A1675">
        <f>IF(INDEX(L_ID,ROW()-4)="","",IF(COUNTIF(P_ID,INDEX(L_ID,ROW()-4))&gt;0,1,0))</f>
        <v/>
      </c>
      <c r="B1675">
        <f>IF(INDEX(P_Type,ROW()-4)="","",TRIM(UPPER(INDEX(P_Type,ROW()-4))))</f>
        <v/>
      </c>
      <c r="D1675">
        <f>IF(INDEX(L_Type,ROW()-4)="","",TRIM(UPPER(INDEX(L_Type,ROW()-4))))</f>
        <v/>
      </c>
      <c r="E1675">
        <f>IF(INDEX(P_Status,ROW()-4)="","",TRIM(UPPER(INDEX(P_Status,ROW()-4))))</f>
        <v/>
      </c>
      <c r="G1675">
        <f>IF(INDEX(L_Status,ROW()-4)="","",TRIM(UPPER(INDEX(L_Status,ROW()-4))))</f>
        <v/>
      </c>
      <c r="J1675">
        <f>IF(INDEX(L_ID,ROW()-4)="","",IF(SUMPRODUCT((P_ID=INDEX(L_ID,ROW()-4))*(P_StatusN="INACTIVE"))&gt;0,1,0))</f>
        <v/>
      </c>
    </row>
    <row r="1676">
      <c r="A1676">
        <f>IF(INDEX(L_ID,ROW()-4)="","",IF(COUNTIF(P_ID,INDEX(L_ID,ROW()-4))&gt;0,1,0))</f>
        <v/>
      </c>
      <c r="B1676">
        <f>IF(INDEX(P_Type,ROW()-4)="","",TRIM(UPPER(INDEX(P_Type,ROW()-4))))</f>
        <v/>
      </c>
      <c r="D1676">
        <f>IF(INDEX(L_Type,ROW()-4)="","",TRIM(UPPER(INDEX(L_Type,ROW()-4))))</f>
        <v/>
      </c>
      <c r="E1676">
        <f>IF(INDEX(P_Status,ROW()-4)="","",TRIM(UPPER(INDEX(P_Status,ROW()-4))))</f>
        <v/>
      </c>
      <c r="G1676">
        <f>IF(INDEX(L_Status,ROW()-4)="","",TRIM(UPPER(INDEX(L_Status,ROW()-4))))</f>
        <v/>
      </c>
      <c r="J1676">
        <f>IF(INDEX(L_ID,ROW()-4)="","",IF(SUMPRODUCT((P_ID=INDEX(L_ID,ROW()-4))*(P_StatusN="INACTIVE"))&gt;0,1,0))</f>
        <v/>
      </c>
    </row>
    <row r="1677">
      <c r="A1677">
        <f>IF(INDEX(L_ID,ROW()-4)="","",IF(COUNTIF(P_ID,INDEX(L_ID,ROW()-4))&gt;0,1,0))</f>
        <v/>
      </c>
      <c r="B1677">
        <f>IF(INDEX(P_Type,ROW()-4)="","",TRIM(UPPER(INDEX(P_Type,ROW()-4))))</f>
        <v/>
      </c>
      <c r="D1677">
        <f>IF(INDEX(L_Type,ROW()-4)="","",TRIM(UPPER(INDEX(L_Type,ROW()-4))))</f>
        <v/>
      </c>
      <c r="E1677">
        <f>IF(INDEX(P_Status,ROW()-4)="","",TRIM(UPPER(INDEX(P_Status,ROW()-4))))</f>
        <v/>
      </c>
      <c r="G1677">
        <f>IF(INDEX(L_Status,ROW()-4)="","",TRIM(UPPER(INDEX(L_Status,ROW()-4))))</f>
        <v/>
      </c>
      <c r="J1677">
        <f>IF(INDEX(L_ID,ROW()-4)="","",IF(SUMPRODUCT((P_ID=INDEX(L_ID,ROW()-4))*(P_StatusN="INACTIVE"))&gt;0,1,0))</f>
        <v/>
      </c>
    </row>
    <row r="1678">
      <c r="A1678">
        <f>IF(INDEX(L_ID,ROW()-4)="","",IF(COUNTIF(P_ID,INDEX(L_ID,ROW()-4))&gt;0,1,0))</f>
        <v/>
      </c>
      <c r="B1678">
        <f>IF(INDEX(P_Type,ROW()-4)="","",TRIM(UPPER(INDEX(P_Type,ROW()-4))))</f>
        <v/>
      </c>
      <c r="D1678">
        <f>IF(INDEX(L_Type,ROW()-4)="","",TRIM(UPPER(INDEX(L_Type,ROW()-4))))</f>
        <v/>
      </c>
      <c r="E1678">
        <f>IF(INDEX(P_Status,ROW()-4)="","",TRIM(UPPER(INDEX(P_Status,ROW()-4))))</f>
        <v/>
      </c>
      <c r="G1678">
        <f>IF(INDEX(L_Status,ROW()-4)="","",TRIM(UPPER(INDEX(L_Status,ROW()-4))))</f>
        <v/>
      </c>
      <c r="J1678">
        <f>IF(INDEX(L_ID,ROW()-4)="","",IF(SUMPRODUCT((P_ID=INDEX(L_ID,ROW()-4))*(P_StatusN="INACTIVE"))&gt;0,1,0))</f>
        <v/>
      </c>
    </row>
    <row r="1679">
      <c r="A1679">
        <f>IF(INDEX(L_ID,ROW()-4)="","",IF(COUNTIF(P_ID,INDEX(L_ID,ROW()-4))&gt;0,1,0))</f>
        <v/>
      </c>
      <c r="B1679">
        <f>IF(INDEX(P_Type,ROW()-4)="","",TRIM(UPPER(INDEX(P_Type,ROW()-4))))</f>
        <v/>
      </c>
      <c r="D1679">
        <f>IF(INDEX(L_Type,ROW()-4)="","",TRIM(UPPER(INDEX(L_Type,ROW()-4))))</f>
        <v/>
      </c>
      <c r="E1679">
        <f>IF(INDEX(P_Status,ROW()-4)="","",TRIM(UPPER(INDEX(P_Status,ROW()-4))))</f>
        <v/>
      </c>
      <c r="G1679">
        <f>IF(INDEX(L_Status,ROW()-4)="","",TRIM(UPPER(INDEX(L_Status,ROW()-4))))</f>
        <v/>
      </c>
      <c r="J1679">
        <f>IF(INDEX(L_ID,ROW()-4)="","",IF(SUMPRODUCT((P_ID=INDEX(L_ID,ROW()-4))*(P_StatusN="INACTIVE"))&gt;0,1,0))</f>
        <v/>
      </c>
    </row>
    <row r="1680">
      <c r="A1680">
        <f>IF(INDEX(L_ID,ROW()-4)="","",IF(COUNTIF(P_ID,INDEX(L_ID,ROW()-4))&gt;0,1,0))</f>
        <v/>
      </c>
      <c r="B1680">
        <f>IF(INDEX(P_Type,ROW()-4)="","",TRIM(UPPER(INDEX(P_Type,ROW()-4))))</f>
        <v/>
      </c>
      <c r="D1680">
        <f>IF(INDEX(L_Type,ROW()-4)="","",TRIM(UPPER(INDEX(L_Type,ROW()-4))))</f>
        <v/>
      </c>
      <c r="E1680">
        <f>IF(INDEX(P_Status,ROW()-4)="","",TRIM(UPPER(INDEX(P_Status,ROW()-4))))</f>
        <v/>
      </c>
      <c r="G1680">
        <f>IF(INDEX(L_Status,ROW()-4)="","",TRIM(UPPER(INDEX(L_Status,ROW()-4))))</f>
        <v/>
      </c>
      <c r="J1680">
        <f>IF(INDEX(L_ID,ROW()-4)="","",IF(SUMPRODUCT((P_ID=INDEX(L_ID,ROW()-4))*(P_StatusN="INACTIVE"))&gt;0,1,0))</f>
        <v/>
      </c>
    </row>
    <row r="1681">
      <c r="A1681">
        <f>IF(INDEX(L_ID,ROW()-4)="","",IF(COUNTIF(P_ID,INDEX(L_ID,ROW()-4))&gt;0,1,0))</f>
        <v/>
      </c>
      <c r="B1681">
        <f>IF(INDEX(P_Type,ROW()-4)="","",TRIM(UPPER(INDEX(P_Type,ROW()-4))))</f>
        <v/>
      </c>
      <c r="D1681">
        <f>IF(INDEX(L_Type,ROW()-4)="","",TRIM(UPPER(INDEX(L_Type,ROW()-4))))</f>
        <v/>
      </c>
      <c r="E1681">
        <f>IF(INDEX(P_Status,ROW()-4)="","",TRIM(UPPER(INDEX(P_Status,ROW()-4))))</f>
        <v/>
      </c>
      <c r="G1681">
        <f>IF(INDEX(L_Status,ROW()-4)="","",TRIM(UPPER(INDEX(L_Status,ROW()-4))))</f>
        <v/>
      </c>
      <c r="J1681">
        <f>IF(INDEX(L_ID,ROW()-4)="","",IF(SUMPRODUCT((P_ID=INDEX(L_ID,ROW()-4))*(P_StatusN="INACTIVE"))&gt;0,1,0))</f>
        <v/>
      </c>
    </row>
    <row r="1682">
      <c r="A1682">
        <f>IF(INDEX(L_ID,ROW()-4)="","",IF(COUNTIF(P_ID,INDEX(L_ID,ROW()-4))&gt;0,1,0))</f>
        <v/>
      </c>
      <c r="B1682">
        <f>IF(INDEX(P_Type,ROW()-4)="","",TRIM(UPPER(INDEX(P_Type,ROW()-4))))</f>
        <v/>
      </c>
      <c r="D1682">
        <f>IF(INDEX(L_Type,ROW()-4)="","",TRIM(UPPER(INDEX(L_Type,ROW()-4))))</f>
        <v/>
      </c>
      <c r="E1682">
        <f>IF(INDEX(P_Status,ROW()-4)="","",TRIM(UPPER(INDEX(P_Status,ROW()-4))))</f>
        <v/>
      </c>
      <c r="G1682">
        <f>IF(INDEX(L_Status,ROW()-4)="","",TRIM(UPPER(INDEX(L_Status,ROW()-4))))</f>
        <v/>
      </c>
      <c r="J1682">
        <f>IF(INDEX(L_ID,ROW()-4)="","",IF(SUMPRODUCT((P_ID=INDEX(L_ID,ROW()-4))*(P_StatusN="INACTIVE"))&gt;0,1,0))</f>
        <v/>
      </c>
    </row>
    <row r="1683">
      <c r="A1683">
        <f>IF(INDEX(L_ID,ROW()-4)="","",IF(COUNTIF(P_ID,INDEX(L_ID,ROW()-4))&gt;0,1,0))</f>
        <v/>
      </c>
      <c r="B1683">
        <f>IF(INDEX(P_Type,ROW()-4)="","",TRIM(UPPER(INDEX(P_Type,ROW()-4))))</f>
        <v/>
      </c>
      <c r="D1683">
        <f>IF(INDEX(L_Type,ROW()-4)="","",TRIM(UPPER(INDEX(L_Type,ROW()-4))))</f>
        <v/>
      </c>
      <c r="E1683">
        <f>IF(INDEX(P_Status,ROW()-4)="","",TRIM(UPPER(INDEX(P_Status,ROW()-4))))</f>
        <v/>
      </c>
      <c r="G1683">
        <f>IF(INDEX(L_Status,ROW()-4)="","",TRIM(UPPER(INDEX(L_Status,ROW()-4))))</f>
        <v/>
      </c>
      <c r="J1683">
        <f>IF(INDEX(L_ID,ROW()-4)="","",IF(SUMPRODUCT((P_ID=INDEX(L_ID,ROW()-4))*(P_StatusN="INACTIVE"))&gt;0,1,0))</f>
        <v/>
      </c>
    </row>
    <row r="1684">
      <c r="A1684">
        <f>IF(INDEX(L_ID,ROW()-4)="","",IF(COUNTIF(P_ID,INDEX(L_ID,ROW()-4))&gt;0,1,0))</f>
        <v/>
      </c>
      <c r="B1684">
        <f>IF(INDEX(P_Type,ROW()-4)="","",TRIM(UPPER(INDEX(P_Type,ROW()-4))))</f>
        <v/>
      </c>
      <c r="D1684">
        <f>IF(INDEX(L_Type,ROW()-4)="","",TRIM(UPPER(INDEX(L_Type,ROW()-4))))</f>
        <v/>
      </c>
      <c r="E1684">
        <f>IF(INDEX(P_Status,ROW()-4)="","",TRIM(UPPER(INDEX(P_Status,ROW()-4))))</f>
        <v/>
      </c>
      <c r="G1684">
        <f>IF(INDEX(L_Status,ROW()-4)="","",TRIM(UPPER(INDEX(L_Status,ROW()-4))))</f>
        <v/>
      </c>
      <c r="J1684">
        <f>IF(INDEX(L_ID,ROW()-4)="","",IF(SUMPRODUCT((P_ID=INDEX(L_ID,ROW()-4))*(P_StatusN="INACTIVE"))&gt;0,1,0))</f>
        <v/>
      </c>
    </row>
    <row r="1685">
      <c r="A1685">
        <f>IF(INDEX(L_ID,ROW()-4)="","",IF(COUNTIF(P_ID,INDEX(L_ID,ROW()-4))&gt;0,1,0))</f>
        <v/>
      </c>
      <c r="B1685">
        <f>IF(INDEX(P_Type,ROW()-4)="","",TRIM(UPPER(INDEX(P_Type,ROW()-4))))</f>
        <v/>
      </c>
      <c r="D1685">
        <f>IF(INDEX(L_Type,ROW()-4)="","",TRIM(UPPER(INDEX(L_Type,ROW()-4))))</f>
        <v/>
      </c>
      <c r="E1685">
        <f>IF(INDEX(P_Status,ROW()-4)="","",TRIM(UPPER(INDEX(P_Status,ROW()-4))))</f>
        <v/>
      </c>
      <c r="G1685">
        <f>IF(INDEX(L_Status,ROW()-4)="","",TRIM(UPPER(INDEX(L_Status,ROW()-4))))</f>
        <v/>
      </c>
      <c r="J1685">
        <f>IF(INDEX(L_ID,ROW()-4)="","",IF(SUMPRODUCT((P_ID=INDEX(L_ID,ROW()-4))*(P_StatusN="INACTIVE"))&gt;0,1,0))</f>
        <v/>
      </c>
    </row>
    <row r="1686">
      <c r="A1686">
        <f>IF(INDEX(L_ID,ROW()-4)="","",IF(COUNTIF(P_ID,INDEX(L_ID,ROW()-4))&gt;0,1,0))</f>
        <v/>
      </c>
      <c r="B1686">
        <f>IF(INDEX(P_Type,ROW()-4)="","",TRIM(UPPER(INDEX(P_Type,ROW()-4))))</f>
        <v/>
      </c>
      <c r="D1686">
        <f>IF(INDEX(L_Type,ROW()-4)="","",TRIM(UPPER(INDEX(L_Type,ROW()-4))))</f>
        <v/>
      </c>
      <c r="E1686">
        <f>IF(INDEX(P_Status,ROW()-4)="","",TRIM(UPPER(INDEX(P_Status,ROW()-4))))</f>
        <v/>
      </c>
      <c r="G1686">
        <f>IF(INDEX(L_Status,ROW()-4)="","",TRIM(UPPER(INDEX(L_Status,ROW()-4))))</f>
        <v/>
      </c>
      <c r="J1686">
        <f>IF(INDEX(L_ID,ROW()-4)="","",IF(SUMPRODUCT((P_ID=INDEX(L_ID,ROW()-4))*(P_StatusN="INACTIVE"))&gt;0,1,0))</f>
        <v/>
      </c>
    </row>
    <row r="1687">
      <c r="A1687">
        <f>IF(INDEX(L_ID,ROW()-4)="","",IF(COUNTIF(P_ID,INDEX(L_ID,ROW()-4))&gt;0,1,0))</f>
        <v/>
      </c>
      <c r="B1687">
        <f>IF(INDEX(P_Type,ROW()-4)="","",TRIM(UPPER(INDEX(P_Type,ROW()-4))))</f>
        <v/>
      </c>
      <c r="D1687">
        <f>IF(INDEX(L_Type,ROW()-4)="","",TRIM(UPPER(INDEX(L_Type,ROW()-4))))</f>
        <v/>
      </c>
      <c r="E1687">
        <f>IF(INDEX(P_Status,ROW()-4)="","",TRIM(UPPER(INDEX(P_Status,ROW()-4))))</f>
        <v/>
      </c>
      <c r="G1687">
        <f>IF(INDEX(L_Status,ROW()-4)="","",TRIM(UPPER(INDEX(L_Status,ROW()-4))))</f>
        <v/>
      </c>
      <c r="J1687">
        <f>IF(INDEX(L_ID,ROW()-4)="","",IF(SUMPRODUCT((P_ID=INDEX(L_ID,ROW()-4))*(P_StatusN="INACTIVE"))&gt;0,1,0))</f>
        <v/>
      </c>
    </row>
    <row r="1688">
      <c r="A1688">
        <f>IF(INDEX(L_ID,ROW()-4)="","",IF(COUNTIF(P_ID,INDEX(L_ID,ROW()-4))&gt;0,1,0))</f>
        <v/>
      </c>
      <c r="B1688">
        <f>IF(INDEX(P_Type,ROW()-4)="","",TRIM(UPPER(INDEX(P_Type,ROW()-4))))</f>
        <v/>
      </c>
      <c r="D1688">
        <f>IF(INDEX(L_Type,ROW()-4)="","",TRIM(UPPER(INDEX(L_Type,ROW()-4))))</f>
        <v/>
      </c>
      <c r="E1688">
        <f>IF(INDEX(P_Status,ROW()-4)="","",TRIM(UPPER(INDEX(P_Status,ROW()-4))))</f>
        <v/>
      </c>
      <c r="G1688">
        <f>IF(INDEX(L_Status,ROW()-4)="","",TRIM(UPPER(INDEX(L_Status,ROW()-4))))</f>
        <v/>
      </c>
      <c r="J1688">
        <f>IF(INDEX(L_ID,ROW()-4)="","",IF(SUMPRODUCT((P_ID=INDEX(L_ID,ROW()-4))*(P_StatusN="INACTIVE"))&gt;0,1,0))</f>
        <v/>
      </c>
    </row>
    <row r="1689">
      <c r="A1689">
        <f>IF(INDEX(L_ID,ROW()-4)="","",IF(COUNTIF(P_ID,INDEX(L_ID,ROW()-4))&gt;0,1,0))</f>
        <v/>
      </c>
      <c r="B1689">
        <f>IF(INDEX(P_Type,ROW()-4)="","",TRIM(UPPER(INDEX(P_Type,ROW()-4))))</f>
        <v/>
      </c>
      <c r="D1689">
        <f>IF(INDEX(L_Type,ROW()-4)="","",TRIM(UPPER(INDEX(L_Type,ROW()-4))))</f>
        <v/>
      </c>
      <c r="E1689">
        <f>IF(INDEX(P_Status,ROW()-4)="","",TRIM(UPPER(INDEX(P_Status,ROW()-4))))</f>
        <v/>
      </c>
      <c r="G1689">
        <f>IF(INDEX(L_Status,ROW()-4)="","",TRIM(UPPER(INDEX(L_Status,ROW()-4))))</f>
        <v/>
      </c>
      <c r="J1689">
        <f>IF(INDEX(L_ID,ROW()-4)="","",IF(SUMPRODUCT((P_ID=INDEX(L_ID,ROW()-4))*(P_StatusN="INACTIVE"))&gt;0,1,0))</f>
        <v/>
      </c>
    </row>
    <row r="1690">
      <c r="A1690">
        <f>IF(INDEX(L_ID,ROW()-4)="","",IF(COUNTIF(P_ID,INDEX(L_ID,ROW()-4))&gt;0,1,0))</f>
        <v/>
      </c>
      <c r="B1690">
        <f>IF(INDEX(P_Type,ROW()-4)="","",TRIM(UPPER(INDEX(P_Type,ROW()-4))))</f>
        <v/>
      </c>
      <c r="D1690">
        <f>IF(INDEX(L_Type,ROW()-4)="","",TRIM(UPPER(INDEX(L_Type,ROW()-4))))</f>
        <v/>
      </c>
      <c r="E1690">
        <f>IF(INDEX(P_Status,ROW()-4)="","",TRIM(UPPER(INDEX(P_Status,ROW()-4))))</f>
        <v/>
      </c>
      <c r="G1690">
        <f>IF(INDEX(L_Status,ROW()-4)="","",TRIM(UPPER(INDEX(L_Status,ROW()-4))))</f>
        <v/>
      </c>
      <c r="J1690">
        <f>IF(INDEX(L_ID,ROW()-4)="","",IF(SUMPRODUCT((P_ID=INDEX(L_ID,ROW()-4))*(P_StatusN="INACTIVE"))&gt;0,1,0))</f>
        <v/>
      </c>
    </row>
    <row r="1691">
      <c r="A1691">
        <f>IF(INDEX(L_ID,ROW()-4)="","",IF(COUNTIF(P_ID,INDEX(L_ID,ROW()-4))&gt;0,1,0))</f>
        <v/>
      </c>
      <c r="B1691">
        <f>IF(INDEX(P_Type,ROW()-4)="","",TRIM(UPPER(INDEX(P_Type,ROW()-4))))</f>
        <v/>
      </c>
      <c r="D1691">
        <f>IF(INDEX(L_Type,ROW()-4)="","",TRIM(UPPER(INDEX(L_Type,ROW()-4))))</f>
        <v/>
      </c>
      <c r="E1691">
        <f>IF(INDEX(P_Status,ROW()-4)="","",TRIM(UPPER(INDEX(P_Status,ROW()-4))))</f>
        <v/>
      </c>
      <c r="G1691">
        <f>IF(INDEX(L_Status,ROW()-4)="","",TRIM(UPPER(INDEX(L_Status,ROW()-4))))</f>
        <v/>
      </c>
      <c r="J1691">
        <f>IF(INDEX(L_ID,ROW()-4)="","",IF(SUMPRODUCT((P_ID=INDEX(L_ID,ROW()-4))*(P_StatusN="INACTIVE"))&gt;0,1,0))</f>
        <v/>
      </c>
    </row>
    <row r="1692">
      <c r="A1692">
        <f>IF(INDEX(L_ID,ROW()-4)="","",IF(COUNTIF(P_ID,INDEX(L_ID,ROW()-4))&gt;0,1,0))</f>
        <v/>
      </c>
      <c r="B1692">
        <f>IF(INDEX(P_Type,ROW()-4)="","",TRIM(UPPER(INDEX(P_Type,ROW()-4))))</f>
        <v/>
      </c>
      <c r="D1692">
        <f>IF(INDEX(L_Type,ROW()-4)="","",TRIM(UPPER(INDEX(L_Type,ROW()-4))))</f>
        <v/>
      </c>
      <c r="E1692">
        <f>IF(INDEX(P_Status,ROW()-4)="","",TRIM(UPPER(INDEX(P_Status,ROW()-4))))</f>
        <v/>
      </c>
      <c r="G1692">
        <f>IF(INDEX(L_Status,ROW()-4)="","",TRIM(UPPER(INDEX(L_Status,ROW()-4))))</f>
        <v/>
      </c>
      <c r="J1692">
        <f>IF(INDEX(L_ID,ROW()-4)="","",IF(SUMPRODUCT((P_ID=INDEX(L_ID,ROW()-4))*(P_StatusN="INACTIVE"))&gt;0,1,0))</f>
        <v/>
      </c>
    </row>
    <row r="1693">
      <c r="A1693">
        <f>IF(INDEX(L_ID,ROW()-4)="","",IF(COUNTIF(P_ID,INDEX(L_ID,ROW()-4))&gt;0,1,0))</f>
        <v/>
      </c>
      <c r="B1693">
        <f>IF(INDEX(P_Type,ROW()-4)="","",TRIM(UPPER(INDEX(P_Type,ROW()-4))))</f>
        <v/>
      </c>
      <c r="D1693">
        <f>IF(INDEX(L_Type,ROW()-4)="","",TRIM(UPPER(INDEX(L_Type,ROW()-4))))</f>
        <v/>
      </c>
      <c r="E1693">
        <f>IF(INDEX(P_Status,ROW()-4)="","",TRIM(UPPER(INDEX(P_Status,ROW()-4))))</f>
        <v/>
      </c>
      <c r="G1693">
        <f>IF(INDEX(L_Status,ROW()-4)="","",TRIM(UPPER(INDEX(L_Status,ROW()-4))))</f>
        <v/>
      </c>
      <c r="J1693">
        <f>IF(INDEX(L_ID,ROW()-4)="","",IF(SUMPRODUCT((P_ID=INDEX(L_ID,ROW()-4))*(P_StatusN="INACTIVE"))&gt;0,1,0))</f>
        <v/>
      </c>
    </row>
    <row r="1694">
      <c r="A1694">
        <f>IF(INDEX(L_ID,ROW()-4)="","",IF(COUNTIF(P_ID,INDEX(L_ID,ROW()-4))&gt;0,1,0))</f>
        <v/>
      </c>
      <c r="B1694">
        <f>IF(INDEX(P_Type,ROW()-4)="","",TRIM(UPPER(INDEX(P_Type,ROW()-4))))</f>
        <v/>
      </c>
      <c r="D1694">
        <f>IF(INDEX(L_Type,ROW()-4)="","",TRIM(UPPER(INDEX(L_Type,ROW()-4))))</f>
        <v/>
      </c>
      <c r="E1694">
        <f>IF(INDEX(P_Status,ROW()-4)="","",TRIM(UPPER(INDEX(P_Status,ROW()-4))))</f>
        <v/>
      </c>
      <c r="G1694">
        <f>IF(INDEX(L_Status,ROW()-4)="","",TRIM(UPPER(INDEX(L_Status,ROW()-4))))</f>
        <v/>
      </c>
      <c r="J1694">
        <f>IF(INDEX(L_ID,ROW()-4)="","",IF(SUMPRODUCT((P_ID=INDEX(L_ID,ROW()-4))*(P_StatusN="INACTIVE"))&gt;0,1,0))</f>
        <v/>
      </c>
    </row>
    <row r="1695">
      <c r="A1695">
        <f>IF(INDEX(L_ID,ROW()-4)="","",IF(COUNTIF(P_ID,INDEX(L_ID,ROW()-4))&gt;0,1,0))</f>
        <v/>
      </c>
      <c r="B1695">
        <f>IF(INDEX(P_Type,ROW()-4)="","",TRIM(UPPER(INDEX(P_Type,ROW()-4))))</f>
        <v/>
      </c>
      <c r="D1695">
        <f>IF(INDEX(L_Type,ROW()-4)="","",TRIM(UPPER(INDEX(L_Type,ROW()-4))))</f>
        <v/>
      </c>
      <c r="E1695">
        <f>IF(INDEX(P_Status,ROW()-4)="","",TRIM(UPPER(INDEX(P_Status,ROW()-4))))</f>
        <v/>
      </c>
      <c r="G1695">
        <f>IF(INDEX(L_Status,ROW()-4)="","",TRIM(UPPER(INDEX(L_Status,ROW()-4))))</f>
        <v/>
      </c>
      <c r="J1695">
        <f>IF(INDEX(L_ID,ROW()-4)="","",IF(SUMPRODUCT((P_ID=INDEX(L_ID,ROW()-4))*(P_StatusN="INACTIVE"))&gt;0,1,0))</f>
        <v/>
      </c>
    </row>
    <row r="1696">
      <c r="A1696">
        <f>IF(INDEX(L_ID,ROW()-4)="","",IF(COUNTIF(P_ID,INDEX(L_ID,ROW()-4))&gt;0,1,0))</f>
        <v/>
      </c>
      <c r="B1696">
        <f>IF(INDEX(P_Type,ROW()-4)="","",TRIM(UPPER(INDEX(P_Type,ROW()-4))))</f>
        <v/>
      </c>
      <c r="D1696">
        <f>IF(INDEX(L_Type,ROW()-4)="","",TRIM(UPPER(INDEX(L_Type,ROW()-4))))</f>
        <v/>
      </c>
      <c r="E1696">
        <f>IF(INDEX(P_Status,ROW()-4)="","",TRIM(UPPER(INDEX(P_Status,ROW()-4))))</f>
        <v/>
      </c>
      <c r="G1696">
        <f>IF(INDEX(L_Status,ROW()-4)="","",TRIM(UPPER(INDEX(L_Status,ROW()-4))))</f>
        <v/>
      </c>
      <c r="J1696">
        <f>IF(INDEX(L_ID,ROW()-4)="","",IF(SUMPRODUCT((P_ID=INDEX(L_ID,ROW()-4))*(P_StatusN="INACTIVE"))&gt;0,1,0))</f>
        <v/>
      </c>
    </row>
    <row r="1697">
      <c r="A1697">
        <f>IF(INDEX(L_ID,ROW()-4)="","",IF(COUNTIF(P_ID,INDEX(L_ID,ROW()-4))&gt;0,1,0))</f>
        <v/>
      </c>
      <c r="B1697">
        <f>IF(INDEX(P_Type,ROW()-4)="","",TRIM(UPPER(INDEX(P_Type,ROW()-4))))</f>
        <v/>
      </c>
      <c r="D1697">
        <f>IF(INDEX(L_Type,ROW()-4)="","",TRIM(UPPER(INDEX(L_Type,ROW()-4))))</f>
        <v/>
      </c>
      <c r="E1697">
        <f>IF(INDEX(P_Status,ROW()-4)="","",TRIM(UPPER(INDEX(P_Status,ROW()-4))))</f>
        <v/>
      </c>
      <c r="G1697">
        <f>IF(INDEX(L_Status,ROW()-4)="","",TRIM(UPPER(INDEX(L_Status,ROW()-4))))</f>
        <v/>
      </c>
      <c r="J1697">
        <f>IF(INDEX(L_ID,ROW()-4)="","",IF(SUMPRODUCT((P_ID=INDEX(L_ID,ROW()-4))*(P_StatusN="INACTIVE"))&gt;0,1,0))</f>
        <v/>
      </c>
    </row>
    <row r="1698">
      <c r="A1698">
        <f>IF(INDEX(L_ID,ROW()-4)="","",IF(COUNTIF(P_ID,INDEX(L_ID,ROW()-4))&gt;0,1,0))</f>
        <v/>
      </c>
      <c r="B1698">
        <f>IF(INDEX(P_Type,ROW()-4)="","",TRIM(UPPER(INDEX(P_Type,ROW()-4))))</f>
        <v/>
      </c>
      <c r="D1698">
        <f>IF(INDEX(L_Type,ROW()-4)="","",TRIM(UPPER(INDEX(L_Type,ROW()-4))))</f>
        <v/>
      </c>
      <c r="E1698">
        <f>IF(INDEX(P_Status,ROW()-4)="","",TRIM(UPPER(INDEX(P_Status,ROW()-4))))</f>
        <v/>
      </c>
      <c r="G1698">
        <f>IF(INDEX(L_Status,ROW()-4)="","",TRIM(UPPER(INDEX(L_Status,ROW()-4))))</f>
        <v/>
      </c>
      <c r="J1698">
        <f>IF(INDEX(L_ID,ROW()-4)="","",IF(SUMPRODUCT((P_ID=INDEX(L_ID,ROW()-4))*(P_StatusN="INACTIVE"))&gt;0,1,0))</f>
        <v/>
      </c>
    </row>
    <row r="1699">
      <c r="A1699">
        <f>IF(INDEX(L_ID,ROW()-4)="","",IF(COUNTIF(P_ID,INDEX(L_ID,ROW()-4))&gt;0,1,0))</f>
        <v/>
      </c>
      <c r="B1699">
        <f>IF(INDEX(P_Type,ROW()-4)="","",TRIM(UPPER(INDEX(P_Type,ROW()-4))))</f>
        <v/>
      </c>
      <c r="D1699">
        <f>IF(INDEX(L_Type,ROW()-4)="","",TRIM(UPPER(INDEX(L_Type,ROW()-4))))</f>
        <v/>
      </c>
      <c r="E1699">
        <f>IF(INDEX(P_Status,ROW()-4)="","",TRIM(UPPER(INDEX(P_Status,ROW()-4))))</f>
        <v/>
      </c>
      <c r="G1699">
        <f>IF(INDEX(L_Status,ROW()-4)="","",TRIM(UPPER(INDEX(L_Status,ROW()-4))))</f>
        <v/>
      </c>
      <c r="J1699">
        <f>IF(INDEX(L_ID,ROW()-4)="","",IF(SUMPRODUCT((P_ID=INDEX(L_ID,ROW()-4))*(P_StatusN="INACTIVE"))&gt;0,1,0))</f>
        <v/>
      </c>
    </row>
    <row r="1700">
      <c r="A1700">
        <f>IF(INDEX(L_ID,ROW()-4)="","",IF(COUNTIF(P_ID,INDEX(L_ID,ROW()-4))&gt;0,1,0))</f>
        <v/>
      </c>
      <c r="B1700">
        <f>IF(INDEX(P_Type,ROW()-4)="","",TRIM(UPPER(INDEX(P_Type,ROW()-4))))</f>
        <v/>
      </c>
      <c r="D1700">
        <f>IF(INDEX(L_Type,ROW()-4)="","",TRIM(UPPER(INDEX(L_Type,ROW()-4))))</f>
        <v/>
      </c>
      <c r="E1700">
        <f>IF(INDEX(P_Status,ROW()-4)="","",TRIM(UPPER(INDEX(P_Status,ROW()-4))))</f>
        <v/>
      </c>
      <c r="G1700">
        <f>IF(INDEX(L_Status,ROW()-4)="","",TRIM(UPPER(INDEX(L_Status,ROW()-4))))</f>
        <v/>
      </c>
      <c r="J1700">
        <f>IF(INDEX(L_ID,ROW()-4)="","",IF(SUMPRODUCT((P_ID=INDEX(L_ID,ROW()-4))*(P_StatusN="INACTIVE"))&gt;0,1,0))</f>
        <v/>
      </c>
    </row>
    <row r="1701">
      <c r="A1701">
        <f>IF(INDEX(L_ID,ROW()-4)="","",IF(COUNTIF(P_ID,INDEX(L_ID,ROW()-4))&gt;0,1,0))</f>
        <v/>
      </c>
      <c r="B1701">
        <f>IF(INDEX(P_Type,ROW()-4)="","",TRIM(UPPER(INDEX(P_Type,ROW()-4))))</f>
        <v/>
      </c>
      <c r="D1701">
        <f>IF(INDEX(L_Type,ROW()-4)="","",TRIM(UPPER(INDEX(L_Type,ROW()-4))))</f>
        <v/>
      </c>
      <c r="E1701">
        <f>IF(INDEX(P_Status,ROW()-4)="","",TRIM(UPPER(INDEX(P_Status,ROW()-4))))</f>
        <v/>
      </c>
      <c r="G1701">
        <f>IF(INDEX(L_Status,ROW()-4)="","",TRIM(UPPER(INDEX(L_Status,ROW()-4))))</f>
        <v/>
      </c>
      <c r="J1701">
        <f>IF(INDEX(L_ID,ROW()-4)="","",IF(SUMPRODUCT((P_ID=INDEX(L_ID,ROW()-4))*(P_StatusN="INACTIVE"))&gt;0,1,0))</f>
        <v/>
      </c>
    </row>
    <row r="1702">
      <c r="A1702">
        <f>IF(INDEX(L_ID,ROW()-4)="","",IF(COUNTIF(P_ID,INDEX(L_ID,ROW()-4))&gt;0,1,0))</f>
        <v/>
      </c>
      <c r="B1702">
        <f>IF(INDEX(P_Type,ROW()-4)="","",TRIM(UPPER(INDEX(P_Type,ROW()-4))))</f>
        <v/>
      </c>
      <c r="D1702">
        <f>IF(INDEX(L_Type,ROW()-4)="","",TRIM(UPPER(INDEX(L_Type,ROW()-4))))</f>
        <v/>
      </c>
      <c r="E1702">
        <f>IF(INDEX(P_Status,ROW()-4)="","",TRIM(UPPER(INDEX(P_Status,ROW()-4))))</f>
        <v/>
      </c>
      <c r="G1702">
        <f>IF(INDEX(L_Status,ROW()-4)="","",TRIM(UPPER(INDEX(L_Status,ROW()-4))))</f>
        <v/>
      </c>
      <c r="J1702">
        <f>IF(INDEX(L_ID,ROW()-4)="","",IF(SUMPRODUCT((P_ID=INDEX(L_ID,ROW()-4))*(P_StatusN="INACTIVE"))&gt;0,1,0))</f>
        <v/>
      </c>
    </row>
    <row r="1703">
      <c r="A1703">
        <f>IF(INDEX(L_ID,ROW()-4)="","",IF(COUNTIF(P_ID,INDEX(L_ID,ROW()-4))&gt;0,1,0))</f>
        <v/>
      </c>
      <c r="B1703">
        <f>IF(INDEX(P_Type,ROW()-4)="","",TRIM(UPPER(INDEX(P_Type,ROW()-4))))</f>
        <v/>
      </c>
      <c r="D1703">
        <f>IF(INDEX(L_Type,ROW()-4)="","",TRIM(UPPER(INDEX(L_Type,ROW()-4))))</f>
        <v/>
      </c>
      <c r="E1703">
        <f>IF(INDEX(P_Status,ROW()-4)="","",TRIM(UPPER(INDEX(P_Status,ROW()-4))))</f>
        <v/>
      </c>
      <c r="G1703">
        <f>IF(INDEX(L_Status,ROW()-4)="","",TRIM(UPPER(INDEX(L_Status,ROW()-4))))</f>
        <v/>
      </c>
      <c r="J1703">
        <f>IF(INDEX(L_ID,ROW()-4)="","",IF(SUMPRODUCT((P_ID=INDEX(L_ID,ROW()-4))*(P_StatusN="INACTIVE"))&gt;0,1,0))</f>
        <v/>
      </c>
    </row>
    <row r="1704">
      <c r="A1704">
        <f>IF(INDEX(L_ID,ROW()-4)="","",IF(COUNTIF(P_ID,INDEX(L_ID,ROW()-4))&gt;0,1,0))</f>
        <v/>
      </c>
      <c r="B1704">
        <f>IF(INDEX(P_Type,ROW()-4)="","",TRIM(UPPER(INDEX(P_Type,ROW()-4))))</f>
        <v/>
      </c>
      <c r="D1704">
        <f>IF(INDEX(L_Type,ROW()-4)="","",TRIM(UPPER(INDEX(L_Type,ROW()-4))))</f>
        <v/>
      </c>
      <c r="E1704">
        <f>IF(INDEX(P_Status,ROW()-4)="","",TRIM(UPPER(INDEX(P_Status,ROW()-4))))</f>
        <v/>
      </c>
      <c r="G1704">
        <f>IF(INDEX(L_Status,ROW()-4)="","",TRIM(UPPER(INDEX(L_Status,ROW()-4))))</f>
        <v/>
      </c>
      <c r="J1704">
        <f>IF(INDEX(L_ID,ROW()-4)="","",IF(SUMPRODUCT((P_ID=INDEX(L_ID,ROW()-4))*(P_StatusN="INACTIVE"))&gt;0,1,0))</f>
        <v/>
      </c>
    </row>
    <row r="1705">
      <c r="A1705">
        <f>IF(INDEX(L_ID,ROW()-4)="","",IF(COUNTIF(P_ID,INDEX(L_ID,ROW()-4))&gt;0,1,0))</f>
        <v/>
      </c>
      <c r="B1705">
        <f>IF(INDEX(P_Type,ROW()-4)="","",TRIM(UPPER(INDEX(P_Type,ROW()-4))))</f>
        <v/>
      </c>
      <c r="D1705">
        <f>IF(INDEX(L_Type,ROW()-4)="","",TRIM(UPPER(INDEX(L_Type,ROW()-4))))</f>
        <v/>
      </c>
      <c r="E1705">
        <f>IF(INDEX(P_Status,ROW()-4)="","",TRIM(UPPER(INDEX(P_Status,ROW()-4))))</f>
        <v/>
      </c>
      <c r="G1705">
        <f>IF(INDEX(L_Status,ROW()-4)="","",TRIM(UPPER(INDEX(L_Status,ROW()-4))))</f>
        <v/>
      </c>
      <c r="J1705">
        <f>IF(INDEX(L_ID,ROW()-4)="","",IF(SUMPRODUCT((P_ID=INDEX(L_ID,ROW()-4))*(P_StatusN="INACTIVE"))&gt;0,1,0))</f>
        <v/>
      </c>
    </row>
    <row r="1706">
      <c r="A1706">
        <f>IF(INDEX(L_ID,ROW()-4)="","",IF(COUNTIF(P_ID,INDEX(L_ID,ROW()-4))&gt;0,1,0))</f>
        <v/>
      </c>
      <c r="B1706">
        <f>IF(INDEX(P_Type,ROW()-4)="","",TRIM(UPPER(INDEX(P_Type,ROW()-4))))</f>
        <v/>
      </c>
      <c r="D1706">
        <f>IF(INDEX(L_Type,ROW()-4)="","",TRIM(UPPER(INDEX(L_Type,ROW()-4))))</f>
        <v/>
      </c>
      <c r="E1706">
        <f>IF(INDEX(P_Status,ROW()-4)="","",TRIM(UPPER(INDEX(P_Status,ROW()-4))))</f>
        <v/>
      </c>
      <c r="G1706">
        <f>IF(INDEX(L_Status,ROW()-4)="","",TRIM(UPPER(INDEX(L_Status,ROW()-4))))</f>
        <v/>
      </c>
      <c r="J1706">
        <f>IF(INDEX(L_ID,ROW()-4)="","",IF(SUMPRODUCT((P_ID=INDEX(L_ID,ROW()-4))*(P_StatusN="INACTIVE"))&gt;0,1,0))</f>
        <v/>
      </c>
    </row>
    <row r="1707">
      <c r="A1707">
        <f>IF(INDEX(L_ID,ROW()-4)="","",IF(COUNTIF(P_ID,INDEX(L_ID,ROW()-4))&gt;0,1,0))</f>
        <v/>
      </c>
      <c r="B1707">
        <f>IF(INDEX(P_Type,ROW()-4)="","",TRIM(UPPER(INDEX(P_Type,ROW()-4))))</f>
        <v/>
      </c>
      <c r="D1707">
        <f>IF(INDEX(L_Type,ROW()-4)="","",TRIM(UPPER(INDEX(L_Type,ROW()-4))))</f>
        <v/>
      </c>
      <c r="E1707">
        <f>IF(INDEX(P_Status,ROW()-4)="","",TRIM(UPPER(INDEX(P_Status,ROW()-4))))</f>
        <v/>
      </c>
      <c r="G1707">
        <f>IF(INDEX(L_Status,ROW()-4)="","",TRIM(UPPER(INDEX(L_Status,ROW()-4))))</f>
        <v/>
      </c>
      <c r="J1707">
        <f>IF(INDEX(L_ID,ROW()-4)="","",IF(SUMPRODUCT((P_ID=INDEX(L_ID,ROW()-4))*(P_StatusN="INACTIVE"))&gt;0,1,0))</f>
        <v/>
      </c>
    </row>
    <row r="1708">
      <c r="A1708">
        <f>IF(INDEX(L_ID,ROW()-4)="","",IF(COUNTIF(P_ID,INDEX(L_ID,ROW()-4))&gt;0,1,0))</f>
        <v/>
      </c>
      <c r="B1708">
        <f>IF(INDEX(P_Type,ROW()-4)="","",TRIM(UPPER(INDEX(P_Type,ROW()-4))))</f>
        <v/>
      </c>
      <c r="D1708">
        <f>IF(INDEX(L_Type,ROW()-4)="","",TRIM(UPPER(INDEX(L_Type,ROW()-4))))</f>
        <v/>
      </c>
      <c r="E1708">
        <f>IF(INDEX(P_Status,ROW()-4)="","",TRIM(UPPER(INDEX(P_Status,ROW()-4))))</f>
        <v/>
      </c>
      <c r="G1708">
        <f>IF(INDEX(L_Status,ROW()-4)="","",TRIM(UPPER(INDEX(L_Status,ROW()-4))))</f>
        <v/>
      </c>
      <c r="J1708">
        <f>IF(INDEX(L_ID,ROW()-4)="","",IF(SUMPRODUCT((P_ID=INDEX(L_ID,ROW()-4))*(P_StatusN="INACTIVE"))&gt;0,1,0))</f>
        <v/>
      </c>
    </row>
    <row r="1709">
      <c r="A1709">
        <f>IF(INDEX(L_ID,ROW()-4)="","",IF(COUNTIF(P_ID,INDEX(L_ID,ROW()-4))&gt;0,1,0))</f>
        <v/>
      </c>
      <c r="B1709">
        <f>IF(INDEX(P_Type,ROW()-4)="","",TRIM(UPPER(INDEX(P_Type,ROW()-4))))</f>
        <v/>
      </c>
      <c r="D1709">
        <f>IF(INDEX(L_Type,ROW()-4)="","",TRIM(UPPER(INDEX(L_Type,ROW()-4))))</f>
        <v/>
      </c>
      <c r="E1709">
        <f>IF(INDEX(P_Status,ROW()-4)="","",TRIM(UPPER(INDEX(P_Status,ROW()-4))))</f>
        <v/>
      </c>
      <c r="G1709">
        <f>IF(INDEX(L_Status,ROW()-4)="","",TRIM(UPPER(INDEX(L_Status,ROW()-4))))</f>
        <v/>
      </c>
      <c r="J1709">
        <f>IF(INDEX(L_ID,ROW()-4)="","",IF(SUMPRODUCT((P_ID=INDEX(L_ID,ROW()-4))*(P_StatusN="INACTIVE"))&gt;0,1,0))</f>
        <v/>
      </c>
    </row>
    <row r="1710">
      <c r="A1710">
        <f>IF(INDEX(L_ID,ROW()-4)="","",IF(COUNTIF(P_ID,INDEX(L_ID,ROW()-4))&gt;0,1,0))</f>
        <v/>
      </c>
      <c r="B1710">
        <f>IF(INDEX(P_Type,ROW()-4)="","",TRIM(UPPER(INDEX(P_Type,ROW()-4))))</f>
        <v/>
      </c>
      <c r="D1710">
        <f>IF(INDEX(L_Type,ROW()-4)="","",TRIM(UPPER(INDEX(L_Type,ROW()-4))))</f>
        <v/>
      </c>
      <c r="E1710">
        <f>IF(INDEX(P_Status,ROW()-4)="","",TRIM(UPPER(INDEX(P_Status,ROW()-4))))</f>
        <v/>
      </c>
      <c r="G1710">
        <f>IF(INDEX(L_Status,ROW()-4)="","",TRIM(UPPER(INDEX(L_Status,ROW()-4))))</f>
        <v/>
      </c>
      <c r="J1710">
        <f>IF(INDEX(L_ID,ROW()-4)="","",IF(SUMPRODUCT((P_ID=INDEX(L_ID,ROW()-4))*(P_StatusN="INACTIVE"))&gt;0,1,0))</f>
        <v/>
      </c>
    </row>
    <row r="1711">
      <c r="A1711">
        <f>IF(INDEX(L_ID,ROW()-4)="","",IF(COUNTIF(P_ID,INDEX(L_ID,ROW()-4))&gt;0,1,0))</f>
        <v/>
      </c>
      <c r="B1711">
        <f>IF(INDEX(P_Type,ROW()-4)="","",TRIM(UPPER(INDEX(P_Type,ROW()-4))))</f>
        <v/>
      </c>
      <c r="D1711">
        <f>IF(INDEX(L_Type,ROW()-4)="","",TRIM(UPPER(INDEX(L_Type,ROW()-4))))</f>
        <v/>
      </c>
      <c r="E1711">
        <f>IF(INDEX(P_Status,ROW()-4)="","",TRIM(UPPER(INDEX(P_Status,ROW()-4))))</f>
        <v/>
      </c>
      <c r="G1711">
        <f>IF(INDEX(L_Status,ROW()-4)="","",TRIM(UPPER(INDEX(L_Status,ROW()-4))))</f>
        <v/>
      </c>
      <c r="J1711">
        <f>IF(INDEX(L_ID,ROW()-4)="","",IF(SUMPRODUCT((P_ID=INDEX(L_ID,ROW()-4))*(P_StatusN="INACTIVE"))&gt;0,1,0))</f>
        <v/>
      </c>
    </row>
    <row r="1712">
      <c r="A1712">
        <f>IF(INDEX(L_ID,ROW()-4)="","",IF(COUNTIF(P_ID,INDEX(L_ID,ROW()-4))&gt;0,1,0))</f>
        <v/>
      </c>
      <c r="B1712">
        <f>IF(INDEX(P_Type,ROW()-4)="","",TRIM(UPPER(INDEX(P_Type,ROW()-4))))</f>
        <v/>
      </c>
      <c r="D1712">
        <f>IF(INDEX(L_Type,ROW()-4)="","",TRIM(UPPER(INDEX(L_Type,ROW()-4))))</f>
        <v/>
      </c>
      <c r="E1712">
        <f>IF(INDEX(P_Status,ROW()-4)="","",TRIM(UPPER(INDEX(P_Status,ROW()-4))))</f>
        <v/>
      </c>
      <c r="G1712">
        <f>IF(INDEX(L_Status,ROW()-4)="","",TRIM(UPPER(INDEX(L_Status,ROW()-4))))</f>
        <v/>
      </c>
      <c r="J1712">
        <f>IF(INDEX(L_ID,ROW()-4)="","",IF(SUMPRODUCT((P_ID=INDEX(L_ID,ROW()-4))*(P_StatusN="INACTIVE"))&gt;0,1,0))</f>
        <v/>
      </c>
    </row>
    <row r="1713">
      <c r="A1713">
        <f>IF(INDEX(L_ID,ROW()-4)="","",IF(COUNTIF(P_ID,INDEX(L_ID,ROW()-4))&gt;0,1,0))</f>
        <v/>
      </c>
      <c r="B1713">
        <f>IF(INDEX(P_Type,ROW()-4)="","",TRIM(UPPER(INDEX(P_Type,ROW()-4))))</f>
        <v/>
      </c>
      <c r="D1713">
        <f>IF(INDEX(L_Type,ROW()-4)="","",TRIM(UPPER(INDEX(L_Type,ROW()-4))))</f>
        <v/>
      </c>
      <c r="E1713">
        <f>IF(INDEX(P_Status,ROW()-4)="","",TRIM(UPPER(INDEX(P_Status,ROW()-4))))</f>
        <v/>
      </c>
      <c r="G1713">
        <f>IF(INDEX(L_Status,ROW()-4)="","",TRIM(UPPER(INDEX(L_Status,ROW()-4))))</f>
        <v/>
      </c>
      <c r="J1713">
        <f>IF(INDEX(L_ID,ROW()-4)="","",IF(SUMPRODUCT((P_ID=INDEX(L_ID,ROW()-4))*(P_StatusN="INACTIVE"))&gt;0,1,0))</f>
        <v/>
      </c>
    </row>
    <row r="1714">
      <c r="A1714">
        <f>IF(INDEX(L_ID,ROW()-4)="","",IF(COUNTIF(P_ID,INDEX(L_ID,ROW()-4))&gt;0,1,0))</f>
        <v/>
      </c>
      <c r="B1714">
        <f>IF(INDEX(P_Type,ROW()-4)="","",TRIM(UPPER(INDEX(P_Type,ROW()-4))))</f>
        <v/>
      </c>
      <c r="D1714">
        <f>IF(INDEX(L_Type,ROW()-4)="","",TRIM(UPPER(INDEX(L_Type,ROW()-4))))</f>
        <v/>
      </c>
      <c r="E1714">
        <f>IF(INDEX(P_Status,ROW()-4)="","",TRIM(UPPER(INDEX(P_Status,ROW()-4))))</f>
        <v/>
      </c>
      <c r="G1714">
        <f>IF(INDEX(L_Status,ROW()-4)="","",TRIM(UPPER(INDEX(L_Status,ROW()-4))))</f>
        <v/>
      </c>
      <c r="J1714">
        <f>IF(INDEX(L_ID,ROW()-4)="","",IF(SUMPRODUCT((P_ID=INDEX(L_ID,ROW()-4))*(P_StatusN="INACTIVE"))&gt;0,1,0))</f>
        <v/>
      </c>
    </row>
    <row r="1715">
      <c r="A1715">
        <f>IF(INDEX(L_ID,ROW()-4)="","",IF(COUNTIF(P_ID,INDEX(L_ID,ROW()-4))&gt;0,1,0))</f>
        <v/>
      </c>
      <c r="B1715">
        <f>IF(INDEX(P_Type,ROW()-4)="","",TRIM(UPPER(INDEX(P_Type,ROW()-4))))</f>
        <v/>
      </c>
      <c r="D1715">
        <f>IF(INDEX(L_Type,ROW()-4)="","",TRIM(UPPER(INDEX(L_Type,ROW()-4))))</f>
        <v/>
      </c>
      <c r="E1715">
        <f>IF(INDEX(P_Status,ROW()-4)="","",TRIM(UPPER(INDEX(P_Status,ROW()-4))))</f>
        <v/>
      </c>
      <c r="G1715">
        <f>IF(INDEX(L_Status,ROW()-4)="","",TRIM(UPPER(INDEX(L_Status,ROW()-4))))</f>
        <v/>
      </c>
      <c r="J1715">
        <f>IF(INDEX(L_ID,ROW()-4)="","",IF(SUMPRODUCT((P_ID=INDEX(L_ID,ROW()-4))*(P_StatusN="INACTIVE"))&gt;0,1,0))</f>
        <v/>
      </c>
    </row>
    <row r="1716">
      <c r="A1716">
        <f>IF(INDEX(L_ID,ROW()-4)="","",IF(COUNTIF(P_ID,INDEX(L_ID,ROW()-4))&gt;0,1,0))</f>
        <v/>
      </c>
      <c r="B1716">
        <f>IF(INDEX(P_Type,ROW()-4)="","",TRIM(UPPER(INDEX(P_Type,ROW()-4))))</f>
        <v/>
      </c>
      <c r="D1716">
        <f>IF(INDEX(L_Type,ROW()-4)="","",TRIM(UPPER(INDEX(L_Type,ROW()-4))))</f>
        <v/>
      </c>
      <c r="E1716">
        <f>IF(INDEX(P_Status,ROW()-4)="","",TRIM(UPPER(INDEX(P_Status,ROW()-4))))</f>
        <v/>
      </c>
      <c r="G1716">
        <f>IF(INDEX(L_Status,ROW()-4)="","",TRIM(UPPER(INDEX(L_Status,ROW()-4))))</f>
        <v/>
      </c>
      <c r="J1716">
        <f>IF(INDEX(L_ID,ROW()-4)="","",IF(SUMPRODUCT((P_ID=INDEX(L_ID,ROW()-4))*(P_StatusN="INACTIVE"))&gt;0,1,0))</f>
        <v/>
      </c>
    </row>
    <row r="1717">
      <c r="A1717">
        <f>IF(INDEX(L_ID,ROW()-4)="","",IF(COUNTIF(P_ID,INDEX(L_ID,ROW()-4))&gt;0,1,0))</f>
        <v/>
      </c>
      <c r="B1717">
        <f>IF(INDEX(P_Type,ROW()-4)="","",TRIM(UPPER(INDEX(P_Type,ROW()-4))))</f>
        <v/>
      </c>
      <c r="D1717">
        <f>IF(INDEX(L_Type,ROW()-4)="","",TRIM(UPPER(INDEX(L_Type,ROW()-4))))</f>
        <v/>
      </c>
      <c r="E1717">
        <f>IF(INDEX(P_Status,ROW()-4)="","",TRIM(UPPER(INDEX(P_Status,ROW()-4))))</f>
        <v/>
      </c>
      <c r="G1717">
        <f>IF(INDEX(L_Status,ROW()-4)="","",TRIM(UPPER(INDEX(L_Status,ROW()-4))))</f>
        <v/>
      </c>
      <c r="J1717">
        <f>IF(INDEX(L_ID,ROW()-4)="","",IF(SUMPRODUCT((P_ID=INDEX(L_ID,ROW()-4))*(P_StatusN="INACTIVE"))&gt;0,1,0))</f>
        <v/>
      </c>
    </row>
    <row r="1718">
      <c r="A1718">
        <f>IF(INDEX(L_ID,ROW()-4)="","",IF(COUNTIF(P_ID,INDEX(L_ID,ROW()-4))&gt;0,1,0))</f>
        <v/>
      </c>
      <c r="B1718">
        <f>IF(INDEX(P_Type,ROW()-4)="","",TRIM(UPPER(INDEX(P_Type,ROW()-4))))</f>
        <v/>
      </c>
      <c r="D1718">
        <f>IF(INDEX(L_Type,ROW()-4)="","",TRIM(UPPER(INDEX(L_Type,ROW()-4))))</f>
        <v/>
      </c>
      <c r="E1718">
        <f>IF(INDEX(P_Status,ROW()-4)="","",TRIM(UPPER(INDEX(P_Status,ROW()-4))))</f>
        <v/>
      </c>
      <c r="G1718">
        <f>IF(INDEX(L_Status,ROW()-4)="","",TRIM(UPPER(INDEX(L_Status,ROW()-4))))</f>
        <v/>
      </c>
      <c r="J1718">
        <f>IF(INDEX(L_ID,ROW()-4)="","",IF(SUMPRODUCT((P_ID=INDEX(L_ID,ROW()-4))*(P_StatusN="INACTIVE"))&gt;0,1,0))</f>
        <v/>
      </c>
    </row>
    <row r="1719">
      <c r="A1719">
        <f>IF(INDEX(L_ID,ROW()-4)="","",IF(COUNTIF(P_ID,INDEX(L_ID,ROW()-4))&gt;0,1,0))</f>
        <v/>
      </c>
      <c r="B1719">
        <f>IF(INDEX(P_Type,ROW()-4)="","",TRIM(UPPER(INDEX(P_Type,ROW()-4))))</f>
        <v/>
      </c>
      <c r="D1719">
        <f>IF(INDEX(L_Type,ROW()-4)="","",TRIM(UPPER(INDEX(L_Type,ROW()-4))))</f>
        <v/>
      </c>
      <c r="E1719">
        <f>IF(INDEX(P_Status,ROW()-4)="","",TRIM(UPPER(INDEX(P_Status,ROW()-4))))</f>
        <v/>
      </c>
      <c r="G1719">
        <f>IF(INDEX(L_Status,ROW()-4)="","",TRIM(UPPER(INDEX(L_Status,ROW()-4))))</f>
        <v/>
      </c>
      <c r="J1719">
        <f>IF(INDEX(L_ID,ROW()-4)="","",IF(SUMPRODUCT((P_ID=INDEX(L_ID,ROW()-4))*(P_StatusN="INACTIVE"))&gt;0,1,0))</f>
        <v/>
      </c>
    </row>
    <row r="1720">
      <c r="A1720">
        <f>IF(INDEX(L_ID,ROW()-4)="","",IF(COUNTIF(P_ID,INDEX(L_ID,ROW()-4))&gt;0,1,0))</f>
        <v/>
      </c>
      <c r="B1720">
        <f>IF(INDEX(P_Type,ROW()-4)="","",TRIM(UPPER(INDEX(P_Type,ROW()-4))))</f>
        <v/>
      </c>
      <c r="D1720">
        <f>IF(INDEX(L_Type,ROW()-4)="","",TRIM(UPPER(INDEX(L_Type,ROW()-4))))</f>
        <v/>
      </c>
      <c r="E1720">
        <f>IF(INDEX(P_Status,ROW()-4)="","",TRIM(UPPER(INDEX(P_Status,ROW()-4))))</f>
        <v/>
      </c>
      <c r="G1720">
        <f>IF(INDEX(L_Status,ROW()-4)="","",TRIM(UPPER(INDEX(L_Status,ROW()-4))))</f>
        <v/>
      </c>
      <c r="J1720">
        <f>IF(INDEX(L_ID,ROW()-4)="","",IF(SUMPRODUCT((P_ID=INDEX(L_ID,ROW()-4))*(P_StatusN="INACTIVE"))&gt;0,1,0))</f>
        <v/>
      </c>
    </row>
    <row r="1721">
      <c r="A1721">
        <f>IF(INDEX(L_ID,ROW()-4)="","",IF(COUNTIF(P_ID,INDEX(L_ID,ROW()-4))&gt;0,1,0))</f>
        <v/>
      </c>
      <c r="B1721">
        <f>IF(INDEX(P_Type,ROW()-4)="","",TRIM(UPPER(INDEX(P_Type,ROW()-4))))</f>
        <v/>
      </c>
      <c r="D1721">
        <f>IF(INDEX(L_Type,ROW()-4)="","",TRIM(UPPER(INDEX(L_Type,ROW()-4))))</f>
        <v/>
      </c>
      <c r="E1721">
        <f>IF(INDEX(P_Status,ROW()-4)="","",TRIM(UPPER(INDEX(P_Status,ROW()-4))))</f>
        <v/>
      </c>
      <c r="G1721">
        <f>IF(INDEX(L_Status,ROW()-4)="","",TRIM(UPPER(INDEX(L_Status,ROW()-4))))</f>
        <v/>
      </c>
      <c r="J1721">
        <f>IF(INDEX(L_ID,ROW()-4)="","",IF(SUMPRODUCT((P_ID=INDEX(L_ID,ROW()-4))*(P_StatusN="INACTIVE"))&gt;0,1,0))</f>
        <v/>
      </c>
    </row>
    <row r="1722">
      <c r="A1722">
        <f>IF(INDEX(L_ID,ROW()-4)="","",IF(COUNTIF(P_ID,INDEX(L_ID,ROW()-4))&gt;0,1,0))</f>
        <v/>
      </c>
      <c r="B1722">
        <f>IF(INDEX(P_Type,ROW()-4)="","",TRIM(UPPER(INDEX(P_Type,ROW()-4))))</f>
        <v/>
      </c>
      <c r="D1722">
        <f>IF(INDEX(L_Type,ROW()-4)="","",TRIM(UPPER(INDEX(L_Type,ROW()-4))))</f>
        <v/>
      </c>
      <c r="E1722">
        <f>IF(INDEX(P_Status,ROW()-4)="","",TRIM(UPPER(INDEX(P_Status,ROW()-4))))</f>
        <v/>
      </c>
      <c r="G1722">
        <f>IF(INDEX(L_Status,ROW()-4)="","",TRIM(UPPER(INDEX(L_Status,ROW()-4))))</f>
        <v/>
      </c>
      <c r="J1722">
        <f>IF(INDEX(L_ID,ROW()-4)="","",IF(SUMPRODUCT((P_ID=INDEX(L_ID,ROW()-4))*(P_StatusN="INACTIVE"))&gt;0,1,0))</f>
        <v/>
      </c>
    </row>
    <row r="1723">
      <c r="A1723">
        <f>IF(INDEX(L_ID,ROW()-4)="","",IF(COUNTIF(P_ID,INDEX(L_ID,ROW()-4))&gt;0,1,0))</f>
        <v/>
      </c>
      <c r="B1723">
        <f>IF(INDEX(P_Type,ROW()-4)="","",TRIM(UPPER(INDEX(P_Type,ROW()-4))))</f>
        <v/>
      </c>
      <c r="D1723">
        <f>IF(INDEX(L_Type,ROW()-4)="","",TRIM(UPPER(INDEX(L_Type,ROW()-4))))</f>
        <v/>
      </c>
      <c r="E1723">
        <f>IF(INDEX(P_Status,ROW()-4)="","",TRIM(UPPER(INDEX(P_Status,ROW()-4))))</f>
        <v/>
      </c>
      <c r="G1723">
        <f>IF(INDEX(L_Status,ROW()-4)="","",TRIM(UPPER(INDEX(L_Status,ROW()-4))))</f>
        <v/>
      </c>
      <c r="J1723">
        <f>IF(INDEX(L_ID,ROW()-4)="","",IF(SUMPRODUCT((P_ID=INDEX(L_ID,ROW()-4))*(P_StatusN="INACTIVE"))&gt;0,1,0))</f>
        <v/>
      </c>
    </row>
    <row r="1724">
      <c r="A1724">
        <f>IF(INDEX(L_ID,ROW()-4)="","",IF(COUNTIF(P_ID,INDEX(L_ID,ROW()-4))&gt;0,1,0))</f>
        <v/>
      </c>
      <c r="B1724">
        <f>IF(INDEX(P_Type,ROW()-4)="","",TRIM(UPPER(INDEX(P_Type,ROW()-4))))</f>
        <v/>
      </c>
      <c r="D1724">
        <f>IF(INDEX(L_Type,ROW()-4)="","",TRIM(UPPER(INDEX(L_Type,ROW()-4))))</f>
        <v/>
      </c>
      <c r="E1724">
        <f>IF(INDEX(P_Status,ROW()-4)="","",TRIM(UPPER(INDEX(P_Status,ROW()-4))))</f>
        <v/>
      </c>
      <c r="G1724">
        <f>IF(INDEX(L_Status,ROW()-4)="","",TRIM(UPPER(INDEX(L_Status,ROW()-4))))</f>
        <v/>
      </c>
      <c r="J1724">
        <f>IF(INDEX(L_ID,ROW()-4)="","",IF(SUMPRODUCT((P_ID=INDEX(L_ID,ROW()-4))*(P_StatusN="INACTIVE"))&gt;0,1,0))</f>
        <v/>
      </c>
    </row>
    <row r="1725">
      <c r="A1725">
        <f>IF(INDEX(L_ID,ROW()-4)="","",IF(COUNTIF(P_ID,INDEX(L_ID,ROW()-4))&gt;0,1,0))</f>
        <v/>
      </c>
      <c r="B1725">
        <f>IF(INDEX(P_Type,ROW()-4)="","",TRIM(UPPER(INDEX(P_Type,ROW()-4))))</f>
        <v/>
      </c>
      <c r="D1725">
        <f>IF(INDEX(L_Type,ROW()-4)="","",TRIM(UPPER(INDEX(L_Type,ROW()-4))))</f>
        <v/>
      </c>
      <c r="E1725">
        <f>IF(INDEX(P_Status,ROW()-4)="","",TRIM(UPPER(INDEX(P_Status,ROW()-4))))</f>
        <v/>
      </c>
      <c r="G1725">
        <f>IF(INDEX(L_Status,ROW()-4)="","",TRIM(UPPER(INDEX(L_Status,ROW()-4))))</f>
        <v/>
      </c>
      <c r="J1725">
        <f>IF(INDEX(L_ID,ROW()-4)="","",IF(SUMPRODUCT((P_ID=INDEX(L_ID,ROW()-4))*(P_StatusN="INACTIVE"))&gt;0,1,0))</f>
        <v/>
      </c>
    </row>
    <row r="1726">
      <c r="A1726">
        <f>IF(INDEX(L_ID,ROW()-4)="","",IF(COUNTIF(P_ID,INDEX(L_ID,ROW()-4))&gt;0,1,0))</f>
        <v/>
      </c>
      <c r="B1726">
        <f>IF(INDEX(P_Type,ROW()-4)="","",TRIM(UPPER(INDEX(P_Type,ROW()-4))))</f>
        <v/>
      </c>
      <c r="D1726">
        <f>IF(INDEX(L_Type,ROW()-4)="","",TRIM(UPPER(INDEX(L_Type,ROW()-4))))</f>
        <v/>
      </c>
      <c r="E1726">
        <f>IF(INDEX(P_Status,ROW()-4)="","",TRIM(UPPER(INDEX(P_Status,ROW()-4))))</f>
        <v/>
      </c>
      <c r="G1726">
        <f>IF(INDEX(L_Status,ROW()-4)="","",TRIM(UPPER(INDEX(L_Status,ROW()-4))))</f>
        <v/>
      </c>
      <c r="J1726">
        <f>IF(INDEX(L_ID,ROW()-4)="","",IF(SUMPRODUCT((P_ID=INDEX(L_ID,ROW()-4))*(P_StatusN="INACTIVE"))&gt;0,1,0))</f>
        <v/>
      </c>
    </row>
    <row r="1727">
      <c r="A1727">
        <f>IF(INDEX(L_ID,ROW()-4)="","",IF(COUNTIF(P_ID,INDEX(L_ID,ROW()-4))&gt;0,1,0))</f>
        <v/>
      </c>
      <c r="B1727">
        <f>IF(INDEX(P_Type,ROW()-4)="","",TRIM(UPPER(INDEX(P_Type,ROW()-4))))</f>
        <v/>
      </c>
      <c r="D1727">
        <f>IF(INDEX(L_Type,ROW()-4)="","",TRIM(UPPER(INDEX(L_Type,ROW()-4))))</f>
        <v/>
      </c>
      <c r="E1727">
        <f>IF(INDEX(P_Status,ROW()-4)="","",TRIM(UPPER(INDEX(P_Status,ROW()-4))))</f>
        <v/>
      </c>
      <c r="G1727">
        <f>IF(INDEX(L_Status,ROW()-4)="","",TRIM(UPPER(INDEX(L_Status,ROW()-4))))</f>
        <v/>
      </c>
      <c r="J1727">
        <f>IF(INDEX(L_ID,ROW()-4)="","",IF(SUMPRODUCT((P_ID=INDEX(L_ID,ROW()-4))*(P_StatusN="INACTIVE"))&gt;0,1,0))</f>
        <v/>
      </c>
    </row>
    <row r="1728">
      <c r="A1728">
        <f>IF(INDEX(L_ID,ROW()-4)="","",IF(COUNTIF(P_ID,INDEX(L_ID,ROW()-4))&gt;0,1,0))</f>
        <v/>
      </c>
      <c r="B1728">
        <f>IF(INDEX(P_Type,ROW()-4)="","",TRIM(UPPER(INDEX(P_Type,ROW()-4))))</f>
        <v/>
      </c>
      <c r="D1728">
        <f>IF(INDEX(L_Type,ROW()-4)="","",TRIM(UPPER(INDEX(L_Type,ROW()-4))))</f>
        <v/>
      </c>
      <c r="E1728">
        <f>IF(INDEX(P_Status,ROW()-4)="","",TRIM(UPPER(INDEX(P_Status,ROW()-4))))</f>
        <v/>
      </c>
      <c r="G1728">
        <f>IF(INDEX(L_Status,ROW()-4)="","",TRIM(UPPER(INDEX(L_Status,ROW()-4))))</f>
        <v/>
      </c>
      <c r="J1728">
        <f>IF(INDEX(L_ID,ROW()-4)="","",IF(SUMPRODUCT((P_ID=INDEX(L_ID,ROW()-4))*(P_StatusN="INACTIVE"))&gt;0,1,0))</f>
        <v/>
      </c>
    </row>
    <row r="1729">
      <c r="A1729">
        <f>IF(INDEX(L_ID,ROW()-4)="","",IF(COUNTIF(P_ID,INDEX(L_ID,ROW()-4))&gt;0,1,0))</f>
        <v/>
      </c>
      <c r="B1729">
        <f>IF(INDEX(P_Type,ROW()-4)="","",TRIM(UPPER(INDEX(P_Type,ROW()-4))))</f>
        <v/>
      </c>
      <c r="D1729">
        <f>IF(INDEX(L_Type,ROW()-4)="","",TRIM(UPPER(INDEX(L_Type,ROW()-4))))</f>
        <v/>
      </c>
      <c r="E1729">
        <f>IF(INDEX(P_Status,ROW()-4)="","",TRIM(UPPER(INDEX(P_Status,ROW()-4))))</f>
        <v/>
      </c>
      <c r="G1729">
        <f>IF(INDEX(L_Status,ROW()-4)="","",TRIM(UPPER(INDEX(L_Status,ROW()-4))))</f>
        <v/>
      </c>
      <c r="J1729">
        <f>IF(INDEX(L_ID,ROW()-4)="","",IF(SUMPRODUCT((P_ID=INDEX(L_ID,ROW()-4))*(P_StatusN="INACTIVE"))&gt;0,1,0))</f>
        <v/>
      </c>
    </row>
    <row r="1730">
      <c r="A1730">
        <f>IF(INDEX(L_ID,ROW()-4)="","",IF(COUNTIF(P_ID,INDEX(L_ID,ROW()-4))&gt;0,1,0))</f>
        <v/>
      </c>
      <c r="B1730">
        <f>IF(INDEX(P_Type,ROW()-4)="","",TRIM(UPPER(INDEX(P_Type,ROW()-4))))</f>
        <v/>
      </c>
      <c r="D1730">
        <f>IF(INDEX(L_Type,ROW()-4)="","",TRIM(UPPER(INDEX(L_Type,ROW()-4))))</f>
        <v/>
      </c>
      <c r="E1730">
        <f>IF(INDEX(P_Status,ROW()-4)="","",TRIM(UPPER(INDEX(P_Status,ROW()-4))))</f>
        <v/>
      </c>
      <c r="G1730">
        <f>IF(INDEX(L_Status,ROW()-4)="","",TRIM(UPPER(INDEX(L_Status,ROW()-4))))</f>
        <v/>
      </c>
      <c r="J1730">
        <f>IF(INDEX(L_ID,ROW()-4)="","",IF(SUMPRODUCT((P_ID=INDEX(L_ID,ROW()-4))*(P_StatusN="INACTIVE"))&gt;0,1,0))</f>
        <v/>
      </c>
    </row>
    <row r="1731">
      <c r="A1731">
        <f>IF(INDEX(L_ID,ROW()-4)="","",IF(COUNTIF(P_ID,INDEX(L_ID,ROW()-4))&gt;0,1,0))</f>
        <v/>
      </c>
      <c r="B1731">
        <f>IF(INDEX(P_Type,ROW()-4)="","",TRIM(UPPER(INDEX(P_Type,ROW()-4))))</f>
        <v/>
      </c>
      <c r="D1731">
        <f>IF(INDEX(L_Type,ROW()-4)="","",TRIM(UPPER(INDEX(L_Type,ROW()-4))))</f>
        <v/>
      </c>
      <c r="E1731">
        <f>IF(INDEX(P_Status,ROW()-4)="","",TRIM(UPPER(INDEX(P_Status,ROW()-4))))</f>
        <v/>
      </c>
      <c r="G1731">
        <f>IF(INDEX(L_Status,ROW()-4)="","",TRIM(UPPER(INDEX(L_Status,ROW()-4))))</f>
        <v/>
      </c>
      <c r="J1731">
        <f>IF(INDEX(L_ID,ROW()-4)="","",IF(SUMPRODUCT((P_ID=INDEX(L_ID,ROW()-4))*(P_StatusN="INACTIVE"))&gt;0,1,0))</f>
        <v/>
      </c>
    </row>
    <row r="1732">
      <c r="A1732">
        <f>IF(INDEX(L_ID,ROW()-4)="","",IF(COUNTIF(P_ID,INDEX(L_ID,ROW()-4))&gt;0,1,0))</f>
        <v/>
      </c>
      <c r="B1732">
        <f>IF(INDEX(P_Type,ROW()-4)="","",TRIM(UPPER(INDEX(P_Type,ROW()-4))))</f>
        <v/>
      </c>
      <c r="D1732">
        <f>IF(INDEX(L_Type,ROW()-4)="","",TRIM(UPPER(INDEX(L_Type,ROW()-4))))</f>
        <v/>
      </c>
      <c r="E1732">
        <f>IF(INDEX(P_Status,ROW()-4)="","",TRIM(UPPER(INDEX(P_Status,ROW()-4))))</f>
        <v/>
      </c>
      <c r="G1732">
        <f>IF(INDEX(L_Status,ROW()-4)="","",TRIM(UPPER(INDEX(L_Status,ROW()-4))))</f>
        <v/>
      </c>
      <c r="J1732">
        <f>IF(INDEX(L_ID,ROW()-4)="","",IF(SUMPRODUCT((P_ID=INDEX(L_ID,ROW()-4))*(P_StatusN="INACTIVE"))&gt;0,1,0))</f>
        <v/>
      </c>
    </row>
    <row r="1733">
      <c r="A1733">
        <f>IF(INDEX(L_ID,ROW()-4)="","",IF(COUNTIF(P_ID,INDEX(L_ID,ROW()-4))&gt;0,1,0))</f>
        <v/>
      </c>
      <c r="B1733">
        <f>IF(INDEX(P_Type,ROW()-4)="","",TRIM(UPPER(INDEX(P_Type,ROW()-4))))</f>
        <v/>
      </c>
      <c r="D1733">
        <f>IF(INDEX(L_Type,ROW()-4)="","",TRIM(UPPER(INDEX(L_Type,ROW()-4))))</f>
        <v/>
      </c>
      <c r="E1733">
        <f>IF(INDEX(P_Status,ROW()-4)="","",TRIM(UPPER(INDEX(P_Status,ROW()-4))))</f>
        <v/>
      </c>
      <c r="G1733">
        <f>IF(INDEX(L_Status,ROW()-4)="","",TRIM(UPPER(INDEX(L_Status,ROW()-4))))</f>
        <v/>
      </c>
      <c r="J1733">
        <f>IF(INDEX(L_ID,ROW()-4)="","",IF(SUMPRODUCT((P_ID=INDEX(L_ID,ROW()-4))*(P_StatusN="INACTIVE"))&gt;0,1,0))</f>
        <v/>
      </c>
    </row>
    <row r="1734">
      <c r="A1734">
        <f>IF(INDEX(L_ID,ROW()-4)="","",IF(COUNTIF(P_ID,INDEX(L_ID,ROW()-4))&gt;0,1,0))</f>
        <v/>
      </c>
      <c r="B1734">
        <f>IF(INDEX(P_Type,ROW()-4)="","",TRIM(UPPER(INDEX(P_Type,ROW()-4))))</f>
        <v/>
      </c>
      <c r="D1734">
        <f>IF(INDEX(L_Type,ROW()-4)="","",TRIM(UPPER(INDEX(L_Type,ROW()-4))))</f>
        <v/>
      </c>
      <c r="E1734">
        <f>IF(INDEX(P_Status,ROW()-4)="","",TRIM(UPPER(INDEX(P_Status,ROW()-4))))</f>
        <v/>
      </c>
      <c r="G1734">
        <f>IF(INDEX(L_Status,ROW()-4)="","",TRIM(UPPER(INDEX(L_Status,ROW()-4))))</f>
        <v/>
      </c>
      <c r="J1734">
        <f>IF(INDEX(L_ID,ROW()-4)="","",IF(SUMPRODUCT((P_ID=INDEX(L_ID,ROW()-4))*(P_StatusN="INACTIVE"))&gt;0,1,0))</f>
        <v/>
      </c>
    </row>
    <row r="1735">
      <c r="A1735">
        <f>IF(INDEX(L_ID,ROW()-4)="","",IF(COUNTIF(P_ID,INDEX(L_ID,ROW()-4))&gt;0,1,0))</f>
        <v/>
      </c>
      <c r="B1735">
        <f>IF(INDEX(P_Type,ROW()-4)="","",TRIM(UPPER(INDEX(P_Type,ROW()-4))))</f>
        <v/>
      </c>
      <c r="D1735">
        <f>IF(INDEX(L_Type,ROW()-4)="","",TRIM(UPPER(INDEX(L_Type,ROW()-4))))</f>
        <v/>
      </c>
      <c r="E1735">
        <f>IF(INDEX(P_Status,ROW()-4)="","",TRIM(UPPER(INDEX(P_Status,ROW()-4))))</f>
        <v/>
      </c>
      <c r="G1735">
        <f>IF(INDEX(L_Status,ROW()-4)="","",TRIM(UPPER(INDEX(L_Status,ROW()-4))))</f>
        <v/>
      </c>
      <c r="J1735">
        <f>IF(INDEX(L_ID,ROW()-4)="","",IF(SUMPRODUCT((P_ID=INDEX(L_ID,ROW()-4))*(P_StatusN="INACTIVE"))&gt;0,1,0))</f>
        <v/>
      </c>
    </row>
    <row r="1736">
      <c r="A1736">
        <f>IF(INDEX(L_ID,ROW()-4)="","",IF(COUNTIF(P_ID,INDEX(L_ID,ROW()-4))&gt;0,1,0))</f>
        <v/>
      </c>
      <c r="B1736">
        <f>IF(INDEX(P_Type,ROW()-4)="","",TRIM(UPPER(INDEX(P_Type,ROW()-4))))</f>
        <v/>
      </c>
      <c r="D1736">
        <f>IF(INDEX(L_Type,ROW()-4)="","",TRIM(UPPER(INDEX(L_Type,ROW()-4))))</f>
        <v/>
      </c>
      <c r="E1736">
        <f>IF(INDEX(P_Status,ROW()-4)="","",TRIM(UPPER(INDEX(P_Status,ROW()-4))))</f>
        <v/>
      </c>
      <c r="G1736">
        <f>IF(INDEX(L_Status,ROW()-4)="","",TRIM(UPPER(INDEX(L_Status,ROW()-4))))</f>
        <v/>
      </c>
      <c r="J1736">
        <f>IF(INDEX(L_ID,ROW()-4)="","",IF(SUMPRODUCT((P_ID=INDEX(L_ID,ROW()-4))*(P_StatusN="INACTIVE"))&gt;0,1,0))</f>
        <v/>
      </c>
    </row>
    <row r="1737">
      <c r="A1737">
        <f>IF(INDEX(L_ID,ROW()-4)="","",IF(COUNTIF(P_ID,INDEX(L_ID,ROW()-4))&gt;0,1,0))</f>
        <v/>
      </c>
      <c r="B1737">
        <f>IF(INDEX(P_Type,ROW()-4)="","",TRIM(UPPER(INDEX(P_Type,ROW()-4))))</f>
        <v/>
      </c>
      <c r="D1737">
        <f>IF(INDEX(L_Type,ROW()-4)="","",TRIM(UPPER(INDEX(L_Type,ROW()-4))))</f>
        <v/>
      </c>
      <c r="E1737">
        <f>IF(INDEX(P_Status,ROW()-4)="","",TRIM(UPPER(INDEX(P_Status,ROW()-4))))</f>
        <v/>
      </c>
      <c r="G1737">
        <f>IF(INDEX(L_Status,ROW()-4)="","",TRIM(UPPER(INDEX(L_Status,ROW()-4))))</f>
        <v/>
      </c>
      <c r="J1737">
        <f>IF(INDEX(L_ID,ROW()-4)="","",IF(SUMPRODUCT((P_ID=INDEX(L_ID,ROW()-4))*(P_StatusN="INACTIVE"))&gt;0,1,0))</f>
        <v/>
      </c>
    </row>
    <row r="1738">
      <c r="A1738">
        <f>IF(INDEX(L_ID,ROW()-4)="","",IF(COUNTIF(P_ID,INDEX(L_ID,ROW()-4))&gt;0,1,0))</f>
        <v/>
      </c>
      <c r="B1738">
        <f>IF(INDEX(P_Type,ROW()-4)="","",TRIM(UPPER(INDEX(P_Type,ROW()-4))))</f>
        <v/>
      </c>
      <c r="D1738">
        <f>IF(INDEX(L_Type,ROW()-4)="","",TRIM(UPPER(INDEX(L_Type,ROW()-4))))</f>
        <v/>
      </c>
      <c r="E1738">
        <f>IF(INDEX(P_Status,ROW()-4)="","",TRIM(UPPER(INDEX(P_Status,ROW()-4))))</f>
        <v/>
      </c>
      <c r="G1738">
        <f>IF(INDEX(L_Status,ROW()-4)="","",TRIM(UPPER(INDEX(L_Status,ROW()-4))))</f>
        <v/>
      </c>
      <c r="J1738">
        <f>IF(INDEX(L_ID,ROW()-4)="","",IF(SUMPRODUCT((P_ID=INDEX(L_ID,ROW()-4))*(P_StatusN="INACTIVE"))&gt;0,1,0))</f>
        <v/>
      </c>
    </row>
    <row r="1739">
      <c r="A1739">
        <f>IF(INDEX(L_ID,ROW()-4)="","",IF(COUNTIF(P_ID,INDEX(L_ID,ROW()-4))&gt;0,1,0))</f>
        <v/>
      </c>
      <c r="B1739">
        <f>IF(INDEX(P_Type,ROW()-4)="","",TRIM(UPPER(INDEX(P_Type,ROW()-4))))</f>
        <v/>
      </c>
      <c r="D1739">
        <f>IF(INDEX(L_Type,ROW()-4)="","",TRIM(UPPER(INDEX(L_Type,ROW()-4))))</f>
        <v/>
      </c>
      <c r="E1739">
        <f>IF(INDEX(P_Status,ROW()-4)="","",TRIM(UPPER(INDEX(P_Status,ROW()-4))))</f>
        <v/>
      </c>
      <c r="G1739">
        <f>IF(INDEX(L_Status,ROW()-4)="","",TRIM(UPPER(INDEX(L_Status,ROW()-4))))</f>
        <v/>
      </c>
      <c r="J1739">
        <f>IF(INDEX(L_ID,ROW()-4)="","",IF(SUMPRODUCT((P_ID=INDEX(L_ID,ROW()-4))*(P_StatusN="INACTIVE"))&gt;0,1,0))</f>
        <v/>
      </c>
    </row>
    <row r="1740">
      <c r="A1740">
        <f>IF(INDEX(L_ID,ROW()-4)="","",IF(COUNTIF(P_ID,INDEX(L_ID,ROW()-4))&gt;0,1,0))</f>
        <v/>
      </c>
      <c r="B1740">
        <f>IF(INDEX(P_Type,ROW()-4)="","",TRIM(UPPER(INDEX(P_Type,ROW()-4))))</f>
        <v/>
      </c>
      <c r="D1740">
        <f>IF(INDEX(L_Type,ROW()-4)="","",TRIM(UPPER(INDEX(L_Type,ROW()-4))))</f>
        <v/>
      </c>
      <c r="E1740">
        <f>IF(INDEX(P_Status,ROW()-4)="","",TRIM(UPPER(INDEX(P_Status,ROW()-4))))</f>
        <v/>
      </c>
      <c r="G1740">
        <f>IF(INDEX(L_Status,ROW()-4)="","",TRIM(UPPER(INDEX(L_Status,ROW()-4))))</f>
        <v/>
      </c>
      <c r="J1740">
        <f>IF(INDEX(L_ID,ROW()-4)="","",IF(SUMPRODUCT((P_ID=INDEX(L_ID,ROW()-4))*(P_StatusN="INACTIVE"))&gt;0,1,0))</f>
        <v/>
      </c>
    </row>
    <row r="1741">
      <c r="A1741">
        <f>IF(INDEX(L_ID,ROW()-4)="","",IF(COUNTIF(P_ID,INDEX(L_ID,ROW()-4))&gt;0,1,0))</f>
        <v/>
      </c>
      <c r="B1741">
        <f>IF(INDEX(P_Type,ROW()-4)="","",TRIM(UPPER(INDEX(P_Type,ROW()-4))))</f>
        <v/>
      </c>
      <c r="D1741">
        <f>IF(INDEX(L_Type,ROW()-4)="","",TRIM(UPPER(INDEX(L_Type,ROW()-4))))</f>
        <v/>
      </c>
      <c r="E1741">
        <f>IF(INDEX(P_Status,ROW()-4)="","",TRIM(UPPER(INDEX(P_Status,ROW()-4))))</f>
        <v/>
      </c>
      <c r="G1741">
        <f>IF(INDEX(L_Status,ROW()-4)="","",TRIM(UPPER(INDEX(L_Status,ROW()-4))))</f>
        <v/>
      </c>
      <c r="J1741">
        <f>IF(INDEX(L_ID,ROW()-4)="","",IF(SUMPRODUCT((P_ID=INDEX(L_ID,ROW()-4))*(P_StatusN="INACTIVE"))&gt;0,1,0))</f>
        <v/>
      </c>
    </row>
    <row r="1742">
      <c r="A1742">
        <f>IF(INDEX(L_ID,ROW()-4)="","",IF(COUNTIF(P_ID,INDEX(L_ID,ROW()-4))&gt;0,1,0))</f>
        <v/>
      </c>
      <c r="B1742">
        <f>IF(INDEX(P_Type,ROW()-4)="","",TRIM(UPPER(INDEX(P_Type,ROW()-4))))</f>
        <v/>
      </c>
      <c r="D1742">
        <f>IF(INDEX(L_Type,ROW()-4)="","",TRIM(UPPER(INDEX(L_Type,ROW()-4))))</f>
        <v/>
      </c>
      <c r="E1742">
        <f>IF(INDEX(P_Status,ROW()-4)="","",TRIM(UPPER(INDEX(P_Status,ROW()-4))))</f>
        <v/>
      </c>
      <c r="G1742">
        <f>IF(INDEX(L_Status,ROW()-4)="","",TRIM(UPPER(INDEX(L_Status,ROW()-4))))</f>
        <v/>
      </c>
      <c r="J1742">
        <f>IF(INDEX(L_ID,ROW()-4)="","",IF(SUMPRODUCT((P_ID=INDEX(L_ID,ROW()-4))*(P_StatusN="INACTIVE"))&gt;0,1,0))</f>
        <v/>
      </c>
    </row>
    <row r="1743">
      <c r="A1743">
        <f>IF(INDEX(L_ID,ROW()-4)="","",IF(COUNTIF(P_ID,INDEX(L_ID,ROW()-4))&gt;0,1,0))</f>
        <v/>
      </c>
      <c r="B1743">
        <f>IF(INDEX(P_Type,ROW()-4)="","",TRIM(UPPER(INDEX(P_Type,ROW()-4))))</f>
        <v/>
      </c>
      <c r="D1743">
        <f>IF(INDEX(L_Type,ROW()-4)="","",TRIM(UPPER(INDEX(L_Type,ROW()-4))))</f>
        <v/>
      </c>
      <c r="E1743">
        <f>IF(INDEX(P_Status,ROW()-4)="","",TRIM(UPPER(INDEX(P_Status,ROW()-4))))</f>
        <v/>
      </c>
      <c r="G1743">
        <f>IF(INDEX(L_Status,ROW()-4)="","",TRIM(UPPER(INDEX(L_Status,ROW()-4))))</f>
        <v/>
      </c>
      <c r="J1743">
        <f>IF(INDEX(L_ID,ROW()-4)="","",IF(SUMPRODUCT((P_ID=INDEX(L_ID,ROW()-4))*(P_StatusN="INACTIVE"))&gt;0,1,0))</f>
        <v/>
      </c>
    </row>
    <row r="1744">
      <c r="A1744">
        <f>IF(INDEX(L_ID,ROW()-4)="","",IF(COUNTIF(P_ID,INDEX(L_ID,ROW()-4))&gt;0,1,0))</f>
        <v/>
      </c>
      <c r="B1744">
        <f>IF(INDEX(P_Type,ROW()-4)="","",TRIM(UPPER(INDEX(P_Type,ROW()-4))))</f>
        <v/>
      </c>
      <c r="D1744">
        <f>IF(INDEX(L_Type,ROW()-4)="","",TRIM(UPPER(INDEX(L_Type,ROW()-4))))</f>
        <v/>
      </c>
      <c r="E1744">
        <f>IF(INDEX(P_Status,ROW()-4)="","",TRIM(UPPER(INDEX(P_Status,ROW()-4))))</f>
        <v/>
      </c>
      <c r="G1744">
        <f>IF(INDEX(L_Status,ROW()-4)="","",TRIM(UPPER(INDEX(L_Status,ROW()-4))))</f>
        <v/>
      </c>
      <c r="J1744">
        <f>IF(INDEX(L_ID,ROW()-4)="","",IF(SUMPRODUCT((P_ID=INDEX(L_ID,ROW()-4))*(P_StatusN="INACTIVE"))&gt;0,1,0))</f>
        <v/>
      </c>
    </row>
    <row r="1745">
      <c r="A1745">
        <f>IF(INDEX(L_ID,ROW()-4)="","",IF(COUNTIF(P_ID,INDEX(L_ID,ROW()-4))&gt;0,1,0))</f>
        <v/>
      </c>
      <c r="B1745">
        <f>IF(INDEX(P_Type,ROW()-4)="","",TRIM(UPPER(INDEX(P_Type,ROW()-4))))</f>
        <v/>
      </c>
      <c r="D1745">
        <f>IF(INDEX(L_Type,ROW()-4)="","",TRIM(UPPER(INDEX(L_Type,ROW()-4))))</f>
        <v/>
      </c>
      <c r="E1745">
        <f>IF(INDEX(P_Status,ROW()-4)="","",TRIM(UPPER(INDEX(P_Status,ROW()-4))))</f>
        <v/>
      </c>
      <c r="G1745">
        <f>IF(INDEX(L_Status,ROW()-4)="","",TRIM(UPPER(INDEX(L_Status,ROW()-4))))</f>
        <v/>
      </c>
      <c r="J1745">
        <f>IF(INDEX(L_ID,ROW()-4)="","",IF(SUMPRODUCT((P_ID=INDEX(L_ID,ROW()-4))*(P_StatusN="INACTIVE"))&gt;0,1,0))</f>
        <v/>
      </c>
    </row>
    <row r="1746">
      <c r="A1746">
        <f>IF(INDEX(L_ID,ROW()-4)="","",IF(COUNTIF(P_ID,INDEX(L_ID,ROW()-4))&gt;0,1,0))</f>
        <v/>
      </c>
      <c r="B1746">
        <f>IF(INDEX(P_Type,ROW()-4)="","",TRIM(UPPER(INDEX(P_Type,ROW()-4))))</f>
        <v/>
      </c>
      <c r="D1746">
        <f>IF(INDEX(L_Type,ROW()-4)="","",TRIM(UPPER(INDEX(L_Type,ROW()-4))))</f>
        <v/>
      </c>
      <c r="E1746">
        <f>IF(INDEX(P_Status,ROW()-4)="","",TRIM(UPPER(INDEX(P_Status,ROW()-4))))</f>
        <v/>
      </c>
      <c r="G1746">
        <f>IF(INDEX(L_Status,ROW()-4)="","",TRIM(UPPER(INDEX(L_Status,ROW()-4))))</f>
        <v/>
      </c>
      <c r="J1746">
        <f>IF(INDEX(L_ID,ROW()-4)="","",IF(SUMPRODUCT((P_ID=INDEX(L_ID,ROW()-4))*(P_StatusN="INACTIVE"))&gt;0,1,0))</f>
        <v/>
      </c>
    </row>
    <row r="1747">
      <c r="A1747">
        <f>IF(INDEX(L_ID,ROW()-4)="","",IF(COUNTIF(P_ID,INDEX(L_ID,ROW()-4))&gt;0,1,0))</f>
        <v/>
      </c>
      <c r="B1747">
        <f>IF(INDEX(P_Type,ROW()-4)="","",TRIM(UPPER(INDEX(P_Type,ROW()-4))))</f>
        <v/>
      </c>
      <c r="D1747">
        <f>IF(INDEX(L_Type,ROW()-4)="","",TRIM(UPPER(INDEX(L_Type,ROW()-4))))</f>
        <v/>
      </c>
      <c r="E1747">
        <f>IF(INDEX(P_Status,ROW()-4)="","",TRIM(UPPER(INDEX(P_Status,ROW()-4))))</f>
        <v/>
      </c>
      <c r="G1747">
        <f>IF(INDEX(L_Status,ROW()-4)="","",TRIM(UPPER(INDEX(L_Status,ROW()-4))))</f>
        <v/>
      </c>
      <c r="J1747">
        <f>IF(INDEX(L_ID,ROW()-4)="","",IF(SUMPRODUCT((P_ID=INDEX(L_ID,ROW()-4))*(P_StatusN="INACTIVE"))&gt;0,1,0))</f>
        <v/>
      </c>
    </row>
    <row r="1748">
      <c r="A1748">
        <f>IF(INDEX(L_ID,ROW()-4)="","",IF(COUNTIF(P_ID,INDEX(L_ID,ROW()-4))&gt;0,1,0))</f>
        <v/>
      </c>
      <c r="B1748">
        <f>IF(INDEX(P_Type,ROW()-4)="","",TRIM(UPPER(INDEX(P_Type,ROW()-4))))</f>
        <v/>
      </c>
      <c r="D1748">
        <f>IF(INDEX(L_Type,ROW()-4)="","",TRIM(UPPER(INDEX(L_Type,ROW()-4))))</f>
        <v/>
      </c>
      <c r="E1748">
        <f>IF(INDEX(P_Status,ROW()-4)="","",TRIM(UPPER(INDEX(P_Status,ROW()-4))))</f>
        <v/>
      </c>
      <c r="G1748">
        <f>IF(INDEX(L_Status,ROW()-4)="","",TRIM(UPPER(INDEX(L_Status,ROW()-4))))</f>
        <v/>
      </c>
      <c r="J1748">
        <f>IF(INDEX(L_ID,ROW()-4)="","",IF(SUMPRODUCT((P_ID=INDEX(L_ID,ROW()-4))*(P_StatusN="INACTIVE"))&gt;0,1,0))</f>
        <v/>
      </c>
    </row>
    <row r="1749">
      <c r="A1749">
        <f>IF(INDEX(L_ID,ROW()-4)="","",IF(COUNTIF(P_ID,INDEX(L_ID,ROW()-4))&gt;0,1,0))</f>
        <v/>
      </c>
      <c r="B1749">
        <f>IF(INDEX(P_Type,ROW()-4)="","",TRIM(UPPER(INDEX(P_Type,ROW()-4))))</f>
        <v/>
      </c>
      <c r="D1749">
        <f>IF(INDEX(L_Type,ROW()-4)="","",TRIM(UPPER(INDEX(L_Type,ROW()-4))))</f>
        <v/>
      </c>
      <c r="E1749">
        <f>IF(INDEX(P_Status,ROW()-4)="","",TRIM(UPPER(INDEX(P_Status,ROW()-4))))</f>
        <v/>
      </c>
      <c r="G1749">
        <f>IF(INDEX(L_Status,ROW()-4)="","",TRIM(UPPER(INDEX(L_Status,ROW()-4))))</f>
        <v/>
      </c>
      <c r="J1749">
        <f>IF(INDEX(L_ID,ROW()-4)="","",IF(SUMPRODUCT((P_ID=INDEX(L_ID,ROW()-4))*(P_StatusN="INACTIVE"))&gt;0,1,0))</f>
        <v/>
      </c>
    </row>
    <row r="1750">
      <c r="A1750">
        <f>IF(INDEX(L_ID,ROW()-4)="","",IF(COUNTIF(P_ID,INDEX(L_ID,ROW()-4))&gt;0,1,0))</f>
        <v/>
      </c>
      <c r="B1750">
        <f>IF(INDEX(P_Type,ROW()-4)="","",TRIM(UPPER(INDEX(P_Type,ROW()-4))))</f>
        <v/>
      </c>
      <c r="D1750">
        <f>IF(INDEX(L_Type,ROW()-4)="","",TRIM(UPPER(INDEX(L_Type,ROW()-4))))</f>
        <v/>
      </c>
      <c r="E1750">
        <f>IF(INDEX(P_Status,ROW()-4)="","",TRIM(UPPER(INDEX(P_Status,ROW()-4))))</f>
        <v/>
      </c>
      <c r="G1750">
        <f>IF(INDEX(L_Status,ROW()-4)="","",TRIM(UPPER(INDEX(L_Status,ROW()-4))))</f>
        <v/>
      </c>
      <c r="J1750">
        <f>IF(INDEX(L_ID,ROW()-4)="","",IF(SUMPRODUCT((P_ID=INDEX(L_ID,ROW()-4))*(P_StatusN="INACTIVE"))&gt;0,1,0))</f>
        <v/>
      </c>
    </row>
    <row r="1751">
      <c r="A1751">
        <f>IF(INDEX(L_ID,ROW()-4)="","",IF(COUNTIF(P_ID,INDEX(L_ID,ROW()-4))&gt;0,1,0))</f>
        <v/>
      </c>
      <c r="B1751">
        <f>IF(INDEX(P_Type,ROW()-4)="","",TRIM(UPPER(INDEX(P_Type,ROW()-4))))</f>
        <v/>
      </c>
      <c r="D1751">
        <f>IF(INDEX(L_Type,ROW()-4)="","",TRIM(UPPER(INDEX(L_Type,ROW()-4))))</f>
        <v/>
      </c>
      <c r="E1751">
        <f>IF(INDEX(P_Status,ROW()-4)="","",TRIM(UPPER(INDEX(P_Status,ROW()-4))))</f>
        <v/>
      </c>
      <c r="G1751">
        <f>IF(INDEX(L_Status,ROW()-4)="","",TRIM(UPPER(INDEX(L_Status,ROW()-4))))</f>
        <v/>
      </c>
      <c r="J1751">
        <f>IF(INDEX(L_ID,ROW()-4)="","",IF(SUMPRODUCT((P_ID=INDEX(L_ID,ROW()-4))*(P_StatusN="INACTIVE"))&gt;0,1,0))</f>
        <v/>
      </c>
    </row>
    <row r="1752">
      <c r="A1752">
        <f>IF(INDEX(L_ID,ROW()-4)="","",IF(COUNTIF(P_ID,INDEX(L_ID,ROW()-4))&gt;0,1,0))</f>
        <v/>
      </c>
      <c r="B1752">
        <f>IF(INDEX(P_Type,ROW()-4)="","",TRIM(UPPER(INDEX(P_Type,ROW()-4))))</f>
        <v/>
      </c>
      <c r="D1752">
        <f>IF(INDEX(L_Type,ROW()-4)="","",TRIM(UPPER(INDEX(L_Type,ROW()-4))))</f>
        <v/>
      </c>
      <c r="E1752">
        <f>IF(INDEX(P_Status,ROW()-4)="","",TRIM(UPPER(INDEX(P_Status,ROW()-4))))</f>
        <v/>
      </c>
      <c r="G1752">
        <f>IF(INDEX(L_Status,ROW()-4)="","",TRIM(UPPER(INDEX(L_Status,ROW()-4))))</f>
        <v/>
      </c>
      <c r="J1752">
        <f>IF(INDEX(L_ID,ROW()-4)="","",IF(SUMPRODUCT((P_ID=INDEX(L_ID,ROW()-4))*(P_StatusN="INACTIVE"))&gt;0,1,0))</f>
        <v/>
      </c>
    </row>
    <row r="1753">
      <c r="A1753">
        <f>IF(INDEX(L_ID,ROW()-4)="","",IF(COUNTIF(P_ID,INDEX(L_ID,ROW()-4))&gt;0,1,0))</f>
        <v/>
      </c>
      <c r="B1753">
        <f>IF(INDEX(P_Type,ROW()-4)="","",TRIM(UPPER(INDEX(P_Type,ROW()-4))))</f>
        <v/>
      </c>
      <c r="D1753">
        <f>IF(INDEX(L_Type,ROW()-4)="","",TRIM(UPPER(INDEX(L_Type,ROW()-4))))</f>
        <v/>
      </c>
      <c r="E1753">
        <f>IF(INDEX(P_Status,ROW()-4)="","",TRIM(UPPER(INDEX(P_Status,ROW()-4))))</f>
        <v/>
      </c>
      <c r="G1753">
        <f>IF(INDEX(L_Status,ROW()-4)="","",TRIM(UPPER(INDEX(L_Status,ROW()-4))))</f>
        <v/>
      </c>
      <c r="J1753">
        <f>IF(INDEX(L_ID,ROW()-4)="","",IF(SUMPRODUCT((P_ID=INDEX(L_ID,ROW()-4))*(P_StatusN="INACTIVE"))&gt;0,1,0))</f>
        <v/>
      </c>
    </row>
    <row r="1754">
      <c r="A1754">
        <f>IF(INDEX(L_ID,ROW()-4)="","",IF(COUNTIF(P_ID,INDEX(L_ID,ROW()-4))&gt;0,1,0))</f>
        <v/>
      </c>
      <c r="B1754">
        <f>IF(INDEX(P_Type,ROW()-4)="","",TRIM(UPPER(INDEX(P_Type,ROW()-4))))</f>
        <v/>
      </c>
      <c r="D1754">
        <f>IF(INDEX(L_Type,ROW()-4)="","",TRIM(UPPER(INDEX(L_Type,ROW()-4))))</f>
        <v/>
      </c>
      <c r="E1754">
        <f>IF(INDEX(P_Status,ROW()-4)="","",TRIM(UPPER(INDEX(P_Status,ROW()-4))))</f>
        <v/>
      </c>
      <c r="G1754">
        <f>IF(INDEX(L_Status,ROW()-4)="","",TRIM(UPPER(INDEX(L_Status,ROW()-4))))</f>
        <v/>
      </c>
      <c r="J1754">
        <f>IF(INDEX(L_ID,ROW()-4)="","",IF(SUMPRODUCT((P_ID=INDEX(L_ID,ROW()-4))*(P_StatusN="INACTIVE"))&gt;0,1,0))</f>
        <v/>
      </c>
    </row>
    <row r="1755">
      <c r="A1755">
        <f>IF(INDEX(L_ID,ROW()-4)="","",IF(COUNTIF(P_ID,INDEX(L_ID,ROW()-4))&gt;0,1,0))</f>
        <v/>
      </c>
      <c r="B1755">
        <f>IF(INDEX(P_Type,ROW()-4)="","",TRIM(UPPER(INDEX(P_Type,ROW()-4))))</f>
        <v/>
      </c>
      <c r="D1755">
        <f>IF(INDEX(L_Type,ROW()-4)="","",TRIM(UPPER(INDEX(L_Type,ROW()-4))))</f>
        <v/>
      </c>
      <c r="E1755">
        <f>IF(INDEX(P_Status,ROW()-4)="","",TRIM(UPPER(INDEX(P_Status,ROW()-4))))</f>
        <v/>
      </c>
      <c r="G1755">
        <f>IF(INDEX(L_Status,ROW()-4)="","",TRIM(UPPER(INDEX(L_Status,ROW()-4))))</f>
        <v/>
      </c>
      <c r="J1755">
        <f>IF(INDEX(L_ID,ROW()-4)="","",IF(SUMPRODUCT((P_ID=INDEX(L_ID,ROW()-4))*(P_StatusN="INACTIVE"))&gt;0,1,0))</f>
        <v/>
      </c>
    </row>
    <row r="1756">
      <c r="A1756">
        <f>IF(INDEX(L_ID,ROW()-4)="","",IF(COUNTIF(P_ID,INDEX(L_ID,ROW()-4))&gt;0,1,0))</f>
        <v/>
      </c>
      <c r="B1756">
        <f>IF(INDEX(P_Type,ROW()-4)="","",TRIM(UPPER(INDEX(P_Type,ROW()-4))))</f>
        <v/>
      </c>
      <c r="D1756">
        <f>IF(INDEX(L_Type,ROW()-4)="","",TRIM(UPPER(INDEX(L_Type,ROW()-4))))</f>
        <v/>
      </c>
      <c r="E1756">
        <f>IF(INDEX(P_Status,ROW()-4)="","",TRIM(UPPER(INDEX(P_Status,ROW()-4))))</f>
        <v/>
      </c>
      <c r="G1756">
        <f>IF(INDEX(L_Status,ROW()-4)="","",TRIM(UPPER(INDEX(L_Status,ROW()-4))))</f>
        <v/>
      </c>
      <c r="J1756">
        <f>IF(INDEX(L_ID,ROW()-4)="","",IF(SUMPRODUCT((P_ID=INDEX(L_ID,ROW()-4))*(P_StatusN="INACTIVE"))&gt;0,1,0))</f>
        <v/>
      </c>
    </row>
    <row r="1757">
      <c r="A1757">
        <f>IF(INDEX(L_ID,ROW()-4)="","",IF(COUNTIF(P_ID,INDEX(L_ID,ROW()-4))&gt;0,1,0))</f>
        <v/>
      </c>
      <c r="B1757">
        <f>IF(INDEX(P_Type,ROW()-4)="","",TRIM(UPPER(INDEX(P_Type,ROW()-4))))</f>
        <v/>
      </c>
      <c r="D1757">
        <f>IF(INDEX(L_Type,ROW()-4)="","",TRIM(UPPER(INDEX(L_Type,ROW()-4))))</f>
        <v/>
      </c>
      <c r="E1757">
        <f>IF(INDEX(P_Status,ROW()-4)="","",TRIM(UPPER(INDEX(P_Status,ROW()-4))))</f>
        <v/>
      </c>
      <c r="G1757">
        <f>IF(INDEX(L_Status,ROW()-4)="","",TRIM(UPPER(INDEX(L_Status,ROW()-4))))</f>
        <v/>
      </c>
      <c r="J1757">
        <f>IF(INDEX(L_ID,ROW()-4)="","",IF(SUMPRODUCT((P_ID=INDEX(L_ID,ROW()-4))*(P_StatusN="INACTIVE"))&gt;0,1,0))</f>
        <v/>
      </c>
    </row>
    <row r="1758">
      <c r="A1758">
        <f>IF(INDEX(L_ID,ROW()-4)="","",IF(COUNTIF(P_ID,INDEX(L_ID,ROW()-4))&gt;0,1,0))</f>
        <v/>
      </c>
      <c r="B1758">
        <f>IF(INDEX(P_Type,ROW()-4)="","",TRIM(UPPER(INDEX(P_Type,ROW()-4))))</f>
        <v/>
      </c>
      <c r="D1758">
        <f>IF(INDEX(L_Type,ROW()-4)="","",TRIM(UPPER(INDEX(L_Type,ROW()-4))))</f>
        <v/>
      </c>
      <c r="E1758">
        <f>IF(INDEX(P_Status,ROW()-4)="","",TRIM(UPPER(INDEX(P_Status,ROW()-4))))</f>
        <v/>
      </c>
      <c r="G1758">
        <f>IF(INDEX(L_Status,ROW()-4)="","",TRIM(UPPER(INDEX(L_Status,ROW()-4))))</f>
        <v/>
      </c>
      <c r="J1758">
        <f>IF(INDEX(L_ID,ROW()-4)="","",IF(SUMPRODUCT((P_ID=INDEX(L_ID,ROW()-4))*(P_StatusN="INACTIVE"))&gt;0,1,0))</f>
        <v/>
      </c>
    </row>
    <row r="1759">
      <c r="A1759">
        <f>IF(INDEX(L_ID,ROW()-4)="","",IF(COUNTIF(P_ID,INDEX(L_ID,ROW()-4))&gt;0,1,0))</f>
        <v/>
      </c>
      <c r="B1759">
        <f>IF(INDEX(P_Type,ROW()-4)="","",TRIM(UPPER(INDEX(P_Type,ROW()-4))))</f>
        <v/>
      </c>
      <c r="D1759">
        <f>IF(INDEX(L_Type,ROW()-4)="","",TRIM(UPPER(INDEX(L_Type,ROW()-4))))</f>
        <v/>
      </c>
      <c r="E1759">
        <f>IF(INDEX(P_Status,ROW()-4)="","",TRIM(UPPER(INDEX(P_Status,ROW()-4))))</f>
        <v/>
      </c>
      <c r="G1759">
        <f>IF(INDEX(L_Status,ROW()-4)="","",TRIM(UPPER(INDEX(L_Status,ROW()-4))))</f>
        <v/>
      </c>
      <c r="J1759">
        <f>IF(INDEX(L_ID,ROW()-4)="","",IF(SUMPRODUCT((P_ID=INDEX(L_ID,ROW()-4))*(P_StatusN="INACTIVE"))&gt;0,1,0))</f>
        <v/>
      </c>
    </row>
    <row r="1760">
      <c r="A1760">
        <f>IF(INDEX(L_ID,ROW()-4)="","",IF(COUNTIF(P_ID,INDEX(L_ID,ROW()-4))&gt;0,1,0))</f>
        <v/>
      </c>
      <c r="B1760">
        <f>IF(INDEX(P_Type,ROW()-4)="","",TRIM(UPPER(INDEX(P_Type,ROW()-4))))</f>
        <v/>
      </c>
      <c r="D1760">
        <f>IF(INDEX(L_Type,ROW()-4)="","",TRIM(UPPER(INDEX(L_Type,ROW()-4))))</f>
        <v/>
      </c>
      <c r="E1760">
        <f>IF(INDEX(P_Status,ROW()-4)="","",TRIM(UPPER(INDEX(P_Status,ROW()-4))))</f>
        <v/>
      </c>
      <c r="G1760">
        <f>IF(INDEX(L_Status,ROW()-4)="","",TRIM(UPPER(INDEX(L_Status,ROW()-4))))</f>
        <v/>
      </c>
      <c r="J1760">
        <f>IF(INDEX(L_ID,ROW()-4)="","",IF(SUMPRODUCT((P_ID=INDEX(L_ID,ROW()-4))*(P_StatusN="INACTIVE"))&gt;0,1,0))</f>
        <v/>
      </c>
    </row>
    <row r="1761">
      <c r="A1761">
        <f>IF(INDEX(L_ID,ROW()-4)="","",IF(COUNTIF(P_ID,INDEX(L_ID,ROW()-4))&gt;0,1,0))</f>
        <v/>
      </c>
      <c r="B1761">
        <f>IF(INDEX(P_Type,ROW()-4)="","",TRIM(UPPER(INDEX(P_Type,ROW()-4))))</f>
        <v/>
      </c>
      <c r="D1761">
        <f>IF(INDEX(L_Type,ROW()-4)="","",TRIM(UPPER(INDEX(L_Type,ROW()-4))))</f>
        <v/>
      </c>
      <c r="E1761">
        <f>IF(INDEX(P_Status,ROW()-4)="","",TRIM(UPPER(INDEX(P_Status,ROW()-4))))</f>
        <v/>
      </c>
      <c r="G1761">
        <f>IF(INDEX(L_Status,ROW()-4)="","",TRIM(UPPER(INDEX(L_Status,ROW()-4))))</f>
        <v/>
      </c>
      <c r="J1761">
        <f>IF(INDEX(L_ID,ROW()-4)="","",IF(SUMPRODUCT((P_ID=INDEX(L_ID,ROW()-4))*(P_StatusN="INACTIVE"))&gt;0,1,0))</f>
        <v/>
      </c>
    </row>
    <row r="1762">
      <c r="A1762">
        <f>IF(INDEX(L_ID,ROW()-4)="","",IF(COUNTIF(P_ID,INDEX(L_ID,ROW()-4))&gt;0,1,0))</f>
        <v/>
      </c>
      <c r="B1762">
        <f>IF(INDEX(P_Type,ROW()-4)="","",TRIM(UPPER(INDEX(P_Type,ROW()-4))))</f>
        <v/>
      </c>
      <c r="D1762">
        <f>IF(INDEX(L_Type,ROW()-4)="","",TRIM(UPPER(INDEX(L_Type,ROW()-4))))</f>
        <v/>
      </c>
      <c r="E1762">
        <f>IF(INDEX(P_Status,ROW()-4)="","",TRIM(UPPER(INDEX(P_Status,ROW()-4))))</f>
        <v/>
      </c>
      <c r="G1762">
        <f>IF(INDEX(L_Status,ROW()-4)="","",TRIM(UPPER(INDEX(L_Status,ROW()-4))))</f>
        <v/>
      </c>
      <c r="J1762">
        <f>IF(INDEX(L_ID,ROW()-4)="","",IF(SUMPRODUCT((P_ID=INDEX(L_ID,ROW()-4))*(P_StatusN="INACTIVE"))&gt;0,1,0))</f>
        <v/>
      </c>
    </row>
    <row r="1763">
      <c r="A1763">
        <f>IF(INDEX(L_ID,ROW()-4)="","",IF(COUNTIF(P_ID,INDEX(L_ID,ROW()-4))&gt;0,1,0))</f>
        <v/>
      </c>
      <c r="B1763">
        <f>IF(INDEX(P_Type,ROW()-4)="","",TRIM(UPPER(INDEX(P_Type,ROW()-4))))</f>
        <v/>
      </c>
      <c r="D1763">
        <f>IF(INDEX(L_Type,ROW()-4)="","",TRIM(UPPER(INDEX(L_Type,ROW()-4))))</f>
        <v/>
      </c>
      <c r="E1763">
        <f>IF(INDEX(P_Status,ROW()-4)="","",TRIM(UPPER(INDEX(P_Status,ROW()-4))))</f>
        <v/>
      </c>
      <c r="G1763">
        <f>IF(INDEX(L_Status,ROW()-4)="","",TRIM(UPPER(INDEX(L_Status,ROW()-4))))</f>
        <v/>
      </c>
      <c r="J1763">
        <f>IF(INDEX(L_ID,ROW()-4)="","",IF(SUMPRODUCT((P_ID=INDEX(L_ID,ROW()-4))*(P_StatusN="INACTIVE"))&gt;0,1,0))</f>
        <v/>
      </c>
    </row>
    <row r="1764">
      <c r="A1764">
        <f>IF(INDEX(L_ID,ROW()-4)="","",IF(COUNTIF(P_ID,INDEX(L_ID,ROW()-4))&gt;0,1,0))</f>
        <v/>
      </c>
      <c r="B1764">
        <f>IF(INDEX(P_Type,ROW()-4)="","",TRIM(UPPER(INDEX(P_Type,ROW()-4))))</f>
        <v/>
      </c>
      <c r="D1764">
        <f>IF(INDEX(L_Type,ROW()-4)="","",TRIM(UPPER(INDEX(L_Type,ROW()-4))))</f>
        <v/>
      </c>
      <c r="E1764">
        <f>IF(INDEX(P_Status,ROW()-4)="","",TRIM(UPPER(INDEX(P_Status,ROW()-4))))</f>
        <v/>
      </c>
      <c r="G1764">
        <f>IF(INDEX(L_Status,ROW()-4)="","",TRIM(UPPER(INDEX(L_Status,ROW()-4))))</f>
        <v/>
      </c>
      <c r="J1764">
        <f>IF(INDEX(L_ID,ROW()-4)="","",IF(SUMPRODUCT((P_ID=INDEX(L_ID,ROW()-4))*(P_StatusN="INACTIVE"))&gt;0,1,0))</f>
        <v/>
      </c>
    </row>
    <row r="1765">
      <c r="A1765">
        <f>IF(INDEX(L_ID,ROW()-4)="","",IF(COUNTIF(P_ID,INDEX(L_ID,ROW()-4))&gt;0,1,0))</f>
        <v/>
      </c>
      <c r="B1765">
        <f>IF(INDEX(P_Type,ROW()-4)="","",TRIM(UPPER(INDEX(P_Type,ROW()-4))))</f>
        <v/>
      </c>
      <c r="D1765">
        <f>IF(INDEX(L_Type,ROW()-4)="","",TRIM(UPPER(INDEX(L_Type,ROW()-4))))</f>
        <v/>
      </c>
      <c r="E1765">
        <f>IF(INDEX(P_Status,ROW()-4)="","",TRIM(UPPER(INDEX(P_Status,ROW()-4))))</f>
        <v/>
      </c>
      <c r="G1765">
        <f>IF(INDEX(L_Status,ROW()-4)="","",TRIM(UPPER(INDEX(L_Status,ROW()-4))))</f>
        <v/>
      </c>
      <c r="J1765">
        <f>IF(INDEX(L_ID,ROW()-4)="","",IF(SUMPRODUCT((P_ID=INDEX(L_ID,ROW()-4))*(P_StatusN="INACTIVE"))&gt;0,1,0))</f>
        <v/>
      </c>
    </row>
    <row r="1766">
      <c r="A1766">
        <f>IF(INDEX(L_ID,ROW()-4)="","",IF(COUNTIF(P_ID,INDEX(L_ID,ROW()-4))&gt;0,1,0))</f>
        <v/>
      </c>
      <c r="B1766">
        <f>IF(INDEX(P_Type,ROW()-4)="","",TRIM(UPPER(INDEX(P_Type,ROW()-4))))</f>
        <v/>
      </c>
      <c r="D1766">
        <f>IF(INDEX(L_Type,ROW()-4)="","",TRIM(UPPER(INDEX(L_Type,ROW()-4))))</f>
        <v/>
      </c>
      <c r="E1766">
        <f>IF(INDEX(P_Status,ROW()-4)="","",TRIM(UPPER(INDEX(P_Status,ROW()-4))))</f>
        <v/>
      </c>
      <c r="G1766">
        <f>IF(INDEX(L_Status,ROW()-4)="","",TRIM(UPPER(INDEX(L_Status,ROW()-4))))</f>
        <v/>
      </c>
      <c r="J1766">
        <f>IF(INDEX(L_ID,ROW()-4)="","",IF(SUMPRODUCT((P_ID=INDEX(L_ID,ROW()-4))*(P_StatusN="INACTIVE"))&gt;0,1,0))</f>
        <v/>
      </c>
    </row>
    <row r="1767">
      <c r="A1767">
        <f>IF(INDEX(L_ID,ROW()-4)="","",IF(COUNTIF(P_ID,INDEX(L_ID,ROW()-4))&gt;0,1,0))</f>
        <v/>
      </c>
      <c r="B1767">
        <f>IF(INDEX(P_Type,ROW()-4)="","",TRIM(UPPER(INDEX(P_Type,ROW()-4))))</f>
        <v/>
      </c>
      <c r="D1767">
        <f>IF(INDEX(L_Type,ROW()-4)="","",TRIM(UPPER(INDEX(L_Type,ROW()-4))))</f>
        <v/>
      </c>
      <c r="E1767">
        <f>IF(INDEX(P_Status,ROW()-4)="","",TRIM(UPPER(INDEX(P_Status,ROW()-4))))</f>
        <v/>
      </c>
      <c r="G1767">
        <f>IF(INDEX(L_Status,ROW()-4)="","",TRIM(UPPER(INDEX(L_Status,ROW()-4))))</f>
        <v/>
      </c>
      <c r="J1767">
        <f>IF(INDEX(L_ID,ROW()-4)="","",IF(SUMPRODUCT((P_ID=INDEX(L_ID,ROW()-4))*(P_StatusN="INACTIVE"))&gt;0,1,0))</f>
        <v/>
      </c>
    </row>
    <row r="1768">
      <c r="A1768">
        <f>IF(INDEX(L_ID,ROW()-4)="","",IF(COUNTIF(P_ID,INDEX(L_ID,ROW()-4))&gt;0,1,0))</f>
        <v/>
      </c>
      <c r="B1768">
        <f>IF(INDEX(P_Type,ROW()-4)="","",TRIM(UPPER(INDEX(P_Type,ROW()-4))))</f>
        <v/>
      </c>
      <c r="D1768">
        <f>IF(INDEX(L_Type,ROW()-4)="","",TRIM(UPPER(INDEX(L_Type,ROW()-4))))</f>
        <v/>
      </c>
      <c r="E1768">
        <f>IF(INDEX(P_Status,ROW()-4)="","",TRIM(UPPER(INDEX(P_Status,ROW()-4))))</f>
        <v/>
      </c>
      <c r="G1768">
        <f>IF(INDEX(L_Status,ROW()-4)="","",TRIM(UPPER(INDEX(L_Status,ROW()-4))))</f>
        <v/>
      </c>
      <c r="J1768">
        <f>IF(INDEX(L_ID,ROW()-4)="","",IF(SUMPRODUCT((P_ID=INDEX(L_ID,ROW()-4))*(P_StatusN="INACTIVE"))&gt;0,1,0))</f>
        <v/>
      </c>
    </row>
    <row r="1769">
      <c r="A1769">
        <f>IF(INDEX(L_ID,ROW()-4)="","",IF(COUNTIF(P_ID,INDEX(L_ID,ROW()-4))&gt;0,1,0))</f>
        <v/>
      </c>
      <c r="B1769">
        <f>IF(INDEX(P_Type,ROW()-4)="","",TRIM(UPPER(INDEX(P_Type,ROW()-4))))</f>
        <v/>
      </c>
      <c r="D1769">
        <f>IF(INDEX(L_Type,ROW()-4)="","",TRIM(UPPER(INDEX(L_Type,ROW()-4))))</f>
        <v/>
      </c>
      <c r="E1769">
        <f>IF(INDEX(P_Status,ROW()-4)="","",TRIM(UPPER(INDEX(P_Status,ROW()-4))))</f>
        <v/>
      </c>
      <c r="G1769">
        <f>IF(INDEX(L_Status,ROW()-4)="","",TRIM(UPPER(INDEX(L_Status,ROW()-4))))</f>
        <v/>
      </c>
      <c r="J1769">
        <f>IF(INDEX(L_ID,ROW()-4)="","",IF(SUMPRODUCT((P_ID=INDEX(L_ID,ROW()-4))*(P_StatusN="INACTIVE"))&gt;0,1,0))</f>
        <v/>
      </c>
    </row>
    <row r="1770">
      <c r="A1770">
        <f>IF(INDEX(L_ID,ROW()-4)="","",IF(COUNTIF(P_ID,INDEX(L_ID,ROW()-4))&gt;0,1,0))</f>
        <v/>
      </c>
      <c r="B1770">
        <f>IF(INDEX(P_Type,ROW()-4)="","",TRIM(UPPER(INDEX(P_Type,ROW()-4))))</f>
        <v/>
      </c>
      <c r="D1770">
        <f>IF(INDEX(L_Type,ROW()-4)="","",TRIM(UPPER(INDEX(L_Type,ROW()-4))))</f>
        <v/>
      </c>
      <c r="E1770">
        <f>IF(INDEX(P_Status,ROW()-4)="","",TRIM(UPPER(INDEX(P_Status,ROW()-4))))</f>
        <v/>
      </c>
      <c r="G1770">
        <f>IF(INDEX(L_Status,ROW()-4)="","",TRIM(UPPER(INDEX(L_Status,ROW()-4))))</f>
        <v/>
      </c>
      <c r="J1770">
        <f>IF(INDEX(L_ID,ROW()-4)="","",IF(SUMPRODUCT((P_ID=INDEX(L_ID,ROW()-4))*(P_StatusN="INACTIVE"))&gt;0,1,0))</f>
        <v/>
      </c>
    </row>
    <row r="1771">
      <c r="A1771">
        <f>IF(INDEX(L_ID,ROW()-4)="","",IF(COUNTIF(P_ID,INDEX(L_ID,ROW()-4))&gt;0,1,0))</f>
        <v/>
      </c>
      <c r="B1771">
        <f>IF(INDEX(P_Type,ROW()-4)="","",TRIM(UPPER(INDEX(P_Type,ROW()-4))))</f>
        <v/>
      </c>
      <c r="D1771">
        <f>IF(INDEX(L_Type,ROW()-4)="","",TRIM(UPPER(INDEX(L_Type,ROW()-4))))</f>
        <v/>
      </c>
      <c r="E1771">
        <f>IF(INDEX(P_Status,ROW()-4)="","",TRIM(UPPER(INDEX(P_Status,ROW()-4))))</f>
        <v/>
      </c>
      <c r="G1771">
        <f>IF(INDEX(L_Status,ROW()-4)="","",TRIM(UPPER(INDEX(L_Status,ROW()-4))))</f>
        <v/>
      </c>
      <c r="J1771">
        <f>IF(INDEX(L_ID,ROW()-4)="","",IF(SUMPRODUCT((P_ID=INDEX(L_ID,ROW()-4))*(P_StatusN="INACTIVE"))&gt;0,1,0))</f>
        <v/>
      </c>
    </row>
    <row r="1772">
      <c r="A1772">
        <f>IF(INDEX(L_ID,ROW()-4)="","",IF(COUNTIF(P_ID,INDEX(L_ID,ROW()-4))&gt;0,1,0))</f>
        <v/>
      </c>
      <c r="B1772">
        <f>IF(INDEX(P_Type,ROW()-4)="","",TRIM(UPPER(INDEX(P_Type,ROW()-4))))</f>
        <v/>
      </c>
      <c r="D1772">
        <f>IF(INDEX(L_Type,ROW()-4)="","",TRIM(UPPER(INDEX(L_Type,ROW()-4))))</f>
        <v/>
      </c>
      <c r="E1772">
        <f>IF(INDEX(P_Status,ROW()-4)="","",TRIM(UPPER(INDEX(P_Status,ROW()-4))))</f>
        <v/>
      </c>
      <c r="G1772">
        <f>IF(INDEX(L_Status,ROW()-4)="","",TRIM(UPPER(INDEX(L_Status,ROW()-4))))</f>
        <v/>
      </c>
      <c r="J1772">
        <f>IF(INDEX(L_ID,ROW()-4)="","",IF(SUMPRODUCT((P_ID=INDEX(L_ID,ROW()-4))*(P_StatusN="INACTIVE"))&gt;0,1,0))</f>
        <v/>
      </c>
    </row>
    <row r="1773">
      <c r="A1773">
        <f>IF(INDEX(L_ID,ROW()-4)="","",IF(COUNTIF(P_ID,INDEX(L_ID,ROW()-4))&gt;0,1,0))</f>
        <v/>
      </c>
      <c r="B1773">
        <f>IF(INDEX(P_Type,ROW()-4)="","",TRIM(UPPER(INDEX(P_Type,ROW()-4))))</f>
        <v/>
      </c>
      <c r="D1773">
        <f>IF(INDEX(L_Type,ROW()-4)="","",TRIM(UPPER(INDEX(L_Type,ROW()-4))))</f>
        <v/>
      </c>
      <c r="E1773">
        <f>IF(INDEX(P_Status,ROW()-4)="","",TRIM(UPPER(INDEX(P_Status,ROW()-4))))</f>
        <v/>
      </c>
      <c r="G1773">
        <f>IF(INDEX(L_Status,ROW()-4)="","",TRIM(UPPER(INDEX(L_Status,ROW()-4))))</f>
        <v/>
      </c>
      <c r="J1773">
        <f>IF(INDEX(L_ID,ROW()-4)="","",IF(SUMPRODUCT((P_ID=INDEX(L_ID,ROW()-4))*(P_StatusN="INACTIVE"))&gt;0,1,0))</f>
        <v/>
      </c>
    </row>
    <row r="1774">
      <c r="A1774">
        <f>IF(INDEX(L_ID,ROW()-4)="","",IF(COUNTIF(P_ID,INDEX(L_ID,ROW()-4))&gt;0,1,0))</f>
        <v/>
      </c>
      <c r="B1774">
        <f>IF(INDEX(P_Type,ROW()-4)="","",TRIM(UPPER(INDEX(P_Type,ROW()-4))))</f>
        <v/>
      </c>
      <c r="D1774">
        <f>IF(INDEX(L_Type,ROW()-4)="","",TRIM(UPPER(INDEX(L_Type,ROW()-4))))</f>
        <v/>
      </c>
      <c r="E1774">
        <f>IF(INDEX(P_Status,ROW()-4)="","",TRIM(UPPER(INDEX(P_Status,ROW()-4))))</f>
        <v/>
      </c>
      <c r="G1774">
        <f>IF(INDEX(L_Status,ROW()-4)="","",TRIM(UPPER(INDEX(L_Status,ROW()-4))))</f>
        <v/>
      </c>
      <c r="J1774">
        <f>IF(INDEX(L_ID,ROW()-4)="","",IF(SUMPRODUCT((P_ID=INDEX(L_ID,ROW()-4))*(P_StatusN="INACTIVE"))&gt;0,1,0))</f>
        <v/>
      </c>
    </row>
    <row r="1775">
      <c r="A1775">
        <f>IF(INDEX(L_ID,ROW()-4)="","",IF(COUNTIF(P_ID,INDEX(L_ID,ROW()-4))&gt;0,1,0))</f>
        <v/>
      </c>
      <c r="B1775">
        <f>IF(INDEX(P_Type,ROW()-4)="","",TRIM(UPPER(INDEX(P_Type,ROW()-4))))</f>
        <v/>
      </c>
      <c r="D1775">
        <f>IF(INDEX(L_Type,ROW()-4)="","",TRIM(UPPER(INDEX(L_Type,ROW()-4))))</f>
        <v/>
      </c>
      <c r="E1775">
        <f>IF(INDEX(P_Status,ROW()-4)="","",TRIM(UPPER(INDEX(P_Status,ROW()-4))))</f>
        <v/>
      </c>
      <c r="G1775">
        <f>IF(INDEX(L_Status,ROW()-4)="","",TRIM(UPPER(INDEX(L_Status,ROW()-4))))</f>
        <v/>
      </c>
      <c r="J1775">
        <f>IF(INDEX(L_ID,ROW()-4)="","",IF(SUMPRODUCT((P_ID=INDEX(L_ID,ROW()-4))*(P_StatusN="INACTIVE"))&gt;0,1,0))</f>
        <v/>
      </c>
    </row>
    <row r="1776">
      <c r="A1776">
        <f>IF(INDEX(L_ID,ROW()-4)="","",IF(COUNTIF(P_ID,INDEX(L_ID,ROW()-4))&gt;0,1,0))</f>
        <v/>
      </c>
      <c r="B1776">
        <f>IF(INDEX(P_Type,ROW()-4)="","",TRIM(UPPER(INDEX(P_Type,ROW()-4))))</f>
        <v/>
      </c>
      <c r="D1776">
        <f>IF(INDEX(L_Type,ROW()-4)="","",TRIM(UPPER(INDEX(L_Type,ROW()-4))))</f>
        <v/>
      </c>
      <c r="E1776">
        <f>IF(INDEX(P_Status,ROW()-4)="","",TRIM(UPPER(INDEX(P_Status,ROW()-4))))</f>
        <v/>
      </c>
      <c r="G1776">
        <f>IF(INDEX(L_Status,ROW()-4)="","",TRIM(UPPER(INDEX(L_Status,ROW()-4))))</f>
        <v/>
      </c>
      <c r="J1776">
        <f>IF(INDEX(L_ID,ROW()-4)="","",IF(SUMPRODUCT((P_ID=INDEX(L_ID,ROW()-4))*(P_StatusN="INACTIVE"))&gt;0,1,0))</f>
        <v/>
      </c>
    </row>
    <row r="1777">
      <c r="A1777">
        <f>IF(INDEX(L_ID,ROW()-4)="","",IF(COUNTIF(P_ID,INDEX(L_ID,ROW()-4))&gt;0,1,0))</f>
        <v/>
      </c>
      <c r="B1777">
        <f>IF(INDEX(P_Type,ROW()-4)="","",TRIM(UPPER(INDEX(P_Type,ROW()-4))))</f>
        <v/>
      </c>
      <c r="D1777">
        <f>IF(INDEX(L_Type,ROW()-4)="","",TRIM(UPPER(INDEX(L_Type,ROW()-4))))</f>
        <v/>
      </c>
      <c r="E1777">
        <f>IF(INDEX(P_Status,ROW()-4)="","",TRIM(UPPER(INDEX(P_Status,ROW()-4))))</f>
        <v/>
      </c>
      <c r="G1777">
        <f>IF(INDEX(L_Status,ROW()-4)="","",TRIM(UPPER(INDEX(L_Status,ROW()-4))))</f>
        <v/>
      </c>
      <c r="J1777">
        <f>IF(INDEX(L_ID,ROW()-4)="","",IF(SUMPRODUCT((P_ID=INDEX(L_ID,ROW()-4))*(P_StatusN="INACTIVE"))&gt;0,1,0))</f>
        <v/>
      </c>
    </row>
    <row r="1778">
      <c r="A1778">
        <f>IF(INDEX(L_ID,ROW()-4)="","",IF(COUNTIF(P_ID,INDEX(L_ID,ROW()-4))&gt;0,1,0))</f>
        <v/>
      </c>
      <c r="B1778">
        <f>IF(INDEX(P_Type,ROW()-4)="","",TRIM(UPPER(INDEX(P_Type,ROW()-4))))</f>
        <v/>
      </c>
      <c r="D1778">
        <f>IF(INDEX(L_Type,ROW()-4)="","",TRIM(UPPER(INDEX(L_Type,ROW()-4))))</f>
        <v/>
      </c>
      <c r="E1778">
        <f>IF(INDEX(P_Status,ROW()-4)="","",TRIM(UPPER(INDEX(P_Status,ROW()-4))))</f>
        <v/>
      </c>
      <c r="G1778">
        <f>IF(INDEX(L_Status,ROW()-4)="","",TRIM(UPPER(INDEX(L_Status,ROW()-4))))</f>
        <v/>
      </c>
      <c r="J1778">
        <f>IF(INDEX(L_ID,ROW()-4)="","",IF(SUMPRODUCT((P_ID=INDEX(L_ID,ROW()-4))*(P_StatusN="INACTIVE"))&gt;0,1,0))</f>
        <v/>
      </c>
    </row>
    <row r="1779">
      <c r="A1779">
        <f>IF(INDEX(L_ID,ROW()-4)="","",IF(COUNTIF(P_ID,INDEX(L_ID,ROW()-4))&gt;0,1,0))</f>
        <v/>
      </c>
      <c r="B1779">
        <f>IF(INDEX(P_Type,ROW()-4)="","",TRIM(UPPER(INDEX(P_Type,ROW()-4))))</f>
        <v/>
      </c>
      <c r="D1779">
        <f>IF(INDEX(L_Type,ROW()-4)="","",TRIM(UPPER(INDEX(L_Type,ROW()-4))))</f>
        <v/>
      </c>
      <c r="E1779">
        <f>IF(INDEX(P_Status,ROW()-4)="","",TRIM(UPPER(INDEX(P_Status,ROW()-4))))</f>
        <v/>
      </c>
      <c r="G1779">
        <f>IF(INDEX(L_Status,ROW()-4)="","",TRIM(UPPER(INDEX(L_Status,ROW()-4))))</f>
        <v/>
      </c>
      <c r="J1779">
        <f>IF(INDEX(L_ID,ROW()-4)="","",IF(SUMPRODUCT((P_ID=INDEX(L_ID,ROW()-4))*(P_StatusN="INACTIVE"))&gt;0,1,0))</f>
        <v/>
      </c>
    </row>
    <row r="1780">
      <c r="A1780">
        <f>IF(INDEX(L_ID,ROW()-4)="","",IF(COUNTIF(P_ID,INDEX(L_ID,ROW()-4))&gt;0,1,0))</f>
        <v/>
      </c>
      <c r="B1780">
        <f>IF(INDEX(P_Type,ROW()-4)="","",TRIM(UPPER(INDEX(P_Type,ROW()-4))))</f>
        <v/>
      </c>
      <c r="D1780">
        <f>IF(INDEX(L_Type,ROW()-4)="","",TRIM(UPPER(INDEX(L_Type,ROW()-4))))</f>
        <v/>
      </c>
      <c r="E1780">
        <f>IF(INDEX(P_Status,ROW()-4)="","",TRIM(UPPER(INDEX(P_Status,ROW()-4))))</f>
        <v/>
      </c>
      <c r="G1780">
        <f>IF(INDEX(L_Status,ROW()-4)="","",TRIM(UPPER(INDEX(L_Status,ROW()-4))))</f>
        <v/>
      </c>
      <c r="J1780">
        <f>IF(INDEX(L_ID,ROW()-4)="","",IF(SUMPRODUCT((P_ID=INDEX(L_ID,ROW()-4))*(P_StatusN="INACTIVE"))&gt;0,1,0))</f>
        <v/>
      </c>
    </row>
    <row r="1781">
      <c r="A1781">
        <f>IF(INDEX(L_ID,ROW()-4)="","",IF(COUNTIF(P_ID,INDEX(L_ID,ROW()-4))&gt;0,1,0))</f>
        <v/>
      </c>
      <c r="B1781">
        <f>IF(INDEX(P_Type,ROW()-4)="","",TRIM(UPPER(INDEX(P_Type,ROW()-4))))</f>
        <v/>
      </c>
      <c r="D1781">
        <f>IF(INDEX(L_Type,ROW()-4)="","",TRIM(UPPER(INDEX(L_Type,ROW()-4))))</f>
        <v/>
      </c>
      <c r="E1781">
        <f>IF(INDEX(P_Status,ROW()-4)="","",TRIM(UPPER(INDEX(P_Status,ROW()-4))))</f>
        <v/>
      </c>
      <c r="G1781">
        <f>IF(INDEX(L_Status,ROW()-4)="","",TRIM(UPPER(INDEX(L_Status,ROW()-4))))</f>
        <v/>
      </c>
      <c r="J1781">
        <f>IF(INDEX(L_ID,ROW()-4)="","",IF(SUMPRODUCT((P_ID=INDEX(L_ID,ROW()-4))*(P_StatusN="INACTIVE"))&gt;0,1,0))</f>
        <v/>
      </c>
    </row>
    <row r="1782">
      <c r="A1782">
        <f>IF(INDEX(L_ID,ROW()-4)="","",IF(COUNTIF(P_ID,INDEX(L_ID,ROW()-4))&gt;0,1,0))</f>
        <v/>
      </c>
      <c r="B1782">
        <f>IF(INDEX(P_Type,ROW()-4)="","",TRIM(UPPER(INDEX(P_Type,ROW()-4))))</f>
        <v/>
      </c>
      <c r="D1782">
        <f>IF(INDEX(L_Type,ROW()-4)="","",TRIM(UPPER(INDEX(L_Type,ROW()-4))))</f>
        <v/>
      </c>
      <c r="E1782">
        <f>IF(INDEX(P_Status,ROW()-4)="","",TRIM(UPPER(INDEX(P_Status,ROW()-4))))</f>
        <v/>
      </c>
      <c r="G1782">
        <f>IF(INDEX(L_Status,ROW()-4)="","",TRIM(UPPER(INDEX(L_Status,ROW()-4))))</f>
        <v/>
      </c>
      <c r="J1782">
        <f>IF(INDEX(L_ID,ROW()-4)="","",IF(SUMPRODUCT((P_ID=INDEX(L_ID,ROW()-4))*(P_StatusN="INACTIVE"))&gt;0,1,0))</f>
        <v/>
      </c>
    </row>
    <row r="1783">
      <c r="A1783">
        <f>IF(INDEX(L_ID,ROW()-4)="","",IF(COUNTIF(P_ID,INDEX(L_ID,ROW()-4))&gt;0,1,0))</f>
        <v/>
      </c>
      <c r="B1783">
        <f>IF(INDEX(P_Type,ROW()-4)="","",TRIM(UPPER(INDEX(P_Type,ROW()-4))))</f>
        <v/>
      </c>
      <c r="D1783">
        <f>IF(INDEX(L_Type,ROW()-4)="","",TRIM(UPPER(INDEX(L_Type,ROW()-4))))</f>
        <v/>
      </c>
      <c r="E1783">
        <f>IF(INDEX(P_Status,ROW()-4)="","",TRIM(UPPER(INDEX(P_Status,ROW()-4))))</f>
        <v/>
      </c>
      <c r="G1783">
        <f>IF(INDEX(L_Status,ROW()-4)="","",TRIM(UPPER(INDEX(L_Status,ROW()-4))))</f>
        <v/>
      </c>
      <c r="J1783">
        <f>IF(INDEX(L_ID,ROW()-4)="","",IF(SUMPRODUCT((P_ID=INDEX(L_ID,ROW()-4))*(P_StatusN="INACTIVE"))&gt;0,1,0))</f>
        <v/>
      </c>
    </row>
    <row r="1784">
      <c r="A1784">
        <f>IF(INDEX(L_ID,ROW()-4)="","",IF(COUNTIF(P_ID,INDEX(L_ID,ROW()-4))&gt;0,1,0))</f>
        <v/>
      </c>
      <c r="B1784">
        <f>IF(INDEX(P_Type,ROW()-4)="","",TRIM(UPPER(INDEX(P_Type,ROW()-4))))</f>
        <v/>
      </c>
      <c r="D1784">
        <f>IF(INDEX(L_Type,ROW()-4)="","",TRIM(UPPER(INDEX(L_Type,ROW()-4))))</f>
        <v/>
      </c>
      <c r="E1784">
        <f>IF(INDEX(P_Status,ROW()-4)="","",TRIM(UPPER(INDEX(P_Status,ROW()-4))))</f>
        <v/>
      </c>
      <c r="G1784">
        <f>IF(INDEX(L_Status,ROW()-4)="","",TRIM(UPPER(INDEX(L_Status,ROW()-4))))</f>
        <v/>
      </c>
      <c r="J1784">
        <f>IF(INDEX(L_ID,ROW()-4)="","",IF(SUMPRODUCT((P_ID=INDEX(L_ID,ROW()-4))*(P_StatusN="INACTIVE"))&gt;0,1,0))</f>
        <v/>
      </c>
    </row>
    <row r="1785">
      <c r="A1785">
        <f>IF(INDEX(L_ID,ROW()-4)="","",IF(COUNTIF(P_ID,INDEX(L_ID,ROW()-4))&gt;0,1,0))</f>
        <v/>
      </c>
      <c r="B1785">
        <f>IF(INDEX(P_Type,ROW()-4)="","",TRIM(UPPER(INDEX(P_Type,ROW()-4))))</f>
        <v/>
      </c>
      <c r="D1785">
        <f>IF(INDEX(L_Type,ROW()-4)="","",TRIM(UPPER(INDEX(L_Type,ROW()-4))))</f>
        <v/>
      </c>
      <c r="E1785">
        <f>IF(INDEX(P_Status,ROW()-4)="","",TRIM(UPPER(INDEX(P_Status,ROW()-4))))</f>
        <v/>
      </c>
      <c r="G1785">
        <f>IF(INDEX(L_Status,ROW()-4)="","",TRIM(UPPER(INDEX(L_Status,ROW()-4))))</f>
        <v/>
      </c>
      <c r="J1785">
        <f>IF(INDEX(L_ID,ROW()-4)="","",IF(SUMPRODUCT((P_ID=INDEX(L_ID,ROW()-4))*(P_StatusN="INACTIVE"))&gt;0,1,0))</f>
        <v/>
      </c>
    </row>
    <row r="1786">
      <c r="A1786">
        <f>IF(INDEX(L_ID,ROW()-4)="","",IF(COUNTIF(P_ID,INDEX(L_ID,ROW()-4))&gt;0,1,0))</f>
        <v/>
      </c>
      <c r="B1786">
        <f>IF(INDEX(P_Type,ROW()-4)="","",TRIM(UPPER(INDEX(P_Type,ROW()-4))))</f>
        <v/>
      </c>
      <c r="D1786">
        <f>IF(INDEX(L_Type,ROW()-4)="","",TRIM(UPPER(INDEX(L_Type,ROW()-4))))</f>
        <v/>
      </c>
      <c r="E1786">
        <f>IF(INDEX(P_Status,ROW()-4)="","",TRIM(UPPER(INDEX(P_Status,ROW()-4))))</f>
        <v/>
      </c>
      <c r="G1786">
        <f>IF(INDEX(L_Status,ROW()-4)="","",TRIM(UPPER(INDEX(L_Status,ROW()-4))))</f>
        <v/>
      </c>
      <c r="J1786">
        <f>IF(INDEX(L_ID,ROW()-4)="","",IF(SUMPRODUCT((P_ID=INDEX(L_ID,ROW()-4))*(P_StatusN="INACTIVE"))&gt;0,1,0))</f>
        <v/>
      </c>
    </row>
    <row r="1787">
      <c r="A1787">
        <f>IF(INDEX(L_ID,ROW()-4)="","",IF(COUNTIF(P_ID,INDEX(L_ID,ROW()-4))&gt;0,1,0))</f>
        <v/>
      </c>
      <c r="B1787">
        <f>IF(INDEX(P_Type,ROW()-4)="","",TRIM(UPPER(INDEX(P_Type,ROW()-4))))</f>
        <v/>
      </c>
      <c r="D1787">
        <f>IF(INDEX(L_Type,ROW()-4)="","",TRIM(UPPER(INDEX(L_Type,ROW()-4))))</f>
        <v/>
      </c>
      <c r="E1787">
        <f>IF(INDEX(P_Status,ROW()-4)="","",TRIM(UPPER(INDEX(P_Status,ROW()-4))))</f>
        <v/>
      </c>
      <c r="G1787">
        <f>IF(INDEX(L_Status,ROW()-4)="","",TRIM(UPPER(INDEX(L_Status,ROW()-4))))</f>
        <v/>
      </c>
      <c r="J1787">
        <f>IF(INDEX(L_ID,ROW()-4)="","",IF(SUMPRODUCT((P_ID=INDEX(L_ID,ROW()-4))*(P_StatusN="INACTIVE"))&gt;0,1,0))</f>
        <v/>
      </c>
    </row>
    <row r="1788">
      <c r="A1788">
        <f>IF(INDEX(L_ID,ROW()-4)="","",IF(COUNTIF(P_ID,INDEX(L_ID,ROW()-4))&gt;0,1,0))</f>
        <v/>
      </c>
      <c r="B1788">
        <f>IF(INDEX(P_Type,ROW()-4)="","",TRIM(UPPER(INDEX(P_Type,ROW()-4))))</f>
        <v/>
      </c>
      <c r="D1788">
        <f>IF(INDEX(L_Type,ROW()-4)="","",TRIM(UPPER(INDEX(L_Type,ROW()-4))))</f>
        <v/>
      </c>
      <c r="E1788">
        <f>IF(INDEX(P_Status,ROW()-4)="","",TRIM(UPPER(INDEX(P_Status,ROW()-4))))</f>
        <v/>
      </c>
      <c r="G1788">
        <f>IF(INDEX(L_Status,ROW()-4)="","",TRIM(UPPER(INDEX(L_Status,ROW()-4))))</f>
        <v/>
      </c>
      <c r="J1788">
        <f>IF(INDEX(L_ID,ROW()-4)="","",IF(SUMPRODUCT((P_ID=INDEX(L_ID,ROW()-4))*(P_StatusN="INACTIVE"))&gt;0,1,0))</f>
        <v/>
      </c>
    </row>
    <row r="1789">
      <c r="A1789">
        <f>IF(INDEX(L_ID,ROW()-4)="","",IF(COUNTIF(P_ID,INDEX(L_ID,ROW()-4))&gt;0,1,0))</f>
        <v/>
      </c>
      <c r="B1789">
        <f>IF(INDEX(P_Type,ROW()-4)="","",TRIM(UPPER(INDEX(P_Type,ROW()-4))))</f>
        <v/>
      </c>
      <c r="D1789">
        <f>IF(INDEX(L_Type,ROW()-4)="","",TRIM(UPPER(INDEX(L_Type,ROW()-4))))</f>
        <v/>
      </c>
      <c r="E1789">
        <f>IF(INDEX(P_Status,ROW()-4)="","",TRIM(UPPER(INDEX(P_Status,ROW()-4))))</f>
        <v/>
      </c>
      <c r="G1789">
        <f>IF(INDEX(L_Status,ROW()-4)="","",TRIM(UPPER(INDEX(L_Status,ROW()-4))))</f>
        <v/>
      </c>
      <c r="J1789">
        <f>IF(INDEX(L_ID,ROW()-4)="","",IF(SUMPRODUCT((P_ID=INDEX(L_ID,ROW()-4))*(P_StatusN="INACTIVE"))&gt;0,1,0))</f>
        <v/>
      </c>
    </row>
    <row r="1790">
      <c r="A1790">
        <f>IF(INDEX(L_ID,ROW()-4)="","",IF(COUNTIF(P_ID,INDEX(L_ID,ROW()-4))&gt;0,1,0))</f>
        <v/>
      </c>
      <c r="B1790">
        <f>IF(INDEX(P_Type,ROW()-4)="","",TRIM(UPPER(INDEX(P_Type,ROW()-4))))</f>
        <v/>
      </c>
      <c r="D1790">
        <f>IF(INDEX(L_Type,ROW()-4)="","",TRIM(UPPER(INDEX(L_Type,ROW()-4))))</f>
        <v/>
      </c>
      <c r="E1790">
        <f>IF(INDEX(P_Status,ROW()-4)="","",TRIM(UPPER(INDEX(P_Status,ROW()-4))))</f>
        <v/>
      </c>
      <c r="G1790">
        <f>IF(INDEX(L_Status,ROW()-4)="","",TRIM(UPPER(INDEX(L_Status,ROW()-4))))</f>
        <v/>
      </c>
      <c r="J1790">
        <f>IF(INDEX(L_ID,ROW()-4)="","",IF(SUMPRODUCT((P_ID=INDEX(L_ID,ROW()-4))*(P_StatusN="INACTIVE"))&gt;0,1,0))</f>
        <v/>
      </c>
    </row>
    <row r="1791">
      <c r="A1791">
        <f>IF(INDEX(L_ID,ROW()-4)="","",IF(COUNTIF(P_ID,INDEX(L_ID,ROW()-4))&gt;0,1,0))</f>
        <v/>
      </c>
      <c r="B1791">
        <f>IF(INDEX(P_Type,ROW()-4)="","",TRIM(UPPER(INDEX(P_Type,ROW()-4))))</f>
        <v/>
      </c>
      <c r="D1791">
        <f>IF(INDEX(L_Type,ROW()-4)="","",TRIM(UPPER(INDEX(L_Type,ROW()-4))))</f>
        <v/>
      </c>
      <c r="E1791">
        <f>IF(INDEX(P_Status,ROW()-4)="","",TRIM(UPPER(INDEX(P_Status,ROW()-4))))</f>
        <v/>
      </c>
      <c r="G1791">
        <f>IF(INDEX(L_Status,ROW()-4)="","",TRIM(UPPER(INDEX(L_Status,ROW()-4))))</f>
        <v/>
      </c>
      <c r="J1791">
        <f>IF(INDEX(L_ID,ROW()-4)="","",IF(SUMPRODUCT((P_ID=INDEX(L_ID,ROW()-4))*(P_StatusN="INACTIVE"))&gt;0,1,0))</f>
        <v/>
      </c>
    </row>
    <row r="1792">
      <c r="A1792">
        <f>IF(INDEX(L_ID,ROW()-4)="","",IF(COUNTIF(P_ID,INDEX(L_ID,ROW()-4))&gt;0,1,0))</f>
        <v/>
      </c>
      <c r="B1792">
        <f>IF(INDEX(P_Type,ROW()-4)="","",TRIM(UPPER(INDEX(P_Type,ROW()-4))))</f>
        <v/>
      </c>
      <c r="D1792">
        <f>IF(INDEX(L_Type,ROW()-4)="","",TRIM(UPPER(INDEX(L_Type,ROW()-4))))</f>
        <v/>
      </c>
      <c r="E1792">
        <f>IF(INDEX(P_Status,ROW()-4)="","",TRIM(UPPER(INDEX(P_Status,ROW()-4))))</f>
        <v/>
      </c>
      <c r="G1792">
        <f>IF(INDEX(L_Status,ROW()-4)="","",TRIM(UPPER(INDEX(L_Status,ROW()-4))))</f>
        <v/>
      </c>
      <c r="J1792">
        <f>IF(INDEX(L_ID,ROW()-4)="","",IF(SUMPRODUCT((P_ID=INDEX(L_ID,ROW()-4))*(P_StatusN="INACTIVE"))&gt;0,1,0))</f>
        <v/>
      </c>
    </row>
    <row r="1793">
      <c r="A1793">
        <f>IF(INDEX(L_ID,ROW()-4)="","",IF(COUNTIF(P_ID,INDEX(L_ID,ROW()-4))&gt;0,1,0))</f>
        <v/>
      </c>
      <c r="B1793">
        <f>IF(INDEX(P_Type,ROW()-4)="","",TRIM(UPPER(INDEX(P_Type,ROW()-4))))</f>
        <v/>
      </c>
      <c r="D1793">
        <f>IF(INDEX(L_Type,ROW()-4)="","",TRIM(UPPER(INDEX(L_Type,ROW()-4))))</f>
        <v/>
      </c>
      <c r="E1793">
        <f>IF(INDEX(P_Status,ROW()-4)="","",TRIM(UPPER(INDEX(P_Status,ROW()-4))))</f>
        <v/>
      </c>
      <c r="G1793">
        <f>IF(INDEX(L_Status,ROW()-4)="","",TRIM(UPPER(INDEX(L_Status,ROW()-4))))</f>
        <v/>
      </c>
      <c r="J1793">
        <f>IF(INDEX(L_ID,ROW()-4)="","",IF(SUMPRODUCT((P_ID=INDEX(L_ID,ROW()-4))*(P_StatusN="INACTIVE"))&gt;0,1,0))</f>
        <v/>
      </c>
    </row>
    <row r="1794">
      <c r="A1794">
        <f>IF(INDEX(L_ID,ROW()-4)="","",IF(COUNTIF(P_ID,INDEX(L_ID,ROW()-4))&gt;0,1,0))</f>
        <v/>
      </c>
      <c r="B1794">
        <f>IF(INDEX(P_Type,ROW()-4)="","",TRIM(UPPER(INDEX(P_Type,ROW()-4))))</f>
        <v/>
      </c>
      <c r="D1794">
        <f>IF(INDEX(L_Type,ROW()-4)="","",TRIM(UPPER(INDEX(L_Type,ROW()-4))))</f>
        <v/>
      </c>
      <c r="E1794">
        <f>IF(INDEX(P_Status,ROW()-4)="","",TRIM(UPPER(INDEX(P_Status,ROW()-4))))</f>
        <v/>
      </c>
      <c r="G1794">
        <f>IF(INDEX(L_Status,ROW()-4)="","",TRIM(UPPER(INDEX(L_Status,ROW()-4))))</f>
        <v/>
      </c>
      <c r="J1794">
        <f>IF(INDEX(L_ID,ROW()-4)="","",IF(SUMPRODUCT((P_ID=INDEX(L_ID,ROW()-4))*(P_StatusN="INACTIVE"))&gt;0,1,0))</f>
        <v/>
      </c>
    </row>
    <row r="1795">
      <c r="A1795">
        <f>IF(INDEX(L_ID,ROW()-4)="","",IF(COUNTIF(P_ID,INDEX(L_ID,ROW()-4))&gt;0,1,0))</f>
        <v/>
      </c>
      <c r="B1795">
        <f>IF(INDEX(P_Type,ROW()-4)="","",TRIM(UPPER(INDEX(P_Type,ROW()-4))))</f>
        <v/>
      </c>
      <c r="D1795">
        <f>IF(INDEX(L_Type,ROW()-4)="","",TRIM(UPPER(INDEX(L_Type,ROW()-4))))</f>
        <v/>
      </c>
      <c r="E1795">
        <f>IF(INDEX(P_Status,ROW()-4)="","",TRIM(UPPER(INDEX(P_Status,ROW()-4))))</f>
        <v/>
      </c>
      <c r="G1795">
        <f>IF(INDEX(L_Status,ROW()-4)="","",TRIM(UPPER(INDEX(L_Status,ROW()-4))))</f>
        <v/>
      </c>
      <c r="J1795">
        <f>IF(INDEX(L_ID,ROW()-4)="","",IF(SUMPRODUCT((P_ID=INDEX(L_ID,ROW()-4))*(P_StatusN="INACTIVE"))&gt;0,1,0))</f>
        <v/>
      </c>
    </row>
    <row r="1796">
      <c r="A1796">
        <f>IF(INDEX(L_ID,ROW()-4)="","",IF(COUNTIF(P_ID,INDEX(L_ID,ROW()-4))&gt;0,1,0))</f>
        <v/>
      </c>
      <c r="B1796">
        <f>IF(INDEX(P_Type,ROW()-4)="","",TRIM(UPPER(INDEX(P_Type,ROW()-4))))</f>
        <v/>
      </c>
      <c r="D1796">
        <f>IF(INDEX(L_Type,ROW()-4)="","",TRIM(UPPER(INDEX(L_Type,ROW()-4))))</f>
        <v/>
      </c>
      <c r="E1796">
        <f>IF(INDEX(P_Status,ROW()-4)="","",TRIM(UPPER(INDEX(P_Status,ROW()-4))))</f>
        <v/>
      </c>
      <c r="G1796">
        <f>IF(INDEX(L_Status,ROW()-4)="","",TRIM(UPPER(INDEX(L_Status,ROW()-4))))</f>
        <v/>
      </c>
      <c r="J1796">
        <f>IF(INDEX(L_ID,ROW()-4)="","",IF(SUMPRODUCT((P_ID=INDEX(L_ID,ROW()-4))*(P_StatusN="INACTIVE"))&gt;0,1,0))</f>
        <v/>
      </c>
    </row>
    <row r="1797">
      <c r="A1797">
        <f>IF(INDEX(L_ID,ROW()-4)="","",IF(COUNTIF(P_ID,INDEX(L_ID,ROW()-4))&gt;0,1,0))</f>
        <v/>
      </c>
      <c r="B1797">
        <f>IF(INDEX(P_Type,ROW()-4)="","",TRIM(UPPER(INDEX(P_Type,ROW()-4))))</f>
        <v/>
      </c>
      <c r="D1797">
        <f>IF(INDEX(L_Type,ROW()-4)="","",TRIM(UPPER(INDEX(L_Type,ROW()-4))))</f>
        <v/>
      </c>
      <c r="E1797">
        <f>IF(INDEX(P_Status,ROW()-4)="","",TRIM(UPPER(INDEX(P_Status,ROW()-4))))</f>
        <v/>
      </c>
      <c r="G1797">
        <f>IF(INDEX(L_Status,ROW()-4)="","",TRIM(UPPER(INDEX(L_Status,ROW()-4))))</f>
        <v/>
      </c>
      <c r="J1797">
        <f>IF(INDEX(L_ID,ROW()-4)="","",IF(SUMPRODUCT((P_ID=INDEX(L_ID,ROW()-4))*(P_StatusN="INACTIVE"))&gt;0,1,0))</f>
        <v/>
      </c>
    </row>
    <row r="1798">
      <c r="A1798">
        <f>IF(INDEX(L_ID,ROW()-4)="","",IF(COUNTIF(P_ID,INDEX(L_ID,ROW()-4))&gt;0,1,0))</f>
        <v/>
      </c>
      <c r="B1798">
        <f>IF(INDEX(P_Type,ROW()-4)="","",TRIM(UPPER(INDEX(P_Type,ROW()-4))))</f>
        <v/>
      </c>
      <c r="D1798">
        <f>IF(INDEX(L_Type,ROW()-4)="","",TRIM(UPPER(INDEX(L_Type,ROW()-4))))</f>
        <v/>
      </c>
      <c r="E1798">
        <f>IF(INDEX(P_Status,ROW()-4)="","",TRIM(UPPER(INDEX(P_Status,ROW()-4))))</f>
        <v/>
      </c>
      <c r="G1798">
        <f>IF(INDEX(L_Status,ROW()-4)="","",TRIM(UPPER(INDEX(L_Status,ROW()-4))))</f>
        <v/>
      </c>
      <c r="J1798">
        <f>IF(INDEX(L_ID,ROW()-4)="","",IF(SUMPRODUCT((P_ID=INDEX(L_ID,ROW()-4))*(P_StatusN="INACTIVE"))&gt;0,1,0))</f>
        <v/>
      </c>
    </row>
    <row r="1799">
      <c r="A1799">
        <f>IF(INDEX(L_ID,ROW()-4)="","",IF(COUNTIF(P_ID,INDEX(L_ID,ROW()-4))&gt;0,1,0))</f>
        <v/>
      </c>
      <c r="B1799">
        <f>IF(INDEX(P_Type,ROW()-4)="","",TRIM(UPPER(INDEX(P_Type,ROW()-4))))</f>
        <v/>
      </c>
      <c r="D1799">
        <f>IF(INDEX(L_Type,ROW()-4)="","",TRIM(UPPER(INDEX(L_Type,ROW()-4))))</f>
        <v/>
      </c>
      <c r="E1799">
        <f>IF(INDEX(P_Status,ROW()-4)="","",TRIM(UPPER(INDEX(P_Status,ROW()-4))))</f>
        <v/>
      </c>
      <c r="G1799">
        <f>IF(INDEX(L_Status,ROW()-4)="","",TRIM(UPPER(INDEX(L_Status,ROW()-4))))</f>
        <v/>
      </c>
      <c r="J1799">
        <f>IF(INDEX(L_ID,ROW()-4)="","",IF(SUMPRODUCT((P_ID=INDEX(L_ID,ROW()-4))*(P_StatusN="INACTIVE"))&gt;0,1,0))</f>
        <v/>
      </c>
    </row>
    <row r="1800">
      <c r="A1800">
        <f>IF(INDEX(L_ID,ROW()-4)="","",IF(COUNTIF(P_ID,INDEX(L_ID,ROW()-4))&gt;0,1,0))</f>
        <v/>
      </c>
      <c r="B1800">
        <f>IF(INDEX(P_Type,ROW()-4)="","",TRIM(UPPER(INDEX(P_Type,ROW()-4))))</f>
        <v/>
      </c>
      <c r="D1800">
        <f>IF(INDEX(L_Type,ROW()-4)="","",TRIM(UPPER(INDEX(L_Type,ROW()-4))))</f>
        <v/>
      </c>
      <c r="E1800">
        <f>IF(INDEX(P_Status,ROW()-4)="","",TRIM(UPPER(INDEX(P_Status,ROW()-4))))</f>
        <v/>
      </c>
      <c r="G1800">
        <f>IF(INDEX(L_Status,ROW()-4)="","",TRIM(UPPER(INDEX(L_Status,ROW()-4))))</f>
        <v/>
      </c>
      <c r="J1800">
        <f>IF(INDEX(L_ID,ROW()-4)="","",IF(SUMPRODUCT((P_ID=INDEX(L_ID,ROW()-4))*(P_StatusN="INACTIVE"))&gt;0,1,0))</f>
        <v/>
      </c>
    </row>
    <row r="1801">
      <c r="A1801">
        <f>IF(INDEX(L_ID,ROW()-4)="","",IF(COUNTIF(P_ID,INDEX(L_ID,ROW()-4))&gt;0,1,0))</f>
        <v/>
      </c>
      <c r="B1801">
        <f>IF(INDEX(P_Type,ROW()-4)="","",TRIM(UPPER(INDEX(P_Type,ROW()-4))))</f>
        <v/>
      </c>
      <c r="D1801">
        <f>IF(INDEX(L_Type,ROW()-4)="","",TRIM(UPPER(INDEX(L_Type,ROW()-4))))</f>
        <v/>
      </c>
      <c r="E1801">
        <f>IF(INDEX(P_Status,ROW()-4)="","",TRIM(UPPER(INDEX(P_Status,ROW()-4))))</f>
        <v/>
      </c>
      <c r="G1801">
        <f>IF(INDEX(L_Status,ROW()-4)="","",TRIM(UPPER(INDEX(L_Status,ROW()-4))))</f>
        <v/>
      </c>
      <c r="J1801">
        <f>IF(INDEX(L_ID,ROW()-4)="","",IF(SUMPRODUCT((P_ID=INDEX(L_ID,ROW()-4))*(P_StatusN="INACTIVE"))&gt;0,1,0))</f>
        <v/>
      </c>
    </row>
    <row r="1802">
      <c r="A1802">
        <f>IF(INDEX(L_ID,ROW()-4)="","",IF(COUNTIF(P_ID,INDEX(L_ID,ROW()-4))&gt;0,1,0))</f>
        <v/>
      </c>
      <c r="B1802">
        <f>IF(INDEX(P_Type,ROW()-4)="","",TRIM(UPPER(INDEX(P_Type,ROW()-4))))</f>
        <v/>
      </c>
      <c r="D1802">
        <f>IF(INDEX(L_Type,ROW()-4)="","",TRIM(UPPER(INDEX(L_Type,ROW()-4))))</f>
        <v/>
      </c>
      <c r="E1802">
        <f>IF(INDEX(P_Status,ROW()-4)="","",TRIM(UPPER(INDEX(P_Status,ROW()-4))))</f>
        <v/>
      </c>
      <c r="G1802">
        <f>IF(INDEX(L_Status,ROW()-4)="","",TRIM(UPPER(INDEX(L_Status,ROW()-4))))</f>
        <v/>
      </c>
      <c r="J1802">
        <f>IF(INDEX(L_ID,ROW()-4)="","",IF(SUMPRODUCT((P_ID=INDEX(L_ID,ROW()-4))*(P_StatusN="INACTIVE"))&gt;0,1,0))</f>
        <v/>
      </c>
    </row>
    <row r="1803">
      <c r="A1803">
        <f>IF(INDEX(L_ID,ROW()-4)="","",IF(COUNTIF(P_ID,INDEX(L_ID,ROW()-4))&gt;0,1,0))</f>
        <v/>
      </c>
      <c r="B1803">
        <f>IF(INDEX(P_Type,ROW()-4)="","",TRIM(UPPER(INDEX(P_Type,ROW()-4))))</f>
        <v/>
      </c>
      <c r="D1803">
        <f>IF(INDEX(L_Type,ROW()-4)="","",TRIM(UPPER(INDEX(L_Type,ROW()-4))))</f>
        <v/>
      </c>
      <c r="E1803">
        <f>IF(INDEX(P_Status,ROW()-4)="","",TRIM(UPPER(INDEX(P_Status,ROW()-4))))</f>
        <v/>
      </c>
      <c r="G1803">
        <f>IF(INDEX(L_Status,ROW()-4)="","",TRIM(UPPER(INDEX(L_Status,ROW()-4))))</f>
        <v/>
      </c>
      <c r="J1803">
        <f>IF(INDEX(L_ID,ROW()-4)="","",IF(SUMPRODUCT((P_ID=INDEX(L_ID,ROW()-4))*(P_StatusN="INACTIVE"))&gt;0,1,0))</f>
        <v/>
      </c>
    </row>
    <row r="1804">
      <c r="A1804">
        <f>IF(INDEX(L_ID,ROW()-4)="","",IF(COUNTIF(P_ID,INDEX(L_ID,ROW()-4))&gt;0,1,0))</f>
        <v/>
      </c>
      <c r="B1804">
        <f>IF(INDEX(P_Type,ROW()-4)="","",TRIM(UPPER(INDEX(P_Type,ROW()-4))))</f>
        <v/>
      </c>
      <c r="D1804">
        <f>IF(INDEX(L_Type,ROW()-4)="","",TRIM(UPPER(INDEX(L_Type,ROW()-4))))</f>
        <v/>
      </c>
      <c r="E1804">
        <f>IF(INDEX(P_Status,ROW()-4)="","",TRIM(UPPER(INDEX(P_Status,ROW()-4))))</f>
        <v/>
      </c>
      <c r="G1804">
        <f>IF(INDEX(L_Status,ROW()-4)="","",TRIM(UPPER(INDEX(L_Status,ROW()-4))))</f>
        <v/>
      </c>
      <c r="J1804">
        <f>IF(INDEX(L_ID,ROW()-4)="","",IF(SUMPRODUCT((P_ID=INDEX(L_ID,ROW()-4))*(P_StatusN="INACTIVE"))&gt;0,1,0))</f>
        <v/>
      </c>
    </row>
    <row r="1805">
      <c r="A1805">
        <f>IF(INDEX(L_ID,ROW()-4)="","",IF(COUNTIF(P_ID,INDEX(L_ID,ROW()-4))&gt;0,1,0))</f>
        <v/>
      </c>
      <c r="B1805">
        <f>IF(INDEX(P_Type,ROW()-4)="","",TRIM(UPPER(INDEX(P_Type,ROW()-4))))</f>
        <v/>
      </c>
      <c r="D1805">
        <f>IF(INDEX(L_Type,ROW()-4)="","",TRIM(UPPER(INDEX(L_Type,ROW()-4))))</f>
        <v/>
      </c>
      <c r="E1805">
        <f>IF(INDEX(P_Status,ROW()-4)="","",TRIM(UPPER(INDEX(P_Status,ROW()-4))))</f>
        <v/>
      </c>
      <c r="G1805">
        <f>IF(INDEX(L_Status,ROW()-4)="","",TRIM(UPPER(INDEX(L_Status,ROW()-4))))</f>
        <v/>
      </c>
      <c r="J1805">
        <f>IF(INDEX(L_ID,ROW()-4)="","",IF(SUMPRODUCT((P_ID=INDEX(L_ID,ROW()-4))*(P_StatusN="INACTIVE"))&gt;0,1,0))</f>
        <v/>
      </c>
    </row>
    <row r="1806">
      <c r="A1806">
        <f>IF(INDEX(L_ID,ROW()-4)="","",IF(COUNTIF(P_ID,INDEX(L_ID,ROW()-4))&gt;0,1,0))</f>
        <v/>
      </c>
      <c r="B1806">
        <f>IF(INDEX(P_Type,ROW()-4)="","",TRIM(UPPER(INDEX(P_Type,ROW()-4))))</f>
        <v/>
      </c>
      <c r="D1806">
        <f>IF(INDEX(L_Type,ROW()-4)="","",TRIM(UPPER(INDEX(L_Type,ROW()-4))))</f>
        <v/>
      </c>
      <c r="E1806">
        <f>IF(INDEX(P_Status,ROW()-4)="","",TRIM(UPPER(INDEX(P_Status,ROW()-4))))</f>
        <v/>
      </c>
      <c r="G1806">
        <f>IF(INDEX(L_Status,ROW()-4)="","",TRIM(UPPER(INDEX(L_Status,ROW()-4))))</f>
        <v/>
      </c>
      <c r="J1806">
        <f>IF(INDEX(L_ID,ROW()-4)="","",IF(SUMPRODUCT((P_ID=INDEX(L_ID,ROW()-4))*(P_StatusN="INACTIVE"))&gt;0,1,0))</f>
        <v/>
      </c>
    </row>
    <row r="1807">
      <c r="A1807">
        <f>IF(INDEX(L_ID,ROW()-4)="","",IF(COUNTIF(P_ID,INDEX(L_ID,ROW()-4))&gt;0,1,0))</f>
        <v/>
      </c>
      <c r="B1807">
        <f>IF(INDEX(P_Type,ROW()-4)="","",TRIM(UPPER(INDEX(P_Type,ROW()-4))))</f>
        <v/>
      </c>
      <c r="D1807">
        <f>IF(INDEX(L_Type,ROW()-4)="","",TRIM(UPPER(INDEX(L_Type,ROW()-4))))</f>
        <v/>
      </c>
      <c r="E1807">
        <f>IF(INDEX(P_Status,ROW()-4)="","",TRIM(UPPER(INDEX(P_Status,ROW()-4))))</f>
        <v/>
      </c>
      <c r="G1807">
        <f>IF(INDEX(L_Status,ROW()-4)="","",TRIM(UPPER(INDEX(L_Status,ROW()-4))))</f>
        <v/>
      </c>
      <c r="J1807">
        <f>IF(INDEX(L_ID,ROW()-4)="","",IF(SUMPRODUCT((P_ID=INDEX(L_ID,ROW()-4))*(P_StatusN="INACTIVE"))&gt;0,1,0))</f>
        <v/>
      </c>
    </row>
    <row r="1808">
      <c r="A1808">
        <f>IF(INDEX(L_ID,ROW()-4)="","",IF(COUNTIF(P_ID,INDEX(L_ID,ROW()-4))&gt;0,1,0))</f>
        <v/>
      </c>
      <c r="B1808">
        <f>IF(INDEX(P_Type,ROW()-4)="","",TRIM(UPPER(INDEX(P_Type,ROW()-4))))</f>
        <v/>
      </c>
      <c r="D1808">
        <f>IF(INDEX(L_Type,ROW()-4)="","",TRIM(UPPER(INDEX(L_Type,ROW()-4))))</f>
        <v/>
      </c>
      <c r="E1808">
        <f>IF(INDEX(P_Status,ROW()-4)="","",TRIM(UPPER(INDEX(P_Status,ROW()-4))))</f>
        <v/>
      </c>
      <c r="G1808">
        <f>IF(INDEX(L_Status,ROW()-4)="","",TRIM(UPPER(INDEX(L_Status,ROW()-4))))</f>
        <v/>
      </c>
      <c r="J1808">
        <f>IF(INDEX(L_ID,ROW()-4)="","",IF(SUMPRODUCT((P_ID=INDEX(L_ID,ROW()-4))*(P_StatusN="INACTIVE"))&gt;0,1,0))</f>
        <v/>
      </c>
    </row>
    <row r="1809">
      <c r="A1809">
        <f>IF(INDEX(L_ID,ROW()-4)="","",IF(COUNTIF(P_ID,INDEX(L_ID,ROW()-4))&gt;0,1,0))</f>
        <v/>
      </c>
      <c r="B1809">
        <f>IF(INDEX(P_Type,ROW()-4)="","",TRIM(UPPER(INDEX(P_Type,ROW()-4))))</f>
        <v/>
      </c>
      <c r="D1809">
        <f>IF(INDEX(L_Type,ROW()-4)="","",TRIM(UPPER(INDEX(L_Type,ROW()-4))))</f>
        <v/>
      </c>
      <c r="E1809">
        <f>IF(INDEX(P_Status,ROW()-4)="","",TRIM(UPPER(INDEX(P_Status,ROW()-4))))</f>
        <v/>
      </c>
      <c r="G1809">
        <f>IF(INDEX(L_Status,ROW()-4)="","",TRIM(UPPER(INDEX(L_Status,ROW()-4))))</f>
        <v/>
      </c>
      <c r="J1809">
        <f>IF(INDEX(L_ID,ROW()-4)="","",IF(SUMPRODUCT((P_ID=INDEX(L_ID,ROW()-4))*(P_StatusN="INACTIVE"))&gt;0,1,0))</f>
        <v/>
      </c>
    </row>
    <row r="1810">
      <c r="A1810">
        <f>IF(INDEX(L_ID,ROW()-4)="","",IF(COUNTIF(P_ID,INDEX(L_ID,ROW()-4))&gt;0,1,0))</f>
        <v/>
      </c>
      <c r="B1810">
        <f>IF(INDEX(P_Type,ROW()-4)="","",TRIM(UPPER(INDEX(P_Type,ROW()-4))))</f>
        <v/>
      </c>
      <c r="D1810">
        <f>IF(INDEX(L_Type,ROW()-4)="","",TRIM(UPPER(INDEX(L_Type,ROW()-4))))</f>
        <v/>
      </c>
      <c r="E1810">
        <f>IF(INDEX(P_Status,ROW()-4)="","",TRIM(UPPER(INDEX(P_Status,ROW()-4))))</f>
        <v/>
      </c>
      <c r="G1810">
        <f>IF(INDEX(L_Status,ROW()-4)="","",TRIM(UPPER(INDEX(L_Status,ROW()-4))))</f>
        <v/>
      </c>
      <c r="J1810">
        <f>IF(INDEX(L_ID,ROW()-4)="","",IF(SUMPRODUCT((P_ID=INDEX(L_ID,ROW()-4))*(P_StatusN="INACTIVE"))&gt;0,1,0))</f>
        <v/>
      </c>
    </row>
    <row r="1811">
      <c r="A1811">
        <f>IF(INDEX(L_ID,ROW()-4)="","",IF(COUNTIF(P_ID,INDEX(L_ID,ROW()-4))&gt;0,1,0))</f>
        <v/>
      </c>
      <c r="B1811">
        <f>IF(INDEX(P_Type,ROW()-4)="","",TRIM(UPPER(INDEX(P_Type,ROW()-4))))</f>
        <v/>
      </c>
      <c r="D1811">
        <f>IF(INDEX(L_Type,ROW()-4)="","",TRIM(UPPER(INDEX(L_Type,ROW()-4))))</f>
        <v/>
      </c>
      <c r="E1811">
        <f>IF(INDEX(P_Status,ROW()-4)="","",TRIM(UPPER(INDEX(P_Status,ROW()-4))))</f>
        <v/>
      </c>
      <c r="G1811">
        <f>IF(INDEX(L_Status,ROW()-4)="","",TRIM(UPPER(INDEX(L_Status,ROW()-4))))</f>
        <v/>
      </c>
      <c r="J1811">
        <f>IF(INDEX(L_ID,ROW()-4)="","",IF(SUMPRODUCT((P_ID=INDEX(L_ID,ROW()-4))*(P_StatusN="INACTIVE"))&gt;0,1,0))</f>
        <v/>
      </c>
    </row>
    <row r="1812">
      <c r="A1812">
        <f>IF(INDEX(L_ID,ROW()-4)="","",IF(COUNTIF(P_ID,INDEX(L_ID,ROW()-4))&gt;0,1,0))</f>
        <v/>
      </c>
      <c r="B1812">
        <f>IF(INDEX(P_Type,ROW()-4)="","",TRIM(UPPER(INDEX(P_Type,ROW()-4))))</f>
        <v/>
      </c>
      <c r="D1812">
        <f>IF(INDEX(L_Type,ROW()-4)="","",TRIM(UPPER(INDEX(L_Type,ROW()-4))))</f>
        <v/>
      </c>
      <c r="E1812">
        <f>IF(INDEX(P_Status,ROW()-4)="","",TRIM(UPPER(INDEX(P_Status,ROW()-4))))</f>
        <v/>
      </c>
      <c r="G1812">
        <f>IF(INDEX(L_Status,ROW()-4)="","",TRIM(UPPER(INDEX(L_Status,ROW()-4))))</f>
        <v/>
      </c>
      <c r="J1812">
        <f>IF(INDEX(L_ID,ROW()-4)="","",IF(SUMPRODUCT((P_ID=INDEX(L_ID,ROW()-4))*(P_StatusN="INACTIVE"))&gt;0,1,0))</f>
        <v/>
      </c>
    </row>
    <row r="1813">
      <c r="A1813">
        <f>IF(INDEX(L_ID,ROW()-4)="","",IF(COUNTIF(P_ID,INDEX(L_ID,ROW()-4))&gt;0,1,0))</f>
        <v/>
      </c>
      <c r="B1813">
        <f>IF(INDEX(P_Type,ROW()-4)="","",TRIM(UPPER(INDEX(P_Type,ROW()-4))))</f>
        <v/>
      </c>
      <c r="D1813">
        <f>IF(INDEX(L_Type,ROW()-4)="","",TRIM(UPPER(INDEX(L_Type,ROW()-4))))</f>
        <v/>
      </c>
      <c r="E1813">
        <f>IF(INDEX(P_Status,ROW()-4)="","",TRIM(UPPER(INDEX(P_Status,ROW()-4))))</f>
        <v/>
      </c>
      <c r="G1813">
        <f>IF(INDEX(L_Status,ROW()-4)="","",TRIM(UPPER(INDEX(L_Status,ROW()-4))))</f>
        <v/>
      </c>
      <c r="J1813">
        <f>IF(INDEX(L_ID,ROW()-4)="","",IF(SUMPRODUCT((P_ID=INDEX(L_ID,ROW()-4))*(P_StatusN="INACTIVE"))&gt;0,1,0))</f>
        <v/>
      </c>
    </row>
    <row r="1814">
      <c r="A1814">
        <f>IF(INDEX(L_ID,ROW()-4)="","",IF(COUNTIF(P_ID,INDEX(L_ID,ROW()-4))&gt;0,1,0))</f>
        <v/>
      </c>
      <c r="B1814">
        <f>IF(INDEX(P_Type,ROW()-4)="","",TRIM(UPPER(INDEX(P_Type,ROW()-4))))</f>
        <v/>
      </c>
      <c r="D1814">
        <f>IF(INDEX(L_Type,ROW()-4)="","",TRIM(UPPER(INDEX(L_Type,ROW()-4))))</f>
        <v/>
      </c>
      <c r="E1814">
        <f>IF(INDEX(P_Status,ROW()-4)="","",TRIM(UPPER(INDEX(P_Status,ROW()-4))))</f>
        <v/>
      </c>
      <c r="G1814">
        <f>IF(INDEX(L_Status,ROW()-4)="","",TRIM(UPPER(INDEX(L_Status,ROW()-4))))</f>
        <v/>
      </c>
      <c r="J1814">
        <f>IF(INDEX(L_ID,ROW()-4)="","",IF(SUMPRODUCT((P_ID=INDEX(L_ID,ROW()-4))*(P_StatusN="INACTIVE"))&gt;0,1,0))</f>
        <v/>
      </c>
    </row>
    <row r="1815">
      <c r="A1815">
        <f>IF(INDEX(L_ID,ROW()-4)="","",IF(COUNTIF(P_ID,INDEX(L_ID,ROW()-4))&gt;0,1,0))</f>
        <v/>
      </c>
      <c r="B1815">
        <f>IF(INDEX(P_Type,ROW()-4)="","",TRIM(UPPER(INDEX(P_Type,ROW()-4))))</f>
        <v/>
      </c>
      <c r="D1815">
        <f>IF(INDEX(L_Type,ROW()-4)="","",TRIM(UPPER(INDEX(L_Type,ROW()-4))))</f>
        <v/>
      </c>
      <c r="E1815">
        <f>IF(INDEX(P_Status,ROW()-4)="","",TRIM(UPPER(INDEX(P_Status,ROW()-4))))</f>
        <v/>
      </c>
      <c r="G1815">
        <f>IF(INDEX(L_Status,ROW()-4)="","",TRIM(UPPER(INDEX(L_Status,ROW()-4))))</f>
        <v/>
      </c>
      <c r="J1815">
        <f>IF(INDEX(L_ID,ROW()-4)="","",IF(SUMPRODUCT((P_ID=INDEX(L_ID,ROW()-4))*(P_StatusN="INACTIVE"))&gt;0,1,0))</f>
        <v/>
      </c>
    </row>
    <row r="1816">
      <c r="A1816">
        <f>IF(INDEX(L_ID,ROW()-4)="","",IF(COUNTIF(P_ID,INDEX(L_ID,ROW()-4))&gt;0,1,0))</f>
        <v/>
      </c>
      <c r="B1816">
        <f>IF(INDEX(P_Type,ROW()-4)="","",TRIM(UPPER(INDEX(P_Type,ROW()-4))))</f>
        <v/>
      </c>
      <c r="D1816">
        <f>IF(INDEX(L_Type,ROW()-4)="","",TRIM(UPPER(INDEX(L_Type,ROW()-4))))</f>
        <v/>
      </c>
      <c r="E1816">
        <f>IF(INDEX(P_Status,ROW()-4)="","",TRIM(UPPER(INDEX(P_Status,ROW()-4))))</f>
        <v/>
      </c>
      <c r="G1816">
        <f>IF(INDEX(L_Status,ROW()-4)="","",TRIM(UPPER(INDEX(L_Status,ROW()-4))))</f>
        <v/>
      </c>
      <c r="J1816">
        <f>IF(INDEX(L_ID,ROW()-4)="","",IF(SUMPRODUCT((P_ID=INDEX(L_ID,ROW()-4))*(P_StatusN="INACTIVE"))&gt;0,1,0))</f>
        <v/>
      </c>
    </row>
    <row r="1817">
      <c r="A1817">
        <f>IF(INDEX(L_ID,ROW()-4)="","",IF(COUNTIF(P_ID,INDEX(L_ID,ROW()-4))&gt;0,1,0))</f>
        <v/>
      </c>
      <c r="B1817">
        <f>IF(INDEX(P_Type,ROW()-4)="","",TRIM(UPPER(INDEX(P_Type,ROW()-4))))</f>
        <v/>
      </c>
      <c r="D1817">
        <f>IF(INDEX(L_Type,ROW()-4)="","",TRIM(UPPER(INDEX(L_Type,ROW()-4))))</f>
        <v/>
      </c>
      <c r="E1817">
        <f>IF(INDEX(P_Status,ROW()-4)="","",TRIM(UPPER(INDEX(P_Status,ROW()-4))))</f>
        <v/>
      </c>
      <c r="G1817">
        <f>IF(INDEX(L_Status,ROW()-4)="","",TRIM(UPPER(INDEX(L_Status,ROW()-4))))</f>
        <v/>
      </c>
      <c r="J1817">
        <f>IF(INDEX(L_ID,ROW()-4)="","",IF(SUMPRODUCT((P_ID=INDEX(L_ID,ROW()-4))*(P_StatusN="INACTIVE"))&gt;0,1,0))</f>
        <v/>
      </c>
    </row>
    <row r="1818">
      <c r="A1818">
        <f>IF(INDEX(L_ID,ROW()-4)="","",IF(COUNTIF(P_ID,INDEX(L_ID,ROW()-4))&gt;0,1,0))</f>
        <v/>
      </c>
      <c r="B1818">
        <f>IF(INDEX(P_Type,ROW()-4)="","",TRIM(UPPER(INDEX(P_Type,ROW()-4))))</f>
        <v/>
      </c>
      <c r="D1818">
        <f>IF(INDEX(L_Type,ROW()-4)="","",TRIM(UPPER(INDEX(L_Type,ROW()-4))))</f>
        <v/>
      </c>
      <c r="E1818">
        <f>IF(INDEX(P_Status,ROW()-4)="","",TRIM(UPPER(INDEX(P_Status,ROW()-4))))</f>
        <v/>
      </c>
      <c r="G1818">
        <f>IF(INDEX(L_Status,ROW()-4)="","",TRIM(UPPER(INDEX(L_Status,ROW()-4))))</f>
        <v/>
      </c>
      <c r="J1818">
        <f>IF(INDEX(L_ID,ROW()-4)="","",IF(SUMPRODUCT((P_ID=INDEX(L_ID,ROW()-4))*(P_StatusN="INACTIVE"))&gt;0,1,0))</f>
        <v/>
      </c>
    </row>
    <row r="1819">
      <c r="A1819">
        <f>IF(INDEX(L_ID,ROW()-4)="","",IF(COUNTIF(P_ID,INDEX(L_ID,ROW()-4))&gt;0,1,0))</f>
        <v/>
      </c>
      <c r="B1819">
        <f>IF(INDEX(P_Type,ROW()-4)="","",TRIM(UPPER(INDEX(P_Type,ROW()-4))))</f>
        <v/>
      </c>
      <c r="D1819">
        <f>IF(INDEX(L_Type,ROW()-4)="","",TRIM(UPPER(INDEX(L_Type,ROW()-4))))</f>
        <v/>
      </c>
      <c r="E1819">
        <f>IF(INDEX(P_Status,ROW()-4)="","",TRIM(UPPER(INDEX(P_Status,ROW()-4))))</f>
        <v/>
      </c>
      <c r="G1819">
        <f>IF(INDEX(L_Status,ROW()-4)="","",TRIM(UPPER(INDEX(L_Status,ROW()-4))))</f>
        <v/>
      </c>
      <c r="J1819">
        <f>IF(INDEX(L_ID,ROW()-4)="","",IF(SUMPRODUCT((P_ID=INDEX(L_ID,ROW()-4))*(P_StatusN="INACTIVE"))&gt;0,1,0))</f>
        <v/>
      </c>
    </row>
    <row r="1820">
      <c r="A1820">
        <f>IF(INDEX(L_ID,ROW()-4)="","",IF(COUNTIF(P_ID,INDEX(L_ID,ROW()-4))&gt;0,1,0))</f>
        <v/>
      </c>
      <c r="B1820">
        <f>IF(INDEX(P_Type,ROW()-4)="","",TRIM(UPPER(INDEX(P_Type,ROW()-4))))</f>
        <v/>
      </c>
      <c r="D1820">
        <f>IF(INDEX(L_Type,ROW()-4)="","",TRIM(UPPER(INDEX(L_Type,ROW()-4))))</f>
        <v/>
      </c>
      <c r="E1820">
        <f>IF(INDEX(P_Status,ROW()-4)="","",TRIM(UPPER(INDEX(P_Status,ROW()-4))))</f>
        <v/>
      </c>
      <c r="G1820">
        <f>IF(INDEX(L_Status,ROW()-4)="","",TRIM(UPPER(INDEX(L_Status,ROW()-4))))</f>
        <v/>
      </c>
      <c r="J1820">
        <f>IF(INDEX(L_ID,ROW()-4)="","",IF(SUMPRODUCT((P_ID=INDEX(L_ID,ROW()-4))*(P_StatusN="INACTIVE"))&gt;0,1,0))</f>
        <v/>
      </c>
    </row>
    <row r="1821">
      <c r="A1821">
        <f>IF(INDEX(L_ID,ROW()-4)="","",IF(COUNTIF(P_ID,INDEX(L_ID,ROW()-4))&gt;0,1,0))</f>
        <v/>
      </c>
      <c r="B1821">
        <f>IF(INDEX(P_Type,ROW()-4)="","",TRIM(UPPER(INDEX(P_Type,ROW()-4))))</f>
        <v/>
      </c>
      <c r="D1821">
        <f>IF(INDEX(L_Type,ROW()-4)="","",TRIM(UPPER(INDEX(L_Type,ROW()-4))))</f>
        <v/>
      </c>
      <c r="E1821">
        <f>IF(INDEX(P_Status,ROW()-4)="","",TRIM(UPPER(INDEX(P_Status,ROW()-4))))</f>
        <v/>
      </c>
      <c r="G1821">
        <f>IF(INDEX(L_Status,ROW()-4)="","",TRIM(UPPER(INDEX(L_Status,ROW()-4))))</f>
        <v/>
      </c>
      <c r="J1821">
        <f>IF(INDEX(L_ID,ROW()-4)="","",IF(SUMPRODUCT((P_ID=INDEX(L_ID,ROW()-4))*(P_StatusN="INACTIVE"))&gt;0,1,0))</f>
        <v/>
      </c>
    </row>
    <row r="1822">
      <c r="A1822">
        <f>IF(INDEX(L_ID,ROW()-4)="","",IF(COUNTIF(P_ID,INDEX(L_ID,ROW()-4))&gt;0,1,0))</f>
        <v/>
      </c>
      <c r="B1822">
        <f>IF(INDEX(P_Type,ROW()-4)="","",TRIM(UPPER(INDEX(P_Type,ROW()-4))))</f>
        <v/>
      </c>
      <c r="D1822">
        <f>IF(INDEX(L_Type,ROW()-4)="","",TRIM(UPPER(INDEX(L_Type,ROW()-4))))</f>
        <v/>
      </c>
      <c r="E1822">
        <f>IF(INDEX(P_Status,ROW()-4)="","",TRIM(UPPER(INDEX(P_Status,ROW()-4))))</f>
        <v/>
      </c>
      <c r="G1822">
        <f>IF(INDEX(L_Status,ROW()-4)="","",TRIM(UPPER(INDEX(L_Status,ROW()-4))))</f>
        <v/>
      </c>
      <c r="J1822">
        <f>IF(INDEX(L_ID,ROW()-4)="","",IF(SUMPRODUCT((P_ID=INDEX(L_ID,ROW()-4))*(P_StatusN="INACTIVE"))&gt;0,1,0))</f>
        <v/>
      </c>
    </row>
    <row r="1823">
      <c r="A1823">
        <f>IF(INDEX(L_ID,ROW()-4)="","",IF(COUNTIF(P_ID,INDEX(L_ID,ROW()-4))&gt;0,1,0))</f>
        <v/>
      </c>
      <c r="B1823">
        <f>IF(INDEX(P_Type,ROW()-4)="","",TRIM(UPPER(INDEX(P_Type,ROW()-4))))</f>
        <v/>
      </c>
      <c r="D1823">
        <f>IF(INDEX(L_Type,ROW()-4)="","",TRIM(UPPER(INDEX(L_Type,ROW()-4))))</f>
        <v/>
      </c>
      <c r="E1823">
        <f>IF(INDEX(P_Status,ROW()-4)="","",TRIM(UPPER(INDEX(P_Status,ROW()-4))))</f>
        <v/>
      </c>
      <c r="G1823">
        <f>IF(INDEX(L_Status,ROW()-4)="","",TRIM(UPPER(INDEX(L_Status,ROW()-4))))</f>
        <v/>
      </c>
      <c r="J1823">
        <f>IF(INDEX(L_ID,ROW()-4)="","",IF(SUMPRODUCT((P_ID=INDEX(L_ID,ROW()-4))*(P_StatusN="INACTIVE"))&gt;0,1,0))</f>
        <v/>
      </c>
    </row>
    <row r="1824">
      <c r="A1824">
        <f>IF(INDEX(L_ID,ROW()-4)="","",IF(COUNTIF(P_ID,INDEX(L_ID,ROW()-4))&gt;0,1,0))</f>
        <v/>
      </c>
      <c r="B1824">
        <f>IF(INDEX(P_Type,ROW()-4)="","",TRIM(UPPER(INDEX(P_Type,ROW()-4))))</f>
        <v/>
      </c>
      <c r="D1824">
        <f>IF(INDEX(L_Type,ROW()-4)="","",TRIM(UPPER(INDEX(L_Type,ROW()-4))))</f>
        <v/>
      </c>
      <c r="E1824">
        <f>IF(INDEX(P_Status,ROW()-4)="","",TRIM(UPPER(INDEX(P_Status,ROW()-4))))</f>
        <v/>
      </c>
      <c r="G1824">
        <f>IF(INDEX(L_Status,ROW()-4)="","",TRIM(UPPER(INDEX(L_Status,ROW()-4))))</f>
        <v/>
      </c>
      <c r="J1824">
        <f>IF(INDEX(L_ID,ROW()-4)="","",IF(SUMPRODUCT((P_ID=INDEX(L_ID,ROW()-4))*(P_StatusN="INACTIVE"))&gt;0,1,0))</f>
        <v/>
      </c>
    </row>
    <row r="1825">
      <c r="A1825">
        <f>IF(INDEX(L_ID,ROW()-4)="","",IF(COUNTIF(P_ID,INDEX(L_ID,ROW()-4))&gt;0,1,0))</f>
        <v/>
      </c>
      <c r="B1825">
        <f>IF(INDEX(P_Type,ROW()-4)="","",TRIM(UPPER(INDEX(P_Type,ROW()-4))))</f>
        <v/>
      </c>
      <c r="D1825">
        <f>IF(INDEX(L_Type,ROW()-4)="","",TRIM(UPPER(INDEX(L_Type,ROW()-4))))</f>
        <v/>
      </c>
      <c r="E1825">
        <f>IF(INDEX(P_Status,ROW()-4)="","",TRIM(UPPER(INDEX(P_Status,ROW()-4))))</f>
        <v/>
      </c>
      <c r="G1825">
        <f>IF(INDEX(L_Status,ROW()-4)="","",TRIM(UPPER(INDEX(L_Status,ROW()-4))))</f>
        <v/>
      </c>
      <c r="J1825">
        <f>IF(INDEX(L_ID,ROW()-4)="","",IF(SUMPRODUCT((P_ID=INDEX(L_ID,ROW()-4))*(P_StatusN="INACTIVE"))&gt;0,1,0))</f>
        <v/>
      </c>
    </row>
    <row r="1826">
      <c r="A1826">
        <f>IF(INDEX(L_ID,ROW()-4)="","",IF(COUNTIF(P_ID,INDEX(L_ID,ROW()-4))&gt;0,1,0))</f>
        <v/>
      </c>
      <c r="B1826">
        <f>IF(INDEX(P_Type,ROW()-4)="","",TRIM(UPPER(INDEX(P_Type,ROW()-4))))</f>
        <v/>
      </c>
      <c r="D1826">
        <f>IF(INDEX(L_Type,ROW()-4)="","",TRIM(UPPER(INDEX(L_Type,ROW()-4))))</f>
        <v/>
      </c>
      <c r="E1826">
        <f>IF(INDEX(P_Status,ROW()-4)="","",TRIM(UPPER(INDEX(P_Status,ROW()-4))))</f>
        <v/>
      </c>
      <c r="G1826">
        <f>IF(INDEX(L_Status,ROW()-4)="","",TRIM(UPPER(INDEX(L_Status,ROW()-4))))</f>
        <v/>
      </c>
      <c r="J1826">
        <f>IF(INDEX(L_ID,ROW()-4)="","",IF(SUMPRODUCT((P_ID=INDEX(L_ID,ROW()-4))*(P_StatusN="INACTIVE"))&gt;0,1,0))</f>
        <v/>
      </c>
    </row>
    <row r="1827">
      <c r="A1827">
        <f>IF(INDEX(L_ID,ROW()-4)="","",IF(COUNTIF(P_ID,INDEX(L_ID,ROW()-4))&gt;0,1,0))</f>
        <v/>
      </c>
      <c r="B1827">
        <f>IF(INDEX(P_Type,ROW()-4)="","",TRIM(UPPER(INDEX(P_Type,ROW()-4))))</f>
        <v/>
      </c>
      <c r="D1827">
        <f>IF(INDEX(L_Type,ROW()-4)="","",TRIM(UPPER(INDEX(L_Type,ROW()-4))))</f>
        <v/>
      </c>
      <c r="E1827">
        <f>IF(INDEX(P_Status,ROW()-4)="","",TRIM(UPPER(INDEX(P_Status,ROW()-4))))</f>
        <v/>
      </c>
      <c r="G1827">
        <f>IF(INDEX(L_Status,ROW()-4)="","",TRIM(UPPER(INDEX(L_Status,ROW()-4))))</f>
        <v/>
      </c>
      <c r="J1827">
        <f>IF(INDEX(L_ID,ROW()-4)="","",IF(SUMPRODUCT((P_ID=INDEX(L_ID,ROW()-4))*(P_StatusN="INACTIVE"))&gt;0,1,0))</f>
        <v/>
      </c>
    </row>
    <row r="1828">
      <c r="A1828">
        <f>IF(INDEX(L_ID,ROW()-4)="","",IF(COUNTIF(P_ID,INDEX(L_ID,ROW()-4))&gt;0,1,0))</f>
        <v/>
      </c>
      <c r="B1828">
        <f>IF(INDEX(P_Type,ROW()-4)="","",TRIM(UPPER(INDEX(P_Type,ROW()-4))))</f>
        <v/>
      </c>
      <c r="D1828">
        <f>IF(INDEX(L_Type,ROW()-4)="","",TRIM(UPPER(INDEX(L_Type,ROW()-4))))</f>
        <v/>
      </c>
      <c r="E1828">
        <f>IF(INDEX(P_Status,ROW()-4)="","",TRIM(UPPER(INDEX(P_Status,ROW()-4))))</f>
        <v/>
      </c>
      <c r="G1828">
        <f>IF(INDEX(L_Status,ROW()-4)="","",TRIM(UPPER(INDEX(L_Status,ROW()-4))))</f>
        <v/>
      </c>
      <c r="J1828">
        <f>IF(INDEX(L_ID,ROW()-4)="","",IF(SUMPRODUCT((P_ID=INDEX(L_ID,ROW()-4))*(P_StatusN="INACTIVE"))&gt;0,1,0))</f>
        <v/>
      </c>
    </row>
    <row r="1829">
      <c r="A1829">
        <f>IF(INDEX(L_ID,ROW()-4)="","",IF(COUNTIF(P_ID,INDEX(L_ID,ROW()-4))&gt;0,1,0))</f>
        <v/>
      </c>
      <c r="B1829">
        <f>IF(INDEX(P_Type,ROW()-4)="","",TRIM(UPPER(INDEX(P_Type,ROW()-4))))</f>
        <v/>
      </c>
      <c r="D1829">
        <f>IF(INDEX(L_Type,ROW()-4)="","",TRIM(UPPER(INDEX(L_Type,ROW()-4))))</f>
        <v/>
      </c>
      <c r="E1829">
        <f>IF(INDEX(P_Status,ROW()-4)="","",TRIM(UPPER(INDEX(P_Status,ROW()-4))))</f>
        <v/>
      </c>
      <c r="G1829">
        <f>IF(INDEX(L_Status,ROW()-4)="","",TRIM(UPPER(INDEX(L_Status,ROW()-4))))</f>
        <v/>
      </c>
      <c r="J1829">
        <f>IF(INDEX(L_ID,ROW()-4)="","",IF(SUMPRODUCT((P_ID=INDEX(L_ID,ROW()-4))*(P_StatusN="INACTIVE"))&gt;0,1,0))</f>
        <v/>
      </c>
    </row>
    <row r="1830">
      <c r="A1830">
        <f>IF(INDEX(L_ID,ROW()-4)="","",IF(COUNTIF(P_ID,INDEX(L_ID,ROW()-4))&gt;0,1,0))</f>
        <v/>
      </c>
      <c r="B1830">
        <f>IF(INDEX(P_Type,ROW()-4)="","",TRIM(UPPER(INDEX(P_Type,ROW()-4))))</f>
        <v/>
      </c>
      <c r="D1830">
        <f>IF(INDEX(L_Type,ROW()-4)="","",TRIM(UPPER(INDEX(L_Type,ROW()-4))))</f>
        <v/>
      </c>
      <c r="E1830">
        <f>IF(INDEX(P_Status,ROW()-4)="","",TRIM(UPPER(INDEX(P_Status,ROW()-4))))</f>
        <v/>
      </c>
      <c r="G1830">
        <f>IF(INDEX(L_Status,ROW()-4)="","",TRIM(UPPER(INDEX(L_Status,ROW()-4))))</f>
        <v/>
      </c>
      <c r="J1830">
        <f>IF(INDEX(L_ID,ROW()-4)="","",IF(SUMPRODUCT((P_ID=INDEX(L_ID,ROW()-4))*(P_StatusN="INACTIVE"))&gt;0,1,0))</f>
        <v/>
      </c>
    </row>
    <row r="1831">
      <c r="A1831">
        <f>IF(INDEX(L_ID,ROW()-4)="","",IF(COUNTIF(P_ID,INDEX(L_ID,ROW()-4))&gt;0,1,0))</f>
        <v/>
      </c>
      <c r="B1831">
        <f>IF(INDEX(P_Type,ROW()-4)="","",TRIM(UPPER(INDEX(P_Type,ROW()-4))))</f>
        <v/>
      </c>
      <c r="D1831">
        <f>IF(INDEX(L_Type,ROW()-4)="","",TRIM(UPPER(INDEX(L_Type,ROW()-4))))</f>
        <v/>
      </c>
      <c r="E1831">
        <f>IF(INDEX(P_Status,ROW()-4)="","",TRIM(UPPER(INDEX(P_Status,ROW()-4))))</f>
        <v/>
      </c>
      <c r="G1831">
        <f>IF(INDEX(L_Status,ROW()-4)="","",TRIM(UPPER(INDEX(L_Status,ROW()-4))))</f>
        <v/>
      </c>
      <c r="J1831">
        <f>IF(INDEX(L_ID,ROW()-4)="","",IF(SUMPRODUCT((P_ID=INDEX(L_ID,ROW()-4))*(P_StatusN="INACTIVE"))&gt;0,1,0))</f>
        <v/>
      </c>
    </row>
    <row r="1832">
      <c r="A1832">
        <f>IF(INDEX(L_ID,ROW()-4)="","",IF(COUNTIF(P_ID,INDEX(L_ID,ROW()-4))&gt;0,1,0))</f>
        <v/>
      </c>
      <c r="B1832">
        <f>IF(INDEX(P_Type,ROW()-4)="","",TRIM(UPPER(INDEX(P_Type,ROW()-4))))</f>
        <v/>
      </c>
      <c r="D1832">
        <f>IF(INDEX(L_Type,ROW()-4)="","",TRIM(UPPER(INDEX(L_Type,ROW()-4))))</f>
        <v/>
      </c>
      <c r="E1832">
        <f>IF(INDEX(P_Status,ROW()-4)="","",TRIM(UPPER(INDEX(P_Status,ROW()-4))))</f>
        <v/>
      </c>
      <c r="G1832">
        <f>IF(INDEX(L_Status,ROW()-4)="","",TRIM(UPPER(INDEX(L_Status,ROW()-4))))</f>
        <v/>
      </c>
      <c r="J1832">
        <f>IF(INDEX(L_ID,ROW()-4)="","",IF(SUMPRODUCT((P_ID=INDEX(L_ID,ROW()-4))*(P_StatusN="INACTIVE"))&gt;0,1,0))</f>
        <v/>
      </c>
    </row>
    <row r="1833">
      <c r="A1833">
        <f>IF(INDEX(L_ID,ROW()-4)="","",IF(COUNTIF(P_ID,INDEX(L_ID,ROW()-4))&gt;0,1,0))</f>
        <v/>
      </c>
      <c r="B1833">
        <f>IF(INDEX(P_Type,ROW()-4)="","",TRIM(UPPER(INDEX(P_Type,ROW()-4))))</f>
        <v/>
      </c>
      <c r="D1833">
        <f>IF(INDEX(L_Type,ROW()-4)="","",TRIM(UPPER(INDEX(L_Type,ROW()-4))))</f>
        <v/>
      </c>
      <c r="E1833">
        <f>IF(INDEX(P_Status,ROW()-4)="","",TRIM(UPPER(INDEX(P_Status,ROW()-4))))</f>
        <v/>
      </c>
      <c r="G1833">
        <f>IF(INDEX(L_Status,ROW()-4)="","",TRIM(UPPER(INDEX(L_Status,ROW()-4))))</f>
        <v/>
      </c>
      <c r="J1833">
        <f>IF(INDEX(L_ID,ROW()-4)="","",IF(SUMPRODUCT((P_ID=INDEX(L_ID,ROW()-4))*(P_StatusN="INACTIVE"))&gt;0,1,0))</f>
        <v/>
      </c>
    </row>
    <row r="1834">
      <c r="A1834">
        <f>IF(INDEX(L_ID,ROW()-4)="","",IF(COUNTIF(P_ID,INDEX(L_ID,ROW()-4))&gt;0,1,0))</f>
        <v/>
      </c>
      <c r="B1834">
        <f>IF(INDEX(P_Type,ROW()-4)="","",TRIM(UPPER(INDEX(P_Type,ROW()-4))))</f>
        <v/>
      </c>
      <c r="D1834">
        <f>IF(INDEX(L_Type,ROW()-4)="","",TRIM(UPPER(INDEX(L_Type,ROW()-4))))</f>
        <v/>
      </c>
      <c r="E1834">
        <f>IF(INDEX(P_Status,ROW()-4)="","",TRIM(UPPER(INDEX(P_Status,ROW()-4))))</f>
        <v/>
      </c>
      <c r="G1834">
        <f>IF(INDEX(L_Status,ROW()-4)="","",TRIM(UPPER(INDEX(L_Status,ROW()-4))))</f>
        <v/>
      </c>
      <c r="J1834">
        <f>IF(INDEX(L_ID,ROW()-4)="","",IF(SUMPRODUCT((P_ID=INDEX(L_ID,ROW()-4))*(P_StatusN="INACTIVE"))&gt;0,1,0))</f>
        <v/>
      </c>
    </row>
    <row r="1835">
      <c r="A1835">
        <f>IF(INDEX(L_ID,ROW()-4)="","",IF(COUNTIF(P_ID,INDEX(L_ID,ROW()-4))&gt;0,1,0))</f>
        <v/>
      </c>
      <c r="B1835">
        <f>IF(INDEX(P_Type,ROW()-4)="","",TRIM(UPPER(INDEX(P_Type,ROW()-4))))</f>
        <v/>
      </c>
      <c r="D1835">
        <f>IF(INDEX(L_Type,ROW()-4)="","",TRIM(UPPER(INDEX(L_Type,ROW()-4))))</f>
        <v/>
      </c>
      <c r="E1835">
        <f>IF(INDEX(P_Status,ROW()-4)="","",TRIM(UPPER(INDEX(P_Status,ROW()-4))))</f>
        <v/>
      </c>
      <c r="G1835">
        <f>IF(INDEX(L_Status,ROW()-4)="","",TRIM(UPPER(INDEX(L_Status,ROW()-4))))</f>
        <v/>
      </c>
      <c r="J1835">
        <f>IF(INDEX(L_ID,ROW()-4)="","",IF(SUMPRODUCT((P_ID=INDEX(L_ID,ROW()-4))*(P_StatusN="INACTIVE"))&gt;0,1,0))</f>
        <v/>
      </c>
    </row>
    <row r="1836">
      <c r="A1836">
        <f>IF(INDEX(L_ID,ROW()-4)="","",IF(COUNTIF(P_ID,INDEX(L_ID,ROW()-4))&gt;0,1,0))</f>
        <v/>
      </c>
      <c r="B1836">
        <f>IF(INDEX(P_Type,ROW()-4)="","",TRIM(UPPER(INDEX(P_Type,ROW()-4))))</f>
        <v/>
      </c>
      <c r="D1836">
        <f>IF(INDEX(L_Type,ROW()-4)="","",TRIM(UPPER(INDEX(L_Type,ROW()-4))))</f>
        <v/>
      </c>
      <c r="E1836">
        <f>IF(INDEX(P_Status,ROW()-4)="","",TRIM(UPPER(INDEX(P_Status,ROW()-4))))</f>
        <v/>
      </c>
      <c r="G1836">
        <f>IF(INDEX(L_Status,ROW()-4)="","",TRIM(UPPER(INDEX(L_Status,ROW()-4))))</f>
        <v/>
      </c>
      <c r="J1836">
        <f>IF(INDEX(L_ID,ROW()-4)="","",IF(SUMPRODUCT((P_ID=INDEX(L_ID,ROW()-4))*(P_StatusN="INACTIVE"))&gt;0,1,0))</f>
        <v/>
      </c>
    </row>
    <row r="1837">
      <c r="A1837">
        <f>IF(INDEX(L_ID,ROW()-4)="","",IF(COUNTIF(P_ID,INDEX(L_ID,ROW()-4))&gt;0,1,0))</f>
        <v/>
      </c>
      <c r="B1837">
        <f>IF(INDEX(P_Type,ROW()-4)="","",TRIM(UPPER(INDEX(P_Type,ROW()-4))))</f>
        <v/>
      </c>
      <c r="D1837">
        <f>IF(INDEX(L_Type,ROW()-4)="","",TRIM(UPPER(INDEX(L_Type,ROW()-4))))</f>
        <v/>
      </c>
      <c r="E1837">
        <f>IF(INDEX(P_Status,ROW()-4)="","",TRIM(UPPER(INDEX(P_Status,ROW()-4))))</f>
        <v/>
      </c>
      <c r="G1837">
        <f>IF(INDEX(L_Status,ROW()-4)="","",TRIM(UPPER(INDEX(L_Status,ROW()-4))))</f>
        <v/>
      </c>
      <c r="J1837">
        <f>IF(INDEX(L_ID,ROW()-4)="","",IF(SUMPRODUCT((P_ID=INDEX(L_ID,ROW()-4))*(P_StatusN="INACTIVE"))&gt;0,1,0))</f>
        <v/>
      </c>
    </row>
    <row r="1838">
      <c r="A1838">
        <f>IF(INDEX(L_ID,ROW()-4)="","",IF(COUNTIF(P_ID,INDEX(L_ID,ROW()-4))&gt;0,1,0))</f>
        <v/>
      </c>
      <c r="B1838">
        <f>IF(INDEX(P_Type,ROW()-4)="","",TRIM(UPPER(INDEX(P_Type,ROW()-4))))</f>
        <v/>
      </c>
      <c r="D1838">
        <f>IF(INDEX(L_Type,ROW()-4)="","",TRIM(UPPER(INDEX(L_Type,ROW()-4))))</f>
        <v/>
      </c>
      <c r="E1838">
        <f>IF(INDEX(P_Status,ROW()-4)="","",TRIM(UPPER(INDEX(P_Status,ROW()-4))))</f>
        <v/>
      </c>
      <c r="G1838">
        <f>IF(INDEX(L_Status,ROW()-4)="","",TRIM(UPPER(INDEX(L_Status,ROW()-4))))</f>
        <v/>
      </c>
      <c r="J1838">
        <f>IF(INDEX(L_ID,ROW()-4)="","",IF(SUMPRODUCT((P_ID=INDEX(L_ID,ROW()-4))*(P_StatusN="INACTIVE"))&gt;0,1,0))</f>
        <v/>
      </c>
    </row>
    <row r="1839">
      <c r="A1839">
        <f>IF(INDEX(L_ID,ROW()-4)="","",IF(COUNTIF(P_ID,INDEX(L_ID,ROW()-4))&gt;0,1,0))</f>
        <v/>
      </c>
      <c r="B1839">
        <f>IF(INDEX(P_Type,ROW()-4)="","",TRIM(UPPER(INDEX(P_Type,ROW()-4))))</f>
        <v/>
      </c>
      <c r="D1839">
        <f>IF(INDEX(L_Type,ROW()-4)="","",TRIM(UPPER(INDEX(L_Type,ROW()-4))))</f>
        <v/>
      </c>
      <c r="E1839">
        <f>IF(INDEX(P_Status,ROW()-4)="","",TRIM(UPPER(INDEX(P_Status,ROW()-4))))</f>
        <v/>
      </c>
      <c r="G1839">
        <f>IF(INDEX(L_Status,ROW()-4)="","",TRIM(UPPER(INDEX(L_Status,ROW()-4))))</f>
        <v/>
      </c>
      <c r="J1839">
        <f>IF(INDEX(L_ID,ROW()-4)="","",IF(SUMPRODUCT((P_ID=INDEX(L_ID,ROW()-4))*(P_StatusN="INACTIVE"))&gt;0,1,0))</f>
        <v/>
      </c>
    </row>
    <row r="1840">
      <c r="A1840">
        <f>IF(INDEX(L_ID,ROW()-4)="","",IF(COUNTIF(P_ID,INDEX(L_ID,ROW()-4))&gt;0,1,0))</f>
        <v/>
      </c>
      <c r="B1840">
        <f>IF(INDEX(P_Type,ROW()-4)="","",TRIM(UPPER(INDEX(P_Type,ROW()-4))))</f>
        <v/>
      </c>
      <c r="D1840">
        <f>IF(INDEX(L_Type,ROW()-4)="","",TRIM(UPPER(INDEX(L_Type,ROW()-4))))</f>
        <v/>
      </c>
      <c r="E1840">
        <f>IF(INDEX(P_Status,ROW()-4)="","",TRIM(UPPER(INDEX(P_Status,ROW()-4))))</f>
        <v/>
      </c>
      <c r="G1840">
        <f>IF(INDEX(L_Status,ROW()-4)="","",TRIM(UPPER(INDEX(L_Status,ROW()-4))))</f>
        <v/>
      </c>
      <c r="J1840">
        <f>IF(INDEX(L_ID,ROW()-4)="","",IF(SUMPRODUCT((P_ID=INDEX(L_ID,ROW()-4))*(P_StatusN="INACTIVE"))&gt;0,1,0))</f>
        <v/>
      </c>
    </row>
    <row r="1841">
      <c r="A1841">
        <f>IF(INDEX(L_ID,ROW()-4)="","",IF(COUNTIF(P_ID,INDEX(L_ID,ROW()-4))&gt;0,1,0))</f>
        <v/>
      </c>
      <c r="B1841">
        <f>IF(INDEX(P_Type,ROW()-4)="","",TRIM(UPPER(INDEX(P_Type,ROW()-4))))</f>
        <v/>
      </c>
      <c r="D1841">
        <f>IF(INDEX(L_Type,ROW()-4)="","",TRIM(UPPER(INDEX(L_Type,ROW()-4))))</f>
        <v/>
      </c>
      <c r="E1841">
        <f>IF(INDEX(P_Status,ROW()-4)="","",TRIM(UPPER(INDEX(P_Status,ROW()-4))))</f>
        <v/>
      </c>
      <c r="G1841">
        <f>IF(INDEX(L_Status,ROW()-4)="","",TRIM(UPPER(INDEX(L_Status,ROW()-4))))</f>
        <v/>
      </c>
      <c r="J1841">
        <f>IF(INDEX(L_ID,ROW()-4)="","",IF(SUMPRODUCT((P_ID=INDEX(L_ID,ROW()-4))*(P_StatusN="INACTIVE"))&gt;0,1,0))</f>
        <v/>
      </c>
    </row>
    <row r="1842">
      <c r="A1842">
        <f>IF(INDEX(L_ID,ROW()-4)="","",IF(COUNTIF(P_ID,INDEX(L_ID,ROW()-4))&gt;0,1,0))</f>
        <v/>
      </c>
      <c r="B1842">
        <f>IF(INDEX(P_Type,ROW()-4)="","",TRIM(UPPER(INDEX(P_Type,ROW()-4))))</f>
        <v/>
      </c>
      <c r="D1842">
        <f>IF(INDEX(L_Type,ROW()-4)="","",TRIM(UPPER(INDEX(L_Type,ROW()-4))))</f>
        <v/>
      </c>
      <c r="E1842">
        <f>IF(INDEX(P_Status,ROW()-4)="","",TRIM(UPPER(INDEX(P_Status,ROW()-4))))</f>
        <v/>
      </c>
      <c r="G1842">
        <f>IF(INDEX(L_Status,ROW()-4)="","",TRIM(UPPER(INDEX(L_Status,ROW()-4))))</f>
        <v/>
      </c>
      <c r="J1842">
        <f>IF(INDEX(L_ID,ROW()-4)="","",IF(SUMPRODUCT((P_ID=INDEX(L_ID,ROW()-4))*(P_StatusN="INACTIVE"))&gt;0,1,0))</f>
        <v/>
      </c>
    </row>
    <row r="1843">
      <c r="A1843">
        <f>IF(INDEX(L_ID,ROW()-4)="","",IF(COUNTIF(P_ID,INDEX(L_ID,ROW()-4))&gt;0,1,0))</f>
        <v/>
      </c>
      <c r="B1843">
        <f>IF(INDEX(P_Type,ROW()-4)="","",TRIM(UPPER(INDEX(P_Type,ROW()-4))))</f>
        <v/>
      </c>
      <c r="D1843">
        <f>IF(INDEX(L_Type,ROW()-4)="","",TRIM(UPPER(INDEX(L_Type,ROW()-4))))</f>
        <v/>
      </c>
      <c r="E1843">
        <f>IF(INDEX(P_Status,ROW()-4)="","",TRIM(UPPER(INDEX(P_Status,ROW()-4))))</f>
        <v/>
      </c>
      <c r="G1843">
        <f>IF(INDEX(L_Status,ROW()-4)="","",TRIM(UPPER(INDEX(L_Status,ROW()-4))))</f>
        <v/>
      </c>
      <c r="J1843">
        <f>IF(INDEX(L_ID,ROW()-4)="","",IF(SUMPRODUCT((P_ID=INDEX(L_ID,ROW()-4))*(P_StatusN="INACTIVE"))&gt;0,1,0))</f>
        <v/>
      </c>
    </row>
    <row r="1844">
      <c r="A1844">
        <f>IF(INDEX(L_ID,ROW()-4)="","",IF(COUNTIF(P_ID,INDEX(L_ID,ROW()-4))&gt;0,1,0))</f>
        <v/>
      </c>
      <c r="B1844">
        <f>IF(INDEX(P_Type,ROW()-4)="","",TRIM(UPPER(INDEX(P_Type,ROW()-4))))</f>
        <v/>
      </c>
      <c r="D1844">
        <f>IF(INDEX(L_Type,ROW()-4)="","",TRIM(UPPER(INDEX(L_Type,ROW()-4))))</f>
        <v/>
      </c>
      <c r="E1844">
        <f>IF(INDEX(P_Status,ROW()-4)="","",TRIM(UPPER(INDEX(P_Status,ROW()-4))))</f>
        <v/>
      </c>
      <c r="G1844">
        <f>IF(INDEX(L_Status,ROW()-4)="","",TRIM(UPPER(INDEX(L_Status,ROW()-4))))</f>
        <v/>
      </c>
      <c r="J1844">
        <f>IF(INDEX(L_ID,ROW()-4)="","",IF(SUMPRODUCT((P_ID=INDEX(L_ID,ROW()-4))*(P_StatusN="INACTIVE"))&gt;0,1,0))</f>
        <v/>
      </c>
    </row>
    <row r="1845">
      <c r="A1845">
        <f>IF(INDEX(L_ID,ROW()-4)="","",IF(COUNTIF(P_ID,INDEX(L_ID,ROW()-4))&gt;0,1,0))</f>
        <v/>
      </c>
      <c r="B1845">
        <f>IF(INDEX(P_Type,ROW()-4)="","",TRIM(UPPER(INDEX(P_Type,ROW()-4))))</f>
        <v/>
      </c>
      <c r="D1845">
        <f>IF(INDEX(L_Type,ROW()-4)="","",TRIM(UPPER(INDEX(L_Type,ROW()-4))))</f>
        <v/>
      </c>
      <c r="E1845">
        <f>IF(INDEX(P_Status,ROW()-4)="","",TRIM(UPPER(INDEX(P_Status,ROW()-4))))</f>
        <v/>
      </c>
      <c r="G1845">
        <f>IF(INDEX(L_Status,ROW()-4)="","",TRIM(UPPER(INDEX(L_Status,ROW()-4))))</f>
        <v/>
      </c>
      <c r="J1845">
        <f>IF(INDEX(L_ID,ROW()-4)="","",IF(SUMPRODUCT((P_ID=INDEX(L_ID,ROW()-4))*(P_StatusN="INACTIVE"))&gt;0,1,0))</f>
        <v/>
      </c>
    </row>
    <row r="1846">
      <c r="A1846">
        <f>IF(INDEX(L_ID,ROW()-4)="","",IF(COUNTIF(P_ID,INDEX(L_ID,ROW()-4))&gt;0,1,0))</f>
        <v/>
      </c>
      <c r="B1846">
        <f>IF(INDEX(P_Type,ROW()-4)="","",TRIM(UPPER(INDEX(P_Type,ROW()-4))))</f>
        <v/>
      </c>
      <c r="D1846">
        <f>IF(INDEX(L_Type,ROW()-4)="","",TRIM(UPPER(INDEX(L_Type,ROW()-4))))</f>
        <v/>
      </c>
      <c r="E1846">
        <f>IF(INDEX(P_Status,ROW()-4)="","",TRIM(UPPER(INDEX(P_Status,ROW()-4))))</f>
        <v/>
      </c>
      <c r="G1846">
        <f>IF(INDEX(L_Status,ROW()-4)="","",TRIM(UPPER(INDEX(L_Status,ROW()-4))))</f>
        <v/>
      </c>
      <c r="J1846">
        <f>IF(INDEX(L_ID,ROW()-4)="","",IF(SUMPRODUCT((P_ID=INDEX(L_ID,ROW()-4))*(P_StatusN="INACTIVE"))&gt;0,1,0))</f>
        <v/>
      </c>
    </row>
    <row r="1847">
      <c r="A1847">
        <f>IF(INDEX(L_ID,ROW()-4)="","",IF(COUNTIF(P_ID,INDEX(L_ID,ROW()-4))&gt;0,1,0))</f>
        <v/>
      </c>
      <c r="B1847">
        <f>IF(INDEX(P_Type,ROW()-4)="","",TRIM(UPPER(INDEX(P_Type,ROW()-4))))</f>
        <v/>
      </c>
      <c r="D1847">
        <f>IF(INDEX(L_Type,ROW()-4)="","",TRIM(UPPER(INDEX(L_Type,ROW()-4))))</f>
        <v/>
      </c>
      <c r="E1847">
        <f>IF(INDEX(P_Status,ROW()-4)="","",TRIM(UPPER(INDEX(P_Status,ROW()-4))))</f>
        <v/>
      </c>
      <c r="G1847">
        <f>IF(INDEX(L_Status,ROW()-4)="","",TRIM(UPPER(INDEX(L_Status,ROW()-4))))</f>
        <v/>
      </c>
      <c r="J1847">
        <f>IF(INDEX(L_ID,ROW()-4)="","",IF(SUMPRODUCT((P_ID=INDEX(L_ID,ROW()-4))*(P_StatusN="INACTIVE"))&gt;0,1,0))</f>
        <v/>
      </c>
    </row>
    <row r="1848">
      <c r="A1848">
        <f>IF(INDEX(L_ID,ROW()-4)="","",IF(COUNTIF(P_ID,INDEX(L_ID,ROW()-4))&gt;0,1,0))</f>
        <v/>
      </c>
      <c r="B1848">
        <f>IF(INDEX(P_Type,ROW()-4)="","",TRIM(UPPER(INDEX(P_Type,ROW()-4))))</f>
        <v/>
      </c>
      <c r="D1848">
        <f>IF(INDEX(L_Type,ROW()-4)="","",TRIM(UPPER(INDEX(L_Type,ROW()-4))))</f>
        <v/>
      </c>
      <c r="E1848">
        <f>IF(INDEX(P_Status,ROW()-4)="","",TRIM(UPPER(INDEX(P_Status,ROW()-4))))</f>
        <v/>
      </c>
      <c r="G1848">
        <f>IF(INDEX(L_Status,ROW()-4)="","",TRIM(UPPER(INDEX(L_Status,ROW()-4))))</f>
        <v/>
      </c>
      <c r="J1848">
        <f>IF(INDEX(L_ID,ROW()-4)="","",IF(SUMPRODUCT((P_ID=INDEX(L_ID,ROW()-4))*(P_StatusN="INACTIVE"))&gt;0,1,0))</f>
        <v/>
      </c>
    </row>
    <row r="1849">
      <c r="A1849">
        <f>IF(INDEX(L_ID,ROW()-4)="","",IF(COUNTIF(P_ID,INDEX(L_ID,ROW()-4))&gt;0,1,0))</f>
        <v/>
      </c>
      <c r="B1849">
        <f>IF(INDEX(P_Type,ROW()-4)="","",TRIM(UPPER(INDEX(P_Type,ROW()-4))))</f>
        <v/>
      </c>
      <c r="D1849">
        <f>IF(INDEX(L_Type,ROW()-4)="","",TRIM(UPPER(INDEX(L_Type,ROW()-4))))</f>
        <v/>
      </c>
      <c r="E1849">
        <f>IF(INDEX(P_Status,ROW()-4)="","",TRIM(UPPER(INDEX(P_Status,ROW()-4))))</f>
        <v/>
      </c>
      <c r="G1849">
        <f>IF(INDEX(L_Status,ROW()-4)="","",TRIM(UPPER(INDEX(L_Status,ROW()-4))))</f>
        <v/>
      </c>
      <c r="J1849">
        <f>IF(INDEX(L_ID,ROW()-4)="","",IF(SUMPRODUCT((P_ID=INDEX(L_ID,ROW()-4))*(P_StatusN="INACTIVE"))&gt;0,1,0))</f>
        <v/>
      </c>
    </row>
    <row r="1850">
      <c r="A1850">
        <f>IF(INDEX(L_ID,ROW()-4)="","",IF(COUNTIF(P_ID,INDEX(L_ID,ROW()-4))&gt;0,1,0))</f>
        <v/>
      </c>
      <c r="B1850">
        <f>IF(INDEX(P_Type,ROW()-4)="","",TRIM(UPPER(INDEX(P_Type,ROW()-4))))</f>
        <v/>
      </c>
      <c r="D1850">
        <f>IF(INDEX(L_Type,ROW()-4)="","",TRIM(UPPER(INDEX(L_Type,ROW()-4))))</f>
        <v/>
      </c>
      <c r="E1850">
        <f>IF(INDEX(P_Status,ROW()-4)="","",TRIM(UPPER(INDEX(P_Status,ROW()-4))))</f>
        <v/>
      </c>
      <c r="G1850">
        <f>IF(INDEX(L_Status,ROW()-4)="","",TRIM(UPPER(INDEX(L_Status,ROW()-4))))</f>
        <v/>
      </c>
      <c r="J1850">
        <f>IF(INDEX(L_ID,ROW()-4)="","",IF(SUMPRODUCT((P_ID=INDEX(L_ID,ROW()-4))*(P_StatusN="INACTIVE"))&gt;0,1,0))</f>
        <v/>
      </c>
    </row>
    <row r="1851">
      <c r="A1851">
        <f>IF(INDEX(L_ID,ROW()-4)="","",IF(COUNTIF(P_ID,INDEX(L_ID,ROW()-4))&gt;0,1,0))</f>
        <v/>
      </c>
      <c r="B1851">
        <f>IF(INDEX(P_Type,ROW()-4)="","",TRIM(UPPER(INDEX(P_Type,ROW()-4))))</f>
        <v/>
      </c>
      <c r="D1851">
        <f>IF(INDEX(L_Type,ROW()-4)="","",TRIM(UPPER(INDEX(L_Type,ROW()-4))))</f>
        <v/>
      </c>
      <c r="E1851">
        <f>IF(INDEX(P_Status,ROW()-4)="","",TRIM(UPPER(INDEX(P_Status,ROW()-4))))</f>
        <v/>
      </c>
      <c r="G1851">
        <f>IF(INDEX(L_Status,ROW()-4)="","",TRIM(UPPER(INDEX(L_Status,ROW()-4))))</f>
        <v/>
      </c>
      <c r="J1851">
        <f>IF(INDEX(L_ID,ROW()-4)="","",IF(SUMPRODUCT((P_ID=INDEX(L_ID,ROW()-4))*(P_StatusN="INACTIVE"))&gt;0,1,0))</f>
        <v/>
      </c>
    </row>
    <row r="1852">
      <c r="A1852">
        <f>IF(INDEX(L_ID,ROW()-4)="","",IF(COUNTIF(P_ID,INDEX(L_ID,ROW()-4))&gt;0,1,0))</f>
        <v/>
      </c>
      <c r="B1852">
        <f>IF(INDEX(P_Type,ROW()-4)="","",TRIM(UPPER(INDEX(P_Type,ROW()-4))))</f>
        <v/>
      </c>
      <c r="D1852">
        <f>IF(INDEX(L_Type,ROW()-4)="","",TRIM(UPPER(INDEX(L_Type,ROW()-4))))</f>
        <v/>
      </c>
      <c r="E1852">
        <f>IF(INDEX(P_Status,ROW()-4)="","",TRIM(UPPER(INDEX(P_Status,ROW()-4))))</f>
        <v/>
      </c>
      <c r="G1852">
        <f>IF(INDEX(L_Status,ROW()-4)="","",TRIM(UPPER(INDEX(L_Status,ROW()-4))))</f>
        <v/>
      </c>
      <c r="J1852">
        <f>IF(INDEX(L_ID,ROW()-4)="","",IF(SUMPRODUCT((P_ID=INDEX(L_ID,ROW()-4))*(P_StatusN="INACTIVE"))&gt;0,1,0))</f>
        <v/>
      </c>
    </row>
    <row r="1853">
      <c r="A1853">
        <f>IF(INDEX(L_ID,ROW()-4)="","",IF(COUNTIF(P_ID,INDEX(L_ID,ROW()-4))&gt;0,1,0))</f>
        <v/>
      </c>
      <c r="B1853">
        <f>IF(INDEX(P_Type,ROW()-4)="","",TRIM(UPPER(INDEX(P_Type,ROW()-4))))</f>
        <v/>
      </c>
      <c r="D1853">
        <f>IF(INDEX(L_Type,ROW()-4)="","",TRIM(UPPER(INDEX(L_Type,ROW()-4))))</f>
        <v/>
      </c>
      <c r="E1853">
        <f>IF(INDEX(P_Status,ROW()-4)="","",TRIM(UPPER(INDEX(P_Status,ROW()-4))))</f>
        <v/>
      </c>
      <c r="G1853">
        <f>IF(INDEX(L_Status,ROW()-4)="","",TRIM(UPPER(INDEX(L_Status,ROW()-4))))</f>
        <v/>
      </c>
      <c r="J1853">
        <f>IF(INDEX(L_ID,ROW()-4)="","",IF(SUMPRODUCT((P_ID=INDEX(L_ID,ROW()-4))*(P_StatusN="INACTIVE"))&gt;0,1,0))</f>
        <v/>
      </c>
    </row>
    <row r="1854">
      <c r="A1854">
        <f>IF(INDEX(L_ID,ROW()-4)="","",IF(COUNTIF(P_ID,INDEX(L_ID,ROW()-4))&gt;0,1,0))</f>
        <v/>
      </c>
      <c r="B1854">
        <f>IF(INDEX(P_Type,ROW()-4)="","",TRIM(UPPER(INDEX(P_Type,ROW()-4))))</f>
        <v/>
      </c>
      <c r="D1854">
        <f>IF(INDEX(L_Type,ROW()-4)="","",TRIM(UPPER(INDEX(L_Type,ROW()-4))))</f>
        <v/>
      </c>
      <c r="E1854">
        <f>IF(INDEX(P_Status,ROW()-4)="","",TRIM(UPPER(INDEX(P_Status,ROW()-4))))</f>
        <v/>
      </c>
      <c r="G1854">
        <f>IF(INDEX(L_Status,ROW()-4)="","",TRIM(UPPER(INDEX(L_Status,ROW()-4))))</f>
        <v/>
      </c>
      <c r="J1854">
        <f>IF(INDEX(L_ID,ROW()-4)="","",IF(SUMPRODUCT((P_ID=INDEX(L_ID,ROW()-4))*(P_StatusN="INACTIVE"))&gt;0,1,0))</f>
        <v/>
      </c>
    </row>
    <row r="1855">
      <c r="A1855">
        <f>IF(INDEX(L_ID,ROW()-4)="","",IF(COUNTIF(P_ID,INDEX(L_ID,ROW()-4))&gt;0,1,0))</f>
        <v/>
      </c>
      <c r="B1855">
        <f>IF(INDEX(P_Type,ROW()-4)="","",TRIM(UPPER(INDEX(P_Type,ROW()-4))))</f>
        <v/>
      </c>
      <c r="D1855">
        <f>IF(INDEX(L_Type,ROW()-4)="","",TRIM(UPPER(INDEX(L_Type,ROW()-4))))</f>
        <v/>
      </c>
      <c r="E1855">
        <f>IF(INDEX(P_Status,ROW()-4)="","",TRIM(UPPER(INDEX(P_Status,ROW()-4))))</f>
        <v/>
      </c>
      <c r="G1855">
        <f>IF(INDEX(L_Status,ROW()-4)="","",TRIM(UPPER(INDEX(L_Status,ROW()-4))))</f>
        <v/>
      </c>
      <c r="J1855">
        <f>IF(INDEX(L_ID,ROW()-4)="","",IF(SUMPRODUCT((P_ID=INDEX(L_ID,ROW()-4))*(P_StatusN="INACTIVE"))&gt;0,1,0))</f>
        <v/>
      </c>
    </row>
    <row r="1856">
      <c r="A1856">
        <f>IF(INDEX(L_ID,ROW()-4)="","",IF(COUNTIF(P_ID,INDEX(L_ID,ROW()-4))&gt;0,1,0))</f>
        <v/>
      </c>
      <c r="B1856">
        <f>IF(INDEX(P_Type,ROW()-4)="","",TRIM(UPPER(INDEX(P_Type,ROW()-4))))</f>
        <v/>
      </c>
      <c r="D1856">
        <f>IF(INDEX(L_Type,ROW()-4)="","",TRIM(UPPER(INDEX(L_Type,ROW()-4))))</f>
        <v/>
      </c>
      <c r="E1856">
        <f>IF(INDEX(P_Status,ROW()-4)="","",TRIM(UPPER(INDEX(P_Status,ROW()-4))))</f>
        <v/>
      </c>
      <c r="G1856">
        <f>IF(INDEX(L_Status,ROW()-4)="","",TRIM(UPPER(INDEX(L_Status,ROW()-4))))</f>
        <v/>
      </c>
      <c r="J1856">
        <f>IF(INDEX(L_ID,ROW()-4)="","",IF(SUMPRODUCT((P_ID=INDEX(L_ID,ROW()-4))*(P_StatusN="INACTIVE"))&gt;0,1,0))</f>
        <v/>
      </c>
    </row>
    <row r="1857">
      <c r="A1857">
        <f>IF(INDEX(L_ID,ROW()-4)="","",IF(COUNTIF(P_ID,INDEX(L_ID,ROW()-4))&gt;0,1,0))</f>
        <v/>
      </c>
      <c r="B1857">
        <f>IF(INDEX(P_Type,ROW()-4)="","",TRIM(UPPER(INDEX(P_Type,ROW()-4))))</f>
        <v/>
      </c>
      <c r="D1857">
        <f>IF(INDEX(L_Type,ROW()-4)="","",TRIM(UPPER(INDEX(L_Type,ROW()-4))))</f>
        <v/>
      </c>
      <c r="E1857">
        <f>IF(INDEX(P_Status,ROW()-4)="","",TRIM(UPPER(INDEX(P_Status,ROW()-4))))</f>
        <v/>
      </c>
      <c r="G1857">
        <f>IF(INDEX(L_Status,ROW()-4)="","",TRIM(UPPER(INDEX(L_Status,ROW()-4))))</f>
        <v/>
      </c>
      <c r="J1857">
        <f>IF(INDEX(L_ID,ROW()-4)="","",IF(SUMPRODUCT((P_ID=INDEX(L_ID,ROW()-4))*(P_StatusN="INACTIVE"))&gt;0,1,0))</f>
        <v/>
      </c>
    </row>
    <row r="1858">
      <c r="A1858">
        <f>IF(INDEX(L_ID,ROW()-4)="","",IF(COUNTIF(P_ID,INDEX(L_ID,ROW()-4))&gt;0,1,0))</f>
        <v/>
      </c>
      <c r="B1858">
        <f>IF(INDEX(P_Type,ROW()-4)="","",TRIM(UPPER(INDEX(P_Type,ROW()-4))))</f>
        <v/>
      </c>
      <c r="D1858">
        <f>IF(INDEX(L_Type,ROW()-4)="","",TRIM(UPPER(INDEX(L_Type,ROW()-4))))</f>
        <v/>
      </c>
      <c r="E1858">
        <f>IF(INDEX(P_Status,ROW()-4)="","",TRIM(UPPER(INDEX(P_Status,ROW()-4))))</f>
        <v/>
      </c>
      <c r="G1858">
        <f>IF(INDEX(L_Status,ROW()-4)="","",TRIM(UPPER(INDEX(L_Status,ROW()-4))))</f>
        <v/>
      </c>
      <c r="J1858">
        <f>IF(INDEX(L_ID,ROW()-4)="","",IF(SUMPRODUCT((P_ID=INDEX(L_ID,ROW()-4))*(P_StatusN="INACTIVE"))&gt;0,1,0))</f>
        <v/>
      </c>
    </row>
    <row r="1859">
      <c r="A1859">
        <f>IF(INDEX(L_ID,ROW()-4)="","",IF(COUNTIF(P_ID,INDEX(L_ID,ROW()-4))&gt;0,1,0))</f>
        <v/>
      </c>
      <c r="B1859">
        <f>IF(INDEX(P_Type,ROW()-4)="","",TRIM(UPPER(INDEX(P_Type,ROW()-4))))</f>
        <v/>
      </c>
      <c r="D1859">
        <f>IF(INDEX(L_Type,ROW()-4)="","",TRIM(UPPER(INDEX(L_Type,ROW()-4))))</f>
        <v/>
      </c>
      <c r="E1859">
        <f>IF(INDEX(P_Status,ROW()-4)="","",TRIM(UPPER(INDEX(P_Status,ROW()-4))))</f>
        <v/>
      </c>
      <c r="G1859">
        <f>IF(INDEX(L_Status,ROW()-4)="","",TRIM(UPPER(INDEX(L_Status,ROW()-4))))</f>
        <v/>
      </c>
      <c r="J1859">
        <f>IF(INDEX(L_ID,ROW()-4)="","",IF(SUMPRODUCT((P_ID=INDEX(L_ID,ROW()-4))*(P_StatusN="INACTIVE"))&gt;0,1,0))</f>
        <v/>
      </c>
    </row>
    <row r="1860">
      <c r="A1860">
        <f>IF(INDEX(L_ID,ROW()-4)="","",IF(COUNTIF(P_ID,INDEX(L_ID,ROW()-4))&gt;0,1,0))</f>
        <v/>
      </c>
      <c r="B1860">
        <f>IF(INDEX(P_Type,ROW()-4)="","",TRIM(UPPER(INDEX(P_Type,ROW()-4))))</f>
        <v/>
      </c>
      <c r="D1860">
        <f>IF(INDEX(L_Type,ROW()-4)="","",TRIM(UPPER(INDEX(L_Type,ROW()-4))))</f>
        <v/>
      </c>
      <c r="E1860">
        <f>IF(INDEX(P_Status,ROW()-4)="","",TRIM(UPPER(INDEX(P_Status,ROW()-4))))</f>
        <v/>
      </c>
      <c r="G1860">
        <f>IF(INDEX(L_Status,ROW()-4)="","",TRIM(UPPER(INDEX(L_Status,ROW()-4))))</f>
        <v/>
      </c>
      <c r="J1860">
        <f>IF(INDEX(L_ID,ROW()-4)="","",IF(SUMPRODUCT((P_ID=INDEX(L_ID,ROW()-4))*(P_StatusN="INACTIVE"))&gt;0,1,0))</f>
        <v/>
      </c>
    </row>
    <row r="1861">
      <c r="A1861">
        <f>IF(INDEX(L_ID,ROW()-4)="","",IF(COUNTIF(P_ID,INDEX(L_ID,ROW()-4))&gt;0,1,0))</f>
        <v/>
      </c>
      <c r="B1861">
        <f>IF(INDEX(P_Type,ROW()-4)="","",TRIM(UPPER(INDEX(P_Type,ROW()-4))))</f>
        <v/>
      </c>
      <c r="D1861">
        <f>IF(INDEX(L_Type,ROW()-4)="","",TRIM(UPPER(INDEX(L_Type,ROW()-4))))</f>
        <v/>
      </c>
      <c r="E1861">
        <f>IF(INDEX(P_Status,ROW()-4)="","",TRIM(UPPER(INDEX(P_Status,ROW()-4))))</f>
        <v/>
      </c>
      <c r="G1861">
        <f>IF(INDEX(L_Status,ROW()-4)="","",TRIM(UPPER(INDEX(L_Status,ROW()-4))))</f>
        <v/>
      </c>
      <c r="J1861">
        <f>IF(INDEX(L_ID,ROW()-4)="","",IF(SUMPRODUCT((P_ID=INDEX(L_ID,ROW()-4))*(P_StatusN="INACTIVE"))&gt;0,1,0))</f>
        <v/>
      </c>
    </row>
    <row r="1862">
      <c r="A1862">
        <f>IF(INDEX(L_ID,ROW()-4)="","",IF(COUNTIF(P_ID,INDEX(L_ID,ROW()-4))&gt;0,1,0))</f>
        <v/>
      </c>
      <c r="B1862">
        <f>IF(INDEX(P_Type,ROW()-4)="","",TRIM(UPPER(INDEX(P_Type,ROW()-4))))</f>
        <v/>
      </c>
      <c r="D1862">
        <f>IF(INDEX(L_Type,ROW()-4)="","",TRIM(UPPER(INDEX(L_Type,ROW()-4))))</f>
        <v/>
      </c>
      <c r="E1862">
        <f>IF(INDEX(P_Status,ROW()-4)="","",TRIM(UPPER(INDEX(P_Status,ROW()-4))))</f>
        <v/>
      </c>
      <c r="G1862">
        <f>IF(INDEX(L_Status,ROW()-4)="","",TRIM(UPPER(INDEX(L_Status,ROW()-4))))</f>
        <v/>
      </c>
      <c r="J1862">
        <f>IF(INDEX(L_ID,ROW()-4)="","",IF(SUMPRODUCT((P_ID=INDEX(L_ID,ROW()-4))*(P_StatusN="INACTIVE"))&gt;0,1,0))</f>
        <v/>
      </c>
    </row>
    <row r="1863">
      <c r="A1863">
        <f>IF(INDEX(L_ID,ROW()-4)="","",IF(COUNTIF(P_ID,INDEX(L_ID,ROW()-4))&gt;0,1,0))</f>
        <v/>
      </c>
      <c r="B1863">
        <f>IF(INDEX(P_Type,ROW()-4)="","",TRIM(UPPER(INDEX(P_Type,ROW()-4))))</f>
        <v/>
      </c>
      <c r="D1863">
        <f>IF(INDEX(L_Type,ROW()-4)="","",TRIM(UPPER(INDEX(L_Type,ROW()-4))))</f>
        <v/>
      </c>
      <c r="E1863">
        <f>IF(INDEX(P_Status,ROW()-4)="","",TRIM(UPPER(INDEX(P_Status,ROW()-4))))</f>
        <v/>
      </c>
      <c r="G1863">
        <f>IF(INDEX(L_Status,ROW()-4)="","",TRIM(UPPER(INDEX(L_Status,ROW()-4))))</f>
        <v/>
      </c>
      <c r="J1863">
        <f>IF(INDEX(L_ID,ROW()-4)="","",IF(SUMPRODUCT((P_ID=INDEX(L_ID,ROW()-4))*(P_StatusN="INACTIVE"))&gt;0,1,0))</f>
        <v/>
      </c>
    </row>
    <row r="1864">
      <c r="A1864">
        <f>IF(INDEX(L_ID,ROW()-4)="","",IF(COUNTIF(P_ID,INDEX(L_ID,ROW()-4))&gt;0,1,0))</f>
        <v/>
      </c>
      <c r="B1864">
        <f>IF(INDEX(P_Type,ROW()-4)="","",TRIM(UPPER(INDEX(P_Type,ROW()-4))))</f>
        <v/>
      </c>
      <c r="D1864">
        <f>IF(INDEX(L_Type,ROW()-4)="","",TRIM(UPPER(INDEX(L_Type,ROW()-4))))</f>
        <v/>
      </c>
      <c r="E1864">
        <f>IF(INDEX(P_Status,ROW()-4)="","",TRIM(UPPER(INDEX(P_Status,ROW()-4))))</f>
        <v/>
      </c>
      <c r="G1864">
        <f>IF(INDEX(L_Status,ROW()-4)="","",TRIM(UPPER(INDEX(L_Status,ROW()-4))))</f>
        <v/>
      </c>
      <c r="J1864">
        <f>IF(INDEX(L_ID,ROW()-4)="","",IF(SUMPRODUCT((P_ID=INDEX(L_ID,ROW()-4))*(P_StatusN="INACTIVE"))&gt;0,1,0))</f>
        <v/>
      </c>
    </row>
    <row r="1865">
      <c r="A1865">
        <f>IF(INDEX(L_ID,ROW()-4)="","",IF(COUNTIF(P_ID,INDEX(L_ID,ROW()-4))&gt;0,1,0))</f>
        <v/>
      </c>
      <c r="B1865">
        <f>IF(INDEX(P_Type,ROW()-4)="","",TRIM(UPPER(INDEX(P_Type,ROW()-4))))</f>
        <v/>
      </c>
      <c r="D1865">
        <f>IF(INDEX(L_Type,ROW()-4)="","",TRIM(UPPER(INDEX(L_Type,ROW()-4))))</f>
        <v/>
      </c>
      <c r="E1865">
        <f>IF(INDEX(P_Status,ROW()-4)="","",TRIM(UPPER(INDEX(P_Status,ROW()-4))))</f>
        <v/>
      </c>
      <c r="G1865">
        <f>IF(INDEX(L_Status,ROW()-4)="","",TRIM(UPPER(INDEX(L_Status,ROW()-4))))</f>
        <v/>
      </c>
      <c r="J1865">
        <f>IF(INDEX(L_ID,ROW()-4)="","",IF(SUMPRODUCT((P_ID=INDEX(L_ID,ROW()-4))*(P_StatusN="INACTIVE"))&gt;0,1,0))</f>
        <v/>
      </c>
    </row>
    <row r="1866">
      <c r="A1866">
        <f>IF(INDEX(L_ID,ROW()-4)="","",IF(COUNTIF(P_ID,INDEX(L_ID,ROW()-4))&gt;0,1,0))</f>
        <v/>
      </c>
      <c r="B1866">
        <f>IF(INDEX(P_Type,ROW()-4)="","",TRIM(UPPER(INDEX(P_Type,ROW()-4))))</f>
        <v/>
      </c>
      <c r="D1866">
        <f>IF(INDEX(L_Type,ROW()-4)="","",TRIM(UPPER(INDEX(L_Type,ROW()-4))))</f>
        <v/>
      </c>
      <c r="E1866">
        <f>IF(INDEX(P_Status,ROW()-4)="","",TRIM(UPPER(INDEX(P_Status,ROW()-4))))</f>
        <v/>
      </c>
      <c r="G1866">
        <f>IF(INDEX(L_Status,ROW()-4)="","",TRIM(UPPER(INDEX(L_Status,ROW()-4))))</f>
        <v/>
      </c>
      <c r="J1866">
        <f>IF(INDEX(L_ID,ROW()-4)="","",IF(SUMPRODUCT((P_ID=INDEX(L_ID,ROW()-4))*(P_StatusN="INACTIVE"))&gt;0,1,0))</f>
        <v/>
      </c>
    </row>
    <row r="1867">
      <c r="A1867">
        <f>IF(INDEX(L_ID,ROW()-4)="","",IF(COUNTIF(P_ID,INDEX(L_ID,ROW()-4))&gt;0,1,0))</f>
        <v/>
      </c>
      <c r="B1867">
        <f>IF(INDEX(P_Type,ROW()-4)="","",TRIM(UPPER(INDEX(P_Type,ROW()-4))))</f>
        <v/>
      </c>
      <c r="D1867">
        <f>IF(INDEX(L_Type,ROW()-4)="","",TRIM(UPPER(INDEX(L_Type,ROW()-4))))</f>
        <v/>
      </c>
      <c r="E1867">
        <f>IF(INDEX(P_Status,ROW()-4)="","",TRIM(UPPER(INDEX(P_Status,ROW()-4))))</f>
        <v/>
      </c>
      <c r="G1867">
        <f>IF(INDEX(L_Status,ROW()-4)="","",TRIM(UPPER(INDEX(L_Status,ROW()-4))))</f>
        <v/>
      </c>
      <c r="J1867">
        <f>IF(INDEX(L_ID,ROW()-4)="","",IF(SUMPRODUCT((P_ID=INDEX(L_ID,ROW()-4))*(P_StatusN="INACTIVE"))&gt;0,1,0))</f>
        <v/>
      </c>
    </row>
    <row r="1868">
      <c r="A1868">
        <f>IF(INDEX(L_ID,ROW()-4)="","",IF(COUNTIF(P_ID,INDEX(L_ID,ROW()-4))&gt;0,1,0))</f>
        <v/>
      </c>
      <c r="B1868">
        <f>IF(INDEX(P_Type,ROW()-4)="","",TRIM(UPPER(INDEX(P_Type,ROW()-4))))</f>
        <v/>
      </c>
      <c r="D1868">
        <f>IF(INDEX(L_Type,ROW()-4)="","",TRIM(UPPER(INDEX(L_Type,ROW()-4))))</f>
        <v/>
      </c>
      <c r="E1868">
        <f>IF(INDEX(P_Status,ROW()-4)="","",TRIM(UPPER(INDEX(P_Status,ROW()-4))))</f>
        <v/>
      </c>
      <c r="G1868">
        <f>IF(INDEX(L_Status,ROW()-4)="","",TRIM(UPPER(INDEX(L_Status,ROW()-4))))</f>
        <v/>
      </c>
      <c r="J1868">
        <f>IF(INDEX(L_ID,ROW()-4)="","",IF(SUMPRODUCT((P_ID=INDEX(L_ID,ROW()-4))*(P_StatusN="INACTIVE"))&gt;0,1,0))</f>
        <v/>
      </c>
    </row>
    <row r="1869">
      <c r="A1869">
        <f>IF(INDEX(L_ID,ROW()-4)="","",IF(COUNTIF(P_ID,INDEX(L_ID,ROW()-4))&gt;0,1,0))</f>
        <v/>
      </c>
      <c r="B1869">
        <f>IF(INDEX(P_Type,ROW()-4)="","",TRIM(UPPER(INDEX(P_Type,ROW()-4))))</f>
        <v/>
      </c>
      <c r="D1869">
        <f>IF(INDEX(L_Type,ROW()-4)="","",TRIM(UPPER(INDEX(L_Type,ROW()-4))))</f>
        <v/>
      </c>
      <c r="E1869">
        <f>IF(INDEX(P_Status,ROW()-4)="","",TRIM(UPPER(INDEX(P_Status,ROW()-4))))</f>
        <v/>
      </c>
      <c r="G1869">
        <f>IF(INDEX(L_Status,ROW()-4)="","",TRIM(UPPER(INDEX(L_Status,ROW()-4))))</f>
        <v/>
      </c>
      <c r="J1869">
        <f>IF(INDEX(L_ID,ROW()-4)="","",IF(SUMPRODUCT((P_ID=INDEX(L_ID,ROW()-4))*(P_StatusN="INACTIVE"))&gt;0,1,0))</f>
        <v/>
      </c>
    </row>
    <row r="1870">
      <c r="A1870">
        <f>IF(INDEX(L_ID,ROW()-4)="","",IF(COUNTIF(P_ID,INDEX(L_ID,ROW()-4))&gt;0,1,0))</f>
        <v/>
      </c>
      <c r="B1870">
        <f>IF(INDEX(P_Type,ROW()-4)="","",TRIM(UPPER(INDEX(P_Type,ROW()-4))))</f>
        <v/>
      </c>
      <c r="D1870">
        <f>IF(INDEX(L_Type,ROW()-4)="","",TRIM(UPPER(INDEX(L_Type,ROW()-4))))</f>
        <v/>
      </c>
      <c r="E1870">
        <f>IF(INDEX(P_Status,ROW()-4)="","",TRIM(UPPER(INDEX(P_Status,ROW()-4))))</f>
        <v/>
      </c>
      <c r="G1870">
        <f>IF(INDEX(L_Status,ROW()-4)="","",TRIM(UPPER(INDEX(L_Status,ROW()-4))))</f>
        <v/>
      </c>
      <c r="J1870">
        <f>IF(INDEX(L_ID,ROW()-4)="","",IF(SUMPRODUCT((P_ID=INDEX(L_ID,ROW()-4))*(P_StatusN="INACTIVE"))&gt;0,1,0))</f>
        <v/>
      </c>
    </row>
    <row r="1871">
      <c r="A1871">
        <f>IF(INDEX(L_ID,ROW()-4)="","",IF(COUNTIF(P_ID,INDEX(L_ID,ROW()-4))&gt;0,1,0))</f>
        <v/>
      </c>
      <c r="B1871">
        <f>IF(INDEX(P_Type,ROW()-4)="","",TRIM(UPPER(INDEX(P_Type,ROW()-4))))</f>
        <v/>
      </c>
      <c r="D1871">
        <f>IF(INDEX(L_Type,ROW()-4)="","",TRIM(UPPER(INDEX(L_Type,ROW()-4))))</f>
        <v/>
      </c>
      <c r="E1871">
        <f>IF(INDEX(P_Status,ROW()-4)="","",TRIM(UPPER(INDEX(P_Status,ROW()-4))))</f>
        <v/>
      </c>
      <c r="G1871">
        <f>IF(INDEX(L_Status,ROW()-4)="","",TRIM(UPPER(INDEX(L_Status,ROW()-4))))</f>
        <v/>
      </c>
      <c r="J1871">
        <f>IF(INDEX(L_ID,ROW()-4)="","",IF(SUMPRODUCT((P_ID=INDEX(L_ID,ROW()-4))*(P_StatusN="INACTIVE"))&gt;0,1,0))</f>
        <v/>
      </c>
    </row>
    <row r="1872">
      <c r="A1872">
        <f>IF(INDEX(L_ID,ROW()-4)="","",IF(COUNTIF(P_ID,INDEX(L_ID,ROW()-4))&gt;0,1,0))</f>
        <v/>
      </c>
      <c r="B1872">
        <f>IF(INDEX(P_Type,ROW()-4)="","",TRIM(UPPER(INDEX(P_Type,ROW()-4))))</f>
        <v/>
      </c>
      <c r="D1872">
        <f>IF(INDEX(L_Type,ROW()-4)="","",TRIM(UPPER(INDEX(L_Type,ROW()-4))))</f>
        <v/>
      </c>
      <c r="E1872">
        <f>IF(INDEX(P_Status,ROW()-4)="","",TRIM(UPPER(INDEX(P_Status,ROW()-4))))</f>
        <v/>
      </c>
      <c r="G1872">
        <f>IF(INDEX(L_Status,ROW()-4)="","",TRIM(UPPER(INDEX(L_Status,ROW()-4))))</f>
        <v/>
      </c>
      <c r="J1872">
        <f>IF(INDEX(L_ID,ROW()-4)="","",IF(SUMPRODUCT((P_ID=INDEX(L_ID,ROW()-4))*(P_StatusN="INACTIVE"))&gt;0,1,0))</f>
        <v/>
      </c>
    </row>
    <row r="1873">
      <c r="A1873">
        <f>IF(INDEX(L_ID,ROW()-4)="","",IF(COUNTIF(P_ID,INDEX(L_ID,ROW()-4))&gt;0,1,0))</f>
        <v/>
      </c>
      <c r="B1873">
        <f>IF(INDEX(P_Type,ROW()-4)="","",TRIM(UPPER(INDEX(P_Type,ROW()-4))))</f>
        <v/>
      </c>
      <c r="D1873">
        <f>IF(INDEX(L_Type,ROW()-4)="","",TRIM(UPPER(INDEX(L_Type,ROW()-4))))</f>
        <v/>
      </c>
      <c r="E1873">
        <f>IF(INDEX(P_Status,ROW()-4)="","",TRIM(UPPER(INDEX(P_Status,ROW()-4))))</f>
        <v/>
      </c>
      <c r="G1873">
        <f>IF(INDEX(L_Status,ROW()-4)="","",TRIM(UPPER(INDEX(L_Status,ROW()-4))))</f>
        <v/>
      </c>
      <c r="J1873">
        <f>IF(INDEX(L_ID,ROW()-4)="","",IF(SUMPRODUCT((P_ID=INDEX(L_ID,ROW()-4))*(P_StatusN="INACTIVE"))&gt;0,1,0))</f>
        <v/>
      </c>
    </row>
    <row r="1874">
      <c r="A1874">
        <f>IF(INDEX(L_ID,ROW()-4)="","",IF(COUNTIF(P_ID,INDEX(L_ID,ROW()-4))&gt;0,1,0))</f>
        <v/>
      </c>
      <c r="B1874">
        <f>IF(INDEX(P_Type,ROW()-4)="","",TRIM(UPPER(INDEX(P_Type,ROW()-4))))</f>
        <v/>
      </c>
      <c r="D1874">
        <f>IF(INDEX(L_Type,ROW()-4)="","",TRIM(UPPER(INDEX(L_Type,ROW()-4))))</f>
        <v/>
      </c>
      <c r="E1874">
        <f>IF(INDEX(P_Status,ROW()-4)="","",TRIM(UPPER(INDEX(P_Status,ROW()-4))))</f>
        <v/>
      </c>
      <c r="G1874">
        <f>IF(INDEX(L_Status,ROW()-4)="","",TRIM(UPPER(INDEX(L_Status,ROW()-4))))</f>
        <v/>
      </c>
      <c r="J1874">
        <f>IF(INDEX(L_ID,ROW()-4)="","",IF(SUMPRODUCT((P_ID=INDEX(L_ID,ROW()-4))*(P_StatusN="INACTIVE"))&gt;0,1,0))</f>
        <v/>
      </c>
    </row>
    <row r="1875">
      <c r="A1875">
        <f>IF(INDEX(L_ID,ROW()-4)="","",IF(COUNTIF(P_ID,INDEX(L_ID,ROW()-4))&gt;0,1,0))</f>
        <v/>
      </c>
      <c r="B1875">
        <f>IF(INDEX(P_Type,ROW()-4)="","",TRIM(UPPER(INDEX(P_Type,ROW()-4))))</f>
        <v/>
      </c>
      <c r="D1875">
        <f>IF(INDEX(L_Type,ROW()-4)="","",TRIM(UPPER(INDEX(L_Type,ROW()-4))))</f>
        <v/>
      </c>
      <c r="E1875">
        <f>IF(INDEX(P_Status,ROW()-4)="","",TRIM(UPPER(INDEX(P_Status,ROW()-4))))</f>
        <v/>
      </c>
      <c r="G1875">
        <f>IF(INDEX(L_Status,ROW()-4)="","",TRIM(UPPER(INDEX(L_Status,ROW()-4))))</f>
        <v/>
      </c>
      <c r="J1875">
        <f>IF(INDEX(L_ID,ROW()-4)="","",IF(SUMPRODUCT((P_ID=INDEX(L_ID,ROW()-4))*(P_StatusN="INACTIVE"))&gt;0,1,0))</f>
        <v/>
      </c>
    </row>
    <row r="1876">
      <c r="A1876">
        <f>IF(INDEX(L_ID,ROW()-4)="","",IF(COUNTIF(P_ID,INDEX(L_ID,ROW()-4))&gt;0,1,0))</f>
        <v/>
      </c>
      <c r="B1876">
        <f>IF(INDEX(P_Type,ROW()-4)="","",TRIM(UPPER(INDEX(P_Type,ROW()-4))))</f>
        <v/>
      </c>
      <c r="D1876">
        <f>IF(INDEX(L_Type,ROW()-4)="","",TRIM(UPPER(INDEX(L_Type,ROW()-4))))</f>
        <v/>
      </c>
      <c r="E1876">
        <f>IF(INDEX(P_Status,ROW()-4)="","",TRIM(UPPER(INDEX(P_Status,ROW()-4))))</f>
        <v/>
      </c>
      <c r="G1876">
        <f>IF(INDEX(L_Status,ROW()-4)="","",TRIM(UPPER(INDEX(L_Status,ROW()-4))))</f>
        <v/>
      </c>
      <c r="J1876">
        <f>IF(INDEX(L_ID,ROW()-4)="","",IF(SUMPRODUCT((P_ID=INDEX(L_ID,ROW()-4))*(P_StatusN="INACTIVE"))&gt;0,1,0))</f>
        <v/>
      </c>
    </row>
    <row r="1877">
      <c r="A1877">
        <f>IF(INDEX(L_ID,ROW()-4)="","",IF(COUNTIF(P_ID,INDEX(L_ID,ROW()-4))&gt;0,1,0))</f>
        <v/>
      </c>
      <c r="B1877">
        <f>IF(INDEX(P_Type,ROW()-4)="","",TRIM(UPPER(INDEX(P_Type,ROW()-4))))</f>
        <v/>
      </c>
      <c r="D1877">
        <f>IF(INDEX(L_Type,ROW()-4)="","",TRIM(UPPER(INDEX(L_Type,ROW()-4))))</f>
        <v/>
      </c>
      <c r="E1877">
        <f>IF(INDEX(P_Status,ROW()-4)="","",TRIM(UPPER(INDEX(P_Status,ROW()-4))))</f>
        <v/>
      </c>
      <c r="G1877">
        <f>IF(INDEX(L_Status,ROW()-4)="","",TRIM(UPPER(INDEX(L_Status,ROW()-4))))</f>
        <v/>
      </c>
      <c r="J1877">
        <f>IF(INDEX(L_ID,ROW()-4)="","",IF(SUMPRODUCT((P_ID=INDEX(L_ID,ROW()-4))*(P_StatusN="INACTIVE"))&gt;0,1,0))</f>
        <v/>
      </c>
    </row>
    <row r="1878">
      <c r="A1878">
        <f>IF(INDEX(L_ID,ROW()-4)="","",IF(COUNTIF(P_ID,INDEX(L_ID,ROW()-4))&gt;0,1,0))</f>
        <v/>
      </c>
      <c r="B1878">
        <f>IF(INDEX(P_Type,ROW()-4)="","",TRIM(UPPER(INDEX(P_Type,ROW()-4))))</f>
        <v/>
      </c>
      <c r="D1878">
        <f>IF(INDEX(L_Type,ROW()-4)="","",TRIM(UPPER(INDEX(L_Type,ROW()-4))))</f>
        <v/>
      </c>
      <c r="E1878">
        <f>IF(INDEX(P_Status,ROW()-4)="","",TRIM(UPPER(INDEX(P_Status,ROW()-4))))</f>
        <v/>
      </c>
      <c r="G1878">
        <f>IF(INDEX(L_Status,ROW()-4)="","",TRIM(UPPER(INDEX(L_Status,ROW()-4))))</f>
        <v/>
      </c>
      <c r="J1878">
        <f>IF(INDEX(L_ID,ROW()-4)="","",IF(SUMPRODUCT((P_ID=INDEX(L_ID,ROW()-4))*(P_StatusN="INACTIVE"))&gt;0,1,0))</f>
        <v/>
      </c>
    </row>
    <row r="1879">
      <c r="A1879">
        <f>IF(INDEX(L_ID,ROW()-4)="","",IF(COUNTIF(P_ID,INDEX(L_ID,ROW()-4))&gt;0,1,0))</f>
        <v/>
      </c>
      <c r="B1879">
        <f>IF(INDEX(P_Type,ROW()-4)="","",TRIM(UPPER(INDEX(P_Type,ROW()-4))))</f>
        <v/>
      </c>
      <c r="D1879">
        <f>IF(INDEX(L_Type,ROW()-4)="","",TRIM(UPPER(INDEX(L_Type,ROW()-4))))</f>
        <v/>
      </c>
      <c r="E1879">
        <f>IF(INDEX(P_Status,ROW()-4)="","",TRIM(UPPER(INDEX(P_Status,ROW()-4))))</f>
        <v/>
      </c>
      <c r="G1879">
        <f>IF(INDEX(L_Status,ROW()-4)="","",TRIM(UPPER(INDEX(L_Status,ROW()-4))))</f>
        <v/>
      </c>
      <c r="J1879">
        <f>IF(INDEX(L_ID,ROW()-4)="","",IF(SUMPRODUCT((P_ID=INDEX(L_ID,ROW()-4))*(P_StatusN="INACTIVE"))&gt;0,1,0))</f>
        <v/>
      </c>
    </row>
    <row r="1880">
      <c r="A1880">
        <f>IF(INDEX(L_ID,ROW()-4)="","",IF(COUNTIF(P_ID,INDEX(L_ID,ROW()-4))&gt;0,1,0))</f>
        <v/>
      </c>
      <c r="B1880">
        <f>IF(INDEX(P_Type,ROW()-4)="","",TRIM(UPPER(INDEX(P_Type,ROW()-4))))</f>
        <v/>
      </c>
      <c r="D1880">
        <f>IF(INDEX(L_Type,ROW()-4)="","",TRIM(UPPER(INDEX(L_Type,ROW()-4))))</f>
        <v/>
      </c>
      <c r="E1880">
        <f>IF(INDEX(P_Status,ROW()-4)="","",TRIM(UPPER(INDEX(P_Status,ROW()-4))))</f>
        <v/>
      </c>
      <c r="G1880">
        <f>IF(INDEX(L_Status,ROW()-4)="","",TRIM(UPPER(INDEX(L_Status,ROW()-4))))</f>
        <v/>
      </c>
      <c r="J1880">
        <f>IF(INDEX(L_ID,ROW()-4)="","",IF(SUMPRODUCT((P_ID=INDEX(L_ID,ROW()-4))*(P_StatusN="INACTIVE"))&gt;0,1,0))</f>
        <v/>
      </c>
    </row>
    <row r="1881">
      <c r="A1881">
        <f>IF(INDEX(L_ID,ROW()-4)="","",IF(COUNTIF(P_ID,INDEX(L_ID,ROW()-4))&gt;0,1,0))</f>
        <v/>
      </c>
      <c r="B1881">
        <f>IF(INDEX(P_Type,ROW()-4)="","",TRIM(UPPER(INDEX(P_Type,ROW()-4))))</f>
        <v/>
      </c>
      <c r="D1881">
        <f>IF(INDEX(L_Type,ROW()-4)="","",TRIM(UPPER(INDEX(L_Type,ROW()-4))))</f>
        <v/>
      </c>
      <c r="E1881">
        <f>IF(INDEX(P_Status,ROW()-4)="","",TRIM(UPPER(INDEX(P_Status,ROW()-4))))</f>
        <v/>
      </c>
      <c r="G1881">
        <f>IF(INDEX(L_Status,ROW()-4)="","",TRIM(UPPER(INDEX(L_Status,ROW()-4))))</f>
        <v/>
      </c>
      <c r="J1881">
        <f>IF(INDEX(L_ID,ROW()-4)="","",IF(SUMPRODUCT((P_ID=INDEX(L_ID,ROW()-4))*(P_StatusN="INACTIVE"))&gt;0,1,0))</f>
        <v/>
      </c>
    </row>
    <row r="1882">
      <c r="A1882">
        <f>IF(INDEX(L_ID,ROW()-4)="","",IF(COUNTIF(P_ID,INDEX(L_ID,ROW()-4))&gt;0,1,0))</f>
        <v/>
      </c>
      <c r="B1882">
        <f>IF(INDEX(P_Type,ROW()-4)="","",TRIM(UPPER(INDEX(P_Type,ROW()-4))))</f>
        <v/>
      </c>
      <c r="D1882">
        <f>IF(INDEX(L_Type,ROW()-4)="","",TRIM(UPPER(INDEX(L_Type,ROW()-4))))</f>
        <v/>
      </c>
      <c r="E1882">
        <f>IF(INDEX(P_Status,ROW()-4)="","",TRIM(UPPER(INDEX(P_Status,ROW()-4))))</f>
        <v/>
      </c>
      <c r="G1882">
        <f>IF(INDEX(L_Status,ROW()-4)="","",TRIM(UPPER(INDEX(L_Status,ROW()-4))))</f>
        <v/>
      </c>
      <c r="J1882">
        <f>IF(INDEX(L_ID,ROW()-4)="","",IF(SUMPRODUCT((P_ID=INDEX(L_ID,ROW()-4))*(P_StatusN="INACTIVE"))&gt;0,1,0))</f>
        <v/>
      </c>
    </row>
    <row r="1883">
      <c r="A1883">
        <f>IF(INDEX(L_ID,ROW()-4)="","",IF(COUNTIF(P_ID,INDEX(L_ID,ROW()-4))&gt;0,1,0))</f>
        <v/>
      </c>
      <c r="B1883">
        <f>IF(INDEX(P_Type,ROW()-4)="","",TRIM(UPPER(INDEX(P_Type,ROW()-4))))</f>
        <v/>
      </c>
      <c r="D1883">
        <f>IF(INDEX(L_Type,ROW()-4)="","",TRIM(UPPER(INDEX(L_Type,ROW()-4))))</f>
        <v/>
      </c>
      <c r="E1883">
        <f>IF(INDEX(P_Status,ROW()-4)="","",TRIM(UPPER(INDEX(P_Status,ROW()-4))))</f>
        <v/>
      </c>
      <c r="G1883">
        <f>IF(INDEX(L_Status,ROW()-4)="","",TRIM(UPPER(INDEX(L_Status,ROW()-4))))</f>
        <v/>
      </c>
      <c r="J1883">
        <f>IF(INDEX(L_ID,ROW()-4)="","",IF(SUMPRODUCT((P_ID=INDEX(L_ID,ROW()-4))*(P_StatusN="INACTIVE"))&gt;0,1,0))</f>
        <v/>
      </c>
    </row>
    <row r="1884">
      <c r="A1884">
        <f>IF(INDEX(L_ID,ROW()-4)="","",IF(COUNTIF(P_ID,INDEX(L_ID,ROW()-4))&gt;0,1,0))</f>
        <v/>
      </c>
      <c r="B1884">
        <f>IF(INDEX(P_Type,ROW()-4)="","",TRIM(UPPER(INDEX(P_Type,ROW()-4))))</f>
        <v/>
      </c>
      <c r="D1884">
        <f>IF(INDEX(L_Type,ROW()-4)="","",TRIM(UPPER(INDEX(L_Type,ROW()-4))))</f>
        <v/>
      </c>
      <c r="E1884">
        <f>IF(INDEX(P_Status,ROW()-4)="","",TRIM(UPPER(INDEX(P_Status,ROW()-4))))</f>
        <v/>
      </c>
      <c r="G1884">
        <f>IF(INDEX(L_Status,ROW()-4)="","",TRIM(UPPER(INDEX(L_Status,ROW()-4))))</f>
        <v/>
      </c>
      <c r="J1884">
        <f>IF(INDEX(L_ID,ROW()-4)="","",IF(SUMPRODUCT((P_ID=INDEX(L_ID,ROW()-4))*(P_StatusN="INACTIVE"))&gt;0,1,0))</f>
        <v/>
      </c>
    </row>
    <row r="1885">
      <c r="A1885">
        <f>IF(INDEX(L_ID,ROW()-4)="","",IF(COUNTIF(P_ID,INDEX(L_ID,ROW()-4))&gt;0,1,0))</f>
        <v/>
      </c>
      <c r="B1885">
        <f>IF(INDEX(P_Type,ROW()-4)="","",TRIM(UPPER(INDEX(P_Type,ROW()-4))))</f>
        <v/>
      </c>
      <c r="D1885">
        <f>IF(INDEX(L_Type,ROW()-4)="","",TRIM(UPPER(INDEX(L_Type,ROW()-4))))</f>
        <v/>
      </c>
      <c r="E1885">
        <f>IF(INDEX(P_Status,ROW()-4)="","",TRIM(UPPER(INDEX(P_Status,ROW()-4))))</f>
        <v/>
      </c>
      <c r="G1885">
        <f>IF(INDEX(L_Status,ROW()-4)="","",TRIM(UPPER(INDEX(L_Status,ROW()-4))))</f>
        <v/>
      </c>
      <c r="J1885">
        <f>IF(INDEX(L_ID,ROW()-4)="","",IF(SUMPRODUCT((P_ID=INDEX(L_ID,ROW()-4))*(P_StatusN="INACTIVE"))&gt;0,1,0))</f>
        <v/>
      </c>
    </row>
    <row r="1886">
      <c r="A1886">
        <f>IF(INDEX(L_ID,ROW()-4)="","",IF(COUNTIF(P_ID,INDEX(L_ID,ROW()-4))&gt;0,1,0))</f>
        <v/>
      </c>
      <c r="B1886">
        <f>IF(INDEX(P_Type,ROW()-4)="","",TRIM(UPPER(INDEX(P_Type,ROW()-4))))</f>
        <v/>
      </c>
      <c r="D1886">
        <f>IF(INDEX(L_Type,ROW()-4)="","",TRIM(UPPER(INDEX(L_Type,ROW()-4))))</f>
        <v/>
      </c>
      <c r="E1886">
        <f>IF(INDEX(P_Status,ROW()-4)="","",TRIM(UPPER(INDEX(P_Status,ROW()-4))))</f>
        <v/>
      </c>
      <c r="G1886">
        <f>IF(INDEX(L_Status,ROW()-4)="","",TRIM(UPPER(INDEX(L_Status,ROW()-4))))</f>
        <v/>
      </c>
      <c r="J1886">
        <f>IF(INDEX(L_ID,ROW()-4)="","",IF(SUMPRODUCT((P_ID=INDEX(L_ID,ROW()-4))*(P_StatusN="INACTIVE"))&gt;0,1,0))</f>
        <v/>
      </c>
    </row>
    <row r="1887">
      <c r="A1887">
        <f>IF(INDEX(L_ID,ROW()-4)="","",IF(COUNTIF(P_ID,INDEX(L_ID,ROW()-4))&gt;0,1,0))</f>
        <v/>
      </c>
      <c r="B1887">
        <f>IF(INDEX(P_Type,ROW()-4)="","",TRIM(UPPER(INDEX(P_Type,ROW()-4))))</f>
        <v/>
      </c>
      <c r="D1887">
        <f>IF(INDEX(L_Type,ROW()-4)="","",TRIM(UPPER(INDEX(L_Type,ROW()-4))))</f>
        <v/>
      </c>
      <c r="E1887">
        <f>IF(INDEX(P_Status,ROW()-4)="","",TRIM(UPPER(INDEX(P_Status,ROW()-4))))</f>
        <v/>
      </c>
      <c r="G1887">
        <f>IF(INDEX(L_Status,ROW()-4)="","",TRIM(UPPER(INDEX(L_Status,ROW()-4))))</f>
        <v/>
      </c>
      <c r="J1887">
        <f>IF(INDEX(L_ID,ROW()-4)="","",IF(SUMPRODUCT((P_ID=INDEX(L_ID,ROW()-4))*(P_StatusN="INACTIVE"))&gt;0,1,0))</f>
        <v/>
      </c>
    </row>
    <row r="1888">
      <c r="A1888">
        <f>IF(INDEX(L_ID,ROW()-4)="","",IF(COUNTIF(P_ID,INDEX(L_ID,ROW()-4))&gt;0,1,0))</f>
        <v/>
      </c>
      <c r="B1888">
        <f>IF(INDEX(P_Type,ROW()-4)="","",TRIM(UPPER(INDEX(P_Type,ROW()-4))))</f>
        <v/>
      </c>
      <c r="D1888">
        <f>IF(INDEX(L_Type,ROW()-4)="","",TRIM(UPPER(INDEX(L_Type,ROW()-4))))</f>
        <v/>
      </c>
      <c r="E1888">
        <f>IF(INDEX(P_Status,ROW()-4)="","",TRIM(UPPER(INDEX(P_Status,ROW()-4))))</f>
        <v/>
      </c>
      <c r="G1888">
        <f>IF(INDEX(L_Status,ROW()-4)="","",TRIM(UPPER(INDEX(L_Status,ROW()-4))))</f>
        <v/>
      </c>
      <c r="J1888">
        <f>IF(INDEX(L_ID,ROW()-4)="","",IF(SUMPRODUCT((P_ID=INDEX(L_ID,ROW()-4))*(P_StatusN="INACTIVE"))&gt;0,1,0))</f>
        <v/>
      </c>
    </row>
    <row r="1889">
      <c r="A1889">
        <f>IF(INDEX(L_ID,ROW()-4)="","",IF(COUNTIF(P_ID,INDEX(L_ID,ROW()-4))&gt;0,1,0))</f>
        <v/>
      </c>
      <c r="B1889">
        <f>IF(INDEX(P_Type,ROW()-4)="","",TRIM(UPPER(INDEX(P_Type,ROW()-4))))</f>
        <v/>
      </c>
      <c r="D1889">
        <f>IF(INDEX(L_Type,ROW()-4)="","",TRIM(UPPER(INDEX(L_Type,ROW()-4))))</f>
        <v/>
      </c>
      <c r="E1889">
        <f>IF(INDEX(P_Status,ROW()-4)="","",TRIM(UPPER(INDEX(P_Status,ROW()-4))))</f>
        <v/>
      </c>
      <c r="G1889">
        <f>IF(INDEX(L_Status,ROW()-4)="","",TRIM(UPPER(INDEX(L_Status,ROW()-4))))</f>
        <v/>
      </c>
      <c r="J1889">
        <f>IF(INDEX(L_ID,ROW()-4)="","",IF(SUMPRODUCT((P_ID=INDEX(L_ID,ROW()-4))*(P_StatusN="INACTIVE"))&gt;0,1,0))</f>
        <v/>
      </c>
    </row>
    <row r="1890">
      <c r="A1890">
        <f>IF(INDEX(L_ID,ROW()-4)="","",IF(COUNTIF(P_ID,INDEX(L_ID,ROW()-4))&gt;0,1,0))</f>
        <v/>
      </c>
      <c r="B1890">
        <f>IF(INDEX(P_Type,ROW()-4)="","",TRIM(UPPER(INDEX(P_Type,ROW()-4))))</f>
        <v/>
      </c>
      <c r="D1890">
        <f>IF(INDEX(L_Type,ROW()-4)="","",TRIM(UPPER(INDEX(L_Type,ROW()-4))))</f>
        <v/>
      </c>
      <c r="E1890">
        <f>IF(INDEX(P_Status,ROW()-4)="","",TRIM(UPPER(INDEX(P_Status,ROW()-4))))</f>
        <v/>
      </c>
      <c r="G1890">
        <f>IF(INDEX(L_Status,ROW()-4)="","",TRIM(UPPER(INDEX(L_Status,ROW()-4))))</f>
        <v/>
      </c>
      <c r="J1890">
        <f>IF(INDEX(L_ID,ROW()-4)="","",IF(SUMPRODUCT((P_ID=INDEX(L_ID,ROW()-4))*(P_StatusN="INACTIVE"))&gt;0,1,0))</f>
        <v/>
      </c>
    </row>
    <row r="1891">
      <c r="A1891">
        <f>IF(INDEX(L_ID,ROW()-4)="","",IF(COUNTIF(P_ID,INDEX(L_ID,ROW()-4))&gt;0,1,0))</f>
        <v/>
      </c>
      <c r="B1891">
        <f>IF(INDEX(P_Type,ROW()-4)="","",TRIM(UPPER(INDEX(P_Type,ROW()-4))))</f>
        <v/>
      </c>
      <c r="D1891">
        <f>IF(INDEX(L_Type,ROW()-4)="","",TRIM(UPPER(INDEX(L_Type,ROW()-4))))</f>
        <v/>
      </c>
      <c r="E1891">
        <f>IF(INDEX(P_Status,ROW()-4)="","",TRIM(UPPER(INDEX(P_Status,ROW()-4))))</f>
        <v/>
      </c>
      <c r="G1891">
        <f>IF(INDEX(L_Status,ROW()-4)="","",TRIM(UPPER(INDEX(L_Status,ROW()-4))))</f>
        <v/>
      </c>
      <c r="J1891">
        <f>IF(INDEX(L_ID,ROW()-4)="","",IF(SUMPRODUCT((P_ID=INDEX(L_ID,ROW()-4))*(P_StatusN="INACTIVE"))&gt;0,1,0))</f>
        <v/>
      </c>
    </row>
    <row r="1892">
      <c r="A1892">
        <f>IF(INDEX(L_ID,ROW()-4)="","",IF(COUNTIF(P_ID,INDEX(L_ID,ROW()-4))&gt;0,1,0))</f>
        <v/>
      </c>
      <c r="B1892">
        <f>IF(INDEX(P_Type,ROW()-4)="","",TRIM(UPPER(INDEX(P_Type,ROW()-4))))</f>
        <v/>
      </c>
      <c r="D1892">
        <f>IF(INDEX(L_Type,ROW()-4)="","",TRIM(UPPER(INDEX(L_Type,ROW()-4))))</f>
        <v/>
      </c>
      <c r="E1892">
        <f>IF(INDEX(P_Status,ROW()-4)="","",TRIM(UPPER(INDEX(P_Status,ROW()-4))))</f>
        <v/>
      </c>
      <c r="G1892">
        <f>IF(INDEX(L_Status,ROW()-4)="","",TRIM(UPPER(INDEX(L_Status,ROW()-4))))</f>
        <v/>
      </c>
      <c r="J1892">
        <f>IF(INDEX(L_ID,ROW()-4)="","",IF(SUMPRODUCT((P_ID=INDEX(L_ID,ROW()-4))*(P_StatusN="INACTIVE"))&gt;0,1,0))</f>
        <v/>
      </c>
    </row>
    <row r="1893">
      <c r="A1893">
        <f>IF(INDEX(L_ID,ROW()-4)="","",IF(COUNTIF(P_ID,INDEX(L_ID,ROW()-4))&gt;0,1,0))</f>
        <v/>
      </c>
      <c r="B1893">
        <f>IF(INDEX(P_Type,ROW()-4)="","",TRIM(UPPER(INDEX(P_Type,ROW()-4))))</f>
        <v/>
      </c>
      <c r="D1893">
        <f>IF(INDEX(L_Type,ROW()-4)="","",TRIM(UPPER(INDEX(L_Type,ROW()-4))))</f>
        <v/>
      </c>
      <c r="E1893">
        <f>IF(INDEX(P_Status,ROW()-4)="","",TRIM(UPPER(INDEX(P_Status,ROW()-4))))</f>
        <v/>
      </c>
      <c r="G1893">
        <f>IF(INDEX(L_Status,ROW()-4)="","",TRIM(UPPER(INDEX(L_Status,ROW()-4))))</f>
        <v/>
      </c>
      <c r="J1893">
        <f>IF(INDEX(L_ID,ROW()-4)="","",IF(SUMPRODUCT((P_ID=INDEX(L_ID,ROW()-4))*(P_StatusN="INACTIVE"))&gt;0,1,0))</f>
        <v/>
      </c>
    </row>
    <row r="1894">
      <c r="A1894">
        <f>IF(INDEX(L_ID,ROW()-4)="","",IF(COUNTIF(P_ID,INDEX(L_ID,ROW()-4))&gt;0,1,0))</f>
        <v/>
      </c>
      <c r="B1894">
        <f>IF(INDEX(P_Type,ROW()-4)="","",TRIM(UPPER(INDEX(P_Type,ROW()-4))))</f>
        <v/>
      </c>
      <c r="D1894">
        <f>IF(INDEX(L_Type,ROW()-4)="","",TRIM(UPPER(INDEX(L_Type,ROW()-4))))</f>
        <v/>
      </c>
      <c r="E1894">
        <f>IF(INDEX(P_Status,ROW()-4)="","",TRIM(UPPER(INDEX(P_Status,ROW()-4))))</f>
        <v/>
      </c>
      <c r="G1894">
        <f>IF(INDEX(L_Status,ROW()-4)="","",TRIM(UPPER(INDEX(L_Status,ROW()-4))))</f>
        <v/>
      </c>
      <c r="J1894">
        <f>IF(INDEX(L_ID,ROW()-4)="","",IF(SUMPRODUCT((P_ID=INDEX(L_ID,ROW()-4))*(P_StatusN="INACTIVE"))&gt;0,1,0))</f>
        <v/>
      </c>
    </row>
    <row r="1895">
      <c r="A1895">
        <f>IF(INDEX(L_ID,ROW()-4)="","",IF(COUNTIF(P_ID,INDEX(L_ID,ROW()-4))&gt;0,1,0))</f>
        <v/>
      </c>
      <c r="B1895">
        <f>IF(INDEX(P_Type,ROW()-4)="","",TRIM(UPPER(INDEX(P_Type,ROW()-4))))</f>
        <v/>
      </c>
      <c r="D1895">
        <f>IF(INDEX(L_Type,ROW()-4)="","",TRIM(UPPER(INDEX(L_Type,ROW()-4))))</f>
        <v/>
      </c>
      <c r="E1895">
        <f>IF(INDEX(P_Status,ROW()-4)="","",TRIM(UPPER(INDEX(P_Status,ROW()-4))))</f>
        <v/>
      </c>
      <c r="G1895">
        <f>IF(INDEX(L_Status,ROW()-4)="","",TRIM(UPPER(INDEX(L_Status,ROW()-4))))</f>
        <v/>
      </c>
      <c r="J1895">
        <f>IF(INDEX(L_ID,ROW()-4)="","",IF(SUMPRODUCT((P_ID=INDEX(L_ID,ROW()-4))*(P_StatusN="INACTIVE"))&gt;0,1,0))</f>
        <v/>
      </c>
    </row>
    <row r="1896">
      <c r="A1896">
        <f>IF(INDEX(L_ID,ROW()-4)="","",IF(COUNTIF(P_ID,INDEX(L_ID,ROW()-4))&gt;0,1,0))</f>
        <v/>
      </c>
      <c r="B1896">
        <f>IF(INDEX(P_Type,ROW()-4)="","",TRIM(UPPER(INDEX(P_Type,ROW()-4))))</f>
        <v/>
      </c>
      <c r="D1896">
        <f>IF(INDEX(L_Type,ROW()-4)="","",TRIM(UPPER(INDEX(L_Type,ROW()-4))))</f>
        <v/>
      </c>
      <c r="E1896">
        <f>IF(INDEX(P_Status,ROW()-4)="","",TRIM(UPPER(INDEX(P_Status,ROW()-4))))</f>
        <v/>
      </c>
      <c r="G1896">
        <f>IF(INDEX(L_Status,ROW()-4)="","",TRIM(UPPER(INDEX(L_Status,ROW()-4))))</f>
        <v/>
      </c>
      <c r="J1896">
        <f>IF(INDEX(L_ID,ROW()-4)="","",IF(SUMPRODUCT((P_ID=INDEX(L_ID,ROW()-4))*(P_StatusN="INACTIVE"))&gt;0,1,0))</f>
        <v/>
      </c>
    </row>
    <row r="1897">
      <c r="A1897">
        <f>IF(INDEX(L_ID,ROW()-4)="","",IF(COUNTIF(P_ID,INDEX(L_ID,ROW()-4))&gt;0,1,0))</f>
        <v/>
      </c>
      <c r="B1897">
        <f>IF(INDEX(P_Type,ROW()-4)="","",TRIM(UPPER(INDEX(P_Type,ROW()-4))))</f>
        <v/>
      </c>
      <c r="D1897">
        <f>IF(INDEX(L_Type,ROW()-4)="","",TRIM(UPPER(INDEX(L_Type,ROW()-4))))</f>
        <v/>
      </c>
      <c r="E1897">
        <f>IF(INDEX(P_Status,ROW()-4)="","",TRIM(UPPER(INDEX(P_Status,ROW()-4))))</f>
        <v/>
      </c>
      <c r="G1897">
        <f>IF(INDEX(L_Status,ROW()-4)="","",TRIM(UPPER(INDEX(L_Status,ROW()-4))))</f>
        <v/>
      </c>
      <c r="J1897">
        <f>IF(INDEX(L_ID,ROW()-4)="","",IF(SUMPRODUCT((P_ID=INDEX(L_ID,ROW()-4))*(P_StatusN="INACTIVE"))&gt;0,1,0))</f>
        <v/>
      </c>
    </row>
    <row r="1898">
      <c r="A1898">
        <f>IF(INDEX(L_ID,ROW()-4)="","",IF(COUNTIF(P_ID,INDEX(L_ID,ROW()-4))&gt;0,1,0))</f>
        <v/>
      </c>
      <c r="B1898">
        <f>IF(INDEX(P_Type,ROW()-4)="","",TRIM(UPPER(INDEX(P_Type,ROW()-4))))</f>
        <v/>
      </c>
      <c r="D1898">
        <f>IF(INDEX(L_Type,ROW()-4)="","",TRIM(UPPER(INDEX(L_Type,ROW()-4))))</f>
        <v/>
      </c>
      <c r="E1898">
        <f>IF(INDEX(P_Status,ROW()-4)="","",TRIM(UPPER(INDEX(P_Status,ROW()-4))))</f>
        <v/>
      </c>
      <c r="G1898">
        <f>IF(INDEX(L_Status,ROW()-4)="","",TRIM(UPPER(INDEX(L_Status,ROW()-4))))</f>
        <v/>
      </c>
      <c r="J1898">
        <f>IF(INDEX(L_ID,ROW()-4)="","",IF(SUMPRODUCT((P_ID=INDEX(L_ID,ROW()-4))*(P_StatusN="INACTIVE"))&gt;0,1,0))</f>
        <v/>
      </c>
    </row>
    <row r="1899">
      <c r="A1899">
        <f>IF(INDEX(L_ID,ROW()-4)="","",IF(COUNTIF(P_ID,INDEX(L_ID,ROW()-4))&gt;0,1,0))</f>
        <v/>
      </c>
      <c r="B1899">
        <f>IF(INDEX(P_Type,ROW()-4)="","",TRIM(UPPER(INDEX(P_Type,ROW()-4))))</f>
        <v/>
      </c>
      <c r="D1899">
        <f>IF(INDEX(L_Type,ROW()-4)="","",TRIM(UPPER(INDEX(L_Type,ROW()-4))))</f>
        <v/>
      </c>
      <c r="E1899">
        <f>IF(INDEX(P_Status,ROW()-4)="","",TRIM(UPPER(INDEX(P_Status,ROW()-4))))</f>
        <v/>
      </c>
      <c r="G1899">
        <f>IF(INDEX(L_Status,ROW()-4)="","",TRIM(UPPER(INDEX(L_Status,ROW()-4))))</f>
        <v/>
      </c>
      <c r="J1899">
        <f>IF(INDEX(L_ID,ROW()-4)="","",IF(SUMPRODUCT((P_ID=INDEX(L_ID,ROW()-4))*(P_StatusN="INACTIVE"))&gt;0,1,0))</f>
        <v/>
      </c>
    </row>
    <row r="1900">
      <c r="A1900">
        <f>IF(INDEX(L_ID,ROW()-4)="","",IF(COUNTIF(P_ID,INDEX(L_ID,ROW()-4))&gt;0,1,0))</f>
        <v/>
      </c>
      <c r="B1900">
        <f>IF(INDEX(P_Type,ROW()-4)="","",TRIM(UPPER(INDEX(P_Type,ROW()-4))))</f>
        <v/>
      </c>
      <c r="D1900">
        <f>IF(INDEX(L_Type,ROW()-4)="","",TRIM(UPPER(INDEX(L_Type,ROW()-4))))</f>
        <v/>
      </c>
      <c r="E1900">
        <f>IF(INDEX(P_Status,ROW()-4)="","",TRIM(UPPER(INDEX(P_Status,ROW()-4))))</f>
        <v/>
      </c>
      <c r="G1900">
        <f>IF(INDEX(L_Status,ROW()-4)="","",TRIM(UPPER(INDEX(L_Status,ROW()-4))))</f>
        <v/>
      </c>
      <c r="J1900">
        <f>IF(INDEX(L_ID,ROW()-4)="","",IF(SUMPRODUCT((P_ID=INDEX(L_ID,ROW()-4))*(P_StatusN="INACTIVE"))&gt;0,1,0))</f>
        <v/>
      </c>
    </row>
    <row r="1901">
      <c r="A1901">
        <f>IF(INDEX(L_ID,ROW()-4)="","",IF(COUNTIF(P_ID,INDEX(L_ID,ROW()-4))&gt;0,1,0))</f>
        <v/>
      </c>
      <c r="B1901">
        <f>IF(INDEX(P_Type,ROW()-4)="","",TRIM(UPPER(INDEX(P_Type,ROW()-4))))</f>
        <v/>
      </c>
      <c r="D1901">
        <f>IF(INDEX(L_Type,ROW()-4)="","",TRIM(UPPER(INDEX(L_Type,ROW()-4))))</f>
        <v/>
      </c>
      <c r="E1901">
        <f>IF(INDEX(P_Status,ROW()-4)="","",TRIM(UPPER(INDEX(P_Status,ROW()-4))))</f>
        <v/>
      </c>
      <c r="G1901">
        <f>IF(INDEX(L_Status,ROW()-4)="","",TRIM(UPPER(INDEX(L_Status,ROW()-4))))</f>
        <v/>
      </c>
      <c r="J1901">
        <f>IF(INDEX(L_ID,ROW()-4)="","",IF(SUMPRODUCT((P_ID=INDEX(L_ID,ROW()-4))*(P_StatusN="INACTIVE"))&gt;0,1,0))</f>
        <v/>
      </c>
    </row>
    <row r="1902">
      <c r="A1902">
        <f>IF(INDEX(L_ID,ROW()-4)="","",IF(COUNTIF(P_ID,INDEX(L_ID,ROW()-4))&gt;0,1,0))</f>
        <v/>
      </c>
      <c r="B1902">
        <f>IF(INDEX(P_Type,ROW()-4)="","",TRIM(UPPER(INDEX(P_Type,ROW()-4))))</f>
        <v/>
      </c>
      <c r="D1902">
        <f>IF(INDEX(L_Type,ROW()-4)="","",TRIM(UPPER(INDEX(L_Type,ROW()-4))))</f>
        <v/>
      </c>
      <c r="E1902">
        <f>IF(INDEX(P_Status,ROW()-4)="","",TRIM(UPPER(INDEX(P_Status,ROW()-4))))</f>
        <v/>
      </c>
      <c r="G1902">
        <f>IF(INDEX(L_Status,ROW()-4)="","",TRIM(UPPER(INDEX(L_Status,ROW()-4))))</f>
        <v/>
      </c>
      <c r="J1902">
        <f>IF(INDEX(L_ID,ROW()-4)="","",IF(SUMPRODUCT((P_ID=INDEX(L_ID,ROW()-4))*(P_StatusN="INACTIVE"))&gt;0,1,0))</f>
        <v/>
      </c>
    </row>
    <row r="1903">
      <c r="A1903">
        <f>IF(INDEX(L_ID,ROW()-4)="","",IF(COUNTIF(P_ID,INDEX(L_ID,ROW()-4))&gt;0,1,0))</f>
        <v/>
      </c>
      <c r="B1903">
        <f>IF(INDEX(P_Type,ROW()-4)="","",TRIM(UPPER(INDEX(P_Type,ROW()-4))))</f>
        <v/>
      </c>
      <c r="D1903">
        <f>IF(INDEX(L_Type,ROW()-4)="","",TRIM(UPPER(INDEX(L_Type,ROW()-4))))</f>
        <v/>
      </c>
      <c r="E1903">
        <f>IF(INDEX(P_Status,ROW()-4)="","",TRIM(UPPER(INDEX(P_Status,ROW()-4))))</f>
        <v/>
      </c>
      <c r="G1903">
        <f>IF(INDEX(L_Status,ROW()-4)="","",TRIM(UPPER(INDEX(L_Status,ROW()-4))))</f>
        <v/>
      </c>
      <c r="J1903">
        <f>IF(INDEX(L_ID,ROW()-4)="","",IF(SUMPRODUCT((P_ID=INDEX(L_ID,ROW()-4))*(P_StatusN="INACTIVE"))&gt;0,1,0))</f>
        <v/>
      </c>
    </row>
    <row r="1904">
      <c r="A1904">
        <f>IF(INDEX(L_ID,ROW()-4)="","",IF(COUNTIF(P_ID,INDEX(L_ID,ROW()-4))&gt;0,1,0))</f>
        <v/>
      </c>
      <c r="B1904">
        <f>IF(INDEX(P_Type,ROW()-4)="","",TRIM(UPPER(INDEX(P_Type,ROW()-4))))</f>
        <v/>
      </c>
      <c r="D1904">
        <f>IF(INDEX(L_Type,ROW()-4)="","",TRIM(UPPER(INDEX(L_Type,ROW()-4))))</f>
        <v/>
      </c>
      <c r="E1904">
        <f>IF(INDEX(P_Status,ROW()-4)="","",TRIM(UPPER(INDEX(P_Status,ROW()-4))))</f>
        <v/>
      </c>
      <c r="G1904">
        <f>IF(INDEX(L_Status,ROW()-4)="","",TRIM(UPPER(INDEX(L_Status,ROW()-4))))</f>
        <v/>
      </c>
      <c r="J1904">
        <f>IF(INDEX(L_ID,ROW()-4)="","",IF(SUMPRODUCT((P_ID=INDEX(L_ID,ROW()-4))*(P_StatusN="INACTIVE"))&gt;0,1,0))</f>
        <v/>
      </c>
    </row>
    <row r="1905">
      <c r="A1905">
        <f>IF(INDEX(L_ID,ROW()-4)="","",IF(COUNTIF(P_ID,INDEX(L_ID,ROW()-4))&gt;0,1,0))</f>
        <v/>
      </c>
      <c r="B1905">
        <f>IF(INDEX(P_Type,ROW()-4)="","",TRIM(UPPER(INDEX(P_Type,ROW()-4))))</f>
        <v/>
      </c>
      <c r="D1905">
        <f>IF(INDEX(L_Type,ROW()-4)="","",TRIM(UPPER(INDEX(L_Type,ROW()-4))))</f>
        <v/>
      </c>
      <c r="E1905">
        <f>IF(INDEX(P_Status,ROW()-4)="","",TRIM(UPPER(INDEX(P_Status,ROW()-4))))</f>
        <v/>
      </c>
      <c r="G1905">
        <f>IF(INDEX(L_Status,ROW()-4)="","",TRIM(UPPER(INDEX(L_Status,ROW()-4))))</f>
        <v/>
      </c>
      <c r="J1905">
        <f>IF(INDEX(L_ID,ROW()-4)="","",IF(SUMPRODUCT((P_ID=INDEX(L_ID,ROW()-4))*(P_StatusN="INACTIVE"))&gt;0,1,0))</f>
        <v/>
      </c>
    </row>
    <row r="1906">
      <c r="A1906">
        <f>IF(INDEX(L_ID,ROW()-4)="","",IF(COUNTIF(P_ID,INDEX(L_ID,ROW()-4))&gt;0,1,0))</f>
        <v/>
      </c>
      <c r="B1906">
        <f>IF(INDEX(P_Type,ROW()-4)="","",TRIM(UPPER(INDEX(P_Type,ROW()-4))))</f>
        <v/>
      </c>
      <c r="D1906">
        <f>IF(INDEX(L_Type,ROW()-4)="","",TRIM(UPPER(INDEX(L_Type,ROW()-4))))</f>
        <v/>
      </c>
      <c r="E1906">
        <f>IF(INDEX(P_Status,ROW()-4)="","",TRIM(UPPER(INDEX(P_Status,ROW()-4))))</f>
        <v/>
      </c>
      <c r="G1906">
        <f>IF(INDEX(L_Status,ROW()-4)="","",TRIM(UPPER(INDEX(L_Status,ROW()-4))))</f>
        <v/>
      </c>
      <c r="J1906">
        <f>IF(INDEX(L_ID,ROW()-4)="","",IF(SUMPRODUCT((P_ID=INDEX(L_ID,ROW()-4))*(P_StatusN="INACTIVE"))&gt;0,1,0))</f>
        <v/>
      </c>
    </row>
    <row r="1907">
      <c r="A1907">
        <f>IF(INDEX(L_ID,ROW()-4)="","",IF(COUNTIF(P_ID,INDEX(L_ID,ROW()-4))&gt;0,1,0))</f>
        <v/>
      </c>
      <c r="B1907">
        <f>IF(INDEX(P_Type,ROW()-4)="","",TRIM(UPPER(INDEX(P_Type,ROW()-4))))</f>
        <v/>
      </c>
      <c r="D1907">
        <f>IF(INDEX(L_Type,ROW()-4)="","",TRIM(UPPER(INDEX(L_Type,ROW()-4))))</f>
        <v/>
      </c>
      <c r="E1907">
        <f>IF(INDEX(P_Status,ROW()-4)="","",TRIM(UPPER(INDEX(P_Status,ROW()-4))))</f>
        <v/>
      </c>
      <c r="G1907">
        <f>IF(INDEX(L_Status,ROW()-4)="","",TRIM(UPPER(INDEX(L_Status,ROW()-4))))</f>
        <v/>
      </c>
      <c r="J1907">
        <f>IF(INDEX(L_ID,ROW()-4)="","",IF(SUMPRODUCT((P_ID=INDEX(L_ID,ROW()-4))*(P_StatusN="INACTIVE"))&gt;0,1,0))</f>
        <v/>
      </c>
    </row>
    <row r="1908">
      <c r="A1908">
        <f>IF(INDEX(L_ID,ROW()-4)="","",IF(COUNTIF(P_ID,INDEX(L_ID,ROW()-4))&gt;0,1,0))</f>
        <v/>
      </c>
      <c r="B1908">
        <f>IF(INDEX(P_Type,ROW()-4)="","",TRIM(UPPER(INDEX(P_Type,ROW()-4))))</f>
        <v/>
      </c>
      <c r="D1908">
        <f>IF(INDEX(L_Type,ROW()-4)="","",TRIM(UPPER(INDEX(L_Type,ROW()-4))))</f>
        <v/>
      </c>
      <c r="E1908">
        <f>IF(INDEX(P_Status,ROW()-4)="","",TRIM(UPPER(INDEX(P_Status,ROW()-4))))</f>
        <v/>
      </c>
      <c r="G1908">
        <f>IF(INDEX(L_Status,ROW()-4)="","",TRIM(UPPER(INDEX(L_Status,ROW()-4))))</f>
        <v/>
      </c>
      <c r="J1908">
        <f>IF(INDEX(L_ID,ROW()-4)="","",IF(SUMPRODUCT((P_ID=INDEX(L_ID,ROW()-4))*(P_StatusN="INACTIVE"))&gt;0,1,0))</f>
        <v/>
      </c>
    </row>
    <row r="1909">
      <c r="A1909">
        <f>IF(INDEX(L_ID,ROW()-4)="","",IF(COUNTIF(P_ID,INDEX(L_ID,ROW()-4))&gt;0,1,0))</f>
        <v/>
      </c>
      <c r="B1909">
        <f>IF(INDEX(P_Type,ROW()-4)="","",TRIM(UPPER(INDEX(P_Type,ROW()-4))))</f>
        <v/>
      </c>
      <c r="D1909">
        <f>IF(INDEX(L_Type,ROW()-4)="","",TRIM(UPPER(INDEX(L_Type,ROW()-4))))</f>
        <v/>
      </c>
      <c r="E1909">
        <f>IF(INDEX(P_Status,ROW()-4)="","",TRIM(UPPER(INDEX(P_Status,ROW()-4))))</f>
        <v/>
      </c>
      <c r="G1909">
        <f>IF(INDEX(L_Status,ROW()-4)="","",TRIM(UPPER(INDEX(L_Status,ROW()-4))))</f>
        <v/>
      </c>
      <c r="J1909">
        <f>IF(INDEX(L_ID,ROW()-4)="","",IF(SUMPRODUCT((P_ID=INDEX(L_ID,ROW()-4))*(P_StatusN="INACTIVE"))&gt;0,1,0))</f>
        <v/>
      </c>
    </row>
    <row r="1910">
      <c r="A1910">
        <f>IF(INDEX(L_ID,ROW()-4)="","",IF(COUNTIF(P_ID,INDEX(L_ID,ROW()-4))&gt;0,1,0))</f>
        <v/>
      </c>
      <c r="B1910">
        <f>IF(INDEX(P_Type,ROW()-4)="","",TRIM(UPPER(INDEX(P_Type,ROW()-4))))</f>
        <v/>
      </c>
      <c r="D1910">
        <f>IF(INDEX(L_Type,ROW()-4)="","",TRIM(UPPER(INDEX(L_Type,ROW()-4))))</f>
        <v/>
      </c>
      <c r="E1910">
        <f>IF(INDEX(P_Status,ROW()-4)="","",TRIM(UPPER(INDEX(P_Status,ROW()-4))))</f>
        <v/>
      </c>
      <c r="G1910">
        <f>IF(INDEX(L_Status,ROW()-4)="","",TRIM(UPPER(INDEX(L_Status,ROW()-4))))</f>
        <v/>
      </c>
      <c r="J1910">
        <f>IF(INDEX(L_ID,ROW()-4)="","",IF(SUMPRODUCT((P_ID=INDEX(L_ID,ROW()-4))*(P_StatusN="INACTIVE"))&gt;0,1,0))</f>
        <v/>
      </c>
    </row>
    <row r="1911">
      <c r="A1911">
        <f>IF(INDEX(L_ID,ROW()-4)="","",IF(COUNTIF(P_ID,INDEX(L_ID,ROW()-4))&gt;0,1,0))</f>
        <v/>
      </c>
      <c r="B1911">
        <f>IF(INDEX(P_Type,ROW()-4)="","",TRIM(UPPER(INDEX(P_Type,ROW()-4))))</f>
        <v/>
      </c>
      <c r="D1911">
        <f>IF(INDEX(L_Type,ROW()-4)="","",TRIM(UPPER(INDEX(L_Type,ROW()-4))))</f>
        <v/>
      </c>
      <c r="E1911">
        <f>IF(INDEX(P_Status,ROW()-4)="","",TRIM(UPPER(INDEX(P_Status,ROW()-4))))</f>
        <v/>
      </c>
      <c r="G1911">
        <f>IF(INDEX(L_Status,ROW()-4)="","",TRIM(UPPER(INDEX(L_Status,ROW()-4))))</f>
        <v/>
      </c>
      <c r="J1911">
        <f>IF(INDEX(L_ID,ROW()-4)="","",IF(SUMPRODUCT((P_ID=INDEX(L_ID,ROW()-4))*(P_StatusN="INACTIVE"))&gt;0,1,0))</f>
        <v/>
      </c>
    </row>
    <row r="1912">
      <c r="A1912">
        <f>IF(INDEX(L_ID,ROW()-4)="","",IF(COUNTIF(P_ID,INDEX(L_ID,ROW()-4))&gt;0,1,0))</f>
        <v/>
      </c>
      <c r="B1912">
        <f>IF(INDEX(P_Type,ROW()-4)="","",TRIM(UPPER(INDEX(P_Type,ROW()-4))))</f>
        <v/>
      </c>
      <c r="D1912">
        <f>IF(INDEX(L_Type,ROW()-4)="","",TRIM(UPPER(INDEX(L_Type,ROW()-4))))</f>
        <v/>
      </c>
      <c r="E1912">
        <f>IF(INDEX(P_Status,ROW()-4)="","",TRIM(UPPER(INDEX(P_Status,ROW()-4))))</f>
        <v/>
      </c>
      <c r="G1912">
        <f>IF(INDEX(L_Status,ROW()-4)="","",TRIM(UPPER(INDEX(L_Status,ROW()-4))))</f>
        <v/>
      </c>
      <c r="J1912">
        <f>IF(INDEX(L_ID,ROW()-4)="","",IF(SUMPRODUCT((P_ID=INDEX(L_ID,ROW()-4))*(P_StatusN="INACTIVE"))&gt;0,1,0))</f>
        <v/>
      </c>
    </row>
    <row r="1913">
      <c r="A1913">
        <f>IF(INDEX(L_ID,ROW()-4)="","",IF(COUNTIF(P_ID,INDEX(L_ID,ROW()-4))&gt;0,1,0))</f>
        <v/>
      </c>
      <c r="B1913">
        <f>IF(INDEX(P_Type,ROW()-4)="","",TRIM(UPPER(INDEX(P_Type,ROW()-4))))</f>
        <v/>
      </c>
      <c r="D1913">
        <f>IF(INDEX(L_Type,ROW()-4)="","",TRIM(UPPER(INDEX(L_Type,ROW()-4))))</f>
        <v/>
      </c>
      <c r="E1913">
        <f>IF(INDEX(P_Status,ROW()-4)="","",TRIM(UPPER(INDEX(P_Status,ROW()-4))))</f>
        <v/>
      </c>
      <c r="G1913">
        <f>IF(INDEX(L_Status,ROW()-4)="","",TRIM(UPPER(INDEX(L_Status,ROW()-4))))</f>
        <v/>
      </c>
      <c r="J1913">
        <f>IF(INDEX(L_ID,ROW()-4)="","",IF(SUMPRODUCT((P_ID=INDEX(L_ID,ROW()-4))*(P_StatusN="INACTIVE"))&gt;0,1,0))</f>
        <v/>
      </c>
    </row>
    <row r="1914">
      <c r="A1914">
        <f>IF(INDEX(L_ID,ROW()-4)="","",IF(COUNTIF(P_ID,INDEX(L_ID,ROW()-4))&gt;0,1,0))</f>
        <v/>
      </c>
      <c r="B1914">
        <f>IF(INDEX(P_Type,ROW()-4)="","",TRIM(UPPER(INDEX(P_Type,ROW()-4))))</f>
        <v/>
      </c>
      <c r="D1914">
        <f>IF(INDEX(L_Type,ROW()-4)="","",TRIM(UPPER(INDEX(L_Type,ROW()-4))))</f>
        <v/>
      </c>
      <c r="E1914">
        <f>IF(INDEX(P_Status,ROW()-4)="","",TRIM(UPPER(INDEX(P_Status,ROW()-4))))</f>
        <v/>
      </c>
      <c r="G1914">
        <f>IF(INDEX(L_Status,ROW()-4)="","",TRIM(UPPER(INDEX(L_Status,ROW()-4))))</f>
        <v/>
      </c>
      <c r="J1914">
        <f>IF(INDEX(L_ID,ROW()-4)="","",IF(SUMPRODUCT((P_ID=INDEX(L_ID,ROW()-4))*(P_StatusN="INACTIVE"))&gt;0,1,0))</f>
        <v/>
      </c>
    </row>
    <row r="1915">
      <c r="A1915">
        <f>IF(INDEX(L_ID,ROW()-4)="","",IF(COUNTIF(P_ID,INDEX(L_ID,ROW()-4))&gt;0,1,0))</f>
        <v/>
      </c>
      <c r="B1915">
        <f>IF(INDEX(P_Type,ROW()-4)="","",TRIM(UPPER(INDEX(P_Type,ROW()-4))))</f>
        <v/>
      </c>
      <c r="D1915">
        <f>IF(INDEX(L_Type,ROW()-4)="","",TRIM(UPPER(INDEX(L_Type,ROW()-4))))</f>
        <v/>
      </c>
      <c r="E1915">
        <f>IF(INDEX(P_Status,ROW()-4)="","",TRIM(UPPER(INDEX(P_Status,ROW()-4))))</f>
        <v/>
      </c>
      <c r="G1915">
        <f>IF(INDEX(L_Status,ROW()-4)="","",TRIM(UPPER(INDEX(L_Status,ROW()-4))))</f>
        <v/>
      </c>
      <c r="J1915">
        <f>IF(INDEX(L_ID,ROW()-4)="","",IF(SUMPRODUCT((P_ID=INDEX(L_ID,ROW()-4))*(P_StatusN="INACTIVE"))&gt;0,1,0))</f>
        <v/>
      </c>
    </row>
    <row r="1916">
      <c r="A1916">
        <f>IF(INDEX(L_ID,ROW()-4)="","",IF(COUNTIF(P_ID,INDEX(L_ID,ROW()-4))&gt;0,1,0))</f>
        <v/>
      </c>
      <c r="B1916">
        <f>IF(INDEX(P_Type,ROW()-4)="","",TRIM(UPPER(INDEX(P_Type,ROW()-4))))</f>
        <v/>
      </c>
      <c r="D1916">
        <f>IF(INDEX(L_Type,ROW()-4)="","",TRIM(UPPER(INDEX(L_Type,ROW()-4))))</f>
        <v/>
      </c>
      <c r="E1916">
        <f>IF(INDEX(P_Status,ROW()-4)="","",TRIM(UPPER(INDEX(P_Status,ROW()-4))))</f>
        <v/>
      </c>
      <c r="G1916">
        <f>IF(INDEX(L_Status,ROW()-4)="","",TRIM(UPPER(INDEX(L_Status,ROW()-4))))</f>
        <v/>
      </c>
      <c r="J1916">
        <f>IF(INDEX(L_ID,ROW()-4)="","",IF(SUMPRODUCT((P_ID=INDEX(L_ID,ROW()-4))*(P_StatusN="INACTIVE"))&gt;0,1,0))</f>
        <v/>
      </c>
    </row>
    <row r="1917">
      <c r="A1917">
        <f>IF(INDEX(L_ID,ROW()-4)="","",IF(COUNTIF(P_ID,INDEX(L_ID,ROW()-4))&gt;0,1,0))</f>
        <v/>
      </c>
      <c r="B1917">
        <f>IF(INDEX(P_Type,ROW()-4)="","",TRIM(UPPER(INDEX(P_Type,ROW()-4))))</f>
        <v/>
      </c>
      <c r="D1917">
        <f>IF(INDEX(L_Type,ROW()-4)="","",TRIM(UPPER(INDEX(L_Type,ROW()-4))))</f>
        <v/>
      </c>
      <c r="E1917">
        <f>IF(INDEX(P_Status,ROW()-4)="","",TRIM(UPPER(INDEX(P_Status,ROW()-4))))</f>
        <v/>
      </c>
      <c r="G1917">
        <f>IF(INDEX(L_Status,ROW()-4)="","",TRIM(UPPER(INDEX(L_Status,ROW()-4))))</f>
        <v/>
      </c>
      <c r="J1917">
        <f>IF(INDEX(L_ID,ROW()-4)="","",IF(SUMPRODUCT((P_ID=INDEX(L_ID,ROW()-4))*(P_StatusN="INACTIVE"))&gt;0,1,0))</f>
        <v/>
      </c>
    </row>
    <row r="1918">
      <c r="A1918">
        <f>IF(INDEX(L_ID,ROW()-4)="","",IF(COUNTIF(P_ID,INDEX(L_ID,ROW()-4))&gt;0,1,0))</f>
        <v/>
      </c>
      <c r="B1918">
        <f>IF(INDEX(P_Type,ROW()-4)="","",TRIM(UPPER(INDEX(P_Type,ROW()-4))))</f>
        <v/>
      </c>
      <c r="D1918">
        <f>IF(INDEX(L_Type,ROW()-4)="","",TRIM(UPPER(INDEX(L_Type,ROW()-4))))</f>
        <v/>
      </c>
      <c r="E1918">
        <f>IF(INDEX(P_Status,ROW()-4)="","",TRIM(UPPER(INDEX(P_Status,ROW()-4))))</f>
        <v/>
      </c>
      <c r="G1918">
        <f>IF(INDEX(L_Status,ROW()-4)="","",TRIM(UPPER(INDEX(L_Status,ROW()-4))))</f>
        <v/>
      </c>
      <c r="J1918">
        <f>IF(INDEX(L_ID,ROW()-4)="","",IF(SUMPRODUCT((P_ID=INDEX(L_ID,ROW()-4))*(P_StatusN="INACTIVE"))&gt;0,1,0))</f>
        <v/>
      </c>
    </row>
    <row r="1919">
      <c r="A1919">
        <f>IF(INDEX(L_ID,ROW()-4)="","",IF(COUNTIF(P_ID,INDEX(L_ID,ROW()-4))&gt;0,1,0))</f>
        <v/>
      </c>
      <c r="B1919">
        <f>IF(INDEX(P_Type,ROW()-4)="","",TRIM(UPPER(INDEX(P_Type,ROW()-4))))</f>
        <v/>
      </c>
      <c r="D1919">
        <f>IF(INDEX(L_Type,ROW()-4)="","",TRIM(UPPER(INDEX(L_Type,ROW()-4))))</f>
        <v/>
      </c>
      <c r="E1919">
        <f>IF(INDEX(P_Status,ROW()-4)="","",TRIM(UPPER(INDEX(P_Status,ROW()-4))))</f>
        <v/>
      </c>
      <c r="G1919">
        <f>IF(INDEX(L_Status,ROW()-4)="","",TRIM(UPPER(INDEX(L_Status,ROW()-4))))</f>
        <v/>
      </c>
      <c r="J1919">
        <f>IF(INDEX(L_ID,ROW()-4)="","",IF(SUMPRODUCT((P_ID=INDEX(L_ID,ROW()-4))*(P_StatusN="INACTIVE"))&gt;0,1,0))</f>
        <v/>
      </c>
    </row>
    <row r="1920">
      <c r="A1920">
        <f>IF(INDEX(L_ID,ROW()-4)="","",IF(COUNTIF(P_ID,INDEX(L_ID,ROW()-4))&gt;0,1,0))</f>
        <v/>
      </c>
      <c r="B1920">
        <f>IF(INDEX(P_Type,ROW()-4)="","",TRIM(UPPER(INDEX(P_Type,ROW()-4))))</f>
        <v/>
      </c>
      <c r="D1920">
        <f>IF(INDEX(L_Type,ROW()-4)="","",TRIM(UPPER(INDEX(L_Type,ROW()-4))))</f>
        <v/>
      </c>
      <c r="E1920">
        <f>IF(INDEX(P_Status,ROW()-4)="","",TRIM(UPPER(INDEX(P_Status,ROW()-4))))</f>
        <v/>
      </c>
      <c r="G1920">
        <f>IF(INDEX(L_Status,ROW()-4)="","",TRIM(UPPER(INDEX(L_Status,ROW()-4))))</f>
        <v/>
      </c>
      <c r="J1920">
        <f>IF(INDEX(L_ID,ROW()-4)="","",IF(SUMPRODUCT((P_ID=INDEX(L_ID,ROW()-4))*(P_StatusN="INACTIVE"))&gt;0,1,0))</f>
        <v/>
      </c>
    </row>
    <row r="1921">
      <c r="A1921">
        <f>IF(INDEX(L_ID,ROW()-4)="","",IF(COUNTIF(P_ID,INDEX(L_ID,ROW()-4))&gt;0,1,0))</f>
        <v/>
      </c>
      <c r="B1921">
        <f>IF(INDEX(P_Type,ROW()-4)="","",TRIM(UPPER(INDEX(P_Type,ROW()-4))))</f>
        <v/>
      </c>
      <c r="D1921">
        <f>IF(INDEX(L_Type,ROW()-4)="","",TRIM(UPPER(INDEX(L_Type,ROW()-4))))</f>
        <v/>
      </c>
      <c r="E1921">
        <f>IF(INDEX(P_Status,ROW()-4)="","",TRIM(UPPER(INDEX(P_Status,ROW()-4))))</f>
        <v/>
      </c>
      <c r="G1921">
        <f>IF(INDEX(L_Status,ROW()-4)="","",TRIM(UPPER(INDEX(L_Status,ROW()-4))))</f>
        <v/>
      </c>
      <c r="J1921">
        <f>IF(INDEX(L_ID,ROW()-4)="","",IF(SUMPRODUCT((P_ID=INDEX(L_ID,ROW()-4))*(P_StatusN="INACTIVE"))&gt;0,1,0))</f>
        <v/>
      </c>
    </row>
    <row r="1922">
      <c r="A1922">
        <f>IF(INDEX(L_ID,ROW()-4)="","",IF(COUNTIF(P_ID,INDEX(L_ID,ROW()-4))&gt;0,1,0))</f>
        <v/>
      </c>
      <c r="B1922">
        <f>IF(INDEX(P_Type,ROW()-4)="","",TRIM(UPPER(INDEX(P_Type,ROW()-4))))</f>
        <v/>
      </c>
      <c r="D1922">
        <f>IF(INDEX(L_Type,ROW()-4)="","",TRIM(UPPER(INDEX(L_Type,ROW()-4))))</f>
        <v/>
      </c>
      <c r="E1922">
        <f>IF(INDEX(P_Status,ROW()-4)="","",TRIM(UPPER(INDEX(P_Status,ROW()-4))))</f>
        <v/>
      </c>
      <c r="G1922">
        <f>IF(INDEX(L_Status,ROW()-4)="","",TRIM(UPPER(INDEX(L_Status,ROW()-4))))</f>
        <v/>
      </c>
      <c r="J1922">
        <f>IF(INDEX(L_ID,ROW()-4)="","",IF(SUMPRODUCT((P_ID=INDEX(L_ID,ROW()-4))*(P_StatusN="INACTIVE"))&gt;0,1,0))</f>
        <v/>
      </c>
    </row>
    <row r="1923">
      <c r="A1923">
        <f>IF(INDEX(L_ID,ROW()-4)="","",IF(COUNTIF(P_ID,INDEX(L_ID,ROW()-4))&gt;0,1,0))</f>
        <v/>
      </c>
      <c r="B1923">
        <f>IF(INDEX(P_Type,ROW()-4)="","",TRIM(UPPER(INDEX(P_Type,ROW()-4))))</f>
        <v/>
      </c>
      <c r="D1923">
        <f>IF(INDEX(L_Type,ROW()-4)="","",TRIM(UPPER(INDEX(L_Type,ROW()-4))))</f>
        <v/>
      </c>
      <c r="E1923">
        <f>IF(INDEX(P_Status,ROW()-4)="","",TRIM(UPPER(INDEX(P_Status,ROW()-4))))</f>
        <v/>
      </c>
      <c r="G1923">
        <f>IF(INDEX(L_Status,ROW()-4)="","",TRIM(UPPER(INDEX(L_Status,ROW()-4))))</f>
        <v/>
      </c>
      <c r="J1923">
        <f>IF(INDEX(L_ID,ROW()-4)="","",IF(SUMPRODUCT((P_ID=INDEX(L_ID,ROW()-4))*(P_StatusN="INACTIVE"))&gt;0,1,0))</f>
        <v/>
      </c>
    </row>
    <row r="1924">
      <c r="A1924">
        <f>IF(INDEX(L_ID,ROW()-4)="","",IF(COUNTIF(P_ID,INDEX(L_ID,ROW()-4))&gt;0,1,0))</f>
        <v/>
      </c>
      <c r="B1924">
        <f>IF(INDEX(P_Type,ROW()-4)="","",TRIM(UPPER(INDEX(P_Type,ROW()-4))))</f>
        <v/>
      </c>
      <c r="D1924">
        <f>IF(INDEX(L_Type,ROW()-4)="","",TRIM(UPPER(INDEX(L_Type,ROW()-4))))</f>
        <v/>
      </c>
      <c r="E1924">
        <f>IF(INDEX(P_Status,ROW()-4)="","",TRIM(UPPER(INDEX(P_Status,ROW()-4))))</f>
        <v/>
      </c>
      <c r="G1924">
        <f>IF(INDEX(L_Status,ROW()-4)="","",TRIM(UPPER(INDEX(L_Status,ROW()-4))))</f>
        <v/>
      </c>
      <c r="J1924">
        <f>IF(INDEX(L_ID,ROW()-4)="","",IF(SUMPRODUCT((P_ID=INDEX(L_ID,ROW()-4))*(P_StatusN="INACTIVE"))&gt;0,1,0))</f>
        <v/>
      </c>
    </row>
    <row r="1925">
      <c r="A1925">
        <f>IF(INDEX(L_ID,ROW()-4)="","",IF(COUNTIF(P_ID,INDEX(L_ID,ROW()-4))&gt;0,1,0))</f>
        <v/>
      </c>
      <c r="B1925">
        <f>IF(INDEX(P_Type,ROW()-4)="","",TRIM(UPPER(INDEX(P_Type,ROW()-4))))</f>
        <v/>
      </c>
      <c r="D1925">
        <f>IF(INDEX(L_Type,ROW()-4)="","",TRIM(UPPER(INDEX(L_Type,ROW()-4))))</f>
        <v/>
      </c>
      <c r="E1925">
        <f>IF(INDEX(P_Status,ROW()-4)="","",TRIM(UPPER(INDEX(P_Status,ROW()-4))))</f>
        <v/>
      </c>
      <c r="G1925">
        <f>IF(INDEX(L_Status,ROW()-4)="","",TRIM(UPPER(INDEX(L_Status,ROW()-4))))</f>
        <v/>
      </c>
      <c r="J1925">
        <f>IF(INDEX(L_ID,ROW()-4)="","",IF(SUMPRODUCT((P_ID=INDEX(L_ID,ROW()-4))*(P_StatusN="INACTIVE"))&gt;0,1,0))</f>
        <v/>
      </c>
    </row>
    <row r="1926">
      <c r="A1926">
        <f>IF(INDEX(L_ID,ROW()-4)="","",IF(COUNTIF(P_ID,INDEX(L_ID,ROW()-4))&gt;0,1,0))</f>
        <v/>
      </c>
      <c r="B1926">
        <f>IF(INDEX(P_Type,ROW()-4)="","",TRIM(UPPER(INDEX(P_Type,ROW()-4))))</f>
        <v/>
      </c>
      <c r="D1926">
        <f>IF(INDEX(L_Type,ROW()-4)="","",TRIM(UPPER(INDEX(L_Type,ROW()-4))))</f>
        <v/>
      </c>
      <c r="E1926">
        <f>IF(INDEX(P_Status,ROW()-4)="","",TRIM(UPPER(INDEX(P_Status,ROW()-4))))</f>
        <v/>
      </c>
      <c r="G1926">
        <f>IF(INDEX(L_Status,ROW()-4)="","",TRIM(UPPER(INDEX(L_Status,ROW()-4))))</f>
        <v/>
      </c>
      <c r="J1926">
        <f>IF(INDEX(L_ID,ROW()-4)="","",IF(SUMPRODUCT((P_ID=INDEX(L_ID,ROW()-4))*(P_StatusN="INACTIVE"))&gt;0,1,0))</f>
        <v/>
      </c>
    </row>
    <row r="1927">
      <c r="A1927">
        <f>IF(INDEX(L_ID,ROW()-4)="","",IF(COUNTIF(P_ID,INDEX(L_ID,ROW()-4))&gt;0,1,0))</f>
        <v/>
      </c>
      <c r="B1927">
        <f>IF(INDEX(P_Type,ROW()-4)="","",TRIM(UPPER(INDEX(P_Type,ROW()-4))))</f>
        <v/>
      </c>
      <c r="D1927">
        <f>IF(INDEX(L_Type,ROW()-4)="","",TRIM(UPPER(INDEX(L_Type,ROW()-4))))</f>
        <v/>
      </c>
      <c r="E1927">
        <f>IF(INDEX(P_Status,ROW()-4)="","",TRIM(UPPER(INDEX(P_Status,ROW()-4))))</f>
        <v/>
      </c>
      <c r="G1927">
        <f>IF(INDEX(L_Status,ROW()-4)="","",TRIM(UPPER(INDEX(L_Status,ROW()-4))))</f>
        <v/>
      </c>
      <c r="J1927">
        <f>IF(INDEX(L_ID,ROW()-4)="","",IF(SUMPRODUCT((P_ID=INDEX(L_ID,ROW()-4))*(P_StatusN="INACTIVE"))&gt;0,1,0))</f>
        <v/>
      </c>
    </row>
    <row r="1928">
      <c r="A1928">
        <f>IF(INDEX(L_ID,ROW()-4)="","",IF(COUNTIF(P_ID,INDEX(L_ID,ROW()-4))&gt;0,1,0))</f>
        <v/>
      </c>
      <c r="B1928">
        <f>IF(INDEX(P_Type,ROW()-4)="","",TRIM(UPPER(INDEX(P_Type,ROW()-4))))</f>
        <v/>
      </c>
      <c r="D1928">
        <f>IF(INDEX(L_Type,ROW()-4)="","",TRIM(UPPER(INDEX(L_Type,ROW()-4))))</f>
        <v/>
      </c>
      <c r="E1928">
        <f>IF(INDEX(P_Status,ROW()-4)="","",TRIM(UPPER(INDEX(P_Status,ROW()-4))))</f>
        <v/>
      </c>
      <c r="G1928">
        <f>IF(INDEX(L_Status,ROW()-4)="","",TRIM(UPPER(INDEX(L_Status,ROW()-4))))</f>
        <v/>
      </c>
      <c r="J1928">
        <f>IF(INDEX(L_ID,ROW()-4)="","",IF(SUMPRODUCT((P_ID=INDEX(L_ID,ROW()-4))*(P_StatusN="INACTIVE"))&gt;0,1,0))</f>
        <v/>
      </c>
    </row>
    <row r="1929">
      <c r="A1929">
        <f>IF(INDEX(L_ID,ROW()-4)="","",IF(COUNTIF(P_ID,INDEX(L_ID,ROW()-4))&gt;0,1,0))</f>
        <v/>
      </c>
      <c r="B1929">
        <f>IF(INDEX(P_Type,ROW()-4)="","",TRIM(UPPER(INDEX(P_Type,ROW()-4))))</f>
        <v/>
      </c>
      <c r="D1929">
        <f>IF(INDEX(L_Type,ROW()-4)="","",TRIM(UPPER(INDEX(L_Type,ROW()-4))))</f>
        <v/>
      </c>
      <c r="E1929">
        <f>IF(INDEX(P_Status,ROW()-4)="","",TRIM(UPPER(INDEX(P_Status,ROW()-4))))</f>
        <v/>
      </c>
      <c r="G1929">
        <f>IF(INDEX(L_Status,ROW()-4)="","",TRIM(UPPER(INDEX(L_Status,ROW()-4))))</f>
        <v/>
      </c>
      <c r="J1929">
        <f>IF(INDEX(L_ID,ROW()-4)="","",IF(SUMPRODUCT((P_ID=INDEX(L_ID,ROW()-4))*(P_StatusN="INACTIVE"))&gt;0,1,0))</f>
        <v/>
      </c>
    </row>
    <row r="1930">
      <c r="A1930">
        <f>IF(INDEX(L_ID,ROW()-4)="","",IF(COUNTIF(P_ID,INDEX(L_ID,ROW()-4))&gt;0,1,0))</f>
        <v/>
      </c>
      <c r="B1930">
        <f>IF(INDEX(P_Type,ROW()-4)="","",TRIM(UPPER(INDEX(P_Type,ROW()-4))))</f>
        <v/>
      </c>
      <c r="D1930">
        <f>IF(INDEX(L_Type,ROW()-4)="","",TRIM(UPPER(INDEX(L_Type,ROW()-4))))</f>
        <v/>
      </c>
      <c r="E1930">
        <f>IF(INDEX(P_Status,ROW()-4)="","",TRIM(UPPER(INDEX(P_Status,ROW()-4))))</f>
        <v/>
      </c>
      <c r="G1930">
        <f>IF(INDEX(L_Status,ROW()-4)="","",TRIM(UPPER(INDEX(L_Status,ROW()-4))))</f>
        <v/>
      </c>
      <c r="J1930">
        <f>IF(INDEX(L_ID,ROW()-4)="","",IF(SUMPRODUCT((P_ID=INDEX(L_ID,ROW()-4))*(P_StatusN="INACTIVE"))&gt;0,1,0))</f>
        <v/>
      </c>
    </row>
    <row r="1931">
      <c r="A1931">
        <f>IF(INDEX(L_ID,ROW()-4)="","",IF(COUNTIF(P_ID,INDEX(L_ID,ROW()-4))&gt;0,1,0))</f>
        <v/>
      </c>
      <c r="B1931">
        <f>IF(INDEX(P_Type,ROW()-4)="","",TRIM(UPPER(INDEX(P_Type,ROW()-4))))</f>
        <v/>
      </c>
      <c r="D1931">
        <f>IF(INDEX(L_Type,ROW()-4)="","",TRIM(UPPER(INDEX(L_Type,ROW()-4))))</f>
        <v/>
      </c>
      <c r="E1931">
        <f>IF(INDEX(P_Status,ROW()-4)="","",TRIM(UPPER(INDEX(P_Status,ROW()-4))))</f>
        <v/>
      </c>
      <c r="G1931">
        <f>IF(INDEX(L_Status,ROW()-4)="","",TRIM(UPPER(INDEX(L_Status,ROW()-4))))</f>
        <v/>
      </c>
      <c r="J1931">
        <f>IF(INDEX(L_ID,ROW()-4)="","",IF(SUMPRODUCT((P_ID=INDEX(L_ID,ROW()-4))*(P_StatusN="INACTIVE"))&gt;0,1,0))</f>
        <v/>
      </c>
    </row>
    <row r="1932">
      <c r="A1932">
        <f>IF(INDEX(L_ID,ROW()-4)="","",IF(COUNTIF(P_ID,INDEX(L_ID,ROW()-4))&gt;0,1,0))</f>
        <v/>
      </c>
      <c r="B1932">
        <f>IF(INDEX(P_Type,ROW()-4)="","",TRIM(UPPER(INDEX(P_Type,ROW()-4))))</f>
        <v/>
      </c>
      <c r="D1932">
        <f>IF(INDEX(L_Type,ROW()-4)="","",TRIM(UPPER(INDEX(L_Type,ROW()-4))))</f>
        <v/>
      </c>
      <c r="E1932">
        <f>IF(INDEX(P_Status,ROW()-4)="","",TRIM(UPPER(INDEX(P_Status,ROW()-4))))</f>
        <v/>
      </c>
      <c r="G1932">
        <f>IF(INDEX(L_Status,ROW()-4)="","",TRIM(UPPER(INDEX(L_Status,ROW()-4))))</f>
        <v/>
      </c>
      <c r="J1932">
        <f>IF(INDEX(L_ID,ROW()-4)="","",IF(SUMPRODUCT((P_ID=INDEX(L_ID,ROW()-4))*(P_StatusN="INACTIVE"))&gt;0,1,0))</f>
        <v/>
      </c>
    </row>
    <row r="1933">
      <c r="A1933">
        <f>IF(INDEX(L_ID,ROW()-4)="","",IF(COUNTIF(P_ID,INDEX(L_ID,ROW()-4))&gt;0,1,0))</f>
        <v/>
      </c>
      <c r="B1933">
        <f>IF(INDEX(P_Type,ROW()-4)="","",TRIM(UPPER(INDEX(P_Type,ROW()-4))))</f>
        <v/>
      </c>
      <c r="D1933">
        <f>IF(INDEX(L_Type,ROW()-4)="","",TRIM(UPPER(INDEX(L_Type,ROW()-4))))</f>
        <v/>
      </c>
      <c r="E1933">
        <f>IF(INDEX(P_Status,ROW()-4)="","",TRIM(UPPER(INDEX(P_Status,ROW()-4))))</f>
        <v/>
      </c>
      <c r="G1933">
        <f>IF(INDEX(L_Status,ROW()-4)="","",TRIM(UPPER(INDEX(L_Status,ROW()-4))))</f>
        <v/>
      </c>
      <c r="J1933">
        <f>IF(INDEX(L_ID,ROW()-4)="","",IF(SUMPRODUCT((P_ID=INDEX(L_ID,ROW()-4))*(P_StatusN="INACTIVE"))&gt;0,1,0))</f>
        <v/>
      </c>
    </row>
    <row r="1934">
      <c r="A1934">
        <f>IF(INDEX(L_ID,ROW()-4)="","",IF(COUNTIF(P_ID,INDEX(L_ID,ROW()-4))&gt;0,1,0))</f>
        <v/>
      </c>
      <c r="B1934">
        <f>IF(INDEX(P_Type,ROW()-4)="","",TRIM(UPPER(INDEX(P_Type,ROW()-4))))</f>
        <v/>
      </c>
      <c r="D1934">
        <f>IF(INDEX(L_Type,ROW()-4)="","",TRIM(UPPER(INDEX(L_Type,ROW()-4))))</f>
        <v/>
      </c>
      <c r="E1934">
        <f>IF(INDEX(P_Status,ROW()-4)="","",TRIM(UPPER(INDEX(P_Status,ROW()-4))))</f>
        <v/>
      </c>
      <c r="G1934">
        <f>IF(INDEX(L_Status,ROW()-4)="","",TRIM(UPPER(INDEX(L_Status,ROW()-4))))</f>
        <v/>
      </c>
      <c r="J1934">
        <f>IF(INDEX(L_ID,ROW()-4)="","",IF(SUMPRODUCT((P_ID=INDEX(L_ID,ROW()-4))*(P_StatusN="INACTIVE"))&gt;0,1,0))</f>
        <v/>
      </c>
    </row>
    <row r="1935">
      <c r="A1935">
        <f>IF(INDEX(L_ID,ROW()-4)="","",IF(COUNTIF(P_ID,INDEX(L_ID,ROW()-4))&gt;0,1,0))</f>
        <v/>
      </c>
      <c r="B1935">
        <f>IF(INDEX(P_Type,ROW()-4)="","",TRIM(UPPER(INDEX(P_Type,ROW()-4))))</f>
        <v/>
      </c>
      <c r="D1935">
        <f>IF(INDEX(L_Type,ROW()-4)="","",TRIM(UPPER(INDEX(L_Type,ROW()-4))))</f>
        <v/>
      </c>
      <c r="E1935">
        <f>IF(INDEX(P_Status,ROW()-4)="","",TRIM(UPPER(INDEX(P_Status,ROW()-4))))</f>
        <v/>
      </c>
      <c r="G1935">
        <f>IF(INDEX(L_Status,ROW()-4)="","",TRIM(UPPER(INDEX(L_Status,ROW()-4))))</f>
        <v/>
      </c>
      <c r="J1935">
        <f>IF(INDEX(L_ID,ROW()-4)="","",IF(SUMPRODUCT((P_ID=INDEX(L_ID,ROW()-4))*(P_StatusN="INACTIVE"))&gt;0,1,0))</f>
        <v/>
      </c>
    </row>
    <row r="1936">
      <c r="A1936">
        <f>IF(INDEX(L_ID,ROW()-4)="","",IF(COUNTIF(P_ID,INDEX(L_ID,ROW()-4))&gt;0,1,0))</f>
        <v/>
      </c>
      <c r="B1936">
        <f>IF(INDEX(P_Type,ROW()-4)="","",TRIM(UPPER(INDEX(P_Type,ROW()-4))))</f>
        <v/>
      </c>
      <c r="D1936">
        <f>IF(INDEX(L_Type,ROW()-4)="","",TRIM(UPPER(INDEX(L_Type,ROW()-4))))</f>
        <v/>
      </c>
      <c r="E1936">
        <f>IF(INDEX(P_Status,ROW()-4)="","",TRIM(UPPER(INDEX(P_Status,ROW()-4))))</f>
        <v/>
      </c>
      <c r="G1936">
        <f>IF(INDEX(L_Status,ROW()-4)="","",TRIM(UPPER(INDEX(L_Status,ROW()-4))))</f>
        <v/>
      </c>
      <c r="J1936">
        <f>IF(INDEX(L_ID,ROW()-4)="","",IF(SUMPRODUCT((P_ID=INDEX(L_ID,ROW()-4))*(P_StatusN="INACTIVE"))&gt;0,1,0))</f>
        <v/>
      </c>
    </row>
    <row r="1937">
      <c r="A1937">
        <f>IF(INDEX(L_ID,ROW()-4)="","",IF(COUNTIF(P_ID,INDEX(L_ID,ROW()-4))&gt;0,1,0))</f>
        <v/>
      </c>
      <c r="B1937">
        <f>IF(INDEX(P_Type,ROW()-4)="","",TRIM(UPPER(INDEX(P_Type,ROW()-4))))</f>
        <v/>
      </c>
      <c r="D1937">
        <f>IF(INDEX(L_Type,ROW()-4)="","",TRIM(UPPER(INDEX(L_Type,ROW()-4))))</f>
        <v/>
      </c>
      <c r="E1937">
        <f>IF(INDEX(P_Status,ROW()-4)="","",TRIM(UPPER(INDEX(P_Status,ROW()-4))))</f>
        <v/>
      </c>
      <c r="G1937">
        <f>IF(INDEX(L_Status,ROW()-4)="","",TRIM(UPPER(INDEX(L_Status,ROW()-4))))</f>
        <v/>
      </c>
      <c r="J1937">
        <f>IF(INDEX(L_ID,ROW()-4)="","",IF(SUMPRODUCT((P_ID=INDEX(L_ID,ROW()-4))*(P_StatusN="INACTIVE"))&gt;0,1,0))</f>
        <v/>
      </c>
    </row>
    <row r="1938">
      <c r="A1938">
        <f>IF(INDEX(L_ID,ROW()-4)="","",IF(COUNTIF(P_ID,INDEX(L_ID,ROW()-4))&gt;0,1,0))</f>
        <v/>
      </c>
      <c r="B1938">
        <f>IF(INDEX(P_Type,ROW()-4)="","",TRIM(UPPER(INDEX(P_Type,ROW()-4))))</f>
        <v/>
      </c>
      <c r="D1938">
        <f>IF(INDEX(L_Type,ROW()-4)="","",TRIM(UPPER(INDEX(L_Type,ROW()-4))))</f>
        <v/>
      </c>
      <c r="E1938">
        <f>IF(INDEX(P_Status,ROW()-4)="","",TRIM(UPPER(INDEX(P_Status,ROW()-4))))</f>
        <v/>
      </c>
      <c r="G1938">
        <f>IF(INDEX(L_Status,ROW()-4)="","",TRIM(UPPER(INDEX(L_Status,ROW()-4))))</f>
        <v/>
      </c>
      <c r="J1938">
        <f>IF(INDEX(L_ID,ROW()-4)="","",IF(SUMPRODUCT((P_ID=INDEX(L_ID,ROW()-4))*(P_StatusN="INACTIVE"))&gt;0,1,0))</f>
        <v/>
      </c>
    </row>
    <row r="1939">
      <c r="A1939">
        <f>IF(INDEX(L_ID,ROW()-4)="","",IF(COUNTIF(P_ID,INDEX(L_ID,ROW()-4))&gt;0,1,0))</f>
        <v/>
      </c>
      <c r="B1939">
        <f>IF(INDEX(P_Type,ROW()-4)="","",TRIM(UPPER(INDEX(P_Type,ROW()-4))))</f>
        <v/>
      </c>
      <c r="D1939">
        <f>IF(INDEX(L_Type,ROW()-4)="","",TRIM(UPPER(INDEX(L_Type,ROW()-4))))</f>
        <v/>
      </c>
      <c r="E1939">
        <f>IF(INDEX(P_Status,ROW()-4)="","",TRIM(UPPER(INDEX(P_Status,ROW()-4))))</f>
        <v/>
      </c>
      <c r="G1939">
        <f>IF(INDEX(L_Status,ROW()-4)="","",TRIM(UPPER(INDEX(L_Status,ROW()-4))))</f>
        <v/>
      </c>
      <c r="J1939">
        <f>IF(INDEX(L_ID,ROW()-4)="","",IF(SUMPRODUCT((P_ID=INDEX(L_ID,ROW()-4))*(P_StatusN="INACTIVE"))&gt;0,1,0))</f>
        <v/>
      </c>
    </row>
    <row r="1940">
      <c r="A1940">
        <f>IF(INDEX(L_ID,ROW()-4)="","",IF(COUNTIF(P_ID,INDEX(L_ID,ROW()-4))&gt;0,1,0))</f>
        <v/>
      </c>
      <c r="B1940">
        <f>IF(INDEX(P_Type,ROW()-4)="","",TRIM(UPPER(INDEX(P_Type,ROW()-4))))</f>
        <v/>
      </c>
      <c r="D1940">
        <f>IF(INDEX(L_Type,ROW()-4)="","",TRIM(UPPER(INDEX(L_Type,ROW()-4))))</f>
        <v/>
      </c>
      <c r="E1940">
        <f>IF(INDEX(P_Status,ROW()-4)="","",TRIM(UPPER(INDEX(P_Status,ROW()-4))))</f>
        <v/>
      </c>
      <c r="G1940">
        <f>IF(INDEX(L_Status,ROW()-4)="","",TRIM(UPPER(INDEX(L_Status,ROW()-4))))</f>
        <v/>
      </c>
      <c r="J1940">
        <f>IF(INDEX(L_ID,ROW()-4)="","",IF(SUMPRODUCT((P_ID=INDEX(L_ID,ROW()-4))*(P_StatusN="INACTIVE"))&gt;0,1,0))</f>
        <v/>
      </c>
    </row>
    <row r="1941">
      <c r="A1941">
        <f>IF(INDEX(L_ID,ROW()-4)="","",IF(COUNTIF(P_ID,INDEX(L_ID,ROW()-4))&gt;0,1,0))</f>
        <v/>
      </c>
      <c r="B1941">
        <f>IF(INDEX(P_Type,ROW()-4)="","",TRIM(UPPER(INDEX(P_Type,ROW()-4))))</f>
        <v/>
      </c>
      <c r="D1941">
        <f>IF(INDEX(L_Type,ROW()-4)="","",TRIM(UPPER(INDEX(L_Type,ROW()-4))))</f>
        <v/>
      </c>
      <c r="E1941">
        <f>IF(INDEX(P_Status,ROW()-4)="","",TRIM(UPPER(INDEX(P_Status,ROW()-4))))</f>
        <v/>
      </c>
      <c r="G1941">
        <f>IF(INDEX(L_Status,ROW()-4)="","",TRIM(UPPER(INDEX(L_Status,ROW()-4))))</f>
        <v/>
      </c>
      <c r="J1941">
        <f>IF(INDEX(L_ID,ROW()-4)="","",IF(SUMPRODUCT((P_ID=INDEX(L_ID,ROW()-4))*(P_StatusN="INACTIVE"))&gt;0,1,0))</f>
        <v/>
      </c>
    </row>
    <row r="1942">
      <c r="A1942">
        <f>IF(INDEX(L_ID,ROW()-4)="","",IF(COUNTIF(P_ID,INDEX(L_ID,ROW()-4))&gt;0,1,0))</f>
        <v/>
      </c>
      <c r="B1942">
        <f>IF(INDEX(P_Type,ROW()-4)="","",TRIM(UPPER(INDEX(P_Type,ROW()-4))))</f>
        <v/>
      </c>
      <c r="D1942">
        <f>IF(INDEX(L_Type,ROW()-4)="","",TRIM(UPPER(INDEX(L_Type,ROW()-4))))</f>
        <v/>
      </c>
      <c r="E1942">
        <f>IF(INDEX(P_Status,ROW()-4)="","",TRIM(UPPER(INDEX(P_Status,ROW()-4))))</f>
        <v/>
      </c>
      <c r="G1942">
        <f>IF(INDEX(L_Status,ROW()-4)="","",TRIM(UPPER(INDEX(L_Status,ROW()-4))))</f>
        <v/>
      </c>
      <c r="J1942">
        <f>IF(INDEX(L_ID,ROW()-4)="","",IF(SUMPRODUCT((P_ID=INDEX(L_ID,ROW()-4))*(P_StatusN="INACTIVE"))&gt;0,1,0))</f>
        <v/>
      </c>
    </row>
    <row r="1943">
      <c r="A1943">
        <f>IF(INDEX(L_ID,ROW()-4)="","",IF(COUNTIF(P_ID,INDEX(L_ID,ROW()-4))&gt;0,1,0))</f>
        <v/>
      </c>
      <c r="B1943">
        <f>IF(INDEX(P_Type,ROW()-4)="","",TRIM(UPPER(INDEX(P_Type,ROW()-4))))</f>
        <v/>
      </c>
      <c r="D1943">
        <f>IF(INDEX(L_Type,ROW()-4)="","",TRIM(UPPER(INDEX(L_Type,ROW()-4))))</f>
        <v/>
      </c>
      <c r="E1943">
        <f>IF(INDEX(P_Status,ROW()-4)="","",TRIM(UPPER(INDEX(P_Status,ROW()-4))))</f>
        <v/>
      </c>
      <c r="G1943">
        <f>IF(INDEX(L_Status,ROW()-4)="","",TRIM(UPPER(INDEX(L_Status,ROW()-4))))</f>
        <v/>
      </c>
      <c r="J1943">
        <f>IF(INDEX(L_ID,ROW()-4)="","",IF(SUMPRODUCT((P_ID=INDEX(L_ID,ROW()-4))*(P_StatusN="INACTIVE"))&gt;0,1,0))</f>
        <v/>
      </c>
    </row>
    <row r="1944">
      <c r="A1944">
        <f>IF(INDEX(L_ID,ROW()-4)="","",IF(COUNTIF(P_ID,INDEX(L_ID,ROW()-4))&gt;0,1,0))</f>
        <v/>
      </c>
      <c r="B1944">
        <f>IF(INDEX(P_Type,ROW()-4)="","",TRIM(UPPER(INDEX(P_Type,ROW()-4))))</f>
        <v/>
      </c>
      <c r="D1944">
        <f>IF(INDEX(L_Type,ROW()-4)="","",TRIM(UPPER(INDEX(L_Type,ROW()-4))))</f>
        <v/>
      </c>
      <c r="E1944">
        <f>IF(INDEX(P_Status,ROW()-4)="","",TRIM(UPPER(INDEX(P_Status,ROW()-4))))</f>
        <v/>
      </c>
      <c r="G1944">
        <f>IF(INDEX(L_Status,ROW()-4)="","",TRIM(UPPER(INDEX(L_Status,ROW()-4))))</f>
        <v/>
      </c>
      <c r="J1944">
        <f>IF(INDEX(L_ID,ROW()-4)="","",IF(SUMPRODUCT((P_ID=INDEX(L_ID,ROW()-4))*(P_StatusN="INACTIVE"))&gt;0,1,0))</f>
        <v/>
      </c>
    </row>
    <row r="1945">
      <c r="A1945">
        <f>IF(INDEX(L_ID,ROW()-4)="","",IF(COUNTIF(P_ID,INDEX(L_ID,ROW()-4))&gt;0,1,0))</f>
        <v/>
      </c>
      <c r="B1945">
        <f>IF(INDEX(P_Type,ROW()-4)="","",TRIM(UPPER(INDEX(P_Type,ROW()-4))))</f>
        <v/>
      </c>
      <c r="D1945">
        <f>IF(INDEX(L_Type,ROW()-4)="","",TRIM(UPPER(INDEX(L_Type,ROW()-4))))</f>
        <v/>
      </c>
      <c r="E1945">
        <f>IF(INDEX(P_Status,ROW()-4)="","",TRIM(UPPER(INDEX(P_Status,ROW()-4))))</f>
        <v/>
      </c>
      <c r="G1945">
        <f>IF(INDEX(L_Status,ROW()-4)="","",TRIM(UPPER(INDEX(L_Status,ROW()-4))))</f>
        <v/>
      </c>
      <c r="J1945">
        <f>IF(INDEX(L_ID,ROW()-4)="","",IF(SUMPRODUCT((P_ID=INDEX(L_ID,ROW()-4))*(P_StatusN="INACTIVE"))&gt;0,1,0))</f>
        <v/>
      </c>
    </row>
    <row r="1946">
      <c r="A1946">
        <f>IF(INDEX(L_ID,ROW()-4)="","",IF(COUNTIF(P_ID,INDEX(L_ID,ROW()-4))&gt;0,1,0))</f>
        <v/>
      </c>
      <c r="B1946">
        <f>IF(INDEX(P_Type,ROW()-4)="","",TRIM(UPPER(INDEX(P_Type,ROW()-4))))</f>
        <v/>
      </c>
      <c r="D1946">
        <f>IF(INDEX(L_Type,ROW()-4)="","",TRIM(UPPER(INDEX(L_Type,ROW()-4))))</f>
        <v/>
      </c>
      <c r="E1946">
        <f>IF(INDEX(P_Status,ROW()-4)="","",TRIM(UPPER(INDEX(P_Status,ROW()-4))))</f>
        <v/>
      </c>
      <c r="G1946">
        <f>IF(INDEX(L_Status,ROW()-4)="","",TRIM(UPPER(INDEX(L_Status,ROW()-4))))</f>
        <v/>
      </c>
      <c r="J1946">
        <f>IF(INDEX(L_ID,ROW()-4)="","",IF(SUMPRODUCT((P_ID=INDEX(L_ID,ROW()-4))*(P_StatusN="INACTIVE"))&gt;0,1,0))</f>
        <v/>
      </c>
    </row>
    <row r="1947">
      <c r="A1947">
        <f>IF(INDEX(L_ID,ROW()-4)="","",IF(COUNTIF(P_ID,INDEX(L_ID,ROW()-4))&gt;0,1,0))</f>
        <v/>
      </c>
      <c r="B1947">
        <f>IF(INDEX(P_Type,ROW()-4)="","",TRIM(UPPER(INDEX(P_Type,ROW()-4))))</f>
        <v/>
      </c>
      <c r="D1947">
        <f>IF(INDEX(L_Type,ROW()-4)="","",TRIM(UPPER(INDEX(L_Type,ROW()-4))))</f>
        <v/>
      </c>
      <c r="E1947">
        <f>IF(INDEX(P_Status,ROW()-4)="","",TRIM(UPPER(INDEX(P_Status,ROW()-4))))</f>
        <v/>
      </c>
      <c r="G1947">
        <f>IF(INDEX(L_Status,ROW()-4)="","",TRIM(UPPER(INDEX(L_Status,ROW()-4))))</f>
        <v/>
      </c>
      <c r="J1947">
        <f>IF(INDEX(L_ID,ROW()-4)="","",IF(SUMPRODUCT((P_ID=INDEX(L_ID,ROW()-4))*(P_StatusN="INACTIVE"))&gt;0,1,0))</f>
        <v/>
      </c>
    </row>
    <row r="1948">
      <c r="A1948">
        <f>IF(INDEX(L_ID,ROW()-4)="","",IF(COUNTIF(P_ID,INDEX(L_ID,ROW()-4))&gt;0,1,0))</f>
        <v/>
      </c>
      <c r="B1948">
        <f>IF(INDEX(P_Type,ROW()-4)="","",TRIM(UPPER(INDEX(P_Type,ROW()-4))))</f>
        <v/>
      </c>
      <c r="D1948">
        <f>IF(INDEX(L_Type,ROW()-4)="","",TRIM(UPPER(INDEX(L_Type,ROW()-4))))</f>
        <v/>
      </c>
      <c r="E1948">
        <f>IF(INDEX(P_Status,ROW()-4)="","",TRIM(UPPER(INDEX(P_Status,ROW()-4))))</f>
        <v/>
      </c>
      <c r="G1948">
        <f>IF(INDEX(L_Status,ROW()-4)="","",TRIM(UPPER(INDEX(L_Status,ROW()-4))))</f>
        <v/>
      </c>
      <c r="J1948">
        <f>IF(INDEX(L_ID,ROW()-4)="","",IF(SUMPRODUCT((P_ID=INDEX(L_ID,ROW()-4))*(P_StatusN="INACTIVE"))&gt;0,1,0))</f>
        <v/>
      </c>
    </row>
    <row r="1949">
      <c r="A1949">
        <f>IF(INDEX(L_ID,ROW()-4)="","",IF(COUNTIF(P_ID,INDEX(L_ID,ROW()-4))&gt;0,1,0))</f>
        <v/>
      </c>
      <c r="B1949">
        <f>IF(INDEX(P_Type,ROW()-4)="","",TRIM(UPPER(INDEX(P_Type,ROW()-4))))</f>
        <v/>
      </c>
      <c r="D1949">
        <f>IF(INDEX(L_Type,ROW()-4)="","",TRIM(UPPER(INDEX(L_Type,ROW()-4))))</f>
        <v/>
      </c>
      <c r="E1949">
        <f>IF(INDEX(P_Status,ROW()-4)="","",TRIM(UPPER(INDEX(P_Status,ROW()-4))))</f>
        <v/>
      </c>
      <c r="G1949">
        <f>IF(INDEX(L_Status,ROW()-4)="","",TRIM(UPPER(INDEX(L_Status,ROW()-4))))</f>
        <v/>
      </c>
      <c r="J1949">
        <f>IF(INDEX(L_ID,ROW()-4)="","",IF(SUMPRODUCT((P_ID=INDEX(L_ID,ROW()-4))*(P_StatusN="INACTIVE"))&gt;0,1,0))</f>
        <v/>
      </c>
    </row>
    <row r="1950">
      <c r="A1950">
        <f>IF(INDEX(L_ID,ROW()-4)="","",IF(COUNTIF(P_ID,INDEX(L_ID,ROW()-4))&gt;0,1,0))</f>
        <v/>
      </c>
      <c r="B1950">
        <f>IF(INDEX(P_Type,ROW()-4)="","",TRIM(UPPER(INDEX(P_Type,ROW()-4))))</f>
        <v/>
      </c>
      <c r="D1950">
        <f>IF(INDEX(L_Type,ROW()-4)="","",TRIM(UPPER(INDEX(L_Type,ROW()-4))))</f>
        <v/>
      </c>
      <c r="E1950">
        <f>IF(INDEX(P_Status,ROW()-4)="","",TRIM(UPPER(INDEX(P_Status,ROW()-4))))</f>
        <v/>
      </c>
      <c r="G1950">
        <f>IF(INDEX(L_Status,ROW()-4)="","",TRIM(UPPER(INDEX(L_Status,ROW()-4))))</f>
        <v/>
      </c>
      <c r="J1950">
        <f>IF(INDEX(L_ID,ROW()-4)="","",IF(SUMPRODUCT((P_ID=INDEX(L_ID,ROW()-4))*(P_StatusN="INACTIVE"))&gt;0,1,0))</f>
        <v/>
      </c>
    </row>
    <row r="1951">
      <c r="A1951">
        <f>IF(INDEX(L_ID,ROW()-4)="","",IF(COUNTIF(P_ID,INDEX(L_ID,ROW()-4))&gt;0,1,0))</f>
        <v/>
      </c>
      <c r="B1951">
        <f>IF(INDEX(P_Type,ROW()-4)="","",TRIM(UPPER(INDEX(P_Type,ROW()-4))))</f>
        <v/>
      </c>
      <c r="D1951">
        <f>IF(INDEX(L_Type,ROW()-4)="","",TRIM(UPPER(INDEX(L_Type,ROW()-4))))</f>
        <v/>
      </c>
      <c r="E1951">
        <f>IF(INDEX(P_Status,ROW()-4)="","",TRIM(UPPER(INDEX(P_Status,ROW()-4))))</f>
        <v/>
      </c>
      <c r="G1951">
        <f>IF(INDEX(L_Status,ROW()-4)="","",TRIM(UPPER(INDEX(L_Status,ROW()-4))))</f>
        <v/>
      </c>
      <c r="J1951">
        <f>IF(INDEX(L_ID,ROW()-4)="","",IF(SUMPRODUCT((P_ID=INDEX(L_ID,ROW()-4))*(P_StatusN="INACTIVE"))&gt;0,1,0))</f>
        <v/>
      </c>
    </row>
    <row r="1952">
      <c r="A1952">
        <f>IF(INDEX(L_ID,ROW()-4)="","",IF(COUNTIF(P_ID,INDEX(L_ID,ROW()-4))&gt;0,1,0))</f>
        <v/>
      </c>
      <c r="B1952">
        <f>IF(INDEX(P_Type,ROW()-4)="","",TRIM(UPPER(INDEX(P_Type,ROW()-4))))</f>
        <v/>
      </c>
      <c r="D1952">
        <f>IF(INDEX(L_Type,ROW()-4)="","",TRIM(UPPER(INDEX(L_Type,ROW()-4))))</f>
        <v/>
      </c>
      <c r="E1952">
        <f>IF(INDEX(P_Status,ROW()-4)="","",TRIM(UPPER(INDEX(P_Status,ROW()-4))))</f>
        <v/>
      </c>
      <c r="G1952">
        <f>IF(INDEX(L_Status,ROW()-4)="","",TRIM(UPPER(INDEX(L_Status,ROW()-4))))</f>
        <v/>
      </c>
      <c r="J1952">
        <f>IF(INDEX(L_ID,ROW()-4)="","",IF(SUMPRODUCT((P_ID=INDEX(L_ID,ROW()-4))*(P_StatusN="INACTIVE"))&gt;0,1,0))</f>
        <v/>
      </c>
    </row>
    <row r="1953">
      <c r="A1953">
        <f>IF(INDEX(L_ID,ROW()-4)="","",IF(COUNTIF(P_ID,INDEX(L_ID,ROW()-4))&gt;0,1,0))</f>
        <v/>
      </c>
      <c r="B1953">
        <f>IF(INDEX(P_Type,ROW()-4)="","",TRIM(UPPER(INDEX(P_Type,ROW()-4))))</f>
        <v/>
      </c>
      <c r="D1953">
        <f>IF(INDEX(L_Type,ROW()-4)="","",TRIM(UPPER(INDEX(L_Type,ROW()-4))))</f>
        <v/>
      </c>
      <c r="E1953">
        <f>IF(INDEX(P_Status,ROW()-4)="","",TRIM(UPPER(INDEX(P_Status,ROW()-4))))</f>
        <v/>
      </c>
      <c r="G1953">
        <f>IF(INDEX(L_Status,ROW()-4)="","",TRIM(UPPER(INDEX(L_Status,ROW()-4))))</f>
        <v/>
      </c>
      <c r="J1953">
        <f>IF(INDEX(L_ID,ROW()-4)="","",IF(SUMPRODUCT((P_ID=INDEX(L_ID,ROW()-4))*(P_StatusN="INACTIVE"))&gt;0,1,0))</f>
        <v/>
      </c>
    </row>
    <row r="1954">
      <c r="A1954">
        <f>IF(INDEX(L_ID,ROW()-4)="","",IF(COUNTIF(P_ID,INDEX(L_ID,ROW()-4))&gt;0,1,0))</f>
        <v/>
      </c>
      <c r="B1954">
        <f>IF(INDEX(P_Type,ROW()-4)="","",TRIM(UPPER(INDEX(P_Type,ROW()-4))))</f>
        <v/>
      </c>
      <c r="D1954">
        <f>IF(INDEX(L_Type,ROW()-4)="","",TRIM(UPPER(INDEX(L_Type,ROW()-4))))</f>
        <v/>
      </c>
      <c r="E1954">
        <f>IF(INDEX(P_Status,ROW()-4)="","",TRIM(UPPER(INDEX(P_Status,ROW()-4))))</f>
        <v/>
      </c>
      <c r="G1954">
        <f>IF(INDEX(L_Status,ROW()-4)="","",TRIM(UPPER(INDEX(L_Status,ROW()-4))))</f>
        <v/>
      </c>
      <c r="J1954">
        <f>IF(INDEX(L_ID,ROW()-4)="","",IF(SUMPRODUCT((P_ID=INDEX(L_ID,ROW()-4))*(P_StatusN="INACTIVE"))&gt;0,1,0))</f>
        <v/>
      </c>
    </row>
    <row r="1955">
      <c r="A1955">
        <f>IF(INDEX(L_ID,ROW()-4)="","",IF(COUNTIF(P_ID,INDEX(L_ID,ROW()-4))&gt;0,1,0))</f>
        <v/>
      </c>
      <c r="B1955">
        <f>IF(INDEX(P_Type,ROW()-4)="","",TRIM(UPPER(INDEX(P_Type,ROW()-4))))</f>
        <v/>
      </c>
      <c r="D1955">
        <f>IF(INDEX(L_Type,ROW()-4)="","",TRIM(UPPER(INDEX(L_Type,ROW()-4))))</f>
        <v/>
      </c>
      <c r="E1955">
        <f>IF(INDEX(P_Status,ROW()-4)="","",TRIM(UPPER(INDEX(P_Status,ROW()-4))))</f>
        <v/>
      </c>
      <c r="G1955">
        <f>IF(INDEX(L_Status,ROW()-4)="","",TRIM(UPPER(INDEX(L_Status,ROW()-4))))</f>
        <v/>
      </c>
      <c r="J1955">
        <f>IF(INDEX(L_ID,ROW()-4)="","",IF(SUMPRODUCT((P_ID=INDEX(L_ID,ROW()-4))*(P_StatusN="INACTIVE"))&gt;0,1,0))</f>
        <v/>
      </c>
    </row>
    <row r="1956">
      <c r="A1956">
        <f>IF(INDEX(L_ID,ROW()-4)="","",IF(COUNTIF(P_ID,INDEX(L_ID,ROW()-4))&gt;0,1,0))</f>
        <v/>
      </c>
      <c r="B1956">
        <f>IF(INDEX(P_Type,ROW()-4)="","",TRIM(UPPER(INDEX(P_Type,ROW()-4))))</f>
        <v/>
      </c>
      <c r="D1956">
        <f>IF(INDEX(L_Type,ROW()-4)="","",TRIM(UPPER(INDEX(L_Type,ROW()-4))))</f>
        <v/>
      </c>
      <c r="E1956">
        <f>IF(INDEX(P_Status,ROW()-4)="","",TRIM(UPPER(INDEX(P_Status,ROW()-4))))</f>
        <v/>
      </c>
      <c r="G1956">
        <f>IF(INDEX(L_Status,ROW()-4)="","",TRIM(UPPER(INDEX(L_Status,ROW()-4))))</f>
        <v/>
      </c>
      <c r="J1956">
        <f>IF(INDEX(L_ID,ROW()-4)="","",IF(SUMPRODUCT((P_ID=INDEX(L_ID,ROW()-4))*(P_StatusN="INACTIVE"))&gt;0,1,0))</f>
        <v/>
      </c>
    </row>
    <row r="1957">
      <c r="A1957">
        <f>IF(INDEX(L_ID,ROW()-4)="","",IF(COUNTIF(P_ID,INDEX(L_ID,ROW()-4))&gt;0,1,0))</f>
        <v/>
      </c>
      <c r="B1957">
        <f>IF(INDEX(P_Type,ROW()-4)="","",TRIM(UPPER(INDEX(P_Type,ROW()-4))))</f>
        <v/>
      </c>
      <c r="D1957">
        <f>IF(INDEX(L_Type,ROW()-4)="","",TRIM(UPPER(INDEX(L_Type,ROW()-4))))</f>
        <v/>
      </c>
      <c r="E1957">
        <f>IF(INDEX(P_Status,ROW()-4)="","",TRIM(UPPER(INDEX(P_Status,ROW()-4))))</f>
        <v/>
      </c>
      <c r="G1957">
        <f>IF(INDEX(L_Status,ROW()-4)="","",TRIM(UPPER(INDEX(L_Status,ROW()-4))))</f>
        <v/>
      </c>
      <c r="J1957">
        <f>IF(INDEX(L_ID,ROW()-4)="","",IF(SUMPRODUCT((P_ID=INDEX(L_ID,ROW()-4))*(P_StatusN="INACTIVE"))&gt;0,1,0))</f>
        <v/>
      </c>
    </row>
    <row r="1958">
      <c r="A1958">
        <f>IF(INDEX(L_ID,ROW()-4)="","",IF(COUNTIF(P_ID,INDEX(L_ID,ROW()-4))&gt;0,1,0))</f>
        <v/>
      </c>
      <c r="B1958">
        <f>IF(INDEX(P_Type,ROW()-4)="","",TRIM(UPPER(INDEX(P_Type,ROW()-4))))</f>
        <v/>
      </c>
      <c r="D1958">
        <f>IF(INDEX(L_Type,ROW()-4)="","",TRIM(UPPER(INDEX(L_Type,ROW()-4))))</f>
        <v/>
      </c>
      <c r="E1958">
        <f>IF(INDEX(P_Status,ROW()-4)="","",TRIM(UPPER(INDEX(P_Status,ROW()-4))))</f>
        <v/>
      </c>
      <c r="G1958">
        <f>IF(INDEX(L_Status,ROW()-4)="","",TRIM(UPPER(INDEX(L_Status,ROW()-4))))</f>
        <v/>
      </c>
      <c r="J1958">
        <f>IF(INDEX(L_ID,ROW()-4)="","",IF(SUMPRODUCT((P_ID=INDEX(L_ID,ROW()-4))*(P_StatusN="INACTIVE"))&gt;0,1,0))</f>
        <v/>
      </c>
    </row>
    <row r="1959">
      <c r="A1959">
        <f>IF(INDEX(L_ID,ROW()-4)="","",IF(COUNTIF(P_ID,INDEX(L_ID,ROW()-4))&gt;0,1,0))</f>
        <v/>
      </c>
      <c r="B1959">
        <f>IF(INDEX(P_Type,ROW()-4)="","",TRIM(UPPER(INDEX(P_Type,ROW()-4))))</f>
        <v/>
      </c>
      <c r="D1959">
        <f>IF(INDEX(L_Type,ROW()-4)="","",TRIM(UPPER(INDEX(L_Type,ROW()-4))))</f>
        <v/>
      </c>
      <c r="E1959">
        <f>IF(INDEX(P_Status,ROW()-4)="","",TRIM(UPPER(INDEX(P_Status,ROW()-4))))</f>
        <v/>
      </c>
      <c r="G1959">
        <f>IF(INDEX(L_Status,ROW()-4)="","",TRIM(UPPER(INDEX(L_Status,ROW()-4))))</f>
        <v/>
      </c>
      <c r="J1959">
        <f>IF(INDEX(L_ID,ROW()-4)="","",IF(SUMPRODUCT((P_ID=INDEX(L_ID,ROW()-4))*(P_StatusN="INACTIVE"))&gt;0,1,0))</f>
        <v/>
      </c>
    </row>
    <row r="1960">
      <c r="A1960">
        <f>IF(INDEX(L_ID,ROW()-4)="","",IF(COUNTIF(P_ID,INDEX(L_ID,ROW()-4))&gt;0,1,0))</f>
        <v/>
      </c>
      <c r="B1960">
        <f>IF(INDEX(P_Type,ROW()-4)="","",TRIM(UPPER(INDEX(P_Type,ROW()-4))))</f>
        <v/>
      </c>
      <c r="D1960">
        <f>IF(INDEX(L_Type,ROW()-4)="","",TRIM(UPPER(INDEX(L_Type,ROW()-4))))</f>
        <v/>
      </c>
      <c r="E1960">
        <f>IF(INDEX(P_Status,ROW()-4)="","",TRIM(UPPER(INDEX(P_Status,ROW()-4))))</f>
        <v/>
      </c>
      <c r="G1960">
        <f>IF(INDEX(L_Status,ROW()-4)="","",TRIM(UPPER(INDEX(L_Status,ROW()-4))))</f>
        <v/>
      </c>
      <c r="J1960">
        <f>IF(INDEX(L_ID,ROW()-4)="","",IF(SUMPRODUCT((P_ID=INDEX(L_ID,ROW()-4))*(P_StatusN="INACTIVE"))&gt;0,1,0))</f>
        <v/>
      </c>
    </row>
    <row r="1961">
      <c r="A1961">
        <f>IF(INDEX(L_ID,ROW()-4)="","",IF(COUNTIF(P_ID,INDEX(L_ID,ROW()-4))&gt;0,1,0))</f>
        <v/>
      </c>
      <c r="B1961">
        <f>IF(INDEX(P_Type,ROW()-4)="","",TRIM(UPPER(INDEX(P_Type,ROW()-4))))</f>
        <v/>
      </c>
      <c r="D1961">
        <f>IF(INDEX(L_Type,ROW()-4)="","",TRIM(UPPER(INDEX(L_Type,ROW()-4))))</f>
        <v/>
      </c>
      <c r="E1961">
        <f>IF(INDEX(P_Status,ROW()-4)="","",TRIM(UPPER(INDEX(P_Status,ROW()-4))))</f>
        <v/>
      </c>
      <c r="G1961">
        <f>IF(INDEX(L_Status,ROW()-4)="","",TRIM(UPPER(INDEX(L_Status,ROW()-4))))</f>
        <v/>
      </c>
      <c r="J1961">
        <f>IF(INDEX(L_ID,ROW()-4)="","",IF(SUMPRODUCT((P_ID=INDEX(L_ID,ROW()-4))*(P_StatusN="INACTIVE"))&gt;0,1,0))</f>
        <v/>
      </c>
    </row>
    <row r="1962">
      <c r="A1962">
        <f>IF(INDEX(L_ID,ROW()-4)="","",IF(COUNTIF(P_ID,INDEX(L_ID,ROW()-4))&gt;0,1,0))</f>
        <v/>
      </c>
      <c r="B1962">
        <f>IF(INDEX(P_Type,ROW()-4)="","",TRIM(UPPER(INDEX(P_Type,ROW()-4))))</f>
        <v/>
      </c>
      <c r="D1962">
        <f>IF(INDEX(L_Type,ROW()-4)="","",TRIM(UPPER(INDEX(L_Type,ROW()-4))))</f>
        <v/>
      </c>
      <c r="E1962">
        <f>IF(INDEX(P_Status,ROW()-4)="","",TRIM(UPPER(INDEX(P_Status,ROW()-4))))</f>
        <v/>
      </c>
      <c r="G1962">
        <f>IF(INDEX(L_Status,ROW()-4)="","",TRIM(UPPER(INDEX(L_Status,ROW()-4))))</f>
        <v/>
      </c>
      <c r="J1962">
        <f>IF(INDEX(L_ID,ROW()-4)="","",IF(SUMPRODUCT((P_ID=INDEX(L_ID,ROW()-4))*(P_StatusN="INACTIVE"))&gt;0,1,0))</f>
        <v/>
      </c>
    </row>
    <row r="1963">
      <c r="A1963">
        <f>IF(INDEX(L_ID,ROW()-4)="","",IF(COUNTIF(P_ID,INDEX(L_ID,ROW()-4))&gt;0,1,0))</f>
        <v/>
      </c>
      <c r="B1963">
        <f>IF(INDEX(P_Type,ROW()-4)="","",TRIM(UPPER(INDEX(P_Type,ROW()-4))))</f>
        <v/>
      </c>
      <c r="D1963">
        <f>IF(INDEX(L_Type,ROW()-4)="","",TRIM(UPPER(INDEX(L_Type,ROW()-4))))</f>
        <v/>
      </c>
      <c r="E1963">
        <f>IF(INDEX(P_Status,ROW()-4)="","",TRIM(UPPER(INDEX(P_Status,ROW()-4))))</f>
        <v/>
      </c>
      <c r="G1963">
        <f>IF(INDEX(L_Status,ROW()-4)="","",TRIM(UPPER(INDEX(L_Status,ROW()-4))))</f>
        <v/>
      </c>
      <c r="J1963">
        <f>IF(INDEX(L_ID,ROW()-4)="","",IF(SUMPRODUCT((P_ID=INDEX(L_ID,ROW()-4))*(P_StatusN="INACTIVE"))&gt;0,1,0))</f>
        <v/>
      </c>
    </row>
    <row r="1964">
      <c r="A1964">
        <f>IF(INDEX(L_ID,ROW()-4)="","",IF(COUNTIF(P_ID,INDEX(L_ID,ROW()-4))&gt;0,1,0))</f>
        <v/>
      </c>
      <c r="B1964">
        <f>IF(INDEX(P_Type,ROW()-4)="","",TRIM(UPPER(INDEX(P_Type,ROW()-4))))</f>
        <v/>
      </c>
      <c r="D1964">
        <f>IF(INDEX(L_Type,ROW()-4)="","",TRIM(UPPER(INDEX(L_Type,ROW()-4))))</f>
        <v/>
      </c>
      <c r="E1964">
        <f>IF(INDEX(P_Status,ROW()-4)="","",TRIM(UPPER(INDEX(P_Status,ROW()-4))))</f>
        <v/>
      </c>
      <c r="G1964">
        <f>IF(INDEX(L_Status,ROW()-4)="","",TRIM(UPPER(INDEX(L_Status,ROW()-4))))</f>
        <v/>
      </c>
      <c r="J1964">
        <f>IF(INDEX(L_ID,ROW()-4)="","",IF(SUMPRODUCT((P_ID=INDEX(L_ID,ROW()-4))*(P_StatusN="INACTIVE"))&gt;0,1,0))</f>
        <v/>
      </c>
    </row>
    <row r="1965">
      <c r="A1965">
        <f>IF(INDEX(L_ID,ROW()-4)="","",IF(COUNTIF(P_ID,INDEX(L_ID,ROW()-4))&gt;0,1,0))</f>
        <v/>
      </c>
      <c r="B1965">
        <f>IF(INDEX(P_Type,ROW()-4)="","",TRIM(UPPER(INDEX(P_Type,ROW()-4))))</f>
        <v/>
      </c>
      <c r="D1965">
        <f>IF(INDEX(L_Type,ROW()-4)="","",TRIM(UPPER(INDEX(L_Type,ROW()-4))))</f>
        <v/>
      </c>
      <c r="E1965">
        <f>IF(INDEX(P_Status,ROW()-4)="","",TRIM(UPPER(INDEX(P_Status,ROW()-4))))</f>
        <v/>
      </c>
      <c r="G1965">
        <f>IF(INDEX(L_Status,ROW()-4)="","",TRIM(UPPER(INDEX(L_Status,ROW()-4))))</f>
        <v/>
      </c>
      <c r="J1965">
        <f>IF(INDEX(L_ID,ROW()-4)="","",IF(SUMPRODUCT((P_ID=INDEX(L_ID,ROW()-4))*(P_StatusN="INACTIVE"))&gt;0,1,0))</f>
        <v/>
      </c>
    </row>
    <row r="1966">
      <c r="A1966">
        <f>IF(INDEX(L_ID,ROW()-4)="","",IF(COUNTIF(P_ID,INDEX(L_ID,ROW()-4))&gt;0,1,0))</f>
        <v/>
      </c>
      <c r="B1966">
        <f>IF(INDEX(P_Type,ROW()-4)="","",TRIM(UPPER(INDEX(P_Type,ROW()-4))))</f>
        <v/>
      </c>
      <c r="D1966">
        <f>IF(INDEX(L_Type,ROW()-4)="","",TRIM(UPPER(INDEX(L_Type,ROW()-4))))</f>
        <v/>
      </c>
      <c r="E1966">
        <f>IF(INDEX(P_Status,ROW()-4)="","",TRIM(UPPER(INDEX(P_Status,ROW()-4))))</f>
        <v/>
      </c>
      <c r="G1966">
        <f>IF(INDEX(L_Status,ROW()-4)="","",TRIM(UPPER(INDEX(L_Status,ROW()-4))))</f>
        <v/>
      </c>
      <c r="J1966">
        <f>IF(INDEX(L_ID,ROW()-4)="","",IF(SUMPRODUCT((P_ID=INDEX(L_ID,ROW()-4))*(P_StatusN="INACTIVE"))&gt;0,1,0))</f>
        <v/>
      </c>
    </row>
    <row r="1967">
      <c r="A1967">
        <f>IF(INDEX(L_ID,ROW()-4)="","",IF(COUNTIF(P_ID,INDEX(L_ID,ROW()-4))&gt;0,1,0))</f>
        <v/>
      </c>
      <c r="B1967">
        <f>IF(INDEX(P_Type,ROW()-4)="","",TRIM(UPPER(INDEX(P_Type,ROW()-4))))</f>
        <v/>
      </c>
      <c r="D1967">
        <f>IF(INDEX(L_Type,ROW()-4)="","",TRIM(UPPER(INDEX(L_Type,ROW()-4))))</f>
        <v/>
      </c>
      <c r="E1967">
        <f>IF(INDEX(P_Status,ROW()-4)="","",TRIM(UPPER(INDEX(P_Status,ROW()-4))))</f>
        <v/>
      </c>
      <c r="G1967">
        <f>IF(INDEX(L_Status,ROW()-4)="","",TRIM(UPPER(INDEX(L_Status,ROW()-4))))</f>
        <v/>
      </c>
      <c r="J1967">
        <f>IF(INDEX(L_ID,ROW()-4)="","",IF(SUMPRODUCT((P_ID=INDEX(L_ID,ROW()-4))*(P_StatusN="INACTIVE"))&gt;0,1,0))</f>
        <v/>
      </c>
    </row>
    <row r="1968">
      <c r="A1968">
        <f>IF(INDEX(L_ID,ROW()-4)="","",IF(COUNTIF(P_ID,INDEX(L_ID,ROW()-4))&gt;0,1,0))</f>
        <v/>
      </c>
      <c r="B1968">
        <f>IF(INDEX(P_Type,ROW()-4)="","",TRIM(UPPER(INDEX(P_Type,ROW()-4))))</f>
        <v/>
      </c>
      <c r="D1968">
        <f>IF(INDEX(L_Type,ROW()-4)="","",TRIM(UPPER(INDEX(L_Type,ROW()-4))))</f>
        <v/>
      </c>
      <c r="E1968">
        <f>IF(INDEX(P_Status,ROW()-4)="","",TRIM(UPPER(INDEX(P_Status,ROW()-4))))</f>
        <v/>
      </c>
      <c r="G1968">
        <f>IF(INDEX(L_Status,ROW()-4)="","",TRIM(UPPER(INDEX(L_Status,ROW()-4))))</f>
        <v/>
      </c>
      <c r="J1968">
        <f>IF(INDEX(L_ID,ROW()-4)="","",IF(SUMPRODUCT((P_ID=INDEX(L_ID,ROW()-4))*(P_StatusN="INACTIVE"))&gt;0,1,0))</f>
        <v/>
      </c>
    </row>
    <row r="1969">
      <c r="A1969">
        <f>IF(INDEX(L_ID,ROW()-4)="","",IF(COUNTIF(P_ID,INDEX(L_ID,ROW()-4))&gt;0,1,0))</f>
        <v/>
      </c>
      <c r="B1969">
        <f>IF(INDEX(P_Type,ROW()-4)="","",TRIM(UPPER(INDEX(P_Type,ROW()-4))))</f>
        <v/>
      </c>
      <c r="D1969">
        <f>IF(INDEX(L_Type,ROW()-4)="","",TRIM(UPPER(INDEX(L_Type,ROW()-4))))</f>
        <v/>
      </c>
      <c r="E1969">
        <f>IF(INDEX(P_Status,ROW()-4)="","",TRIM(UPPER(INDEX(P_Status,ROW()-4))))</f>
        <v/>
      </c>
      <c r="G1969">
        <f>IF(INDEX(L_Status,ROW()-4)="","",TRIM(UPPER(INDEX(L_Status,ROW()-4))))</f>
        <v/>
      </c>
      <c r="J1969">
        <f>IF(INDEX(L_ID,ROW()-4)="","",IF(SUMPRODUCT((P_ID=INDEX(L_ID,ROW()-4))*(P_StatusN="INACTIVE"))&gt;0,1,0))</f>
        <v/>
      </c>
    </row>
    <row r="1970">
      <c r="A1970">
        <f>IF(INDEX(L_ID,ROW()-4)="","",IF(COUNTIF(P_ID,INDEX(L_ID,ROW()-4))&gt;0,1,0))</f>
        <v/>
      </c>
      <c r="B1970">
        <f>IF(INDEX(P_Type,ROW()-4)="","",TRIM(UPPER(INDEX(P_Type,ROW()-4))))</f>
        <v/>
      </c>
      <c r="D1970">
        <f>IF(INDEX(L_Type,ROW()-4)="","",TRIM(UPPER(INDEX(L_Type,ROW()-4))))</f>
        <v/>
      </c>
      <c r="E1970">
        <f>IF(INDEX(P_Status,ROW()-4)="","",TRIM(UPPER(INDEX(P_Status,ROW()-4))))</f>
        <v/>
      </c>
      <c r="G1970">
        <f>IF(INDEX(L_Status,ROW()-4)="","",TRIM(UPPER(INDEX(L_Status,ROW()-4))))</f>
        <v/>
      </c>
      <c r="J1970">
        <f>IF(INDEX(L_ID,ROW()-4)="","",IF(SUMPRODUCT((P_ID=INDEX(L_ID,ROW()-4))*(P_StatusN="INACTIVE"))&gt;0,1,0))</f>
        <v/>
      </c>
    </row>
    <row r="1971">
      <c r="A1971">
        <f>IF(INDEX(L_ID,ROW()-4)="","",IF(COUNTIF(P_ID,INDEX(L_ID,ROW()-4))&gt;0,1,0))</f>
        <v/>
      </c>
      <c r="B1971">
        <f>IF(INDEX(P_Type,ROW()-4)="","",TRIM(UPPER(INDEX(P_Type,ROW()-4))))</f>
        <v/>
      </c>
      <c r="D1971">
        <f>IF(INDEX(L_Type,ROW()-4)="","",TRIM(UPPER(INDEX(L_Type,ROW()-4))))</f>
        <v/>
      </c>
      <c r="E1971">
        <f>IF(INDEX(P_Status,ROW()-4)="","",TRIM(UPPER(INDEX(P_Status,ROW()-4))))</f>
        <v/>
      </c>
      <c r="G1971">
        <f>IF(INDEX(L_Status,ROW()-4)="","",TRIM(UPPER(INDEX(L_Status,ROW()-4))))</f>
        <v/>
      </c>
      <c r="J1971">
        <f>IF(INDEX(L_ID,ROW()-4)="","",IF(SUMPRODUCT((P_ID=INDEX(L_ID,ROW()-4))*(P_StatusN="INACTIVE"))&gt;0,1,0))</f>
        <v/>
      </c>
    </row>
    <row r="1972">
      <c r="A1972">
        <f>IF(INDEX(L_ID,ROW()-4)="","",IF(COUNTIF(P_ID,INDEX(L_ID,ROW()-4))&gt;0,1,0))</f>
        <v/>
      </c>
      <c r="B1972">
        <f>IF(INDEX(P_Type,ROW()-4)="","",TRIM(UPPER(INDEX(P_Type,ROW()-4))))</f>
        <v/>
      </c>
      <c r="D1972">
        <f>IF(INDEX(L_Type,ROW()-4)="","",TRIM(UPPER(INDEX(L_Type,ROW()-4))))</f>
        <v/>
      </c>
      <c r="E1972">
        <f>IF(INDEX(P_Status,ROW()-4)="","",TRIM(UPPER(INDEX(P_Status,ROW()-4))))</f>
        <v/>
      </c>
      <c r="G1972">
        <f>IF(INDEX(L_Status,ROW()-4)="","",TRIM(UPPER(INDEX(L_Status,ROW()-4))))</f>
        <v/>
      </c>
      <c r="J1972">
        <f>IF(INDEX(L_ID,ROW()-4)="","",IF(SUMPRODUCT((P_ID=INDEX(L_ID,ROW()-4))*(P_StatusN="INACTIVE"))&gt;0,1,0))</f>
        <v/>
      </c>
    </row>
    <row r="1973">
      <c r="A1973">
        <f>IF(INDEX(L_ID,ROW()-4)="","",IF(COUNTIF(P_ID,INDEX(L_ID,ROW()-4))&gt;0,1,0))</f>
        <v/>
      </c>
      <c r="B1973">
        <f>IF(INDEX(P_Type,ROW()-4)="","",TRIM(UPPER(INDEX(P_Type,ROW()-4))))</f>
        <v/>
      </c>
      <c r="D1973">
        <f>IF(INDEX(L_Type,ROW()-4)="","",TRIM(UPPER(INDEX(L_Type,ROW()-4))))</f>
        <v/>
      </c>
      <c r="E1973">
        <f>IF(INDEX(P_Status,ROW()-4)="","",TRIM(UPPER(INDEX(P_Status,ROW()-4))))</f>
        <v/>
      </c>
      <c r="G1973">
        <f>IF(INDEX(L_Status,ROW()-4)="","",TRIM(UPPER(INDEX(L_Status,ROW()-4))))</f>
        <v/>
      </c>
      <c r="J1973">
        <f>IF(INDEX(L_ID,ROW()-4)="","",IF(SUMPRODUCT((P_ID=INDEX(L_ID,ROW()-4))*(P_StatusN="INACTIVE"))&gt;0,1,0))</f>
        <v/>
      </c>
    </row>
    <row r="1974">
      <c r="A1974">
        <f>IF(INDEX(L_ID,ROW()-4)="","",IF(COUNTIF(P_ID,INDEX(L_ID,ROW()-4))&gt;0,1,0))</f>
        <v/>
      </c>
      <c r="B1974">
        <f>IF(INDEX(P_Type,ROW()-4)="","",TRIM(UPPER(INDEX(P_Type,ROW()-4))))</f>
        <v/>
      </c>
      <c r="D1974">
        <f>IF(INDEX(L_Type,ROW()-4)="","",TRIM(UPPER(INDEX(L_Type,ROW()-4))))</f>
        <v/>
      </c>
      <c r="E1974">
        <f>IF(INDEX(P_Status,ROW()-4)="","",TRIM(UPPER(INDEX(P_Status,ROW()-4))))</f>
        <v/>
      </c>
      <c r="G1974">
        <f>IF(INDEX(L_Status,ROW()-4)="","",TRIM(UPPER(INDEX(L_Status,ROW()-4))))</f>
        <v/>
      </c>
      <c r="J1974">
        <f>IF(INDEX(L_ID,ROW()-4)="","",IF(SUMPRODUCT((P_ID=INDEX(L_ID,ROW()-4))*(P_StatusN="INACTIVE"))&gt;0,1,0))</f>
        <v/>
      </c>
    </row>
    <row r="1975">
      <c r="A1975">
        <f>IF(INDEX(L_ID,ROW()-4)="","",IF(COUNTIF(P_ID,INDEX(L_ID,ROW()-4))&gt;0,1,0))</f>
        <v/>
      </c>
      <c r="B1975">
        <f>IF(INDEX(P_Type,ROW()-4)="","",TRIM(UPPER(INDEX(P_Type,ROW()-4))))</f>
        <v/>
      </c>
      <c r="D1975">
        <f>IF(INDEX(L_Type,ROW()-4)="","",TRIM(UPPER(INDEX(L_Type,ROW()-4))))</f>
        <v/>
      </c>
      <c r="E1975">
        <f>IF(INDEX(P_Status,ROW()-4)="","",TRIM(UPPER(INDEX(P_Status,ROW()-4))))</f>
        <v/>
      </c>
      <c r="G1975">
        <f>IF(INDEX(L_Status,ROW()-4)="","",TRIM(UPPER(INDEX(L_Status,ROW()-4))))</f>
        <v/>
      </c>
      <c r="J1975">
        <f>IF(INDEX(L_ID,ROW()-4)="","",IF(SUMPRODUCT((P_ID=INDEX(L_ID,ROW()-4))*(P_StatusN="INACTIVE"))&gt;0,1,0))</f>
        <v/>
      </c>
    </row>
    <row r="1976">
      <c r="A1976">
        <f>IF(INDEX(L_ID,ROW()-4)="","",IF(COUNTIF(P_ID,INDEX(L_ID,ROW()-4))&gt;0,1,0))</f>
        <v/>
      </c>
      <c r="B1976">
        <f>IF(INDEX(P_Type,ROW()-4)="","",TRIM(UPPER(INDEX(P_Type,ROW()-4))))</f>
        <v/>
      </c>
      <c r="D1976">
        <f>IF(INDEX(L_Type,ROW()-4)="","",TRIM(UPPER(INDEX(L_Type,ROW()-4))))</f>
        <v/>
      </c>
      <c r="E1976">
        <f>IF(INDEX(P_Status,ROW()-4)="","",TRIM(UPPER(INDEX(P_Status,ROW()-4))))</f>
        <v/>
      </c>
      <c r="G1976">
        <f>IF(INDEX(L_Status,ROW()-4)="","",TRIM(UPPER(INDEX(L_Status,ROW()-4))))</f>
        <v/>
      </c>
      <c r="J1976">
        <f>IF(INDEX(L_ID,ROW()-4)="","",IF(SUMPRODUCT((P_ID=INDEX(L_ID,ROW()-4))*(P_StatusN="INACTIVE"))&gt;0,1,0))</f>
        <v/>
      </c>
    </row>
    <row r="1977">
      <c r="A1977">
        <f>IF(INDEX(L_ID,ROW()-4)="","",IF(COUNTIF(P_ID,INDEX(L_ID,ROW()-4))&gt;0,1,0))</f>
        <v/>
      </c>
      <c r="B1977">
        <f>IF(INDEX(P_Type,ROW()-4)="","",TRIM(UPPER(INDEX(P_Type,ROW()-4))))</f>
        <v/>
      </c>
      <c r="D1977">
        <f>IF(INDEX(L_Type,ROW()-4)="","",TRIM(UPPER(INDEX(L_Type,ROW()-4))))</f>
        <v/>
      </c>
      <c r="E1977">
        <f>IF(INDEX(P_Status,ROW()-4)="","",TRIM(UPPER(INDEX(P_Status,ROW()-4))))</f>
        <v/>
      </c>
      <c r="G1977">
        <f>IF(INDEX(L_Status,ROW()-4)="","",TRIM(UPPER(INDEX(L_Status,ROW()-4))))</f>
        <v/>
      </c>
      <c r="J1977">
        <f>IF(INDEX(L_ID,ROW()-4)="","",IF(SUMPRODUCT((P_ID=INDEX(L_ID,ROW()-4))*(P_StatusN="INACTIVE"))&gt;0,1,0))</f>
        <v/>
      </c>
    </row>
    <row r="1978">
      <c r="A1978">
        <f>IF(INDEX(L_ID,ROW()-4)="","",IF(COUNTIF(P_ID,INDEX(L_ID,ROW()-4))&gt;0,1,0))</f>
        <v/>
      </c>
      <c r="B1978">
        <f>IF(INDEX(P_Type,ROW()-4)="","",TRIM(UPPER(INDEX(P_Type,ROW()-4))))</f>
        <v/>
      </c>
      <c r="D1978">
        <f>IF(INDEX(L_Type,ROW()-4)="","",TRIM(UPPER(INDEX(L_Type,ROW()-4))))</f>
        <v/>
      </c>
      <c r="E1978">
        <f>IF(INDEX(P_Status,ROW()-4)="","",TRIM(UPPER(INDEX(P_Status,ROW()-4))))</f>
        <v/>
      </c>
      <c r="G1978">
        <f>IF(INDEX(L_Status,ROW()-4)="","",TRIM(UPPER(INDEX(L_Status,ROW()-4))))</f>
        <v/>
      </c>
      <c r="J1978">
        <f>IF(INDEX(L_ID,ROW()-4)="","",IF(SUMPRODUCT((P_ID=INDEX(L_ID,ROW()-4))*(P_StatusN="INACTIVE"))&gt;0,1,0))</f>
        <v/>
      </c>
    </row>
    <row r="1979">
      <c r="A1979">
        <f>IF(INDEX(L_ID,ROW()-4)="","",IF(COUNTIF(P_ID,INDEX(L_ID,ROW()-4))&gt;0,1,0))</f>
        <v/>
      </c>
      <c r="B1979">
        <f>IF(INDEX(P_Type,ROW()-4)="","",TRIM(UPPER(INDEX(P_Type,ROW()-4))))</f>
        <v/>
      </c>
      <c r="D1979">
        <f>IF(INDEX(L_Type,ROW()-4)="","",TRIM(UPPER(INDEX(L_Type,ROW()-4))))</f>
        <v/>
      </c>
      <c r="E1979">
        <f>IF(INDEX(P_Status,ROW()-4)="","",TRIM(UPPER(INDEX(P_Status,ROW()-4))))</f>
        <v/>
      </c>
      <c r="G1979">
        <f>IF(INDEX(L_Status,ROW()-4)="","",TRIM(UPPER(INDEX(L_Status,ROW()-4))))</f>
        <v/>
      </c>
      <c r="J1979">
        <f>IF(INDEX(L_ID,ROW()-4)="","",IF(SUMPRODUCT((P_ID=INDEX(L_ID,ROW()-4))*(P_StatusN="INACTIVE"))&gt;0,1,0))</f>
        <v/>
      </c>
    </row>
    <row r="1980">
      <c r="A1980">
        <f>IF(INDEX(L_ID,ROW()-4)="","",IF(COUNTIF(P_ID,INDEX(L_ID,ROW()-4))&gt;0,1,0))</f>
        <v/>
      </c>
      <c r="B1980">
        <f>IF(INDEX(P_Type,ROW()-4)="","",TRIM(UPPER(INDEX(P_Type,ROW()-4))))</f>
        <v/>
      </c>
      <c r="D1980">
        <f>IF(INDEX(L_Type,ROW()-4)="","",TRIM(UPPER(INDEX(L_Type,ROW()-4))))</f>
        <v/>
      </c>
      <c r="E1980">
        <f>IF(INDEX(P_Status,ROW()-4)="","",TRIM(UPPER(INDEX(P_Status,ROW()-4))))</f>
        <v/>
      </c>
      <c r="G1980">
        <f>IF(INDEX(L_Status,ROW()-4)="","",TRIM(UPPER(INDEX(L_Status,ROW()-4))))</f>
        <v/>
      </c>
      <c r="J1980">
        <f>IF(INDEX(L_ID,ROW()-4)="","",IF(SUMPRODUCT((P_ID=INDEX(L_ID,ROW()-4))*(P_StatusN="INACTIVE"))&gt;0,1,0))</f>
        <v/>
      </c>
    </row>
    <row r="1981">
      <c r="A1981">
        <f>IF(INDEX(L_ID,ROW()-4)="","",IF(COUNTIF(P_ID,INDEX(L_ID,ROW()-4))&gt;0,1,0))</f>
        <v/>
      </c>
      <c r="B1981">
        <f>IF(INDEX(P_Type,ROW()-4)="","",TRIM(UPPER(INDEX(P_Type,ROW()-4))))</f>
        <v/>
      </c>
      <c r="D1981">
        <f>IF(INDEX(L_Type,ROW()-4)="","",TRIM(UPPER(INDEX(L_Type,ROW()-4))))</f>
        <v/>
      </c>
      <c r="E1981">
        <f>IF(INDEX(P_Status,ROW()-4)="","",TRIM(UPPER(INDEX(P_Status,ROW()-4))))</f>
        <v/>
      </c>
      <c r="G1981">
        <f>IF(INDEX(L_Status,ROW()-4)="","",TRIM(UPPER(INDEX(L_Status,ROW()-4))))</f>
        <v/>
      </c>
      <c r="J1981">
        <f>IF(INDEX(L_ID,ROW()-4)="","",IF(SUMPRODUCT((P_ID=INDEX(L_ID,ROW()-4))*(P_StatusN="INACTIVE"))&gt;0,1,0))</f>
        <v/>
      </c>
    </row>
    <row r="1982">
      <c r="A1982">
        <f>IF(INDEX(L_ID,ROW()-4)="","",IF(COUNTIF(P_ID,INDEX(L_ID,ROW()-4))&gt;0,1,0))</f>
        <v/>
      </c>
      <c r="B1982">
        <f>IF(INDEX(P_Type,ROW()-4)="","",TRIM(UPPER(INDEX(P_Type,ROW()-4))))</f>
        <v/>
      </c>
      <c r="D1982">
        <f>IF(INDEX(L_Type,ROW()-4)="","",TRIM(UPPER(INDEX(L_Type,ROW()-4))))</f>
        <v/>
      </c>
      <c r="E1982">
        <f>IF(INDEX(P_Status,ROW()-4)="","",TRIM(UPPER(INDEX(P_Status,ROW()-4))))</f>
        <v/>
      </c>
      <c r="G1982">
        <f>IF(INDEX(L_Status,ROW()-4)="","",TRIM(UPPER(INDEX(L_Status,ROW()-4))))</f>
        <v/>
      </c>
      <c r="J1982">
        <f>IF(INDEX(L_ID,ROW()-4)="","",IF(SUMPRODUCT((P_ID=INDEX(L_ID,ROW()-4))*(P_StatusN="INACTIVE"))&gt;0,1,0))</f>
        <v/>
      </c>
    </row>
    <row r="1983">
      <c r="A1983">
        <f>IF(INDEX(L_ID,ROW()-4)="","",IF(COUNTIF(P_ID,INDEX(L_ID,ROW()-4))&gt;0,1,0))</f>
        <v/>
      </c>
      <c r="B1983">
        <f>IF(INDEX(P_Type,ROW()-4)="","",TRIM(UPPER(INDEX(P_Type,ROW()-4))))</f>
        <v/>
      </c>
      <c r="D1983">
        <f>IF(INDEX(L_Type,ROW()-4)="","",TRIM(UPPER(INDEX(L_Type,ROW()-4))))</f>
        <v/>
      </c>
      <c r="E1983">
        <f>IF(INDEX(P_Status,ROW()-4)="","",TRIM(UPPER(INDEX(P_Status,ROW()-4))))</f>
        <v/>
      </c>
      <c r="G1983">
        <f>IF(INDEX(L_Status,ROW()-4)="","",TRIM(UPPER(INDEX(L_Status,ROW()-4))))</f>
        <v/>
      </c>
      <c r="J1983">
        <f>IF(INDEX(L_ID,ROW()-4)="","",IF(SUMPRODUCT((P_ID=INDEX(L_ID,ROW()-4))*(P_StatusN="INACTIVE"))&gt;0,1,0))</f>
        <v/>
      </c>
    </row>
    <row r="1984">
      <c r="A1984">
        <f>IF(INDEX(L_ID,ROW()-4)="","",IF(COUNTIF(P_ID,INDEX(L_ID,ROW()-4))&gt;0,1,0))</f>
        <v/>
      </c>
      <c r="B1984">
        <f>IF(INDEX(P_Type,ROW()-4)="","",TRIM(UPPER(INDEX(P_Type,ROW()-4))))</f>
        <v/>
      </c>
      <c r="D1984">
        <f>IF(INDEX(L_Type,ROW()-4)="","",TRIM(UPPER(INDEX(L_Type,ROW()-4))))</f>
        <v/>
      </c>
      <c r="E1984">
        <f>IF(INDEX(P_Status,ROW()-4)="","",TRIM(UPPER(INDEX(P_Status,ROW()-4))))</f>
        <v/>
      </c>
      <c r="G1984">
        <f>IF(INDEX(L_Status,ROW()-4)="","",TRIM(UPPER(INDEX(L_Status,ROW()-4))))</f>
        <v/>
      </c>
      <c r="J1984">
        <f>IF(INDEX(L_ID,ROW()-4)="","",IF(SUMPRODUCT((P_ID=INDEX(L_ID,ROW()-4))*(P_StatusN="INACTIVE"))&gt;0,1,0))</f>
        <v/>
      </c>
    </row>
    <row r="1985">
      <c r="A1985">
        <f>IF(INDEX(L_ID,ROW()-4)="","",IF(COUNTIF(P_ID,INDEX(L_ID,ROW()-4))&gt;0,1,0))</f>
        <v/>
      </c>
      <c r="B1985">
        <f>IF(INDEX(P_Type,ROW()-4)="","",TRIM(UPPER(INDEX(P_Type,ROW()-4))))</f>
        <v/>
      </c>
      <c r="D1985">
        <f>IF(INDEX(L_Type,ROW()-4)="","",TRIM(UPPER(INDEX(L_Type,ROW()-4))))</f>
        <v/>
      </c>
      <c r="E1985">
        <f>IF(INDEX(P_Status,ROW()-4)="","",TRIM(UPPER(INDEX(P_Status,ROW()-4))))</f>
        <v/>
      </c>
      <c r="G1985">
        <f>IF(INDEX(L_Status,ROW()-4)="","",TRIM(UPPER(INDEX(L_Status,ROW()-4))))</f>
        <v/>
      </c>
      <c r="J1985">
        <f>IF(INDEX(L_ID,ROW()-4)="","",IF(SUMPRODUCT((P_ID=INDEX(L_ID,ROW()-4))*(P_StatusN="INACTIVE"))&gt;0,1,0))</f>
        <v/>
      </c>
    </row>
    <row r="1986">
      <c r="A1986">
        <f>IF(INDEX(L_ID,ROW()-4)="","",IF(COUNTIF(P_ID,INDEX(L_ID,ROW()-4))&gt;0,1,0))</f>
        <v/>
      </c>
      <c r="B1986">
        <f>IF(INDEX(P_Type,ROW()-4)="","",TRIM(UPPER(INDEX(P_Type,ROW()-4))))</f>
        <v/>
      </c>
      <c r="D1986">
        <f>IF(INDEX(L_Type,ROW()-4)="","",TRIM(UPPER(INDEX(L_Type,ROW()-4))))</f>
        <v/>
      </c>
      <c r="E1986">
        <f>IF(INDEX(P_Status,ROW()-4)="","",TRIM(UPPER(INDEX(P_Status,ROW()-4))))</f>
        <v/>
      </c>
      <c r="G1986">
        <f>IF(INDEX(L_Status,ROW()-4)="","",TRIM(UPPER(INDEX(L_Status,ROW()-4))))</f>
        <v/>
      </c>
      <c r="J1986">
        <f>IF(INDEX(L_ID,ROW()-4)="","",IF(SUMPRODUCT((P_ID=INDEX(L_ID,ROW()-4))*(P_StatusN="INACTIVE"))&gt;0,1,0))</f>
        <v/>
      </c>
    </row>
    <row r="1987">
      <c r="A1987">
        <f>IF(INDEX(L_ID,ROW()-4)="","",IF(COUNTIF(P_ID,INDEX(L_ID,ROW()-4))&gt;0,1,0))</f>
        <v/>
      </c>
      <c r="B1987">
        <f>IF(INDEX(P_Type,ROW()-4)="","",TRIM(UPPER(INDEX(P_Type,ROW()-4))))</f>
        <v/>
      </c>
      <c r="D1987">
        <f>IF(INDEX(L_Type,ROW()-4)="","",TRIM(UPPER(INDEX(L_Type,ROW()-4))))</f>
        <v/>
      </c>
      <c r="E1987">
        <f>IF(INDEX(P_Status,ROW()-4)="","",TRIM(UPPER(INDEX(P_Status,ROW()-4))))</f>
        <v/>
      </c>
      <c r="G1987">
        <f>IF(INDEX(L_Status,ROW()-4)="","",TRIM(UPPER(INDEX(L_Status,ROW()-4))))</f>
        <v/>
      </c>
      <c r="J1987">
        <f>IF(INDEX(L_ID,ROW()-4)="","",IF(SUMPRODUCT((P_ID=INDEX(L_ID,ROW()-4))*(P_StatusN="INACTIVE"))&gt;0,1,0))</f>
        <v/>
      </c>
    </row>
    <row r="1988">
      <c r="A1988">
        <f>IF(INDEX(L_ID,ROW()-4)="","",IF(COUNTIF(P_ID,INDEX(L_ID,ROW()-4))&gt;0,1,0))</f>
        <v/>
      </c>
      <c r="B1988">
        <f>IF(INDEX(P_Type,ROW()-4)="","",TRIM(UPPER(INDEX(P_Type,ROW()-4))))</f>
        <v/>
      </c>
      <c r="D1988">
        <f>IF(INDEX(L_Type,ROW()-4)="","",TRIM(UPPER(INDEX(L_Type,ROW()-4))))</f>
        <v/>
      </c>
      <c r="E1988">
        <f>IF(INDEX(P_Status,ROW()-4)="","",TRIM(UPPER(INDEX(P_Status,ROW()-4))))</f>
        <v/>
      </c>
      <c r="G1988">
        <f>IF(INDEX(L_Status,ROW()-4)="","",TRIM(UPPER(INDEX(L_Status,ROW()-4))))</f>
        <v/>
      </c>
      <c r="J1988">
        <f>IF(INDEX(L_ID,ROW()-4)="","",IF(SUMPRODUCT((P_ID=INDEX(L_ID,ROW()-4))*(P_StatusN="INACTIVE"))&gt;0,1,0))</f>
        <v/>
      </c>
    </row>
    <row r="1989">
      <c r="A1989">
        <f>IF(INDEX(L_ID,ROW()-4)="","",IF(COUNTIF(P_ID,INDEX(L_ID,ROW()-4))&gt;0,1,0))</f>
        <v/>
      </c>
      <c r="B1989">
        <f>IF(INDEX(P_Type,ROW()-4)="","",TRIM(UPPER(INDEX(P_Type,ROW()-4))))</f>
        <v/>
      </c>
      <c r="D1989">
        <f>IF(INDEX(L_Type,ROW()-4)="","",TRIM(UPPER(INDEX(L_Type,ROW()-4))))</f>
        <v/>
      </c>
      <c r="E1989">
        <f>IF(INDEX(P_Status,ROW()-4)="","",TRIM(UPPER(INDEX(P_Status,ROW()-4))))</f>
        <v/>
      </c>
      <c r="G1989">
        <f>IF(INDEX(L_Status,ROW()-4)="","",TRIM(UPPER(INDEX(L_Status,ROW()-4))))</f>
        <v/>
      </c>
      <c r="J1989">
        <f>IF(INDEX(L_ID,ROW()-4)="","",IF(SUMPRODUCT((P_ID=INDEX(L_ID,ROW()-4))*(P_StatusN="INACTIVE"))&gt;0,1,0))</f>
        <v/>
      </c>
    </row>
    <row r="1990">
      <c r="A1990">
        <f>IF(INDEX(L_ID,ROW()-4)="","",IF(COUNTIF(P_ID,INDEX(L_ID,ROW()-4))&gt;0,1,0))</f>
        <v/>
      </c>
      <c r="B1990">
        <f>IF(INDEX(P_Type,ROW()-4)="","",TRIM(UPPER(INDEX(P_Type,ROW()-4))))</f>
        <v/>
      </c>
      <c r="D1990">
        <f>IF(INDEX(L_Type,ROW()-4)="","",TRIM(UPPER(INDEX(L_Type,ROW()-4))))</f>
        <v/>
      </c>
      <c r="E1990">
        <f>IF(INDEX(P_Status,ROW()-4)="","",TRIM(UPPER(INDEX(P_Status,ROW()-4))))</f>
        <v/>
      </c>
      <c r="G1990">
        <f>IF(INDEX(L_Status,ROW()-4)="","",TRIM(UPPER(INDEX(L_Status,ROW()-4))))</f>
        <v/>
      </c>
      <c r="J1990">
        <f>IF(INDEX(L_ID,ROW()-4)="","",IF(SUMPRODUCT((P_ID=INDEX(L_ID,ROW()-4))*(P_StatusN="INACTIVE"))&gt;0,1,0))</f>
        <v/>
      </c>
    </row>
    <row r="1991">
      <c r="A1991">
        <f>IF(INDEX(L_ID,ROW()-4)="","",IF(COUNTIF(P_ID,INDEX(L_ID,ROW()-4))&gt;0,1,0))</f>
        <v/>
      </c>
      <c r="B1991">
        <f>IF(INDEX(P_Type,ROW()-4)="","",TRIM(UPPER(INDEX(P_Type,ROW()-4))))</f>
        <v/>
      </c>
      <c r="D1991">
        <f>IF(INDEX(L_Type,ROW()-4)="","",TRIM(UPPER(INDEX(L_Type,ROW()-4))))</f>
        <v/>
      </c>
      <c r="E1991">
        <f>IF(INDEX(P_Status,ROW()-4)="","",TRIM(UPPER(INDEX(P_Status,ROW()-4))))</f>
        <v/>
      </c>
      <c r="G1991">
        <f>IF(INDEX(L_Status,ROW()-4)="","",TRIM(UPPER(INDEX(L_Status,ROW()-4))))</f>
        <v/>
      </c>
      <c r="J1991">
        <f>IF(INDEX(L_ID,ROW()-4)="","",IF(SUMPRODUCT((P_ID=INDEX(L_ID,ROW()-4))*(P_StatusN="INACTIVE"))&gt;0,1,0))</f>
        <v/>
      </c>
    </row>
    <row r="1992">
      <c r="A1992">
        <f>IF(INDEX(L_ID,ROW()-4)="","",IF(COUNTIF(P_ID,INDEX(L_ID,ROW()-4))&gt;0,1,0))</f>
        <v/>
      </c>
      <c r="B1992">
        <f>IF(INDEX(P_Type,ROW()-4)="","",TRIM(UPPER(INDEX(P_Type,ROW()-4))))</f>
        <v/>
      </c>
      <c r="D1992">
        <f>IF(INDEX(L_Type,ROW()-4)="","",TRIM(UPPER(INDEX(L_Type,ROW()-4))))</f>
        <v/>
      </c>
      <c r="E1992">
        <f>IF(INDEX(P_Status,ROW()-4)="","",TRIM(UPPER(INDEX(P_Status,ROW()-4))))</f>
        <v/>
      </c>
      <c r="G1992">
        <f>IF(INDEX(L_Status,ROW()-4)="","",TRIM(UPPER(INDEX(L_Status,ROW()-4))))</f>
        <v/>
      </c>
      <c r="J1992">
        <f>IF(INDEX(L_ID,ROW()-4)="","",IF(SUMPRODUCT((P_ID=INDEX(L_ID,ROW()-4))*(P_StatusN="INACTIVE"))&gt;0,1,0))</f>
        <v/>
      </c>
    </row>
    <row r="1993">
      <c r="A1993">
        <f>IF(INDEX(L_ID,ROW()-4)="","",IF(COUNTIF(P_ID,INDEX(L_ID,ROW()-4))&gt;0,1,0))</f>
        <v/>
      </c>
      <c r="B1993">
        <f>IF(INDEX(P_Type,ROW()-4)="","",TRIM(UPPER(INDEX(P_Type,ROW()-4))))</f>
        <v/>
      </c>
      <c r="D1993">
        <f>IF(INDEX(L_Type,ROW()-4)="","",TRIM(UPPER(INDEX(L_Type,ROW()-4))))</f>
        <v/>
      </c>
      <c r="E1993">
        <f>IF(INDEX(P_Status,ROW()-4)="","",TRIM(UPPER(INDEX(P_Status,ROW()-4))))</f>
        <v/>
      </c>
      <c r="G1993">
        <f>IF(INDEX(L_Status,ROW()-4)="","",TRIM(UPPER(INDEX(L_Status,ROW()-4))))</f>
        <v/>
      </c>
      <c r="J1993">
        <f>IF(INDEX(L_ID,ROW()-4)="","",IF(SUMPRODUCT((P_ID=INDEX(L_ID,ROW()-4))*(P_StatusN="INACTIVE"))&gt;0,1,0))</f>
        <v/>
      </c>
    </row>
    <row r="1994">
      <c r="A1994">
        <f>IF(INDEX(L_ID,ROW()-4)="","",IF(COUNTIF(P_ID,INDEX(L_ID,ROW()-4))&gt;0,1,0))</f>
        <v/>
      </c>
      <c r="B1994">
        <f>IF(INDEX(P_Type,ROW()-4)="","",TRIM(UPPER(INDEX(P_Type,ROW()-4))))</f>
        <v/>
      </c>
      <c r="D1994">
        <f>IF(INDEX(L_Type,ROW()-4)="","",TRIM(UPPER(INDEX(L_Type,ROW()-4))))</f>
        <v/>
      </c>
      <c r="E1994">
        <f>IF(INDEX(P_Status,ROW()-4)="","",TRIM(UPPER(INDEX(P_Status,ROW()-4))))</f>
        <v/>
      </c>
      <c r="G1994">
        <f>IF(INDEX(L_Status,ROW()-4)="","",TRIM(UPPER(INDEX(L_Status,ROW()-4))))</f>
        <v/>
      </c>
      <c r="J1994">
        <f>IF(INDEX(L_ID,ROW()-4)="","",IF(SUMPRODUCT((P_ID=INDEX(L_ID,ROW()-4))*(P_StatusN="INACTIVE"))&gt;0,1,0))</f>
        <v/>
      </c>
    </row>
    <row r="1995">
      <c r="A1995">
        <f>IF(INDEX(L_ID,ROW()-4)="","",IF(COUNTIF(P_ID,INDEX(L_ID,ROW()-4))&gt;0,1,0))</f>
        <v/>
      </c>
      <c r="B1995">
        <f>IF(INDEX(P_Type,ROW()-4)="","",TRIM(UPPER(INDEX(P_Type,ROW()-4))))</f>
        <v/>
      </c>
      <c r="D1995">
        <f>IF(INDEX(L_Type,ROW()-4)="","",TRIM(UPPER(INDEX(L_Type,ROW()-4))))</f>
        <v/>
      </c>
      <c r="E1995">
        <f>IF(INDEX(P_Status,ROW()-4)="","",TRIM(UPPER(INDEX(P_Status,ROW()-4))))</f>
        <v/>
      </c>
      <c r="G1995">
        <f>IF(INDEX(L_Status,ROW()-4)="","",TRIM(UPPER(INDEX(L_Status,ROW()-4))))</f>
        <v/>
      </c>
      <c r="J1995">
        <f>IF(INDEX(L_ID,ROW()-4)="","",IF(SUMPRODUCT((P_ID=INDEX(L_ID,ROW()-4))*(P_StatusN="INACTIVE"))&gt;0,1,0))</f>
        <v/>
      </c>
    </row>
    <row r="1996">
      <c r="A1996">
        <f>IF(INDEX(L_ID,ROW()-4)="","",IF(COUNTIF(P_ID,INDEX(L_ID,ROW()-4))&gt;0,1,0))</f>
        <v/>
      </c>
      <c r="B1996">
        <f>IF(INDEX(P_Type,ROW()-4)="","",TRIM(UPPER(INDEX(P_Type,ROW()-4))))</f>
        <v/>
      </c>
      <c r="D1996">
        <f>IF(INDEX(L_Type,ROW()-4)="","",TRIM(UPPER(INDEX(L_Type,ROW()-4))))</f>
        <v/>
      </c>
      <c r="E1996">
        <f>IF(INDEX(P_Status,ROW()-4)="","",TRIM(UPPER(INDEX(P_Status,ROW()-4))))</f>
        <v/>
      </c>
      <c r="G1996">
        <f>IF(INDEX(L_Status,ROW()-4)="","",TRIM(UPPER(INDEX(L_Status,ROW()-4))))</f>
        <v/>
      </c>
      <c r="J1996">
        <f>IF(INDEX(L_ID,ROW()-4)="","",IF(SUMPRODUCT((P_ID=INDEX(L_ID,ROW()-4))*(P_StatusN="INACTIVE"))&gt;0,1,0))</f>
        <v/>
      </c>
    </row>
    <row r="1997">
      <c r="A1997">
        <f>IF(INDEX(L_ID,ROW()-4)="","",IF(COUNTIF(P_ID,INDEX(L_ID,ROW()-4))&gt;0,1,0))</f>
        <v/>
      </c>
      <c r="B1997">
        <f>IF(INDEX(P_Type,ROW()-4)="","",TRIM(UPPER(INDEX(P_Type,ROW()-4))))</f>
        <v/>
      </c>
      <c r="D1997">
        <f>IF(INDEX(L_Type,ROW()-4)="","",TRIM(UPPER(INDEX(L_Type,ROW()-4))))</f>
        <v/>
      </c>
      <c r="E1997">
        <f>IF(INDEX(P_Status,ROW()-4)="","",TRIM(UPPER(INDEX(P_Status,ROW()-4))))</f>
        <v/>
      </c>
      <c r="G1997">
        <f>IF(INDEX(L_Status,ROW()-4)="","",TRIM(UPPER(INDEX(L_Status,ROW()-4))))</f>
        <v/>
      </c>
      <c r="J1997">
        <f>IF(INDEX(L_ID,ROW()-4)="","",IF(SUMPRODUCT((P_ID=INDEX(L_ID,ROW()-4))*(P_StatusN="INACTIVE"))&gt;0,1,0))</f>
        <v/>
      </c>
    </row>
    <row r="1998">
      <c r="A1998">
        <f>IF(INDEX(L_ID,ROW()-4)="","",IF(COUNTIF(P_ID,INDEX(L_ID,ROW()-4))&gt;0,1,0))</f>
        <v/>
      </c>
      <c r="B1998">
        <f>IF(INDEX(P_Type,ROW()-4)="","",TRIM(UPPER(INDEX(P_Type,ROW()-4))))</f>
        <v/>
      </c>
      <c r="D1998">
        <f>IF(INDEX(L_Type,ROW()-4)="","",TRIM(UPPER(INDEX(L_Type,ROW()-4))))</f>
        <v/>
      </c>
      <c r="E1998">
        <f>IF(INDEX(P_Status,ROW()-4)="","",TRIM(UPPER(INDEX(P_Status,ROW()-4))))</f>
        <v/>
      </c>
      <c r="G1998">
        <f>IF(INDEX(L_Status,ROW()-4)="","",TRIM(UPPER(INDEX(L_Status,ROW()-4))))</f>
        <v/>
      </c>
      <c r="J1998">
        <f>IF(INDEX(L_ID,ROW()-4)="","",IF(SUMPRODUCT((P_ID=INDEX(L_ID,ROW()-4))*(P_StatusN="INACTIVE"))&gt;0,1,0))</f>
        <v/>
      </c>
    </row>
    <row r="1999">
      <c r="A1999">
        <f>IF(INDEX(L_ID,ROW()-4)="","",IF(COUNTIF(P_ID,INDEX(L_ID,ROW()-4))&gt;0,1,0))</f>
        <v/>
      </c>
      <c r="B1999">
        <f>IF(INDEX(P_Type,ROW()-4)="","",TRIM(UPPER(INDEX(P_Type,ROW()-4))))</f>
        <v/>
      </c>
      <c r="D1999">
        <f>IF(INDEX(L_Type,ROW()-4)="","",TRIM(UPPER(INDEX(L_Type,ROW()-4))))</f>
        <v/>
      </c>
      <c r="E1999">
        <f>IF(INDEX(P_Status,ROW()-4)="","",TRIM(UPPER(INDEX(P_Status,ROW()-4))))</f>
        <v/>
      </c>
      <c r="G1999">
        <f>IF(INDEX(L_Status,ROW()-4)="","",TRIM(UPPER(INDEX(L_Status,ROW()-4))))</f>
        <v/>
      </c>
      <c r="J1999">
        <f>IF(INDEX(L_ID,ROW()-4)="","",IF(SUMPRODUCT((P_ID=INDEX(L_ID,ROW()-4))*(P_StatusN="INACTIVE"))&gt;0,1,0))</f>
        <v/>
      </c>
    </row>
    <row r="2000">
      <c r="A2000">
        <f>IF(INDEX(L_ID,ROW()-4)="","",IF(COUNTIF(P_ID,INDEX(L_ID,ROW()-4))&gt;0,1,0))</f>
        <v/>
      </c>
      <c r="B2000">
        <f>IF(INDEX(P_Type,ROW()-4)="","",TRIM(UPPER(INDEX(P_Type,ROW()-4))))</f>
        <v/>
      </c>
      <c r="D2000">
        <f>IF(INDEX(L_Type,ROW()-4)="","",TRIM(UPPER(INDEX(L_Type,ROW()-4))))</f>
        <v/>
      </c>
      <c r="E2000">
        <f>IF(INDEX(P_Status,ROW()-4)="","",TRIM(UPPER(INDEX(P_Status,ROW()-4))))</f>
        <v/>
      </c>
      <c r="G2000">
        <f>IF(INDEX(L_Status,ROW()-4)="","",TRIM(UPPER(INDEX(L_Status,ROW()-4))))</f>
        <v/>
      </c>
      <c r="J2000">
        <f>IF(INDEX(L_ID,ROW()-4)="","",IF(SUMPRODUCT((P_ID=INDEX(L_ID,ROW()-4))*(P_StatusN="INACTIVE"))&gt;0,1,0))</f>
        <v/>
      </c>
    </row>
    <row r="2001">
      <c r="A2001">
        <f>IF(INDEX(L_ID,ROW()-4)="","",IF(COUNTIF(P_ID,INDEX(L_ID,ROW()-4))&gt;0,1,0))</f>
        <v/>
      </c>
      <c r="B2001">
        <f>IF(INDEX(P_Type,ROW()-4)="","",TRIM(UPPER(INDEX(P_Type,ROW()-4))))</f>
        <v/>
      </c>
      <c r="D2001">
        <f>IF(INDEX(L_Type,ROW()-4)="","",TRIM(UPPER(INDEX(L_Type,ROW()-4))))</f>
        <v/>
      </c>
      <c r="E2001">
        <f>IF(INDEX(P_Status,ROW()-4)="","",TRIM(UPPER(INDEX(P_Status,ROW()-4))))</f>
        <v/>
      </c>
      <c r="G2001">
        <f>IF(INDEX(L_Status,ROW()-4)="","",TRIM(UPPER(INDEX(L_Status,ROW()-4))))</f>
        <v/>
      </c>
      <c r="J2001">
        <f>IF(INDEX(L_ID,ROW()-4)="","",IF(SUMPRODUCT((P_ID=INDEX(L_ID,ROW()-4))*(P_StatusN="INACTIVE"))&gt;0,1,0))</f>
        <v/>
      </c>
    </row>
    <row r="2002">
      <c r="A2002">
        <f>IF(INDEX(L_ID,ROW()-4)="","",IF(COUNTIF(P_ID,INDEX(L_ID,ROW()-4))&gt;0,1,0))</f>
        <v/>
      </c>
      <c r="B2002">
        <f>IF(INDEX(P_Type,ROW()-4)="","",TRIM(UPPER(INDEX(P_Type,ROW()-4))))</f>
        <v/>
      </c>
      <c r="D2002">
        <f>IF(INDEX(L_Type,ROW()-4)="","",TRIM(UPPER(INDEX(L_Type,ROW()-4))))</f>
        <v/>
      </c>
      <c r="E2002">
        <f>IF(INDEX(P_Status,ROW()-4)="","",TRIM(UPPER(INDEX(P_Status,ROW()-4))))</f>
        <v/>
      </c>
      <c r="G2002">
        <f>IF(INDEX(L_Status,ROW()-4)="","",TRIM(UPPER(INDEX(L_Status,ROW()-4))))</f>
        <v/>
      </c>
      <c r="J2002">
        <f>IF(INDEX(L_ID,ROW()-4)="","",IF(SUMPRODUCT((P_ID=INDEX(L_ID,ROW()-4))*(P_StatusN="INACTIVE"))&gt;0,1,0))</f>
        <v/>
      </c>
    </row>
    <row r="2003">
      <c r="A2003">
        <f>IF(INDEX(L_ID,ROW()-4)="","",IF(COUNTIF(P_ID,INDEX(L_ID,ROW()-4))&gt;0,1,0))</f>
        <v/>
      </c>
      <c r="B2003">
        <f>IF(INDEX(P_Type,ROW()-4)="","",TRIM(UPPER(INDEX(P_Type,ROW()-4))))</f>
        <v/>
      </c>
      <c r="D2003">
        <f>IF(INDEX(L_Type,ROW()-4)="","",TRIM(UPPER(INDEX(L_Type,ROW()-4))))</f>
        <v/>
      </c>
      <c r="E2003">
        <f>IF(INDEX(P_Status,ROW()-4)="","",TRIM(UPPER(INDEX(P_Status,ROW()-4))))</f>
        <v/>
      </c>
      <c r="G2003">
        <f>IF(INDEX(L_Status,ROW()-4)="","",TRIM(UPPER(INDEX(L_Status,ROW()-4))))</f>
        <v/>
      </c>
      <c r="J2003">
        <f>IF(INDEX(L_ID,ROW()-4)="","",IF(SUMPRODUCT((P_ID=INDEX(L_ID,ROW()-4))*(P_StatusN="INACTIVE"))&gt;0,1,0))</f>
        <v/>
      </c>
    </row>
    <row r="2004">
      <c r="A2004">
        <f>IF(INDEX(L_ID,ROW()-4)="","",IF(COUNTIF(P_ID,INDEX(L_ID,ROW()-4))&gt;0,1,0))</f>
        <v/>
      </c>
      <c r="B2004">
        <f>IF(INDEX(P_Type,ROW()-4)="","",TRIM(UPPER(INDEX(P_Type,ROW()-4))))</f>
        <v/>
      </c>
      <c r="D2004">
        <f>IF(INDEX(L_Type,ROW()-4)="","",TRIM(UPPER(INDEX(L_Type,ROW()-4))))</f>
        <v/>
      </c>
      <c r="E2004">
        <f>IF(INDEX(P_Status,ROW()-4)="","",TRIM(UPPER(INDEX(P_Status,ROW()-4))))</f>
        <v/>
      </c>
      <c r="G2004">
        <f>IF(INDEX(L_Status,ROW()-4)="","",TRIM(UPPER(INDEX(L_Status,ROW()-4))))</f>
        <v/>
      </c>
      <c r="J2004">
        <f>IF(INDEX(L_ID,ROW()-4)="","",IF(SUMPRODUCT((P_ID=INDEX(L_ID,ROW()-4))*(P_StatusN="INACTIVE"))&gt;0,1,0))</f>
        <v/>
      </c>
    </row>
    <row r="2005">
      <c r="A2005">
        <f>IF(INDEX(L_ID,ROW()-4)="","",IF(COUNTIF(P_ID,INDEX(L_ID,ROW()-4))&gt;0,1,0))</f>
        <v/>
      </c>
      <c r="B2005">
        <f>IF(INDEX(P_Type,ROW()-4)="","",TRIM(UPPER(INDEX(P_Type,ROW()-4))))</f>
        <v/>
      </c>
      <c r="D2005">
        <f>IF(INDEX(L_Type,ROW()-4)="","",TRIM(UPPER(INDEX(L_Type,ROW()-4))))</f>
        <v/>
      </c>
      <c r="E2005">
        <f>IF(INDEX(P_Status,ROW()-4)="","",TRIM(UPPER(INDEX(P_Status,ROW()-4))))</f>
        <v/>
      </c>
      <c r="G2005">
        <f>IF(INDEX(L_Status,ROW()-4)="","",TRIM(UPPER(INDEX(L_Status,ROW()-4))))</f>
        <v/>
      </c>
      <c r="J2005">
        <f>IF(INDEX(L_ID,ROW()-4)="","",IF(SUMPRODUCT((P_ID=INDEX(L_ID,ROW()-4))*(P_StatusN="INACTIVE"))&gt;0,1,0))</f>
        <v/>
      </c>
    </row>
    <row r="2006">
      <c r="A2006">
        <f>IF(INDEX(L_ID,ROW()-4)="","",IF(COUNTIF(P_ID,INDEX(L_ID,ROW()-4))&gt;0,1,0))</f>
        <v/>
      </c>
      <c r="B2006">
        <f>IF(INDEX(P_Type,ROW()-4)="","",TRIM(UPPER(INDEX(P_Type,ROW()-4))))</f>
        <v/>
      </c>
      <c r="D2006">
        <f>IF(INDEX(L_Type,ROW()-4)="","",TRIM(UPPER(INDEX(L_Type,ROW()-4))))</f>
        <v/>
      </c>
      <c r="E2006">
        <f>IF(INDEX(P_Status,ROW()-4)="","",TRIM(UPPER(INDEX(P_Status,ROW()-4))))</f>
        <v/>
      </c>
      <c r="G2006">
        <f>IF(INDEX(L_Status,ROW()-4)="","",TRIM(UPPER(INDEX(L_Status,ROW()-4))))</f>
        <v/>
      </c>
      <c r="J2006">
        <f>IF(INDEX(L_ID,ROW()-4)="","",IF(SUMPRODUCT((P_ID=INDEX(L_ID,ROW()-4))*(P_StatusN="INACTIVE"))&gt;0,1,0))</f>
        <v/>
      </c>
    </row>
    <row r="2007">
      <c r="A2007">
        <f>IF(INDEX(L_ID,ROW()-4)="","",IF(COUNTIF(P_ID,INDEX(L_ID,ROW()-4))&gt;0,1,0))</f>
        <v/>
      </c>
      <c r="B2007">
        <f>IF(INDEX(P_Type,ROW()-4)="","",TRIM(UPPER(INDEX(P_Type,ROW()-4))))</f>
        <v/>
      </c>
      <c r="D2007">
        <f>IF(INDEX(L_Type,ROW()-4)="","",TRIM(UPPER(INDEX(L_Type,ROW()-4))))</f>
        <v/>
      </c>
      <c r="E2007">
        <f>IF(INDEX(P_Status,ROW()-4)="","",TRIM(UPPER(INDEX(P_Status,ROW()-4))))</f>
        <v/>
      </c>
      <c r="G2007">
        <f>IF(INDEX(L_Status,ROW()-4)="","",TRIM(UPPER(INDEX(L_Status,ROW()-4))))</f>
        <v/>
      </c>
      <c r="J2007">
        <f>IF(INDEX(L_ID,ROW()-4)="","",IF(SUMPRODUCT((P_ID=INDEX(L_ID,ROW()-4))*(P_StatusN="INACTIVE"))&gt;0,1,0))</f>
        <v/>
      </c>
    </row>
    <row r="2008">
      <c r="A2008">
        <f>IF(INDEX(L_ID,ROW()-4)="","",IF(COUNTIF(P_ID,INDEX(L_ID,ROW()-4))&gt;0,1,0))</f>
        <v/>
      </c>
      <c r="B2008">
        <f>IF(INDEX(P_Type,ROW()-4)="","",TRIM(UPPER(INDEX(P_Type,ROW()-4))))</f>
        <v/>
      </c>
      <c r="D2008">
        <f>IF(INDEX(L_Type,ROW()-4)="","",TRIM(UPPER(INDEX(L_Type,ROW()-4))))</f>
        <v/>
      </c>
      <c r="E2008">
        <f>IF(INDEX(P_Status,ROW()-4)="","",TRIM(UPPER(INDEX(P_Status,ROW()-4))))</f>
        <v/>
      </c>
      <c r="G2008">
        <f>IF(INDEX(L_Status,ROW()-4)="","",TRIM(UPPER(INDEX(L_Status,ROW()-4))))</f>
        <v/>
      </c>
      <c r="J2008">
        <f>IF(INDEX(L_ID,ROW()-4)="","",IF(SUMPRODUCT((P_ID=INDEX(L_ID,ROW()-4))*(P_StatusN="INACTIVE"))&gt;0,1,0))</f>
        <v/>
      </c>
    </row>
    <row r="2009">
      <c r="A2009">
        <f>IF(INDEX(L_ID,ROW()-4)="","",IF(COUNTIF(P_ID,INDEX(L_ID,ROW()-4))&gt;0,1,0))</f>
        <v/>
      </c>
      <c r="B2009">
        <f>IF(INDEX(P_Type,ROW()-4)="","",TRIM(UPPER(INDEX(P_Type,ROW()-4))))</f>
        <v/>
      </c>
      <c r="D2009">
        <f>IF(INDEX(L_Type,ROW()-4)="","",TRIM(UPPER(INDEX(L_Type,ROW()-4))))</f>
        <v/>
      </c>
      <c r="E2009">
        <f>IF(INDEX(P_Status,ROW()-4)="","",TRIM(UPPER(INDEX(P_Status,ROW()-4))))</f>
        <v/>
      </c>
      <c r="G2009">
        <f>IF(INDEX(L_Status,ROW()-4)="","",TRIM(UPPER(INDEX(L_Status,ROW()-4))))</f>
        <v/>
      </c>
      <c r="J2009">
        <f>IF(INDEX(L_ID,ROW()-4)="","",IF(SUMPRODUCT((P_ID=INDEX(L_ID,ROW()-4))*(P_StatusN="INACTIVE"))&gt;0,1,0))</f>
        <v/>
      </c>
    </row>
    <row r="2010">
      <c r="A2010">
        <f>IF(INDEX(L_ID,ROW()-4)="","",IF(COUNTIF(P_ID,INDEX(L_ID,ROW()-4))&gt;0,1,0))</f>
        <v/>
      </c>
      <c r="B2010">
        <f>IF(INDEX(P_Type,ROW()-4)="","",TRIM(UPPER(INDEX(P_Type,ROW()-4))))</f>
        <v/>
      </c>
      <c r="D2010">
        <f>IF(INDEX(L_Type,ROW()-4)="","",TRIM(UPPER(INDEX(L_Type,ROW()-4))))</f>
        <v/>
      </c>
      <c r="E2010">
        <f>IF(INDEX(P_Status,ROW()-4)="","",TRIM(UPPER(INDEX(P_Status,ROW()-4))))</f>
        <v/>
      </c>
      <c r="G2010">
        <f>IF(INDEX(L_Status,ROW()-4)="","",TRIM(UPPER(INDEX(L_Status,ROW()-4))))</f>
        <v/>
      </c>
      <c r="J2010">
        <f>IF(INDEX(L_ID,ROW()-4)="","",IF(SUMPRODUCT((P_ID=INDEX(L_ID,ROW()-4))*(P_StatusN="INACTIVE"))&gt;0,1,0))</f>
        <v/>
      </c>
    </row>
    <row r="2011">
      <c r="A2011">
        <f>IF(INDEX(L_ID,ROW()-4)="","",IF(COUNTIF(P_ID,INDEX(L_ID,ROW()-4))&gt;0,1,0))</f>
        <v/>
      </c>
      <c r="B2011">
        <f>IF(INDEX(P_Type,ROW()-4)="","",TRIM(UPPER(INDEX(P_Type,ROW()-4))))</f>
        <v/>
      </c>
      <c r="D2011">
        <f>IF(INDEX(L_Type,ROW()-4)="","",TRIM(UPPER(INDEX(L_Type,ROW()-4))))</f>
        <v/>
      </c>
      <c r="E2011">
        <f>IF(INDEX(P_Status,ROW()-4)="","",TRIM(UPPER(INDEX(P_Status,ROW()-4))))</f>
        <v/>
      </c>
      <c r="G2011">
        <f>IF(INDEX(L_Status,ROW()-4)="","",TRIM(UPPER(INDEX(L_Status,ROW()-4))))</f>
        <v/>
      </c>
      <c r="J2011">
        <f>IF(INDEX(L_ID,ROW()-4)="","",IF(SUMPRODUCT((P_ID=INDEX(L_ID,ROW()-4))*(P_StatusN="INACTIVE"))&gt;0,1,0))</f>
        <v/>
      </c>
    </row>
    <row r="2012">
      <c r="A2012">
        <f>IF(INDEX(L_ID,ROW()-4)="","",IF(COUNTIF(P_ID,INDEX(L_ID,ROW()-4))&gt;0,1,0))</f>
        <v/>
      </c>
      <c r="B2012">
        <f>IF(INDEX(P_Type,ROW()-4)="","",TRIM(UPPER(INDEX(P_Type,ROW()-4))))</f>
        <v/>
      </c>
      <c r="D2012">
        <f>IF(INDEX(L_Type,ROW()-4)="","",TRIM(UPPER(INDEX(L_Type,ROW()-4))))</f>
        <v/>
      </c>
      <c r="E2012">
        <f>IF(INDEX(P_Status,ROW()-4)="","",TRIM(UPPER(INDEX(P_Status,ROW()-4))))</f>
        <v/>
      </c>
      <c r="G2012">
        <f>IF(INDEX(L_Status,ROW()-4)="","",TRIM(UPPER(INDEX(L_Status,ROW()-4))))</f>
        <v/>
      </c>
      <c r="J2012">
        <f>IF(INDEX(L_ID,ROW()-4)="","",IF(SUMPRODUCT((P_ID=INDEX(L_ID,ROW()-4))*(P_StatusN="INACTIVE"))&gt;0,1,0))</f>
        <v/>
      </c>
    </row>
    <row r="2013">
      <c r="A2013">
        <f>IF(INDEX(L_ID,ROW()-4)="","",IF(COUNTIF(P_ID,INDEX(L_ID,ROW()-4))&gt;0,1,0))</f>
        <v/>
      </c>
      <c r="B2013">
        <f>IF(INDEX(P_Type,ROW()-4)="","",TRIM(UPPER(INDEX(P_Type,ROW()-4))))</f>
        <v/>
      </c>
      <c r="D2013">
        <f>IF(INDEX(L_Type,ROW()-4)="","",TRIM(UPPER(INDEX(L_Type,ROW()-4))))</f>
        <v/>
      </c>
      <c r="E2013">
        <f>IF(INDEX(P_Status,ROW()-4)="","",TRIM(UPPER(INDEX(P_Status,ROW()-4))))</f>
        <v/>
      </c>
      <c r="G2013">
        <f>IF(INDEX(L_Status,ROW()-4)="","",TRIM(UPPER(INDEX(L_Status,ROW()-4))))</f>
        <v/>
      </c>
      <c r="J2013">
        <f>IF(INDEX(L_ID,ROW()-4)="","",IF(SUMPRODUCT((P_ID=INDEX(L_ID,ROW()-4))*(P_StatusN="INACTIVE"))&gt;0,1,0))</f>
        <v/>
      </c>
    </row>
    <row r="2014">
      <c r="A2014">
        <f>IF(INDEX(L_ID,ROW()-4)="","",IF(COUNTIF(P_ID,INDEX(L_ID,ROW()-4))&gt;0,1,0))</f>
        <v/>
      </c>
      <c r="B2014">
        <f>IF(INDEX(P_Type,ROW()-4)="","",TRIM(UPPER(INDEX(P_Type,ROW()-4))))</f>
        <v/>
      </c>
      <c r="D2014">
        <f>IF(INDEX(L_Type,ROW()-4)="","",TRIM(UPPER(INDEX(L_Type,ROW()-4))))</f>
        <v/>
      </c>
      <c r="E2014">
        <f>IF(INDEX(P_Status,ROW()-4)="","",TRIM(UPPER(INDEX(P_Status,ROW()-4))))</f>
        <v/>
      </c>
      <c r="G2014">
        <f>IF(INDEX(L_Status,ROW()-4)="","",TRIM(UPPER(INDEX(L_Status,ROW()-4))))</f>
        <v/>
      </c>
      <c r="J2014">
        <f>IF(INDEX(L_ID,ROW()-4)="","",IF(SUMPRODUCT((P_ID=INDEX(L_ID,ROW()-4))*(P_StatusN="INACTIVE"))&gt;0,1,0))</f>
        <v/>
      </c>
    </row>
    <row r="2015">
      <c r="A2015">
        <f>IF(INDEX(L_ID,ROW()-4)="","",IF(COUNTIF(P_ID,INDEX(L_ID,ROW()-4))&gt;0,1,0))</f>
        <v/>
      </c>
      <c r="B2015">
        <f>IF(INDEX(P_Type,ROW()-4)="","",TRIM(UPPER(INDEX(P_Type,ROW()-4))))</f>
        <v/>
      </c>
      <c r="D2015">
        <f>IF(INDEX(L_Type,ROW()-4)="","",TRIM(UPPER(INDEX(L_Type,ROW()-4))))</f>
        <v/>
      </c>
      <c r="E2015">
        <f>IF(INDEX(P_Status,ROW()-4)="","",TRIM(UPPER(INDEX(P_Status,ROW()-4))))</f>
        <v/>
      </c>
      <c r="G2015">
        <f>IF(INDEX(L_Status,ROW()-4)="","",TRIM(UPPER(INDEX(L_Status,ROW()-4))))</f>
        <v/>
      </c>
      <c r="J2015">
        <f>IF(INDEX(L_ID,ROW()-4)="","",IF(SUMPRODUCT((P_ID=INDEX(L_ID,ROW()-4))*(P_StatusN="INACTIVE"))&gt;0,1,0))</f>
        <v/>
      </c>
    </row>
    <row r="2016">
      <c r="A2016">
        <f>IF(INDEX(L_ID,ROW()-4)="","",IF(COUNTIF(P_ID,INDEX(L_ID,ROW()-4))&gt;0,1,0))</f>
        <v/>
      </c>
      <c r="B2016">
        <f>IF(INDEX(P_Type,ROW()-4)="","",TRIM(UPPER(INDEX(P_Type,ROW()-4))))</f>
        <v/>
      </c>
      <c r="D2016">
        <f>IF(INDEX(L_Type,ROW()-4)="","",TRIM(UPPER(INDEX(L_Type,ROW()-4))))</f>
        <v/>
      </c>
      <c r="E2016">
        <f>IF(INDEX(P_Status,ROW()-4)="","",TRIM(UPPER(INDEX(P_Status,ROW()-4))))</f>
        <v/>
      </c>
      <c r="G2016">
        <f>IF(INDEX(L_Status,ROW()-4)="","",TRIM(UPPER(INDEX(L_Status,ROW()-4))))</f>
        <v/>
      </c>
      <c r="J2016">
        <f>IF(INDEX(L_ID,ROW()-4)="","",IF(SUMPRODUCT((P_ID=INDEX(L_ID,ROW()-4))*(P_StatusN="INACTIVE"))&gt;0,1,0))</f>
        <v/>
      </c>
    </row>
    <row r="2017">
      <c r="A2017">
        <f>IF(INDEX(L_ID,ROW()-4)="","",IF(COUNTIF(P_ID,INDEX(L_ID,ROW()-4))&gt;0,1,0))</f>
        <v/>
      </c>
      <c r="B2017">
        <f>IF(INDEX(P_Type,ROW()-4)="","",TRIM(UPPER(INDEX(P_Type,ROW()-4))))</f>
        <v/>
      </c>
      <c r="D2017">
        <f>IF(INDEX(L_Type,ROW()-4)="","",TRIM(UPPER(INDEX(L_Type,ROW()-4))))</f>
        <v/>
      </c>
      <c r="E2017">
        <f>IF(INDEX(P_Status,ROW()-4)="","",TRIM(UPPER(INDEX(P_Status,ROW()-4))))</f>
        <v/>
      </c>
      <c r="G2017">
        <f>IF(INDEX(L_Status,ROW()-4)="","",TRIM(UPPER(INDEX(L_Status,ROW()-4))))</f>
        <v/>
      </c>
      <c r="J2017">
        <f>IF(INDEX(L_ID,ROW()-4)="","",IF(SUMPRODUCT((P_ID=INDEX(L_ID,ROW()-4))*(P_StatusN="INACTIVE"))&gt;0,1,0))</f>
        <v/>
      </c>
    </row>
    <row r="2018">
      <c r="A2018">
        <f>IF(INDEX(L_ID,ROW()-4)="","",IF(COUNTIF(P_ID,INDEX(L_ID,ROW()-4))&gt;0,1,0))</f>
        <v/>
      </c>
      <c r="B2018">
        <f>IF(INDEX(P_Type,ROW()-4)="","",TRIM(UPPER(INDEX(P_Type,ROW()-4))))</f>
        <v/>
      </c>
      <c r="D2018">
        <f>IF(INDEX(L_Type,ROW()-4)="","",TRIM(UPPER(INDEX(L_Type,ROW()-4))))</f>
        <v/>
      </c>
      <c r="E2018">
        <f>IF(INDEX(P_Status,ROW()-4)="","",TRIM(UPPER(INDEX(P_Status,ROW()-4))))</f>
        <v/>
      </c>
      <c r="G2018">
        <f>IF(INDEX(L_Status,ROW()-4)="","",TRIM(UPPER(INDEX(L_Status,ROW()-4))))</f>
        <v/>
      </c>
      <c r="J2018">
        <f>IF(INDEX(L_ID,ROW()-4)="","",IF(SUMPRODUCT((P_ID=INDEX(L_ID,ROW()-4))*(P_StatusN="INACTIVE"))&gt;0,1,0))</f>
        <v/>
      </c>
    </row>
    <row r="2019">
      <c r="A2019">
        <f>IF(INDEX(L_ID,ROW()-4)="","",IF(COUNTIF(P_ID,INDEX(L_ID,ROW()-4))&gt;0,1,0))</f>
        <v/>
      </c>
      <c r="B2019">
        <f>IF(INDEX(P_Type,ROW()-4)="","",TRIM(UPPER(INDEX(P_Type,ROW()-4))))</f>
        <v/>
      </c>
      <c r="D2019">
        <f>IF(INDEX(L_Type,ROW()-4)="","",TRIM(UPPER(INDEX(L_Type,ROW()-4))))</f>
        <v/>
      </c>
      <c r="E2019">
        <f>IF(INDEX(P_Status,ROW()-4)="","",TRIM(UPPER(INDEX(P_Status,ROW()-4))))</f>
        <v/>
      </c>
      <c r="G2019">
        <f>IF(INDEX(L_Status,ROW()-4)="","",TRIM(UPPER(INDEX(L_Status,ROW()-4))))</f>
        <v/>
      </c>
      <c r="J2019">
        <f>IF(INDEX(L_ID,ROW()-4)="","",IF(SUMPRODUCT((P_ID=INDEX(L_ID,ROW()-4))*(P_StatusN="INACTIVE"))&gt;0,1,0))</f>
        <v/>
      </c>
    </row>
    <row r="2020">
      <c r="A2020">
        <f>IF(INDEX(L_ID,ROW()-4)="","",IF(COUNTIF(P_ID,INDEX(L_ID,ROW()-4))&gt;0,1,0))</f>
        <v/>
      </c>
      <c r="B2020">
        <f>IF(INDEX(P_Type,ROW()-4)="","",TRIM(UPPER(INDEX(P_Type,ROW()-4))))</f>
        <v/>
      </c>
      <c r="D2020">
        <f>IF(INDEX(L_Type,ROW()-4)="","",TRIM(UPPER(INDEX(L_Type,ROW()-4))))</f>
        <v/>
      </c>
      <c r="E2020">
        <f>IF(INDEX(P_Status,ROW()-4)="","",TRIM(UPPER(INDEX(P_Status,ROW()-4))))</f>
        <v/>
      </c>
      <c r="G2020">
        <f>IF(INDEX(L_Status,ROW()-4)="","",TRIM(UPPER(INDEX(L_Status,ROW()-4))))</f>
        <v/>
      </c>
      <c r="J2020">
        <f>IF(INDEX(L_ID,ROW()-4)="","",IF(SUMPRODUCT((P_ID=INDEX(L_ID,ROW()-4))*(P_StatusN="INACTIVE"))&gt;0,1,0))</f>
        <v/>
      </c>
    </row>
    <row r="2021">
      <c r="A2021">
        <f>IF(INDEX(L_ID,ROW()-4)="","",IF(COUNTIF(P_ID,INDEX(L_ID,ROW()-4))&gt;0,1,0))</f>
        <v/>
      </c>
      <c r="B2021">
        <f>IF(INDEX(P_Type,ROW()-4)="","",TRIM(UPPER(INDEX(P_Type,ROW()-4))))</f>
        <v/>
      </c>
      <c r="D2021">
        <f>IF(INDEX(L_Type,ROW()-4)="","",TRIM(UPPER(INDEX(L_Type,ROW()-4))))</f>
        <v/>
      </c>
      <c r="E2021">
        <f>IF(INDEX(P_Status,ROW()-4)="","",TRIM(UPPER(INDEX(P_Status,ROW()-4))))</f>
        <v/>
      </c>
      <c r="G2021">
        <f>IF(INDEX(L_Status,ROW()-4)="","",TRIM(UPPER(INDEX(L_Status,ROW()-4))))</f>
        <v/>
      </c>
      <c r="J2021">
        <f>IF(INDEX(L_ID,ROW()-4)="","",IF(SUMPRODUCT((P_ID=INDEX(L_ID,ROW()-4))*(P_StatusN="INACTIVE"))&gt;0,1,0))</f>
        <v/>
      </c>
    </row>
    <row r="2022">
      <c r="A2022">
        <f>IF(INDEX(L_ID,ROW()-4)="","",IF(COUNTIF(P_ID,INDEX(L_ID,ROW()-4))&gt;0,1,0))</f>
        <v/>
      </c>
      <c r="B2022">
        <f>IF(INDEX(P_Type,ROW()-4)="","",TRIM(UPPER(INDEX(P_Type,ROW()-4))))</f>
        <v/>
      </c>
      <c r="D2022">
        <f>IF(INDEX(L_Type,ROW()-4)="","",TRIM(UPPER(INDEX(L_Type,ROW()-4))))</f>
        <v/>
      </c>
      <c r="E2022">
        <f>IF(INDEX(P_Status,ROW()-4)="","",TRIM(UPPER(INDEX(P_Status,ROW()-4))))</f>
        <v/>
      </c>
      <c r="G2022">
        <f>IF(INDEX(L_Status,ROW()-4)="","",TRIM(UPPER(INDEX(L_Status,ROW()-4))))</f>
        <v/>
      </c>
      <c r="J2022">
        <f>IF(INDEX(L_ID,ROW()-4)="","",IF(SUMPRODUCT((P_ID=INDEX(L_ID,ROW()-4))*(P_StatusN="INACTIVE"))&gt;0,1,0))</f>
        <v/>
      </c>
    </row>
    <row r="2023">
      <c r="A2023">
        <f>IF(INDEX(L_ID,ROW()-4)="","",IF(COUNTIF(P_ID,INDEX(L_ID,ROW()-4))&gt;0,1,0))</f>
        <v/>
      </c>
      <c r="B2023">
        <f>IF(INDEX(P_Type,ROW()-4)="","",TRIM(UPPER(INDEX(P_Type,ROW()-4))))</f>
        <v/>
      </c>
      <c r="D2023">
        <f>IF(INDEX(L_Type,ROW()-4)="","",TRIM(UPPER(INDEX(L_Type,ROW()-4))))</f>
        <v/>
      </c>
      <c r="E2023">
        <f>IF(INDEX(P_Status,ROW()-4)="","",TRIM(UPPER(INDEX(P_Status,ROW()-4))))</f>
        <v/>
      </c>
      <c r="G2023">
        <f>IF(INDEX(L_Status,ROW()-4)="","",TRIM(UPPER(INDEX(L_Status,ROW()-4))))</f>
        <v/>
      </c>
      <c r="J2023">
        <f>IF(INDEX(L_ID,ROW()-4)="","",IF(SUMPRODUCT((P_ID=INDEX(L_ID,ROW()-4))*(P_StatusN="INACTIVE"))&gt;0,1,0))</f>
        <v/>
      </c>
    </row>
    <row r="2024">
      <c r="A2024">
        <f>IF(INDEX(L_ID,ROW()-4)="","",IF(COUNTIF(P_ID,INDEX(L_ID,ROW()-4))&gt;0,1,0))</f>
        <v/>
      </c>
      <c r="B2024">
        <f>IF(INDEX(P_Type,ROW()-4)="","",TRIM(UPPER(INDEX(P_Type,ROW()-4))))</f>
        <v/>
      </c>
      <c r="D2024">
        <f>IF(INDEX(L_Type,ROW()-4)="","",TRIM(UPPER(INDEX(L_Type,ROW()-4))))</f>
        <v/>
      </c>
      <c r="E2024">
        <f>IF(INDEX(P_Status,ROW()-4)="","",TRIM(UPPER(INDEX(P_Status,ROW()-4))))</f>
        <v/>
      </c>
      <c r="G2024">
        <f>IF(INDEX(L_Status,ROW()-4)="","",TRIM(UPPER(INDEX(L_Status,ROW()-4))))</f>
        <v/>
      </c>
      <c r="J2024">
        <f>IF(INDEX(L_ID,ROW()-4)="","",IF(SUMPRODUCT((P_ID=INDEX(L_ID,ROW()-4))*(P_StatusN="INACTIVE"))&gt;0,1,0))</f>
        <v/>
      </c>
    </row>
    <row r="2025">
      <c r="A2025">
        <f>IF(INDEX(L_ID,ROW()-4)="","",IF(COUNTIF(P_ID,INDEX(L_ID,ROW()-4))&gt;0,1,0))</f>
        <v/>
      </c>
      <c r="B2025">
        <f>IF(INDEX(P_Type,ROW()-4)="","",TRIM(UPPER(INDEX(P_Type,ROW()-4))))</f>
        <v/>
      </c>
      <c r="D2025">
        <f>IF(INDEX(L_Type,ROW()-4)="","",TRIM(UPPER(INDEX(L_Type,ROW()-4))))</f>
        <v/>
      </c>
      <c r="E2025">
        <f>IF(INDEX(P_Status,ROW()-4)="","",TRIM(UPPER(INDEX(P_Status,ROW()-4))))</f>
        <v/>
      </c>
      <c r="G2025">
        <f>IF(INDEX(L_Status,ROW()-4)="","",TRIM(UPPER(INDEX(L_Status,ROW()-4))))</f>
        <v/>
      </c>
      <c r="J2025">
        <f>IF(INDEX(L_ID,ROW()-4)="","",IF(SUMPRODUCT((P_ID=INDEX(L_ID,ROW()-4))*(P_StatusN="INACTIVE"))&gt;0,1,0))</f>
        <v/>
      </c>
    </row>
    <row r="2026">
      <c r="A2026">
        <f>IF(INDEX(L_ID,ROW()-4)="","",IF(COUNTIF(P_ID,INDEX(L_ID,ROW()-4))&gt;0,1,0))</f>
        <v/>
      </c>
      <c r="B2026">
        <f>IF(INDEX(P_Type,ROW()-4)="","",TRIM(UPPER(INDEX(P_Type,ROW()-4))))</f>
        <v/>
      </c>
      <c r="D2026">
        <f>IF(INDEX(L_Type,ROW()-4)="","",TRIM(UPPER(INDEX(L_Type,ROW()-4))))</f>
        <v/>
      </c>
      <c r="E2026">
        <f>IF(INDEX(P_Status,ROW()-4)="","",TRIM(UPPER(INDEX(P_Status,ROW()-4))))</f>
        <v/>
      </c>
      <c r="G2026">
        <f>IF(INDEX(L_Status,ROW()-4)="","",TRIM(UPPER(INDEX(L_Status,ROW()-4))))</f>
        <v/>
      </c>
      <c r="J2026">
        <f>IF(INDEX(L_ID,ROW()-4)="","",IF(SUMPRODUCT((P_ID=INDEX(L_ID,ROW()-4))*(P_StatusN="INACTIVE"))&gt;0,1,0))</f>
        <v/>
      </c>
    </row>
    <row r="2027">
      <c r="A2027">
        <f>IF(INDEX(L_ID,ROW()-4)="","",IF(COUNTIF(P_ID,INDEX(L_ID,ROW()-4))&gt;0,1,0))</f>
        <v/>
      </c>
      <c r="B2027">
        <f>IF(INDEX(P_Type,ROW()-4)="","",TRIM(UPPER(INDEX(P_Type,ROW()-4))))</f>
        <v/>
      </c>
      <c r="D2027">
        <f>IF(INDEX(L_Type,ROW()-4)="","",TRIM(UPPER(INDEX(L_Type,ROW()-4))))</f>
        <v/>
      </c>
      <c r="E2027">
        <f>IF(INDEX(P_Status,ROW()-4)="","",TRIM(UPPER(INDEX(P_Status,ROW()-4))))</f>
        <v/>
      </c>
      <c r="G2027">
        <f>IF(INDEX(L_Status,ROW()-4)="","",TRIM(UPPER(INDEX(L_Status,ROW()-4))))</f>
        <v/>
      </c>
      <c r="J2027">
        <f>IF(INDEX(L_ID,ROW()-4)="","",IF(SUMPRODUCT((P_ID=INDEX(L_ID,ROW()-4))*(P_StatusN="INACTIVE"))&gt;0,1,0))</f>
        <v/>
      </c>
    </row>
    <row r="2028">
      <c r="A2028">
        <f>IF(INDEX(L_ID,ROW()-4)="","",IF(COUNTIF(P_ID,INDEX(L_ID,ROW()-4))&gt;0,1,0))</f>
        <v/>
      </c>
      <c r="B2028">
        <f>IF(INDEX(P_Type,ROW()-4)="","",TRIM(UPPER(INDEX(P_Type,ROW()-4))))</f>
        <v/>
      </c>
      <c r="D2028">
        <f>IF(INDEX(L_Type,ROW()-4)="","",TRIM(UPPER(INDEX(L_Type,ROW()-4))))</f>
        <v/>
      </c>
      <c r="E2028">
        <f>IF(INDEX(P_Status,ROW()-4)="","",TRIM(UPPER(INDEX(P_Status,ROW()-4))))</f>
        <v/>
      </c>
      <c r="G2028">
        <f>IF(INDEX(L_Status,ROW()-4)="","",TRIM(UPPER(INDEX(L_Status,ROW()-4))))</f>
        <v/>
      </c>
      <c r="J2028">
        <f>IF(INDEX(L_ID,ROW()-4)="","",IF(SUMPRODUCT((P_ID=INDEX(L_ID,ROW()-4))*(P_StatusN="INACTIVE"))&gt;0,1,0))</f>
        <v/>
      </c>
    </row>
    <row r="2029">
      <c r="A2029">
        <f>IF(INDEX(L_ID,ROW()-4)="","",IF(COUNTIF(P_ID,INDEX(L_ID,ROW()-4))&gt;0,1,0))</f>
        <v/>
      </c>
      <c r="B2029">
        <f>IF(INDEX(P_Type,ROW()-4)="","",TRIM(UPPER(INDEX(P_Type,ROW()-4))))</f>
        <v/>
      </c>
      <c r="D2029">
        <f>IF(INDEX(L_Type,ROW()-4)="","",TRIM(UPPER(INDEX(L_Type,ROW()-4))))</f>
        <v/>
      </c>
      <c r="E2029">
        <f>IF(INDEX(P_Status,ROW()-4)="","",TRIM(UPPER(INDEX(P_Status,ROW()-4))))</f>
        <v/>
      </c>
      <c r="G2029">
        <f>IF(INDEX(L_Status,ROW()-4)="","",TRIM(UPPER(INDEX(L_Status,ROW()-4))))</f>
        <v/>
      </c>
      <c r="J2029">
        <f>IF(INDEX(L_ID,ROW()-4)="","",IF(SUMPRODUCT((P_ID=INDEX(L_ID,ROW()-4))*(P_StatusN="INACTIVE"))&gt;0,1,0))</f>
        <v/>
      </c>
    </row>
    <row r="2030">
      <c r="A2030">
        <f>IF(INDEX(L_ID,ROW()-4)="","",IF(COUNTIF(P_ID,INDEX(L_ID,ROW()-4))&gt;0,1,0))</f>
        <v/>
      </c>
      <c r="B2030">
        <f>IF(INDEX(P_Type,ROW()-4)="","",TRIM(UPPER(INDEX(P_Type,ROW()-4))))</f>
        <v/>
      </c>
      <c r="D2030">
        <f>IF(INDEX(L_Type,ROW()-4)="","",TRIM(UPPER(INDEX(L_Type,ROW()-4))))</f>
        <v/>
      </c>
      <c r="E2030">
        <f>IF(INDEX(P_Status,ROW()-4)="","",TRIM(UPPER(INDEX(P_Status,ROW()-4))))</f>
        <v/>
      </c>
      <c r="G2030">
        <f>IF(INDEX(L_Status,ROW()-4)="","",TRIM(UPPER(INDEX(L_Status,ROW()-4))))</f>
        <v/>
      </c>
      <c r="J2030">
        <f>IF(INDEX(L_ID,ROW()-4)="","",IF(SUMPRODUCT((P_ID=INDEX(L_ID,ROW()-4))*(P_StatusN="INACTIVE"))&gt;0,1,0))</f>
        <v/>
      </c>
    </row>
    <row r="2031">
      <c r="A2031">
        <f>IF(INDEX(L_ID,ROW()-4)="","",IF(COUNTIF(P_ID,INDEX(L_ID,ROW()-4))&gt;0,1,0))</f>
        <v/>
      </c>
      <c r="B2031">
        <f>IF(INDEX(P_Type,ROW()-4)="","",TRIM(UPPER(INDEX(P_Type,ROW()-4))))</f>
        <v/>
      </c>
      <c r="D2031">
        <f>IF(INDEX(L_Type,ROW()-4)="","",TRIM(UPPER(INDEX(L_Type,ROW()-4))))</f>
        <v/>
      </c>
      <c r="E2031">
        <f>IF(INDEX(P_Status,ROW()-4)="","",TRIM(UPPER(INDEX(P_Status,ROW()-4))))</f>
        <v/>
      </c>
      <c r="G2031">
        <f>IF(INDEX(L_Status,ROW()-4)="","",TRIM(UPPER(INDEX(L_Status,ROW()-4))))</f>
        <v/>
      </c>
      <c r="J2031">
        <f>IF(INDEX(L_ID,ROW()-4)="","",IF(SUMPRODUCT((P_ID=INDEX(L_ID,ROW()-4))*(P_StatusN="INACTIVE"))&gt;0,1,0))</f>
        <v/>
      </c>
    </row>
    <row r="2032">
      <c r="A2032">
        <f>IF(INDEX(L_ID,ROW()-4)="","",IF(COUNTIF(P_ID,INDEX(L_ID,ROW()-4))&gt;0,1,0))</f>
        <v/>
      </c>
      <c r="B2032">
        <f>IF(INDEX(P_Type,ROW()-4)="","",TRIM(UPPER(INDEX(P_Type,ROW()-4))))</f>
        <v/>
      </c>
      <c r="D2032">
        <f>IF(INDEX(L_Type,ROW()-4)="","",TRIM(UPPER(INDEX(L_Type,ROW()-4))))</f>
        <v/>
      </c>
      <c r="E2032">
        <f>IF(INDEX(P_Status,ROW()-4)="","",TRIM(UPPER(INDEX(P_Status,ROW()-4))))</f>
        <v/>
      </c>
      <c r="G2032">
        <f>IF(INDEX(L_Status,ROW()-4)="","",TRIM(UPPER(INDEX(L_Status,ROW()-4))))</f>
        <v/>
      </c>
      <c r="J2032">
        <f>IF(INDEX(L_ID,ROW()-4)="","",IF(SUMPRODUCT((P_ID=INDEX(L_ID,ROW()-4))*(P_StatusN="INACTIVE"))&gt;0,1,0))</f>
        <v/>
      </c>
    </row>
    <row r="2033">
      <c r="A2033">
        <f>IF(INDEX(L_ID,ROW()-4)="","",IF(COUNTIF(P_ID,INDEX(L_ID,ROW()-4))&gt;0,1,0))</f>
        <v/>
      </c>
      <c r="B2033">
        <f>IF(INDEX(P_Type,ROW()-4)="","",TRIM(UPPER(INDEX(P_Type,ROW()-4))))</f>
        <v/>
      </c>
      <c r="D2033">
        <f>IF(INDEX(L_Type,ROW()-4)="","",TRIM(UPPER(INDEX(L_Type,ROW()-4))))</f>
        <v/>
      </c>
      <c r="E2033">
        <f>IF(INDEX(P_Status,ROW()-4)="","",TRIM(UPPER(INDEX(P_Status,ROW()-4))))</f>
        <v/>
      </c>
      <c r="G2033">
        <f>IF(INDEX(L_Status,ROW()-4)="","",TRIM(UPPER(INDEX(L_Status,ROW()-4))))</f>
        <v/>
      </c>
      <c r="J2033">
        <f>IF(INDEX(L_ID,ROW()-4)="","",IF(SUMPRODUCT((P_ID=INDEX(L_ID,ROW()-4))*(P_StatusN="INACTIVE"))&gt;0,1,0))</f>
        <v/>
      </c>
    </row>
    <row r="2034">
      <c r="A2034">
        <f>IF(INDEX(L_ID,ROW()-4)="","",IF(COUNTIF(P_ID,INDEX(L_ID,ROW()-4))&gt;0,1,0))</f>
        <v/>
      </c>
      <c r="B2034">
        <f>IF(INDEX(P_Type,ROW()-4)="","",TRIM(UPPER(INDEX(P_Type,ROW()-4))))</f>
        <v/>
      </c>
      <c r="D2034">
        <f>IF(INDEX(L_Type,ROW()-4)="","",TRIM(UPPER(INDEX(L_Type,ROW()-4))))</f>
        <v/>
      </c>
      <c r="E2034">
        <f>IF(INDEX(P_Status,ROW()-4)="","",TRIM(UPPER(INDEX(P_Status,ROW()-4))))</f>
        <v/>
      </c>
      <c r="G2034">
        <f>IF(INDEX(L_Status,ROW()-4)="","",TRIM(UPPER(INDEX(L_Status,ROW()-4))))</f>
        <v/>
      </c>
      <c r="J2034">
        <f>IF(INDEX(L_ID,ROW()-4)="","",IF(SUMPRODUCT((P_ID=INDEX(L_ID,ROW()-4))*(P_StatusN="INACTIVE"))&gt;0,1,0))</f>
        <v/>
      </c>
    </row>
    <row r="2035">
      <c r="A2035">
        <f>IF(INDEX(L_ID,ROW()-4)="","",IF(COUNTIF(P_ID,INDEX(L_ID,ROW()-4))&gt;0,1,0))</f>
        <v/>
      </c>
      <c r="B2035">
        <f>IF(INDEX(P_Type,ROW()-4)="","",TRIM(UPPER(INDEX(P_Type,ROW()-4))))</f>
        <v/>
      </c>
      <c r="D2035">
        <f>IF(INDEX(L_Type,ROW()-4)="","",TRIM(UPPER(INDEX(L_Type,ROW()-4))))</f>
        <v/>
      </c>
      <c r="E2035">
        <f>IF(INDEX(P_Status,ROW()-4)="","",TRIM(UPPER(INDEX(P_Status,ROW()-4))))</f>
        <v/>
      </c>
      <c r="G2035">
        <f>IF(INDEX(L_Status,ROW()-4)="","",TRIM(UPPER(INDEX(L_Status,ROW()-4))))</f>
        <v/>
      </c>
      <c r="J2035">
        <f>IF(INDEX(L_ID,ROW()-4)="","",IF(SUMPRODUCT((P_ID=INDEX(L_ID,ROW()-4))*(P_StatusN="INACTIVE"))&gt;0,1,0))</f>
        <v/>
      </c>
    </row>
    <row r="2036">
      <c r="A2036">
        <f>IF(INDEX(L_ID,ROW()-4)="","",IF(COUNTIF(P_ID,INDEX(L_ID,ROW()-4))&gt;0,1,0))</f>
        <v/>
      </c>
      <c r="B2036">
        <f>IF(INDEX(P_Type,ROW()-4)="","",TRIM(UPPER(INDEX(P_Type,ROW()-4))))</f>
        <v/>
      </c>
      <c r="D2036">
        <f>IF(INDEX(L_Type,ROW()-4)="","",TRIM(UPPER(INDEX(L_Type,ROW()-4))))</f>
        <v/>
      </c>
      <c r="E2036">
        <f>IF(INDEX(P_Status,ROW()-4)="","",TRIM(UPPER(INDEX(P_Status,ROW()-4))))</f>
        <v/>
      </c>
      <c r="G2036">
        <f>IF(INDEX(L_Status,ROW()-4)="","",TRIM(UPPER(INDEX(L_Status,ROW()-4))))</f>
        <v/>
      </c>
      <c r="J2036">
        <f>IF(INDEX(L_ID,ROW()-4)="","",IF(SUMPRODUCT((P_ID=INDEX(L_ID,ROW()-4))*(P_StatusN="INACTIVE"))&gt;0,1,0))</f>
        <v/>
      </c>
    </row>
    <row r="2037">
      <c r="A2037">
        <f>IF(INDEX(L_ID,ROW()-4)="","",IF(COUNTIF(P_ID,INDEX(L_ID,ROW()-4))&gt;0,1,0))</f>
        <v/>
      </c>
      <c r="B2037">
        <f>IF(INDEX(P_Type,ROW()-4)="","",TRIM(UPPER(INDEX(P_Type,ROW()-4))))</f>
        <v/>
      </c>
      <c r="D2037">
        <f>IF(INDEX(L_Type,ROW()-4)="","",TRIM(UPPER(INDEX(L_Type,ROW()-4))))</f>
        <v/>
      </c>
      <c r="E2037">
        <f>IF(INDEX(P_Status,ROW()-4)="","",TRIM(UPPER(INDEX(P_Status,ROW()-4))))</f>
        <v/>
      </c>
      <c r="G2037">
        <f>IF(INDEX(L_Status,ROW()-4)="","",TRIM(UPPER(INDEX(L_Status,ROW()-4))))</f>
        <v/>
      </c>
      <c r="J2037">
        <f>IF(INDEX(L_ID,ROW()-4)="","",IF(SUMPRODUCT((P_ID=INDEX(L_ID,ROW()-4))*(P_StatusN="INACTIVE"))&gt;0,1,0))</f>
        <v/>
      </c>
    </row>
    <row r="2038">
      <c r="A2038">
        <f>IF(INDEX(L_ID,ROW()-4)="","",IF(COUNTIF(P_ID,INDEX(L_ID,ROW()-4))&gt;0,1,0))</f>
        <v/>
      </c>
      <c r="B2038">
        <f>IF(INDEX(P_Type,ROW()-4)="","",TRIM(UPPER(INDEX(P_Type,ROW()-4))))</f>
        <v/>
      </c>
      <c r="D2038">
        <f>IF(INDEX(L_Type,ROW()-4)="","",TRIM(UPPER(INDEX(L_Type,ROW()-4))))</f>
        <v/>
      </c>
      <c r="E2038">
        <f>IF(INDEX(P_Status,ROW()-4)="","",TRIM(UPPER(INDEX(P_Status,ROW()-4))))</f>
        <v/>
      </c>
      <c r="G2038">
        <f>IF(INDEX(L_Status,ROW()-4)="","",TRIM(UPPER(INDEX(L_Status,ROW()-4))))</f>
        <v/>
      </c>
      <c r="J2038">
        <f>IF(INDEX(L_ID,ROW()-4)="","",IF(SUMPRODUCT((P_ID=INDEX(L_ID,ROW()-4))*(P_StatusN="INACTIVE"))&gt;0,1,0))</f>
        <v/>
      </c>
    </row>
    <row r="2039">
      <c r="A2039">
        <f>IF(INDEX(L_ID,ROW()-4)="","",IF(COUNTIF(P_ID,INDEX(L_ID,ROW()-4))&gt;0,1,0))</f>
        <v/>
      </c>
      <c r="B2039">
        <f>IF(INDEX(P_Type,ROW()-4)="","",TRIM(UPPER(INDEX(P_Type,ROW()-4))))</f>
        <v/>
      </c>
      <c r="D2039">
        <f>IF(INDEX(L_Type,ROW()-4)="","",TRIM(UPPER(INDEX(L_Type,ROW()-4))))</f>
        <v/>
      </c>
      <c r="E2039">
        <f>IF(INDEX(P_Status,ROW()-4)="","",TRIM(UPPER(INDEX(P_Status,ROW()-4))))</f>
        <v/>
      </c>
      <c r="G2039">
        <f>IF(INDEX(L_Status,ROW()-4)="","",TRIM(UPPER(INDEX(L_Status,ROW()-4))))</f>
        <v/>
      </c>
      <c r="J2039">
        <f>IF(INDEX(L_ID,ROW()-4)="","",IF(SUMPRODUCT((P_ID=INDEX(L_ID,ROW()-4))*(P_StatusN="INACTIVE"))&gt;0,1,0))</f>
        <v/>
      </c>
    </row>
    <row r="2040">
      <c r="A2040">
        <f>IF(INDEX(L_ID,ROW()-4)="","",IF(COUNTIF(P_ID,INDEX(L_ID,ROW()-4))&gt;0,1,0))</f>
        <v/>
      </c>
      <c r="B2040">
        <f>IF(INDEX(P_Type,ROW()-4)="","",TRIM(UPPER(INDEX(P_Type,ROW()-4))))</f>
        <v/>
      </c>
      <c r="D2040">
        <f>IF(INDEX(L_Type,ROW()-4)="","",TRIM(UPPER(INDEX(L_Type,ROW()-4))))</f>
        <v/>
      </c>
      <c r="E2040">
        <f>IF(INDEX(P_Status,ROW()-4)="","",TRIM(UPPER(INDEX(P_Status,ROW()-4))))</f>
        <v/>
      </c>
      <c r="G2040">
        <f>IF(INDEX(L_Status,ROW()-4)="","",TRIM(UPPER(INDEX(L_Status,ROW()-4))))</f>
        <v/>
      </c>
      <c r="J2040">
        <f>IF(INDEX(L_ID,ROW()-4)="","",IF(SUMPRODUCT((P_ID=INDEX(L_ID,ROW()-4))*(P_StatusN="INACTIVE"))&gt;0,1,0))</f>
        <v/>
      </c>
    </row>
    <row r="2041">
      <c r="A2041">
        <f>IF(INDEX(L_ID,ROW()-4)="","",IF(COUNTIF(P_ID,INDEX(L_ID,ROW()-4))&gt;0,1,0))</f>
        <v/>
      </c>
      <c r="B2041">
        <f>IF(INDEX(P_Type,ROW()-4)="","",TRIM(UPPER(INDEX(P_Type,ROW()-4))))</f>
        <v/>
      </c>
      <c r="D2041">
        <f>IF(INDEX(L_Type,ROW()-4)="","",TRIM(UPPER(INDEX(L_Type,ROW()-4))))</f>
        <v/>
      </c>
      <c r="E2041">
        <f>IF(INDEX(P_Status,ROW()-4)="","",TRIM(UPPER(INDEX(P_Status,ROW()-4))))</f>
        <v/>
      </c>
      <c r="G2041">
        <f>IF(INDEX(L_Status,ROW()-4)="","",TRIM(UPPER(INDEX(L_Status,ROW()-4))))</f>
        <v/>
      </c>
      <c r="J2041">
        <f>IF(INDEX(L_ID,ROW()-4)="","",IF(SUMPRODUCT((P_ID=INDEX(L_ID,ROW()-4))*(P_StatusN="INACTIVE"))&gt;0,1,0))</f>
        <v/>
      </c>
    </row>
    <row r="2042">
      <c r="A2042">
        <f>IF(INDEX(L_ID,ROW()-4)="","",IF(COUNTIF(P_ID,INDEX(L_ID,ROW()-4))&gt;0,1,0))</f>
        <v/>
      </c>
      <c r="B2042">
        <f>IF(INDEX(P_Type,ROW()-4)="","",TRIM(UPPER(INDEX(P_Type,ROW()-4))))</f>
        <v/>
      </c>
      <c r="D2042">
        <f>IF(INDEX(L_Type,ROW()-4)="","",TRIM(UPPER(INDEX(L_Type,ROW()-4))))</f>
        <v/>
      </c>
      <c r="E2042">
        <f>IF(INDEX(P_Status,ROW()-4)="","",TRIM(UPPER(INDEX(P_Status,ROW()-4))))</f>
        <v/>
      </c>
      <c r="G2042">
        <f>IF(INDEX(L_Status,ROW()-4)="","",TRIM(UPPER(INDEX(L_Status,ROW()-4))))</f>
        <v/>
      </c>
      <c r="J2042">
        <f>IF(INDEX(L_ID,ROW()-4)="","",IF(SUMPRODUCT((P_ID=INDEX(L_ID,ROW()-4))*(P_StatusN="INACTIVE"))&gt;0,1,0))</f>
        <v/>
      </c>
    </row>
    <row r="2043">
      <c r="A2043">
        <f>IF(INDEX(L_ID,ROW()-4)="","",IF(COUNTIF(P_ID,INDEX(L_ID,ROW()-4))&gt;0,1,0))</f>
        <v/>
      </c>
      <c r="B2043">
        <f>IF(INDEX(P_Type,ROW()-4)="","",TRIM(UPPER(INDEX(P_Type,ROW()-4))))</f>
        <v/>
      </c>
      <c r="D2043">
        <f>IF(INDEX(L_Type,ROW()-4)="","",TRIM(UPPER(INDEX(L_Type,ROW()-4))))</f>
        <v/>
      </c>
      <c r="E2043">
        <f>IF(INDEX(P_Status,ROW()-4)="","",TRIM(UPPER(INDEX(P_Status,ROW()-4))))</f>
        <v/>
      </c>
      <c r="G2043">
        <f>IF(INDEX(L_Status,ROW()-4)="","",TRIM(UPPER(INDEX(L_Status,ROW()-4))))</f>
        <v/>
      </c>
      <c r="J2043">
        <f>IF(INDEX(L_ID,ROW()-4)="","",IF(SUMPRODUCT((P_ID=INDEX(L_ID,ROW()-4))*(P_StatusN="INACTIVE"))&gt;0,1,0))</f>
        <v/>
      </c>
    </row>
    <row r="2044">
      <c r="A2044">
        <f>IF(INDEX(L_ID,ROW()-4)="","",IF(COUNTIF(P_ID,INDEX(L_ID,ROW()-4))&gt;0,1,0))</f>
        <v/>
      </c>
      <c r="B2044">
        <f>IF(INDEX(P_Type,ROW()-4)="","",TRIM(UPPER(INDEX(P_Type,ROW()-4))))</f>
        <v/>
      </c>
      <c r="D2044">
        <f>IF(INDEX(L_Type,ROW()-4)="","",TRIM(UPPER(INDEX(L_Type,ROW()-4))))</f>
        <v/>
      </c>
      <c r="E2044">
        <f>IF(INDEX(P_Status,ROW()-4)="","",TRIM(UPPER(INDEX(P_Status,ROW()-4))))</f>
        <v/>
      </c>
      <c r="G2044">
        <f>IF(INDEX(L_Status,ROW()-4)="","",TRIM(UPPER(INDEX(L_Status,ROW()-4))))</f>
        <v/>
      </c>
      <c r="J2044">
        <f>IF(INDEX(L_ID,ROW()-4)="","",IF(SUMPRODUCT((P_ID=INDEX(L_ID,ROW()-4))*(P_StatusN="INACTIVE"))&gt;0,1,0))</f>
        <v/>
      </c>
    </row>
    <row r="2045">
      <c r="A2045">
        <f>IF(INDEX(L_ID,ROW()-4)="","",IF(COUNTIF(P_ID,INDEX(L_ID,ROW()-4))&gt;0,1,0))</f>
        <v/>
      </c>
      <c r="B2045">
        <f>IF(INDEX(P_Type,ROW()-4)="","",TRIM(UPPER(INDEX(P_Type,ROW()-4))))</f>
        <v/>
      </c>
      <c r="D2045">
        <f>IF(INDEX(L_Type,ROW()-4)="","",TRIM(UPPER(INDEX(L_Type,ROW()-4))))</f>
        <v/>
      </c>
      <c r="E2045">
        <f>IF(INDEX(P_Status,ROW()-4)="","",TRIM(UPPER(INDEX(P_Status,ROW()-4))))</f>
        <v/>
      </c>
      <c r="G2045">
        <f>IF(INDEX(L_Status,ROW()-4)="","",TRIM(UPPER(INDEX(L_Status,ROW()-4))))</f>
        <v/>
      </c>
      <c r="J2045">
        <f>IF(INDEX(L_ID,ROW()-4)="","",IF(SUMPRODUCT((P_ID=INDEX(L_ID,ROW()-4))*(P_StatusN="INACTIVE"))&gt;0,1,0))</f>
        <v/>
      </c>
    </row>
    <row r="2046">
      <c r="A2046">
        <f>IF(INDEX(L_ID,ROW()-4)="","",IF(COUNTIF(P_ID,INDEX(L_ID,ROW()-4))&gt;0,1,0))</f>
        <v/>
      </c>
      <c r="B2046">
        <f>IF(INDEX(P_Type,ROW()-4)="","",TRIM(UPPER(INDEX(P_Type,ROW()-4))))</f>
        <v/>
      </c>
      <c r="D2046">
        <f>IF(INDEX(L_Type,ROW()-4)="","",TRIM(UPPER(INDEX(L_Type,ROW()-4))))</f>
        <v/>
      </c>
      <c r="E2046">
        <f>IF(INDEX(P_Status,ROW()-4)="","",TRIM(UPPER(INDEX(P_Status,ROW()-4))))</f>
        <v/>
      </c>
      <c r="G2046">
        <f>IF(INDEX(L_Status,ROW()-4)="","",TRIM(UPPER(INDEX(L_Status,ROW()-4))))</f>
        <v/>
      </c>
      <c r="J2046">
        <f>IF(INDEX(L_ID,ROW()-4)="","",IF(SUMPRODUCT((P_ID=INDEX(L_ID,ROW()-4))*(P_StatusN="INACTIVE"))&gt;0,1,0))</f>
        <v/>
      </c>
    </row>
    <row r="2047">
      <c r="A2047">
        <f>IF(INDEX(L_ID,ROW()-4)="","",IF(COUNTIF(P_ID,INDEX(L_ID,ROW()-4))&gt;0,1,0))</f>
        <v/>
      </c>
      <c r="B2047">
        <f>IF(INDEX(P_Type,ROW()-4)="","",TRIM(UPPER(INDEX(P_Type,ROW()-4))))</f>
        <v/>
      </c>
      <c r="D2047">
        <f>IF(INDEX(L_Type,ROW()-4)="","",TRIM(UPPER(INDEX(L_Type,ROW()-4))))</f>
        <v/>
      </c>
      <c r="E2047">
        <f>IF(INDEX(P_Status,ROW()-4)="","",TRIM(UPPER(INDEX(P_Status,ROW()-4))))</f>
        <v/>
      </c>
      <c r="G2047">
        <f>IF(INDEX(L_Status,ROW()-4)="","",TRIM(UPPER(INDEX(L_Status,ROW()-4))))</f>
        <v/>
      </c>
      <c r="J2047">
        <f>IF(INDEX(L_ID,ROW()-4)="","",IF(SUMPRODUCT((P_ID=INDEX(L_ID,ROW()-4))*(P_StatusN="INACTIVE"))&gt;0,1,0))</f>
        <v/>
      </c>
    </row>
    <row r="2048">
      <c r="A2048">
        <f>IF(INDEX(L_ID,ROW()-4)="","",IF(COUNTIF(P_ID,INDEX(L_ID,ROW()-4))&gt;0,1,0))</f>
        <v/>
      </c>
      <c r="B2048">
        <f>IF(INDEX(P_Type,ROW()-4)="","",TRIM(UPPER(INDEX(P_Type,ROW()-4))))</f>
        <v/>
      </c>
      <c r="D2048">
        <f>IF(INDEX(L_Type,ROW()-4)="","",TRIM(UPPER(INDEX(L_Type,ROW()-4))))</f>
        <v/>
      </c>
      <c r="E2048">
        <f>IF(INDEX(P_Status,ROW()-4)="","",TRIM(UPPER(INDEX(P_Status,ROW()-4))))</f>
        <v/>
      </c>
      <c r="G2048">
        <f>IF(INDEX(L_Status,ROW()-4)="","",TRIM(UPPER(INDEX(L_Status,ROW()-4))))</f>
        <v/>
      </c>
      <c r="J2048">
        <f>IF(INDEX(L_ID,ROW()-4)="","",IF(SUMPRODUCT((P_ID=INDEX(L_ID,ROW()-4))*(P_StatusN="INACTIVE"))&gt;0,1,0))</f>
        <v/>
      </c>
    </row>
    <row r="2049">
      <c r="A2049">
        <f>IF(INDEX(L_ID,ROW()-4)="","",IF(COUNTIF(P_ID,INDEX(L_ID,ROW()-4))&gt;0,1,0))</f>
        <v/>
      </c>
      <c r="B2049">
        <f>IF(INDEX(P_Type,ROW()-4)="","",TRIM(UPPER(INDEX(P_Type,ROW()-4))))</f>
        <v/>
      </c>
      <c r="D2049">
        <f>IF(INDEX(L_Type,ROW()-4)="","",TRIM(UPPER(INDEX(L_Type,ROW()-4))))</f>
        <v/>
      </c>
      <c r="E2049">
        <f>IF(INDEX(P_Status,ROW()-4)="","",TRIM(UPPER(INDEX(P_Status,ROW()-4))))</f>
        <v/>
      </c>
      <c r="G2049">
        <f>IF(INDEX(L_Status,ROW()-4)="","",TRIM(UPPER(INDEX(L_Status,ROW()-4))))</f>
        <v/>
      </c>
      <c r="J2049">
        <f>IF(INDEX(L_ID,ROW()-4)="","",IF(SUMPRODUCT((P_ID=INDEX(L_ID,ROW()-4))*(P_StatusN="INACTIVE"))&gt;0,1,0))</f>
        <v/>
      </c>
    </row>
    <row r="2050">
      <c r="A2050">
        <f>IF(INDEX(L_ID,ROW()-4)="","",IF(COUNTIF(P_ID,INDEX(L_ID,ROW()-4))&gt;0,1,0))</f>
        <v/>
      </c>
      <c r="B2050">
        <f>IF(INDEX(P_Type,ROW()-4)="","",TRIM(UPPER(INDEX(P_Type,ROW()-4))))</f>
        <v/>
      </c>
      <c r="D2050">
        <f>IF(INDEX(L_Type,ROW()-4)="","",TRIM(UPPER(INDEX(L_Type,ROW()-4))))</f>
        <v/>
      </c>
      <c r="E2050">
        <f>IF(INDEX(P_Status,ROW()-4)="","",TRIM(UPPER(INDEX(P_Status,ROW()-4))))</f>
        <v/>
      </c>
      <c r="G2050">
        <f>IF(INDEX(L_Status,ROW()-4)="","",TRIM(UPPER(INDEX(L_Status,ROW()-4))))</f>
        <v/>
      </c>
      <c r="J2050">
        <f>IF(INDEX(L_ID,ROW()-4)="","",IF(SUMPRODUCT((P_ID=INDEX(L_ID,ROW()-4))*(P_StatusN="INACTIVE"))&gt;0,1,0))</f>
        <v/>
      </c>
    </row>
    <row r="2051">
      <c r="A2051">
        <f>IF(INDEX(L_ID,ROW()-4)="","",IF(COUNTIF(P_ID,INDEX(L_ID,ROW()-4))&gt;0,1,0))</f>
        <v/>
      </c>
      <c r="B2051">
        <f>IF(INDEX(P_Type,ROW()-4)="","",TRIM(UPPER(INDEX(P_Type,ROW()-4))))</f>
        <v/>
      </c>
      <c r="D2051">
        <f>IF(INDEX(L_Type,ROW()-4)="","",TRIM(UPPER(INDEX(L_Type,ROW()-4))))</f>
        <v/>
      </c>
      <c r="E2051">
        <f>IF(INDEX(P_Status,ROW()-4)="","",TRIM(UPPER(INDEX(P_Status,ROW()-4))))</f>
        <v/>
      </c>
      <c r="G2051">
        <f>IF(INDEX(L_Status,ROW()-4)="","",TRIM(UPPER(INDEX(L_Status,ROW()-4))))</f>
        <v/>
      </c>
      <c r="J2051">
        <f>IF(INDEX(L_ID,ROW()-4)="","",IF(SUMPRODUCT((P_ID=INDEX(L_ID,ROW()-4))*(P_StatusN="INACTIVE"))&gt;0,1,0))</f>
        <v/>
      </c>
    </row>
    <row r="2052">
      <c r="A2052">
        <f>IF(INDEX(L_ID,ROW()-4)="","",IF(COUNTIF(P_ID,INDEX(L_ID,ROW()-4))&gt;0,1,0))</f>
        <v/>
      </c>
      <c r="B2052">
        <f>IF(INDEX(P_Type,ROW()-4)="","",TRIM(UPPER(INDEX(P_Type,ROW()-4))))</f>
        <v/>
      </c>
      <c r="D2052">
        <f>IF(INDEX(L_Type,ROW()-4)="","",TRIM(UPPER(INDEX(L_Type,ROW()-4))))</f>
        <v/>
      </c>
      <c r="E2052">
        <f>IF(INDEX(P_Status,ROW()-4)="","",TRIM(UPPER(INDEX(P_Status,ROW()-4))))</f>
        <v/>
      </c>
      <c r="G2052">
        <f>IF(INDEX(L_Status,ROW()-4)="","",TRIM(UPPER(INDEX(L_Status,ROW()-4))))</f>
        <v/>
      </c>
      <c r="J2052">
        <f>IF(INDEX(L_ID,ROW()-4)="","",IF(SUMPRODUCT((P_ID=INDEX(L_ID,ROW()-4))*(P_StatusN="INACTIVE"))&gt;0,1,0))</f>
        <v/>
      </c>
    </row>
    <row r="2053">
      <c r="A2053">
        <f>IF(INDEX(L_ID,ROW()-4)="","",IF(COUNTIF(P_ID,INDEX(L_ID,ROW()-4))&gt;0,1,0))</f>
        <v/>
      </c>
      <c r="B2053">
        <f>IF(INDEX(P_Type,ROW()-4)="","",TRIM(UPPER(INDEX(P_Type,ROW()-4))))</f>
        <v/>
      </c>
      <c r="D2053">
        <f>IF(INDEX(L_Type,ROW()-4)="","",TRIM(UPPER(INDEX(L_Type,ROW()-4))))</f>
        <v/>
      </c>
      <c r="E2053">
        <f>IF(INDEX(P_Status,ROW()-4)="","",TRIM(UPPER(INDEX(P_Status,ROW()-4))))</f>
        <v/>
      </c>
      <c r="G2053">
        <f>IF(INDEX(L_Status,ROW()-4)="","",TRIM(UPPER(INDEX(L_Status,ROW()-4))))</f>
        <v/>
      </c>
      <c r="J2053">
        <f>IF(INDEX(L_ID,ROW()-4)="","",IF(SUMPRODUCT((P_ID=INDEX(L_ID,ROW()-4))*(P_StatusN="INACTIVE"))&gt;0,1,0))</f>
        <v/>
      </c>
    </row>
    <row r="2054">
      <c r="A2054">
        <f>IF(INDEX(L_ID,ROW()-4)="","",IF(COUNTIF(P_ID,INDEX(L_ID,ROW()-4))&gt;0,1,0))</f>
        <v/>
      </c>
      <c r="B2054">
        <f>IF(INDEX(P_Type,ROW()-4)="","",TRIM(UPPER(INDEX(P_Type,ROW()-4))))</f>
        <v/>
      </c>
      <c r="D2054">
        <f>IF(INDEX(L_Type,ROW()-4)="","",TRIM(UPPER(INDEX(L_Type,ROW()-4))))</f>
        <v/>
      </c>
      <c r="E2054">
        <f>IF(INDEX(P_Status,ROW()-4)="","",TRIM(UPPER(INDEX(P_Status,ROW()-4))))</f>
        <v/>
      </c>
      <c r="G2054">
        <f>IF(INDEX(L_Status,ROW()-4)="","",TRIM(UPPER(INDEX(L_Status,ROW()-4))))</f>
        <v/>
      </c>
      <c r="J2054">
        <f>IF(INDEX(L_ID,ROW()-4)="","",IF(SUMPRODUCT((P_ID=INDEX(L_ID,ROW()-4))*(P_StatusN="INACTIVE"))&gt;0,1,0))</f>
        <v/>
      </c>
    </row>
    <row r="2055">
      <c r="A2055">
        <f>IF(INDEX(L_ID,ROW()-4)="","",IF(COUNTIF(P_ID,INDEX(L_ID,ROW()-4))&gt;0,1,0))</f>
        <v/>
      </c>
      <c r="B2055">
        <f>IF(INDEX(P_Type,ROW()-4)="","",TRIM(UPPER(INDEX(P_Type,ROW()-4))))</f>
        <v/>
      </c>
      <c r="D2055">
        <f>IF(INDEX(L_Type,ROW()-4)="","",TRIM(UPPER(INDEX(L_Type,ROW()-4))))</f>
        <v/>
      </c>
      <c r="E2055">
        <f>IF(INDEX(P_Status,ROW()-4)="","",TRIM(UPPER(INDEX(P_Status,ROW()-4))))</f>
        <v/>
      </c>
      <c r="G2055">
        <f>IF(INDEX(L_Status,ROW()-4)="","",TRIM(UPPER(INDEX(L_Status,ROW()-4))))</f>
        <v/>
      </c>
      <c r="J2055">
        <f>IF(INDEX(L_ID,ROW()-4)="","",IF(SUMPRODUCT((P_ID=INDEX(L_ID,ROW()-4))*(P_StatusN="INACTIVE"))&gt;0,1,0))</f>
        <v/>
      </c>
    </row>
    <row r="2056">
      <c r="A2056">
        <f>IF(INDEX(L_ID,ROW()-4)="","",IF(COUNTIF(P_ID,INDEX(L_ID,ROW()-4))&gt;0,1,0))</f>
        <v/>
      </c>
      <c r="B2056">
        <f>IF(INDEX(P_Type,ROW()-4)="","",TRIM(UPPER(INDEX(P_Type,ROW()-4))))</f>
        <v/>
      </c>
      <c r="D2056">
        <f>IF(INDEX(L_Type,ROW()-4)="","",TRIM(UPPER(INDEX(L_Type,ROW()-4))))</f>
        <v/>
      </c>
      <c r="E2056">
        <f>IF(INDEX(P_Status,ROW()-4)="","",TRIM(UPPER(INDEX(P_Status,ROW()-4))))</f>
        <v/>
      </c>
      <c r="G2056">
        <f>IF(INDEX(L_Status,ROW()-4)="","",TRIM(UPPER(INDEX(L_Status,ROW()-4))))</f>
        <v/>
      </c>
      <c r="J2056">
        <f>IF(INDEX(L_ID,ROW()-4)="","",IF(SUMPRODUCT((P_ID=INDEX(L_ID,ROW()-4))*(P_StatusN="INACTIVE"))&gt;0,1,0))</f>
        <v/>
      </c>
    </row>
    <row r="2057">
      <c r="A2057">
        <f>IF(INDEX(L_ID,ROW()-4)="","",IF(COUNTIF(P_ID,INDEX(L_ID,ROW()-4))&gt;0,1,0))</f>
        <v/>
      </c>
      <c r="B2057">
        <f>IF(INDEX(P_Type,ROW()-4)="","",TRIM(UPPER(INDEX(P_Type,ROW()-4))))</f>
        <v/>
      </c>
      <c r="D2057">
        <f>IF(INDEX(L_Type,ROW()-4)="","",TRIM(UPPER(INDEX(L_Type,ROW()-4))))</f>
        <v/>
      </c>
      <c r="E2057">
        <f>IF(INDEX(P_Status,ROW()-4)="","",TRIM(UPPER(INDEX(P_Status,ROW()-4))))</f>
        <v/>
      </c>
      <c r="G2057">
        <f>IF(INDEX(L_Status,ROW()-4)="","",TRIM(UPPER(INDEX(L_Status,ROW()-4))))</f>
        <v/>
      </c>
      <c r="J2057">
        <f>IF(INDEX(L_ID,ROW()-4)="","",IF(SUMPRODUCT((P_ID=INDEX(L_ID,ROW()-4))*(P_StatusN="INACTIVE"))&gt;0,1,0))</f>
        <v/>
      </c>
    </row>
    <row r="2058">
      <c r="A2058">
        <f>IF(INDEX(L_ID,ROW()-4)="","",IF(COUNTIF(P_ID,INDEX(L_ID,ROW()-4))&gt;0,1,0))</f>
        <v/>
      </c>
      <c r="B2058">
        <f>IF(INDEX(P_Type,ROW()-4)="","",TRIM(UPPER(INDEX(P_Type,ROW()-4))))</f>
        <v/>
      </c>
      <c r="D2058">
        <f>IF(INDEX(L_Type,ROW()-4)="","",TRIM(UPPER(INDEX(L_Type,ROW()-4))))</f>
        <v/>
      </c>
      <c r="E2058">
        <f>IF(INDEX(P_Status,ROW()-4)="","",TRIM(UPPER(INDEX(P_Status,ROW()-4))))</f>
        <v/>
      </c>
      <c r="G2058">
        <f>IF(INDEX(L_Status,ROW()-4)="","",TRIM(UPPER(INDEX(L_Status,ROW()-4))))</f>
        <v/>
      </c>
      <c r="J2058">
        <f>IF(INDEX(L_ID,ROW()-4)="","",IF(SUMPRODUCT((P_ID=INDEX(L_ID,ROW()-4))*(P_StatusN="INACTIVE"))&gt;0,1,0))</f>
        <v/>
      </c>
    </row>
    <row r="2059">
      <c r="A2059">
        <f>IF(INDEX(L_ID,ROW()-4)="","",IF(COUNTIF(P_ID,INDEX(L_ID,ROW()-4))&gt;0,1,0))</f>
        <v/>
      </c>
      <c r="B2059">
        <f>IF(INDEX(P_Type,ROW()-4)="","",TRIM(UPPER(INDEX(P_Type,ROW()-4))))</f>
        <v/>
      </c>
      <c r="D2059">
        <f>IF(INDEX(L_Type,ROW()-4)="","",TRIM(UPPER(INDEX(L_Type,ROW()-4))))</f>
        <v/>
      </c>
      <c r="E2059">
        <f>IF(INDEX(P_Status,ROW()-4)="","",TRIM(UPPER(INDEX(P_Status,ROW()-4))))</f>
        <v/>
      </c>
      <c r="G2059">
        <f>IF(INDEX(L_Status,ROW()-4)="","",TRIM(UPPER(INDEX(L_Status,ROW()-4))))</f>
        <v/>
      </c>
      <c r="J2059">
        <f>IF(INDEX(L_ID,ROW()-4)="","",IF(SUMPRODUCT((P_ID=INDEX(L_ID,ROW()-4))*(P_StatusN="INACTIVE"))&gt;0,1,0))</f>
        <v/>
      </c>
    </row>
    <row r="2060">
      <c r="A2060">
        <f>IF(INDEX(L_ID,ROW()-4)="","",IF(COUNTIF(P_ID,INDEX(L_ID,ROW()-4))&gt;0,1,0))</f>
        <v/>
      </c>
      <c r="B2060">
        <f>IF(INDEX(P_Type,ROW()-4)="","",TRIM(UPPER(INDEX(P_Type,ROW()-4))))</f>
        <v/>
      </c>
      <c r="D2060">
        <f>IF(INDEX(L_Type,ROW()-4)="","",TRIM(UPPER(INDEX(L_Type,ROW()-4))))</f>
        <v/>
      </c>
      <c r="E2060">
        <f>IF(INDEX(P_Status,ROW()-4)="","",TRIM(UPPER(INDEX(P_Status,ROW()-4))))</f>
        <v/>
      </c>
      <c r="G2060">
        <f>IF(INDEX(L_Status,ROW()-4)="","",TRIM(UPPER(INDEX(L_Status,ROW()-4))))</f>
        <v/>
      </c>
      <c r="J2060">
        <f>IF(INDEX(L_ID,ROW()-4)="","",IF(SUMPRODUCT((P_ID=INDEX(L_ID,ROW()-4))*(P_StatusN="INACTIVE"))&gt;0,1,0))</f>
        <v/>
      </c>
    </row>
    <row r="2061">
      <c r="A2061">
        <f>IF(INDEX(L_ID,ROW()-4)="","",IF(COUNTIF(P_ID,INDEX(L_ID,ROW()-4))&gt;0,1,0))</f>
        <v/>
      </c>
      <c r="B2061">
        <f>IF(INDEX(P_Type,ROW()-4)="","",TRIM(UPPER(INDEX(P_Type,ROW()-4))))</f>
        <v/>
      </c>
      <c r="D2061">
        <f>IF(INDEX(L_Type,ROW()-4)="","",TRIM(UPPER(INDEX(L_Type,ROW()-4))))</f>
        <v/>
      </c>
      <c r="E2061">
        <f>IF(INDEX(P_Status,ROW()-4)="","",TRIM(UPPER(INDEX(P_Status,ROW()-4))))</f>
        <v/>
      </c>
      <c r="G2061">
        <f>IF(INDEX(L_Status,ROW()-4)="","",TRIM(UPPER(INDEX(L_Status,ROW()-4))))</f>
        <v/>
      </c>
      <c r="J2061">
        <f>IF(INDEX(L_ID,ROW()-4)="","",IF(SUMPRODUCT((P_ID=INDEX(L_ID,ROW()-4))*(P_StatusN="INACTIVE"))&gt;0,1,0))</f>
        <v/>
      </c>
    </row>
    <row r="2062">
      <c r="A2062">
        <f>IF(INDEX(L_ID,ROW()-4)="","",IF(COUNTIF(P_ID,INDEX(L_ID,ROW()-4))&gt;0,1,0))</f>
        <v/>
      </c>
      <c r="B2062">
        <f>IF(INDEX(P_Type,ROW()-4)="","",TRIM(UPPER(INDEX(P_Type,ROW()-4))))</f>
        <v/>
      </c>
      <c r="D2062">
        <f>IF(INDEX(L_Type,ROW()-4)="","",TRIM(UPPER(INDEX(L_Type,ROW()-4))))</f>
        <v/>
      </c>
      <c r="E2062">
        <f>IF(INDEX(P_Status,ROW()-4)="","",TRIM(UPPER(INDEX(P_Status,ROW()-4))))</f>
        <v/>
      </c>
      <c r="G2062">
        <f>IF(INDEX(L_Status,ROW()-4)="","",TRIM(UPPER(INDEX(L_Status,ROW()-4))))</f>
        <v/>
      </c>
      <c r="J2062">
        <f>IF(INDEX(L_ID,ROW()-4)="","",IF(SUMPRODUCT((P_ID=INDEX(L_ID,ROW()-4))*(P_StatusN="INACTIVE"))&gt;0,1,0))</f>
        <v/>
      </c>
    </row>
    <row r="2063">
      <c r="A2063">
        <f>IF(INDEX(L_ID,ROW()-4)="","",IF(COUNTIF(P_ID,INDEX(L_ID,ROW()-4))&gt;0,1,0))</f>
        <v/>
      </c>
      <c r="B2063">
        <f>IF(INDEX(P_Type,ROW()-4)="","",TRIM(UPPER(INDEX(P_Type,ROW()-4))))</f>
        <v/>
      </c>
      <c r="D2063">
        <f>IF(INDEX(L_Type,ROW()-4)="","",TRIM(UPPER(INDEX(L_Type,ROW()-4))))</f>
        <v/>
      </c>
      <c r="E2063">
        <f>IF(INDEX(P_Status,ROW()-4)="","",TRIM(UPPER(INDEX(P_Status,ROW()-4))))</f>
        <v/>
      </c>
      <c r="G2063">
        <f>IF(INDEX(L_Status,ROW()-4)="","",TRIM(UPPER(INDEX(L_Status,ROW()-4))))</f>
        <v/>
      </c>
      <c r="J2063">
        <f>IF(INDEX(L_ID,ROW()-4)="","",IF(SUMPRODUCT((P_ID=INDEX(L_ID,ROW()-4))*(P_StatusN="INACTIVE"))&gt;0,1,0))</f>
        <v/>
      </c>
    </row>
    <row r="2064">
      <c r="A2064">
        <f>IF(INDEX(L_ID,ROW()-4)="","",IF(COUNTIF(P_ID,INDEX(L_ID,ROW()-4))&gt;0,1,0))</f>
        <v/>
      </c>
      <c r="B2064">
        <f>IF(INDEX(P_Type,ROW()-4)="","",TRIM(UPPER(INDEX(P_Type,ROW()-4))))</f>
        <v/>
      </c>
      <c r="D2064">
        <f>IF(INDEX(L_Type,ROW()-4)="","",TRIM(UPPER(INDEX(L_Type,ROW()-4))))</f>
        <v/>
      </c>
      <c r="E2064">
        <f>IF(INDEX(P_Status,ROW()-4)="","",TRIM(UPPER(INDEX(P_Status,ROW()-4))))</f>
        <v/>
      </c>
      <c r="G2064">
        <f>IF(INDEX(L_Status,ROW()-4)="","",TRIM(UPPER(INDEX(L_Status,ROW()-4))))</f>
        <v/>
      </c>
      <c r="J2064">
        <f>IF(INDEX(L_ID,ROW()-4)="","",IF(SUMPRODUCT((P_ID=INDEX(L_ID,ROW()-4))*(P_StatusN="INACTIVE"))&gt;0,1,0))</f>
        <v/>
      </c>
    </row>
    <row r="2065">
      <c r="A2065">
        <f>IF(INDEX(L_ID,ROW()-4)="","",IF(COUNTIF(P_ID,INDEX(L_ID,ROW()-4))&gt;0,1,0))</f>
        <v/>
      </c>
      <c r="B2065">
        <f>IF(INDEX(P_Type,ROW()-4)="","",TRIM(UPPER(INDEX(P_Type,ROW()-4))))</f>
        <v/>
      </c>
      <c r="D2065">
        <f>IF(INDEX(L_Type,ROW()-4)="","",TRIM(UPPER(INDEX(L_Type,ROW()-4))))</f>
        <v/>
      </c>
      <c r="E2065">
        <f>IF(INDEX(P_Status,ROW()-4)="","",TRIM(UPPER(INDEX(P_Status,ROW()-4))))</f>
        <v/>
      </c>
      <c r="G2065">
        <f>IF(INDEX(L_Status,ROW()-4)="","",TRIM(UPPER(INDEX(L_Status,ROW()-4))))</f>
        <v/>
      </c>
      <c r="J2065">
        <f>IF(INDEX(L_ID,ROW()-4)="","",IF(SUMPRODUCT((P_ID=INDEX(L_ID,ROW()-4))*(P_StatusN="INACTIVE"))&gt;0,1,0))</f>
        <v/>
      </c>
    </row>
    <row r="2066">
      <c r="A2066">
        <f>IF(INDEX(L_ID,ROW()-4)="","",IF(COUNTIF(P_ID,INDEX(L_ID,ROW()-4))&gt;0,1,0))</f>
        <v/>
      </c>
      <c r="B2066">
        <f>IF(INDEX(P_Type,ROW()-4)="","",TRIM(UPPER(INDEX(P_Type,ROW()-4))))</f>
        <v/>
      </c>
      <c r="D2066">
        <f>IF(INDEX(L_Type,ROW()-4)="","",TRIM(UPPER(INDEX(L_Type,ROW()-4))))</f>
        <v/>
      </c>
      <c r="E2066">
        <f>IF(INDEX(P_Status,ROW()-4)="","",TRIM(UPPER(INDEX(P_Status,ROW()-4))))</f>
        <v/>
      </c>
      <c r="G2066">
        <f>IF(INDEX(L_Status,ROW()-4)="","",TRIM(UPPER(INDEX(L_Status,ROW()-4))))</f>
        <v/>
      </c>
      <c r="J2066">
        <f>IF(INDEX(L_ID,ROW()-4)="","",IF(SUMPRODUCT((P_ID=INDEX(L_ID,ROW()-4))*(P_StatusN="INACTIVE"))&gt;0,1,0))</f>
        <v/>
      </c>
    </row>
    <row r="2067">
      <c r="A2067">
        <f>IF(INDEX(L_ID,ROW()-4)="","",IF(COUNTIF(P_ID,INDEX(L_ID,ROW()-4))&gt;0,1,0))</f>
        <v/>
      </c>
      <c r="B2067">
        <f>IF(INDEX(P_Type,ROW()-4)="","",TRIM(UPPER(INDEX(P_Type,ROW()-4))))</f>
        <v/>
      </c>
      <c r="D2067">
        <f>IF(INDEX(L_Type,ROW()-4)="","",TRIM(UPPER(INDEX(L_Type,ROW()-4))))</f>
        <v/>
      </c>
      <c r="E2067">
        <f>IF(INDEX(P_Status,ROW()-4)="","",TRIM(UPPER(INDEX(P_Status,ROW()-4))))</f>
        <v/>
      </c>
      <c r="G2067">
        <f>IF(INDEX(L_Status,ROW()-4)="","",TRIM(UPPER(INDEX(L_Status,ROW()-4))))</f>
        <v/>
      </c>
      <c r="J2067">
        <f>IF(INDEX(L_ID,ROW()-4)="","",IF(SUMPRODUCT((P_ID=INDEX(L_ID,ROW()-4))*(P_StatusN="INACTIVE"))&gt;0,1,0))</f>
        <v/>
      </c>
    </row>
    <row r="2068">
      <c r="A2068">
        <f>IF(INDEX(L_ID,ROW()-4)="","",IF(COUNTIF(P_ID,INDEX(L_ID,ROW()-4))&gt;0,1,0))</f>
        <v/>
      </c>
      <c r="B2068">
        <f>IF(INDEX(P_Type,ROW()-4)="","",TRIM(UPPER(INDEX(P_Type,ROW()-4))))</f>
        <v/>
      </c>
      <c r="D2068">
        <f>IF(INDEX(L_Type,ROW()-4)="","",TRIM(UPPER(INDEX(L_Type,ROW()-4))))</f>
        <v/>
      </c>
      <c r="E2068">
        <f>IF(INDEX(P_Status,ROW()-4)="","",TRIM(UPPER(INDEX(P_Status,ROW()-4))))</f>
        <v/>
      </c>
      <c r="G2068">
        <f>IF(INDEX(L_Status,ROW()-4)="","",TRIM(UPPER(INDEX(L_Status,ROW()-4))))</f>
        <v/>
      </c>
      <c r="J2068">
        <f>IF(INDEX(L_ID,ROW()-4)="","",IF(SUMPRODUCT((P_ID=INDEX(L_ID,ROW()-4))*(P_StatusN="INACTIVE"))&gt;0,1,0))</f>
        <v/>
      </c>
    </row>
    <row r="2069">
      <c r="A2069">
        <f>IF(INDEX(L_ID,ROW()-4)="","",IF(COUNTIF(P_ID,INDEX(L_ID,ROW()-4))&gt;0,1,0))</f>
        <v/>
      </c>
      <c r="B2069">
        <f>IF(INDEX(P_Type,ROW()-4)="","",TRIM(UPPER(INDEX(P_Type,ROW()-4))))</f>
        <v/>
      </c>
      <c r="D2069">
        <f>IF(INDEX(L_Type,ROW()-4)="","",TRIM(UPPER(INDEX(L_Type,ROW()-4))))</f>
        <v/>
      </c>
      <c r="E2069">
        <f>IF(INDEX(P_Status,ROW()-4)="","",TRIM(UPPER(INDEX(P_Status,ROW()-4))))</f>
        <v/>
      </c>
      <c r="G2069">
        <f>IF(INDEX(L_Status,ROW()-4)="","",TRIM(UPPER(INDEX(L_Status,ROW()-4))))</f>
        <v/>
      </c>
      <c r="J2069">
        <f>IF(INDEX(L_ID,ROW()-4)="","",IF(SUMPRODUCT((P_ID=INDEX(L_ID,ROW()-4))*(P_StatusN="INACTIVE"))&gt;0,1,0))</f>
        <v/>
      </c>
    </row>
    <row r="2070">
      <c r="A2070">
        <f>IF(INDEX(L_ID,ROW()-4)="","",IF(COUNTIF(P_ID,INDEX(L_ID,ROW()-4))&gt;0,1,0))</f>
        <v/>
      </c>
      <c r="B2070">
        <f>IF(INDEX(P_Type,ROW()-4)="","",TRIM(UPPER(INDEX(P_Type,ROW()-4))))</f>
        <v/>
      </c>
      <c r="D2070">
        <f>IF(INDEX(L_Type,ROW()-4)="","",TRIM(UPPER(INDEX(L_Type,ROW()-4))))</f>
        <v/>
      </c>
      <c r="E2070">
        <f>IF(INDEX(P_Status,ROW()-4)="","",TRIM(UPPER(INDEX(P_Status,ROW()-4))))</f>
        <v/>
      </c>
      <c r="G2070">
        <f>IF(INDEX(L_Status,ROW()-4)="","",TRIM(UPPER(INDEX(L_Status,ROW()-4))))</f>
        <v/>
      </c>
      <c r="J2070">
        <f>IF(INDEX(L_ID,ROW()-4)="","",IF(SUMPRODUCT((P_ID=INDEX(L_ID,ROW()-4))*(P_StatusN="INACTIVE"))&gt;0,1,0))</f>
        <v/>
      </c>
    </row>
    <row r="2071">
      <c r="A2071">
        <f>IF(INDEX(L_ID,ROW()-4)="","",IF(COUNTIF(P_ID,INDEX(L_ID,ROW()-4))&gt;0,1,0))</f>
        <v/>
      </c>
      <c r="B2071">
        <f>IF(INDEX(P_Type,ROW()-4)="","",TRIM(UPPER(INDEX(P_Type,ROW()-4))))</f>
        <v/>
      </c>
      <c r="D2071">
        <f>IF(INDEX(L_Type,ROW()-4)="","",TRIM(UPPER(INDEX(L_Type,ROW()-4))))</f>
        <v/>
      </c>
      <c r="E2071">
        <f>IF(INDEX(P_Status,ROW()-4)="","",TRIM(UPPER(INDEX(P_Status,ROW()-4))))</f>
        <v/>
      </c>
      <c r="G2071">
        <f>IF(INDEX(L_Status,ROW()-4)="","",TRIM(UPPER(INDEX(L_Status,ROW()-4))))</f>
        <v/>
      </c>
      <c r="J2071">
        <f>IF(INDEX(L_ID,ROW()-4)="","",IF(SUMPRODUCT((P_ID=INDEX(L_ID,ROW()-4))*(P_StatusN="INACTIVE"))&gt;0,1,0))</f>
        <v/>
      </c>
    </row>
    <row r="2072">
      <c r="A2072">
        <f>IF(INDEX(L_ID,ROW()-4)="","",IF(COUNTIF(P_ID,INDEX(L_ID,ROW()-4))&gt;0,1,0))</f>
        <v/>
      </c>
      <c r="B2072">
        <f>IF(INDEX(P_Type,ROW()-4)="","",TRIM(UPPER(INDEX(P_Type,ROW()-4))))</f>
        <v/>
      </c>
      <c r="D2072">
        <f>IF(INDEX(L_Type,ROW()-4)="","",TRIM(UPPER(INDEX(L_Type,ROW()-4))))</f>
        <v/>
      </c>
      <c r="E2072">
        <f>IF(INDEX(P_Status,ROW()-4)="","",TRIM(UPPER(INDEX(P_Status,ROW()-4))))</f>
        <v/>
      </c>
      <c r="G2072">
        <f>IF(INDEX(L_Status,ROW()-4)="","",TRIM(UPPER(INDEX(L_Status,ROW()-4))))</f>
        <v/>
      </c>
      <c r="J2072">
        <f>IF(INDEX(L_ID,ROW()-4)="","",IF(SUMPRODUCT((P_ID=INDEX(L_ID,ROW()-4))*(P_StatusN="INACTIVE"))&gt;0,1,0))</f>
        <v/>
      </c>
    </row>
    <row r="2073">
      <c r="A2073">
        <f>IF(INDEX(L_ID,ROW()-4)="","",IF(COUNTIF(P_ID,INDEX(L_ID,ROW()-4))&gt;0,1,0))</f>
        <v/>
      </c>
      <c r="B2073">
        <f>IF(INDEX(P_Type,ROW()-4)="","",TRIM(UPPER(INDEX(P_Type,ROW()-4))))</f>
        <v/>
      </c>
      <c r="D2073">
        <f>IF(INDEX(L_Type,ROW()-4)="","",TRIM(UPPER(INDEX(L_Type,ROW()-4))))</f>
        <v/>
      </c>
      <c r="E2073">
        <f>IF(INDEX(P_Status,ROW()-4)="","",TRIM(UPPER(INDEX(P_Status,ROW()-4))))</f>
        <v/>
      </c>
      <c r="G2073">
        <f>IF(INDEX(L_Status,ROW()-4)="","",TRIM(UPPER(INDEX(L_Status,ROW()-4))))</f>
        <v/>
      </c>
      <c r="J2073">
        <f>IF(INDEX(L_ID,ROW()-4)="","",IF(SUMPRODUCT((P_ID=INDEX(L_ID,ROW()-4))*(P_StatusN="INACTIVE"))&gt;0,1,0))</f>
        <v/>
      </c>
    </row>
    <row r="2074">
      <c r="A2074">
        <f>IF(INDEX(L_ID,ROW()-4)="","",IF(COUNTIF(P_ID,INDEX(L_ID,ROW()-4))&gt;0,1,0))</f>
        <v/>
      </c>
      <c r="B2074">
        <f>IF(INDEX(P_Type,ROW()-4)="","",TRIM(UPPER(INDEX(P_Type,ROW()-4))))</f>
        <v/>
      </c>
      <c r="D2074">
        <f>IF(INDEX(L_Type,ROW()-4)="","",TRIM(UPPER(INDEX(L_Type,ROW()-4))))</f>
        <v/>
      </c>
      <c r="E2074">
        <f>IF(INDEX(P_Status,ROW()-4)="","",TRIM(UPPER(INDEX(P_Status,ROW()-4))))</f>
        <v/>
      </c>
      <c r="G2074">
        <f>IF(INDEX(L_Status,ROW()-4)="","",TRIM(UPPER(INDEX(L_Status,ROW()-4))))</f>
        <v/>
      </c>
      <c r="J2074">
        <f>IF(INDEX(L_ID,ROW()-4)="","",IF(SUMPRODUCT((P_ID=INDEX(L_ID,ROW()-4))*(P_StatusN="INACTIVE"))&gt;0,1,0))</f>
        <v/>
      </c>
    </row>
    <row r="2075">
      <c r="A2075">
        <f>IF(INDEX(L_ID,ROW()-4)="","",IF(COUNTIF(P_ID,INDEX(L_ID,ROW()-4))&gt;0,1,0))</f>
        <v/>
      </c>
      <c r="B2075">
        <f>IF(INDEX(P_Type,ROW()-4)="","",TRIM(UPPER(INDEX(P_Type,ROW()-4))))</f>
        <v/>
      </c>
      <c r="D2075">
        <f>IF(INDEX(L_Type,ROW()-4)="","",TRIM(UPPER(INDEX(L_Type,ROW()-4))))</f>
        <v/>
      </c>
      <c r="E2075">
        <f>IF(INDEX(P_Status,ROW()-4)="","",TRIM(UPPER(INDEX(P_Status,ROW()-4))))</f>
        <v/>
      </c>
      <c r="G2075">
        <f>IF(INDEX(L_Status,ROW()-4)="","",TRIM(UPPER(INDEX(L_Status,ROW()-4))))</f>
        <v/>
      </c>
      <c r="J2075">
        <f>IF(INDEX(L_ID,ROW()-4)="","",IF(SUMPRODUCT((P_ID=INDEX(L_ID,ROW()-4))*(P_StatusN="INACTIVE"))&gt;0,1,0))</f>
        <v/>
      </c>
    </row>
    <row r="2076">
      <c r="A2076">
        <f>IF(INDEX(L_ID,ROW()-4)="","",IF(COUNTIF(P_ID,INDEX(L_ID,ROW()-4))&gt;0,1,0))</f>
        <v/>
      </c>
      <c r="B2076">
        <f>IF(INDEX(P_Type,ROW()-4)="","",TRIM(UPPER(INDEX(P_Type,ROW()-4))))</f>
        <v/>
      </c>
      <c r="D2076">
        <f>IF(INDEX(L_Type,ROW()-4)="","",TRIM(UPPER(INDEX(L_Type,ROW()-4))))</f>
        <v/>
      </c>
      <c r="E2076">
        <f>IF(INDEX(P_Status,ROW()-4)="","",TRIM(UPPER(INDEX(P_Status,ROW()-4))))</f>
        <v/>
      </c>
      <c r="G2076">
        <f>IF(INDEX(L_Status,ROW()-4)="","",TRIM(UPPER(INDEX(L_Status,ROW()-4))))</f>
        <v/>
      </c>
      <c r="J2076">
        <f>IF(INDEX(L_ID,ROW()-4)="","",IF(SUMPRODUCT((P_ID=INDEX(L_ID,ROW()-4))*(P_StatusN="INACTIVE"))&gt;0,1,0))</f>
        <v/>
      </c>
    </row>
    <row r="2077">
      <c r="A2077">
        <f>IF(INDEX(L_ID,ROW()-4)="","",IF(COUNTIF(P_ID,INDEX(L_ID,ROW()-4))&gt;0,1,0))</f>
        <v/>
      </c>
      <c r="B2077">
        <f>IF(INDEX(P_Type,ROW()-4)="","",TRIM(UPPER(INDEX(P_Type,ROW()-4))))</f>
        <v/>
      </c>
      <c r="D2077">
        <f>IF(INDEX(L_Type,ROW()-4)="","",TRIM(UPPER(INDEX(L_Type,ROW()-4))))</f>
        <v/>
      </c>
      <c r="E2077">
        <f>IF(INDEX(P_Status,ROW()-4)="","",TRIM(UPPER(INDEX(P_Status,ROW()-4))))</f>
        <v/>
      </c>
      <c r="G2077">
        <f>IF(INDEX(L_Status,ROW()-4)="","",TRIM(UPPER(INDEX(L_Status,ROW()-4))))</f>
        <v/>
      </c>
      <c r="J2077">
        <f>IF(INDEX(L_ID,ROW()-4)="","",IF(SUMPRODUCT((P_ID=INDEX(L_ID,ROW()-4))*(P_StatusN="INACTIVE"))&gt;0,1,0))</f>
        <v/>
      </c>
    </row>
    <row r="2078">
      <c r="A2078">
        <f>IF(INDEX(L_ID,ROW()-4)="","",IF(COUNTIF(P_ID,INDEX(L_ID,ROW()-4))&gt;0,1,0))</f>
        <v/>
      </c>
      <c r="B2078">
        <f>IF(INDEX(P_Type,ROW()-4)="","",TRIM(UPPER(INDEX(P_Type,ROW()-4))))</f>
        <v/>
      </c>
      <c r="D2078">
        <f>IF(INDEX(L_Type,ROW()-4)="","",TRIM(UPPER(INDEX(L_Type,ROW()-4))))</f>
        <v/>
      </c>
      <c r="E2078">
        <f>IF(INDEX(P_Status,ROW()-4)="","",TRIM(UPPER(INDEX(P_Status,ROW()-4))))</f>
        <v/>
      </c>
      <c r="G2078">
        <f>IF(INDEX(L_Status,ROW()-4)="","",TRIM(UPPER(INDEX(L_Status,ROW()-4))))</f>
        <v/>
      </c>
      <c r="J2078">
        <f>IF(INDEX(L_ID,ROW()-4)="","",IF(SUMPRODUCT((P_ID=INDEX(L_ID,ROW()-4))*(P_StatusN="INACTIVE"))&gt;0,1,0))</f>
        <v/>
      </c>
    </row>
    <row r="2079">
      <c r="A2079">
        <f>IF(INDEX(L_ID,ROW()-4)="","",IF(COUNTIF(P_ID,INDEX(L_ID,ROW()-4))&gt;0,1,0))</f>
        <v/>
      </c>
      <c r="B2079">
        <f>IF(INDEX(P_Type,ROW()-4)="","",TRIM(UPPER(INDEX(P_Type,ROW()-4))))</f>
        <v/>
      </c>
      <c r="D2079">
        <f>IF(INDEX(L_Type,ROW()-4)="","",TRIM(UPPER(INDEX(L_Type,ROW()-4))))</f>
        <v/>
      </c>
      <c r="E2079">
        <f>IF(INDEX(P_Status,ROW()-4)="","",TRIM(UPPER(INDEX(P_Status,ROW()-4))))</f>
        <v/>
      </c>
      <c r="G2079">
        <f>IF(INDEX(L_Status,ROW()-4)="","",TRIM(UPPER(INDEX(L_Status,ROW()-4))))</f>
        <v/>
      </c>
      <c r="J2079">
        <f>IF(INDEX(L_ID,ROW()-4)="","",IF(SUMPRODUCT((P_ID=INDEX(L_ID,ROW()-4))*(P_StatusN="INACTIVE"))&gt;0,1,0))</f>
        <v/>
      </c>
    </row>
    <row r="2080">
      <c r="A2080">
        <f>IF(INDEX(L_ID,ROW()-4)="","",IF(COUNTIF(P_ID,INDEX(L_ID,ROW()-4))&gt;0,1,0))</f>
        <v/>
      </c>
      <c r="B2080">
        <f>IF(INDEX(P_Type,ROW()-4)="","",TRIM(UPPER(INDEX(P_Type,ROW()-4))))</f>
        <v/>
      </c>
      <c r="D2080">
        <f>IF(INDEX(L_Type,ROW()-4)="","",TRIM(UPPER(INDEX(L_Type,ROW()-4))))</f>
        <v/>
      </c>
      <c r="E2080">
        <f>IF(INDEX(P_Status,ROW()-4)="","",TRIM(UPPER(INDEX(P_Status,ROW()-4))))</f>
        <v/>
      </c>
      <c r="G2080">
        <f>IF(INDEX(L_Status,ROW()-4)="","",TRIM(UPPER(INDEX(L_Status,ROW()-4))))</f>
        <v/>
      </c>
      <c r="J2080">
        <f>IF(INDEX(L_ID,ROW()-4)="","",IF(SUMPRODUCT((P_ID=INDEX(L_ID,ROW()-4))*(P_StatusN="INACTIVE"))&gt;0,1,0))</f>
        <v/>
      </c>
    </row>
    <row r="2081">
      <c r="A2081">
        <f>IF(INDEX(L_ID,ROW()-4)="","",IF(COUNTIF(P_ID,INDEX(L_ID,ROW()-4))&gt;0,1,0))</f>
        <v/>
      </c>
      <c r="B2081">
        <f>IF(INDEX(P_Type,ROW()-4)="","",TRIM(UPPER(INDEX(P_Type,ROW()-4))))</f>
        <v/>
      </c>
      <c r="D2081">
        <f>IF(INDEX(L_Type,ROW()-4)="","",TRIM(UPPER(INDEX(L_Type,ROW()-4))))</f>
        <v/>
      </c>
      <c r="E2081">
        <f>IF(INDEX(P_Status,ROW()-4)="","",TRIM(UPPER(INDEX(P_Status,ROW()-4))))</f>
        <v/>
      </c>
      <c r="G2081">
        <f>IF(INDEX(L_Status,ROW()-4)="","",TRIM(UPPER(INDEX(L_Status,ROW()-4))))</f>
        <v/>
      </c>
      <c r="J2081">
        <f>IF(INDEX(L_ID,ROW()-4)="","",IF(SUMPRODUCT((P_ID=INDEX(L_ID,ROW()-4))*(P_StatusN="INACTIVE"))&gt;0,1,0))</f>
        <v/>
      </c>
    </row>
    <row r="2082">
      <c r="A2082">
        <f>IF(INDEX(L_ID,ROW()-4)="","",IF(COUNTIF(P_ID,INDEX(L_ID,ROW()-4))&gt;0,1,0))</f>
        <v/>
      </c>
      <c r="B2082">
        <f>IF(INDEX(P_Type,ROW()-4)="","",TRIM(UPPER(INDEX(P_Type,ROW()-4))))</f>
        <v/>
      </c>
      <c r="D2082">
        <f>IF(INDEX(L_Type,ROW()-4)="","",TRIM(UPPER(INDEX(L_Type,ROW()-4))))</f>
        <v/>
      </c>
      <c r="E2082">
        <f>IF(INDEX(P_Status,ROW()-4)="","",TRIM(UPPER(INDEX(P_Status,ROW()-4))))</f>
        <v/>
      </c>
      <c r="G2082">
        <f>IF(INDEX(L_Status,ROW()-4)="","",TRIM(UPPER(INDEX(L_Status,ROW()-4))))</f>
        <v/>
      </c>
      <c r="J2082">
        <f>IF(INDEX(L_ID,ROW()-4)="","",IF(SUMPRODUCT((P_ID=INDEX(L_ID,ROW()-4))*(P_StatusN="INACTIVE"))&gt;0,1,0))</f>
        <v/>
      </c>
    </row>
    <row r="2083">
      <c r="A2083">
        <f>IF(INDEX(L_ID,ROW()-4)="","",IF(COUNTIF(P_ID,INDEX(L_ID,ROW()-4))&gt;0,1,0))</f>
        <v/>
      </c>
      <c r="B2083">
        <f>IF(INDEX(P_Type,ROW()-4)="","",TRIM(UPPER(INDEX(P_Type,ROW()-4))))</f>
        <v/>
      </c>
      <c r="D2083">
        <f>IF(INDEX(L_Type,ROW()-4)="","",TRIM(UPPER(INDEX(L_Type,ROW()-4))))</f>
        <v/>
      </c>
      <c r="E2083">
        <f>IF(INDEX(P_Status,ROW()-4)="","",TRIM(UPPER(INDEX(P_Status,ROW()-4))))</f>
        <v/>
      </c>
      <c r="G2083">
        <f>IF(INDEX(L_Status,ROW()-4)="","",TRIM(UPPER(INDEX(L_Status,ROW()-4))))</f>
        <v/>
      </c>
      <c r="J2083">
        <f>IF(INDEX(L_ID,ROW()-4)="","",IF(SUMPRODUCT((P_ID=INDEX(L_ID,ROW()-4))*(P_StatusN="INACTIVE"))&gt;0,1,0))</f>
        <v/>
      </c>
    </row>
    <row r="2084">
      <c r="A2084">
        <f>IF(INDEX(L_ID,ROW()-4)="","",IF(COUNTIF(P_ID,INDEX(L_ID,ROW()-4))&gt;0,1,0))</f>
        <v/>
      </c>
      <c r="B2084">
        <f>IF(INDEX(P_Type,ROW()-4)="","",TRIM(UPPER(INDEX(P_Type,ROW()-4))))</f>
        <v/>
      </c>
      <c r="D2084">
        <f>IF(INDEX(L_Type,ROW()-4)="","",TRIM(UPPER(INDEX(L_Type,ROW()-4))))</f>
        <v/>
      </c>
      <c r="E2084">
        <f>IF(INDEX(P_Status,ROW()-4)="","",TRIM(UPPER(INDEX(P_Status,ROW()-4))))</f>
        <v/>
      </c>
      <c r="G2084">
        <f>IF(INDEX(L_Status,ROW()-4)="","",TRIM(UPPER(INDEX(L_Status,ROW()-4))))</f>
        <v/>
      </c>
      <c r="J2084">
        <f>IF(INDEX(L_ID,ROW()-4)="","",IF(SUMPRODUCT((P_ID=INDEX(L_ID,ROW()-4))*(P_StatusN="INACTIVE"))&gt;0,1,0))</f>
        <v/>
      </c>
    </row>
    <row r="2085">
      <c r="A2085">
        <f>IF(INDEX(L_ID,ROW()-4)="","",IF(COUNTIF(P_ID,INDEX(L_ID,ROW()-4))&gt;0,1,0))</f>
        <v/>
      </c>
      <c r="B2085">
        <f>IF(INDEX(P_Type,ROW()-4)="","",TRIM(UPPER(INDEX(P_Type,ROW()-4))))</f>
        <v/>
      </c>
      <c r="D2085">
        <f>IF(INDEX(L_Type,ROW()-4)="","",TRIM(UPPER(INDEX(L_Type,ROW()-4))))</f>
        <v/>
      </c>
      <c r="E2085">
        <f>IF(INDEX(P_Status,ROW()-4)="","",TRIM(UPPER(INDEX(P_Status,ROW()-4))))</f>
        <v/>
      </c>
      <c r="G2085">
        <f>IF(INDEX(L_Status,ROW()-4)="","",TRIM(UPPER(INDEX(L_Status,ROW()-4))))</f>
        <v/>
      </c>
      <c r="J2085">
        <f>IF(INDEX(L_ID,ROW()-4)="","",IF(SUMPRODUCT((P_ID=INDEX(L_ID,ROW()-4))*(P_StatusN="INACTIVE"))&gt;0,1,0))</f>
        <v/>
      </c>
    </row>
    <row r="2086">
      <c r="A2086">
        <f>IF(INDEX(L_ID,ROW()-4)="","",IF(COUNTIF(P_ID,INDEX(L_ID,ROW()-4))&gt;0,1,0))</f>
        <v/>
      </c>
      <c r="B2086">
        <f>IF(INDEX(P_Type,ROW()-4)="","",TRIM(UPPER(INDEX(P_Type,ROW()-4))))</f>
        <v/>
      </c>
      <c r="D2086">
        <f>IF(INDEX(L_Type,ROW()-4)="","",TRIM(UPPER(INDEX(L_Type,ROW()-4))))</f>
        <v/>
      </c>
      <c r="E2086">
        <f>IF(INDEX(P_Status,ROW()-4)="","",TRIM(UPPER(INDEX(P_Status,ROW()-4))))</f>
        <v/>
      </c>
      <c r="G2086">
        <f>IF(INDEX(L_Status,ROW()-4)="","",TRIM(UPPER(INDEX(L_Status,ROW()-4))))</f>
        <v/>
      </c>
      <c r="J2086">
        <f>IF(INDEX(L_ID,ROW()-4)="","",IF(SUMPRODUCT((P_ID=INDEX(L_ID,ROW()-4))*(P_StatusN="INACTIVE"))&gt;0,1,0))</f>
        <v/>
      </c>
    </row>
    <row r="2087">
      <c r="A2087">
        <f>IF(INDEX(L_ID,ROW()-4)="","",IF(COUNTIF(P_ID,INDEX(L_ID,ROW()-4))&gt;0,1,0))</f>
        <v/>
      </c>
      <c r="B2087">
        <f>IF(INDEX(P_Type,ROW()-4)="","",TRIM(UPPER(INDEX(P_Type,ROW()-4))))</f>
        <v/>
      </c>
      <c r="D2087">
        <f>IF(INDEX(L_Type,ROW()-4)="","",TRIM(UPPER(INDEX(L_Type,ROW()-4))))</f>
        <v/>
      </c>
      <c r="E2087">
        <f>IF(INDEX(P_Status,ROW()-4)="","",TRIM(UPPER(INDEX(P_Status,ROW()-4))))</f>
        <v/>
      </c>
      <c r="G2087">
        <f>IF(INDEX(L_Status,ROW()-4)="","",TRIM(UPPER(INDEX(L_Status,ROW()-4))))</f>
        <v/>
      </c>
      <c r="J2087">
        <f>IF(INDEX(L_ID,ROW()-4)="","",IF(SUMPRODUCT((P_ID=INDEX(L_ID,ROW()-4))*(P_StatusN="INACTIVE"))&gt;0,1,0))</f>
        <v/>
      </c>
    </row>
    <row r="2088">
      <c r="A2088">
        <f>IF(INDEX(L_ID,ROW()-4)="","",IF(COUNTIF(P_ID,INDEX(L_ID,ROW()-4))&gt;0,1,0))</f>
        <v/>
      </c>
      <c r="B2088">
        <f>IF(INDEX(P_Type,ROW()-4)="","",TRIM(UPPER(INDEX(P_Type,ROW()-4))))</f>
        <v/>
      </c>
      <c r="D2088">
        <f>IF(INDEX(L_Type,ROW()-4)="","",TRIM(UPPER(INDEX(L_Type,ROW()-4))))</f>
        <v/>
      </c>
      <c r="E2088">
        <f>IF(INDEX(P_Status,ROW()-4)="","",TRIM(UPPER(INDEX(P_Status,ROW()-4))))</f>
        <v/>
      </c>
      <c r="G2088">
        <f>IF(INDEX(L_Status,ROW()-4)="","",TRIM(UPPER(INDEX(L_Status,ROW()-4))))</f>
        <v/>
      </c>
      <c r="J2088">
        <f>IF(INDEX(L_ID,ROW()-4)="","",IF(SUMPRODUCT((P_ID=INDEX(L_ID,ROW()-4))*(P_StatusN="INACTIVE"))&gt;0,1,0))</f>
        <v/>
      </c>
    </row>
    <row r="2089">
      <c r="A2089">
        <f>IF(INDEX(L_ID,ROW()-4)="","",IF(COUNTIF(P_ID,INDEX(L_ID,ROW()-4))&gt;0,1,0))</f>
        <v/>
      </c>
      <c r="B2089">
        <f>IF(INDEX(P_Type,ROW()-4)="","",TRIM(UPPER(INDEX(P_Type,ROW()-4))))</f>
        <v/>
      </c>
      <c r="D2089">
        <f>IF(INDEX(L_Type,ROW()-4)="","",TRIM(UPPER(INDEX(L_Type,ROW()-4))))</f>
        <v/>
      </c>
      <c r="E2089">
        <f>IF(INDEX(P_Status,ROW()-4)="","",TRIM(UPPER(INDEX(P_Status,ROW()-4))))</f>
        <v/>
      </c>
      <c r="G2089">
        <f>IF(INDEX(L_Status,ROW()-4)="","",TRIM(UPPER(INDEX(L_Status,ROW()-4))))</f>
        <v/>
      </c>
      <c r="J2089">
        <f>IF(INDEX(L_ID,ROW()-4)="","",IF(SUMPRODUCT((P_ID=INDEX(L_ID,ROW()-4))*(P_StatusN="INACTIVE"))&gt;0,1,0))</f>
        <v/>
      </c>
    </row>
    <row r="2090">
      <c r="A2090">
        <f>IF(INDEX(L_ID,ROW()-4)="","",IF(COUNTIF(P_ID,INDEX(L_ID,ROW()-4))&gt;0,1,0))</f>
        <v/>
      </c>
      <c r="B2090">
        <f>IF(INDEX(P_Type,ROW()-4)="","",TRIM(UPPER(INDEX(P_Type,ROW()-4))))</f>
        <v/>
      </c>
      <c r="D2090">
        <f>IF(INDEX(L_Type,ROW()-4)="","",TRIM(UPPER(INDEX(L_Type,ROW()-4))))</f>
        <v/>
      </c>
      <c r="E2090">
        <f>IF(INDEX(P_Status,ROW()-4)="","",TRIM(UPPER(INDEX(P_Status,ROW()-4))))</f>
        <v/>
      </c>
      <c r="G2090">
        <f>IF(INDEX(L_Status,ROW()-4)="","",TRIM(UPPER(INDEX(L_Status,ROW()-4))))</f>
        <v/>
      </c>
      <c r="J2090">
        <f>IF(INDEX(L_ID,ROW()-4)="","",IF(SUMPRODUCT((P_ID=INDEX(L_ID,ROW()-4))*(P_StatusN="INACTIVE"))&gt;0,1,0))</f>
        <v/>
      </c>
    </row>
    <row r="2091">
      <c r="A2091">
        <f>IF(INDEX(L_ID,ROW()-4)="","",IF(COUNTIF(P_ID,INDEX(L_ID,ROW()-4))&gt;0,1,0))</f>
        <v/>
      </c>
      <c r="B2091">
        <f>IF(INDEX(P_Type,ROW()-4)="","",TRIM(UPPER(INDEX(P_Type,ROW()-4))))</f>
        <v/>
      </c>
      <c r="D2091">
        <f>IF(INDEX(L_Type,ROW()-4)="","",TRIM(UPPER(INDEX(L_Type,ROW()-4))))</f>
        <v/>
      </c>
      <c r="E2091">
        <f>IF(INDEX(P_Status,ROW()-4)="","",TRIM(UPPER(INDEX(P_Status,ROW()-4))))</f>
        <v/>
      </c>
      <c r="G2091">
        <f>IF(INDEX(L_Status,ROW()-4)="","",TRIM(UPPER(INDEX(L_Status,ROW()-4))))</f>
        <v/>
      </c>
      <c r="J2091">
        <f>IF(INDEX(L_ID,ROW()-4)="","",IF(SUMPRODUCT((P_ID=INDEX(L_ID,ROW()-4))*(P_StatusN="INACTIVE"))&gt;0,1,0))</f>
        <v/>
      </c>
    </row>
    <row r="2092">
      <c r="A2092">
        <f>IF(INDEX(L_ID,ROW()-4)="","",IF(COUNTIF(P_ID,INDEX(L_ID,ROW()-4))&gt;0,1,0))</f>
        <v/>
      </c>
      <c r="B2092">
        <f>IF(INDEX(P_Type,ROW()-4)="","",TRIM(UPPER(INDEX(P_Type,ROW()-4))))</f>
        <v/>
      </c>
      <c r="D2092">
        <f>IF(INDEX(L_Type,ROW()-4)="","",TRIM(UPPER(INDEX(L_Type,ROW()-4))))</f>
        <v/>
      </c>
      <c r="E2092">
        <f>IF(INDEX(P_Status,ROW()-4)="","",TRIM(UPPER(INDEX(P_Status,ROW()-4))))</f>
        <v/>
      </c>
      <c r="G2092">
        <f>IF(INDEX(L_Status,ROW()-4)="","",TRIM(UPPER(INDEX(L_Status,ROW()-4))))</f>
        <v/>
      </c>
      <c r="J2092">
        <f>IF(INDEX(L_ID,ROW()-4)="","",IF(SUMPRODUCT((P_ID=INDEX(L_ID,ROW()-4))*(P_StatusN="INACTIVE"))&gt;0,1,0))</f>
        <v/>
      </c>
    </row>
    <row r="2093">
      <c r="A2093">
        <f>IF(INDEX(L_ID,ROW()-4)="","",IF(COUNTIF(P_ID,INDEX(L_ID,ROW()-4))&gt;0,1,0))</f>
        <v/>
      </c>
      <c r="B2093">
        <f>IF(INDEX(P_Type,ROW()-4)="","",TRIM(UPPER(INDEX(P_Type,ROW()-4))))</f>
        <v/>
      </c>
      <c r="D2093">
        <f>IF(INDEX(L_Type,ROW()-4)="","",TRIM(UPPER(INDEX(L_Type,ROW()-4))))</f>
        <v/>
      </c>
      <c r="E2093">
        <f>IF(INDEX(P_Status,ROW()-4)="","",TRIM(UPPER(INDEX(P_Status,ROW()-4))))</f>
        <v/>
      </c>
      <c r="G2093">
        <f>IF(INDEX(L_Status,ROW()-4)="","",TRIM(UPPER(INDEX(L_Status,ROW()-4))))</f>
        <v/>
      </c>
      <c r="J2093">
        <f>IF(INDEX(L_ID,ROW()-4)="","",IF(SUMPRODUCT((P_ID=INDEX(L_ID,ROW()-4))*(P_StatusN="INACTIVE"))&gt;0,1,0))</f>
        <v/>
      </c>
    </row>
    <row r="2094">
      <c r="A2094">
        <f>IF(INDEX(L_ID,ROW()-4)="","",IF(COUNTIF(P_ID,INDEX(L_ID,ROW()-4))&gt;0,1,0))</f>
        <v/>
      </c>
      <c r="B2094">
        <f>IF(INDEX(P_Type,ROW()-4)="","",TRIM(UPPER(INDEX(P_Type,ROW()-4))))</f>
        <v/>
      </c>
      <c r="D2094">
        <f>IF(INDEX(L_Type,ROW()-4)="","",TRIM(UPPER(INDEX(L_Type,ROW()-4))))</f>
        <v/>
      </c>
      <c r="E2094">
        <f>IF(INDEX(P_Status,ROW()-4)="","",TRIM(UPPER(INDEX(P_Status,ROW()-4))))</f>
        <v/>
      </c>
      <c r="G2094">
        <f>IF(INDEX(L_Status,ROW()-4)="","",TRIM(UPPER(INDEX(L_Status,ROW()-4))))</f>
        <v/>
      </c>
      <c r="J2094">
        <f>IF(INDEX(L_ID,ROW()-4)="","",IF(SUMPRODUCT((P_ID=INDEX(L_ID,ROW()-4))*(P_StatusN="INACTIVE"))&gt;0,1,0))</f>
        <v/>
      </c>
    </row>
    <row r="2095">
      <c r="A2095">
        <f>IF(INDEX(L_ID,ROW()-4)="","",IF(COUNTIF(P_ID,INDEX(L_ID,ROW()-4))&gt;0,1,0))</f>
        <v/>
      </c>
      <c r="B2095">
        <f>IF(INDEX(P_Type,ROW()-4)="","",TRIM(UPPER(INDEX(P_Type,ROW()-4))))</f>
        <v/>
      </c>
      <c r="D2095">
        <f>IF(INDEX(L_Type,ROW()-4)="","",TRIM(UPPER(INDEX(L_Type,ROW()-4))))</f>
        <v/>
      </c>
      <c r="E2095">
        <f>IF(INDEX(P_Status,ROW()-4)="","",TRIM(UPPER(INDEX(P_Status,ROW()-4))))</f>
        <v/>
      </c>
      <c r="G2095">
        <f>IF(INDEX(L_Status,ROW()-4)="","",TRIM(UPPER(INDEX(L_Status,ROW()-4))))</f>
        <v/>
      </c>
      <c r="J2095">
        <f>IF(INDEX(L_ID,ROW()-4)="","",IF(SUMPRODUCT((P_ID=INDEX(L_ID,ROW()-4))*(P_StatusN="INACTIVE"))&gt;0,1,0))</f>
        <v/>
      </c>
    </row>
    <row r="2096">
      <c r="A2096">
        <f>IF(INDEX(L_ID,ROW()-4)="","",IF(COUNTIF(P_ID,INDEX(L_ID,ROW()-4))&gt;0,1,0))</f>
        <v/>
      </c>
      <c r="B2096">
        <f>IF(INDEX(P_Type,ROW()-4)="","",TRIM(UPPER(INDEX(P_Type,ROW()-4))))</f>
        <v/>
      </c>
      <c r="D2096">
        <f>IF(INDEX(L_Type,ROW()-4)="","",TRIM(UPPER(INDEX(L_Type,ROW()-4))))</f>
        <v/>
      </c>
      <c r="E2096">
        <f>IF(INDEX(P_Status,ROW()-4)="","",TRIM(UPPER(INDEX(P_Status,ROW()-4))))</f>
        <v/>
      </c>
      <c r="G2096">
        <f>IF(INDEX(L_Status,ROW()-4)="","",TRIM(UPPER(INDEX(L_Status,ROW()-4))))</f>
        <v/>
      </c>
      <c r="J2096">
        <f>IF(INDEX(L_ID,ROW()-4)="","",IF(SUMPRODUCT((P_ID=INDEX(L_ID,ROW()-4))*(P_StatusN="INACTIVE"))&gt;0,1,0))</f>
        <v/>
      </c>
    </row>
    <row r="2097">
      <c r="A2097">
        <f>IF(INDEX(L_ID,ROW()-4)="","",IF(COUNTIF(P_ID,INDEX(L_ID,ROW()-4))&gt;0,1,0))</f>
        <v/>
      </c>
      <c r="B2097">
        <f>IF(INDEX(P_Type,ROW()-4)="","",TRIM(UPPER(INDEX(P_Type,ROW()-4))))</f>
        <v/>
      </c>
      <c r="D2097">
        <f>IF(INDEX(L_Type,ROW()-4)="","",TRIM(UPPER(INDEX(L_Type,ROW()-4))))</f>
        <v/>
      </c>
      <c r="E2097">
        <f>IF(INDEX(P_Status,ROW()-4)="","",TRIM(UPPER(INDEX(P_Status,ROW()-4))))</f>
        <v/>
      </c>
      <c r="G2097">
        <f>IF(INDEX(L_Status,ROW()-4)="","",TRIM(UPPER(INDEX(L_Status,ROW()-4))))</f>
        <v/>
      </c>
      <c r="J2097">
        <f>IF(INDEX(L_ID,ROW()-4)="","",IF(SUMPRODUCT((P_ID=INDEX(L_ID,ROW()-4))*(P_StatusN="INACTIVE"))&gt;0,1,0))</f>
        <v/>
      </c>
    </row>
    <row r="2098">
      <c r="A2098">
        <f>IF(INDEX(L_ID,ROW()-4)="","",IF(COUNTIF(P_ID,INDEX(L_ID,ROW()-4))&gt;0,1,0))</f>
        <v/>
      </c>
      <c r="B2098">
        <f>IF(INDEX(P_Type,ROW()-4)="","",TRIM(UPPER(INDEX(P_Type,ROW()-4))))</f>
        <v/>
      </c>
      <c r="D2098">
        <f>IF(INDEX(L_Type,ROW()-4)="","",TRIM(UPPER(INDEX(L_Type,ROW()-4))))</f>
        <v/>
      </c>
      <c r="E2098">
        <f>IF(INDEX(P_Status,ROW()-4)="","",TRIM(UPPER(INDEX(P_Status,ROW()-4))))</f>
        <v/>
      </c>
      <c r="G2098">
        <f>IF(INDEX(L_Status,ROW()-4)="","",TRIM(UPPER(INDEX(L_Status,ROW()-4))))</f>
        <v/>
      </c>
      <c r="J2098">
        <f>IF(INDEX(L_ID,ROW()-4)="","",IF(SUMPRODUCT((P_ID=INDEX(L_ID,ROW()-4))*(P_StatusN="INACTIVE"))&gt;0,1,0))</f>
        <v/>
      </c>
    </row>
    <row r="2099">
      <c r="A2099">
        <f>IF(INDEX(L_ID,ROW()-4)="","",IF(COUNTIF(P_ID,INDEX(L_ID,ROW()-4))&gt;0,1,0))</f>
        <v/>
      </c>
      <c r="B2099">
        <f>IF(INDEX(P_Type,ROW()-4)="","",TRIM(UPPER(INDEX(P_Type,ROW()-4))))</f>
        <v/>
      </c>
      <c r="D2099">
        <f>IF(INDEX(L_Type,ROW()-4)="","",TRIM(UPPER(INDEX(L_Type,ROW()-4))))</f>
        <v/>
      </c>
      <c r="E2099">
        <f>IF(INDEX(P_Status,ROW()-4)="","",TRIM(UPPER(INDEX(P_Status,ROW()-4))))</f>
        <v/>
      </c>
      <c r="G2099">
        <f>IF(INDEX(L_Status,ROW()-4)="","",TRIM(UPPER(INDEX(L_Status,ROW()-4))))</f>
        <v/>
      </c>
      <c r="J2099">
        <f>IF(INDEX(L_ID,ROW()-4)="","",IF(SUMPRODUCT((P_ID=INDEX(L_ID,ROW()-4))*(P_StatusN="INACTIVE"))&gt;0,1,0))</f>
        <v/>
      </c>
    </row>
    <row r="2100">
      <c r="A2100">
        <f>IF(INDEX(L_ID,ROW()-4)="","",IF(COUNTIF(P_ID,INDEX(L_ID,ROW()-4))&gt;0,1,0))</f>
        <v/>
      </c>
      <c r="B2100">
        <f>IF(INDEX(P_Type,ROW()-4)="","",TRIM(UPPER(INDEX(P_Type,ROW()-4))))</f>
        <v/>
      </c>
      <c r="D2100">
        <f>IF(INDEX(L_Type,ROW()-4)="","",TRIM(UPPER(INDEX(L_Type,ROW()-4))))</f>
        <v/>
      </c>
      <c r="E2100">
        <f>IF(INDEX(P_Status,ROW()-4)="","",TRIM(UPPER(INDEX(P_Status,ROW()-4))))</f>
        <v/>
      </c>
      <c r="G2100">
        <f>IF(INDEX(L_Status,ROW()-4)="","",TRIM(UPPER(INDEX(L_Status,ROW()-4))))</f>
        <v/>
      </c>
      <c r="J2100">
        <f>IF(INDEX(L_ID,ROW()-4)="","",IF(SUMPRODUCT((P_ID=INDEX(L_ID,ROW()-4))*(P_StatusN="INACTIVE"))&gt;0,1,0))</f>
        <v/>
      </c>
    </row>
    <row r="2101">
      <c r="A2101">
        <f>IF(INDEX(L_ID,ROW()-4)="","",IF(COUNTIF(P_ID,INDEX(L_ID,ROW()-4))&gt;0,1,0))</f>
        <v/>
      </c>
      <c r="B2101">
        <f>IF(INDEX(P_Type,ROW()-4)="","",TRIM(UPPER(INDEX(P_Type,ROW()-4))))</f>
        <v/>
      </c>
      <c r="D2101">
        <f>IF(INDEX(L_Type,ROW()-4)="","",TRIM(UPPER(INDEX(L_Type,ROW()-4))))</f>
        <v/>
      </c>
      <c r="E2101">
        <f>IF(INDEX(P_Status,ROW()-4)="","",TRIM(UPPER(INDEX(P_Status,ROW()-4))))</f>
        <v/>
      </c>
      <c r="G2101">
        <f>IF(INDEX(L_Status,ROW()-4)="","",TRIM(UPPER(INDEX(L_Status,ROW()-4))))</f>
        <v/>
      </c>
      <c r="J2101">
        <f>IF(INDEX(L_ID,ROW()-4)="","",IF(SUMPRODUCT((P_ID=INDEX(L_ID,ROW()-4))*(P_StatusN="INACTIVE"))&gt;0,1,0))</f>
        <v/>
      </c>
    </row>
    <row r="2102">
      <c r="A2102">
        <f>IF(INDEX(L_ID,ROW()-4)="","",IF(COUNTIF(P_ID,INDEX(L_ID,ROW()-4))&gt;0,1,0))</f>
        <v/>
      </c>
      <c r="B2102">
        <f>IF(INDEX(P_Type,ROW()-4)="","",TRIM(UPPER(INDEX(P_Type,ROW()-4))))</f>
        <v/>
      </c>
      <c r="D2102">
        <f>IF(INDEX(L_Type,ROW()-4)="","",TRIM(UPPER(INDEX(L_Type,ROW()-4))))</f>
        <v/>
      </c>
      <c r="E2102">
        <f>IF(INDEX(P_Status,ROW()-4)="","",TRIM(UPPER(INDEX(P_Status,ROW()-4))))</f>
        <v/>
      </c>
      <c r="G2102">
        <f>IF(INDEX(L_Status,ROW()-4)="","",TRIM(UPPER(INDEX(L_Status,ROW()-4))))</f>
        <v/>
      </c>
      <c r="J2102">
        <f>IF(INDEX(L_ID,ROW()-4)="","",IF(SUMPRODUCT((P_ID=INDEX(L_ID,ROW()-4))*(P_StatusN="INACTIVE"))&gt;0,1,0))</f>
        <v/>
      </c>
    </row>
    <row r="2103">
      <c r="A2103">
        <f>IF(INDEX(L_ID,ROW()-4)="","",IF(COUNTIF(P_ID,INDEX(L_ID,ROW()-4))&gt;0,1,0))</f>
        <v/>
      </c>
      <c r="B2103">
        <f>IF(INDEX(P_Type,ROW()-4)="","",TRIM(UPPER(INDEX(P_Type,ROW()-4))))</f>
        <v/>
      </c>
      <c r="D2103">
        <f>IF(INDEX(L_Type,ROW()-4)="","",TRIM(UPPER(INDEX(L_Type,ROW()-4))))</f>
        <v/>
      </c>
      <c r="E2103">
        <f>IF(INDEX(P_Status,ROW()-4)="","",TRIM(UPPER(INDEX(P_Status,ROW()-4))))</f>
        <v/>
      </c>
      <c r="G2103">
        <f>IF(INDEX(L_Status,ROW()-4)="","",TRIM(UPPER(INDEX(L_Status,ROW()-4))))</f>
        <v/>
      </c>
      <c r="J2103">
        <f>IF(INDEX(L_ID,ROW()-4)="","",IF(SUMPRODUCT((P_ID=INDEX(L_ID,ROW()-4))*(P_StatusN="INACTIVE"))&gt;0,1,0))</f>
        <v/>
      </c>
    </row>
    <row r="2104">
      <c r="A2104">
        <f>IF(INDEX(L_ID,ROW()-4)="","",IF(COUNTIF(P_ID,INDEX(L_ID,ROW()-4))&gt;0,1,0))</f>
        <v/>
      </c>
      <c r="B2104">
        <f>IF(INDEX(P_Type,ROW()-4)="","",TRIM(UPPER(INDEX(P_Type,ROW()-4))))</f>
        <v/>
      </c>
      <c r="D2104">
        <f>IF(INDEX(L_Type,ROW()-4)="","",TRIM(UPPER(INDEX(L_Type,ROW()-4))))</f>
        <v/>
      </c>
      <c r="E2104">
        <f>IF(INDEX(P_Status,ROW()-4)="","",TRIM(UPPER(INDEX(P_Status,ROW()-4))))</f>
        <v/>
      </c>
      <c r="G2104">
        <f>IF(INDEX(L_Status,ROW()-4)="","",TRIM(UPPER(INDEX(L_Status,ROW()-4))))</f>
        <v/>
      </c>
      <c r="J2104">
        <f>IF(INDEX(L_ID,ROW()-4)="","",IF(SUMPRODUCT((P_ID=INDEX(L_ID,ROW()-4))*(P_StatusN="INACTIVE"))&gt;0,1,0))</f>
        <v/>
      </c>
    </row>
    <row r="2105">
      <c r="A2105">
        <f>IF(INDEX(L_ID,ROW()-4)="","",IF(COUNTIF(P_ID,INDEX(L_ID,ROW()-4))&gt;0,1,0))</f>
        <v/>
      </c>
      <c r="B2105">
        <f>IF(INDEX(P_Type,ROW()-4)="","",TRIM(UPPER(INDEX(P_Type,ROW()-4))))</f>
        <v/>
      </c>
      <c r="D2105">
        <f>IF(INDEX(L_Type,ROW()-4)="","",TRIM(UPPER(INDEX(L_Type,ROW()-4))))</f>
        <v/>
      </c>
      <c r="E2105">
        <f>IF(INDEX(P_Status,ROW()-4)="","",TRIM(UPPER(INDEX(P_Status,ROW()-4))))</f>
        <v/>
      </c>
      <c r="G2105">
        <f>IF(INDEX(L_Status,ROW()-4)="","",TRIM(UPPER(INDEX(L_Status,ROW()-4))))</f>
        <v/>
      </c>
      <c r="J2105">
        <f>IF(INDEX(L_ID,ROW()-4)="","",IF(SUMPRODUCT((P_ID=INDEX(L_ID,ROW()-4))*(P_StatusN="INACTIVE"))&gt;0,1,0))</f>
        <v/>
      </c>
    </row>
    <row r="2106">
      <c r="A2106">
        <f>IF(INDEX(L_ID,ROW()-4)="","",IF(COUNTIF(P_ID,INDEX(L_ID,ROW()-4))&gt;0,1,0))</f>
        <v/>
      </c>
      <c r="B2106">
        <f>IF(INDEX(P_Type,ROW()-4)="","",TRIM(UPPER(INDEX(P_Type,ROW()-4))))</f>
        <v/>
      </c>
      <c r="D2106">
        <f>IF(INDEX(L_Type,ROW()-4)="","",TRIM(UPPER(INDEX(L_Type,ROW()-4))))</f>
        <v/>
      </c>
      <c r="E2106">
        <f>IF(INDEX(P_Status,ROW()-4)="","",TRIM(UPPER(INDEX(P_Status,ROW()-4))))</f>
        <v/>
      </c>
      <c r="G2106">
        <f>IF(INDEX(L_Status,ROW()-4)="","",TRIM(UPPER(INDEX(L_Status,ROW()-4))))</f>
        <v/>
      </c>
      <c r="J2106">
        <f>IF(INDEX(L_ID,ROW()-4)="","",IF(SUMPRODUCT((P_ID=INDEX(L_ID,ROW()-4))*(P_StatusN="INACTIVE"))&gt;0,1,0))</f>
        <v/>
      </c>
    </row>
    <row r="2107">
      <c r="A2107">
        <f>IF(INDEX(L_ID,ROW()-4)="","",IF(COUNTIF(P_ID,INDEX(L_ID,ROW()-4))&gt;0,1,0))</f>
        <v/>
      </c>
      <c r="B2107">
        <f>IF(INDEX(P_Type,ROW()-4)="","",TRIM(UPPER(INDEX(P_Type,ROW()-4))))</f>
        <v/>
      </c>
      <c r="D2107">
        <f>IF(INDEX(L_Type,ROW()-4)="","",TRIM(UPPER(INDEX(L_Type,ROW()-4))))</f>
        <v/>
      </c>
      <c r="E2107">
        <f>IF(INDEX(P_Status,ROW()-4)="","",TRIM(UPPER(INDEX(P_Status,ROW()-4))))</f>
        <v/>
      </c>
      <c r="G2107">
        <f>IF(INDEX(L_Status,ROW()-4)="","",TRIM(UPPER(INDEX(L_Status,ROW()-4))))</f>
        <v/>
      </c>
      <c r="J2107">
        <f>IF(INDEX(L_ID,ROW()-4)="","",IF(SUMPRODUCT((P_ID=INDEX(L_ID,ROW()-4))*(P_StatusN="INACTIVE"))&gt;0,1,0))</f>
        <v/>
      </c>
    </row>
    <row r="2108">
      <c r="A2108">
        <f>IF(INDEX(L_ID,ROW()-4)="","",IF(COUNTIF(P_ID,INDEX(L_ID,ROW()-4))&gt;0,1,0))</f>
        <v/>
      </c>
      <c r="B2108">
        <f>IF(INDEX(P_Type,ROW()-4)="","",TRIM(UPPER(INDEX(P_Type,ROW()-4))))</f>
        <v/>
      </c>
      <c r="D2108">
        <f>IF(INDEX(L_Type,ROW()-4)="","",TRIM(UPPER(INDEX(L_Type,ROW()-4))))</f>
        <v/>
      </c>
      <c r="E2108">
        <f>IF(INDEX(P_Status,ROW()-4)="","",TRIM(UPPER(INDEX(P_Status,ROW()-4))))</f>
        <v/>
      </c>
      <c r="G2108">
        <f>IF(INDEX(L_Status,ROW()-4)="","",TRIM(UPPER(INDEX(L_Status,ROW()-4))))</f>
        <v/>
      </c>
      <c r="J2108">
        <f>IF(INDEX(L_ID,ROW()-4)="","",IF(SUMPRODUCT((P_ID=INDEX(L_ID,ROW()-4))*(P_StatusN="INACTIVE"))&gt;0,1,0))</f>
        <v/>
      </c>
    </row>
    <row r="2109">
      <c r="A2109">
        <f>IF(INDEX(L_ID,ROW()-4)="","",IF(COUNTIF(P_ID,INDEX(L_ID,ROW()-4))&gt;0,1,0))</f>
        <v/>
      </c>
      <c r="B2109">
        <f>IF(INDEX(P_Type,ROW()-4)="","",TRIM(UPPER(INDEX(P_Type,ROW()-4))))</f>
        <v/>
      </c>
      <c r="D2109">
        <f>IF(INDEX(L_Type,ROW()-4)="","",TRIM(UPPER(INDEX(L_Type,ROW()-4))))</f>
        <v/>
      </c>
      <c r="E2109">
        <f>IF(INDEX(P_Status,ROW()-4)="","",TRIM(UPPER(INDEX(P_Status,ROW()-4))))</f>
        <v/>
      </c>
      <c r="G2109">
        <f>IF(INDEX(L_Status,ROW()-4)="","",TRIM(UPPER(INDEX(L_Status,ROW()-4))))</f>
        <v/>
      </c>
      <c r="J2109">
        <f>IF(INDEX(L_ID,ROW()-4)="","",IF(SUMPRODUCT((P_ID=INDEX(L_ID,ROW()-4))*(P_StatusN="INACTIVE"))&gt;0,1,0))</f>
        <v/>
      </c>
    </row>
    <row r="2110">
      <c r="A2110">
        <f>IF(INDEX(L_ID,ROW()-4)="","",IF(COUNTIF(P_ID,INDEX(L_ID,ROW()-4))&gt;0,1,0))</f>
        <v/>
      </c>
      <c r="B2110">
        <f>IF(INDEX(P_Type,ROW()-4)="","",TRIM(UPPER(INDEX(P_Type,ROW()-4))))</f>
        <v/>
      </c>
      <c r="D2110">
        <f>IF(INDEX(L_Type,ROW()-4)="","",TRIM(UPPER(INDEX(L_Type,ROW()-4))))</f>
        <v/>
      </c>
      <c r="E2110">
        <f>IF(INDEX(P_Status,ROW()-4)="","",TRIM(UPPER(INDEX(P_Status,ROW()-4))))</f>
        <v/>
      </c>
      <c r="G2110">
        <f>IF(INDEX(L_Status,ROW()-4)="","",TRIM(UPPER(INDEX(L_Status,ROW()-4))))</f>
        <v/>
      </c>
      <c r="J2110">
        <f>IF(INDEX(L_ID,ROW()-4)="","",IF(SUMPRODUCT((P_ID=INDEX(L_ID,ROW()-4))*(P_StatusN="INACTIVE"))&gt;0,1,0))</f>
        <v/>
      </c>
    </row>
    <row r="2111">
      <c r="A2111">
        <f>IF(INDEX(L_ID,ROW()-4)="","",IF(COUNTIF(P_ID,INDEX(L_ID,ROW()-4))&gt;0,1,0))</f>
        <v/>
      </c>
      <c r="B2111">
        <f>IF(INDEX(P_Type,ROW()-4)="","",TRIM(UPPER(INDEX(P_Type,ROW()-4))))</f>
        <v/>
      </c>
      <c r="D2111">
        <f>IF(INDEX(L_Type,ROW()-4)="","",TRIM(UPPER(INDEX(L_Type,ROW()-4))))</f>
        <v/>
      </c>
      <c r="E2111">
        <f>IF(INDEX(P_Status,ROW()-4)="","",TRIM(UPPER(INDEX(P_Status,ROW()-4))))</f>
        <v/>
      </c>
      <c r="G2111">
        <f>IF(INDEX(L_Status,ROW()-4)="","",TRIM(UPPER(INDEX(L_Status,ROW()-4))))</f>
        <v/>
      </c>
      <c r="J2111">
        <f>IF(INDEX(L_ID,ROW()-4)="","",IF(SUMPRODUCT((P_ID=INDEX(L_ID,ROW()-4))*(P_StatusN="INACTIVE"))&gt;0,1,0))</f>
        <v/>
      </c>
    </row>
    <row r="2112">
      <c r="A2112">
        <f>IF(INDEX(L_ID,ROW()-4)="","",IF(COUNTIF(P_ID,INDEX(L_ID,ROW()-4))&gt;0,1,0))</f>
        <v/>
      </c>
      <c r="B2112">
        <f>IF(INDEX(P_Type,ROW()-4)="","",TRIM(UPPER(INDEX(P_Type,ROW()-4))))</f>
        <v/>
      </c>
      <c r="D2112">
        <f>IF(INDEX(L_Type,ROW()-4)="","",TRIM(UPPER(INDEX(L_Type,ROW()-4))))</f>
        <v/>
      </c>
      <c r="E2112">
        <f>IF(INDEX(P_Status,ROW()-4)="","",TRIM(UPPER(INDEX(P_Status,ROW()-4))))</f>
        <v/>
      </c>
      <c r="G2112">
        <f>IF(INDEX(L_Status,ROW()-4)="","",TRIM(UPPER(INDEX(L_Status,ROW()-4))))</f>
        <v/>
      </c>
      <c r="J2112">
        <f>IF(INDEX(L_ID,ROW()-4)="","",IF(SUMPRODUCT((P_ID=INDEX(L_ID,ROW()-4))*(P_StatusN="INACTIVE"))&gt;0,1,0))</f>
        <v/>
      </c>
    </row>
    <row r="2113">
      <c r="A2113">
        <f>IF(INDEX(L_ID,ROW()-4)="","",IF(COUNTIF(P_ID,INDEX(L_ID,ROW()-4))&gt;0,1,0))</f>
        <v/>
      </c>
      <c r="B2113">
        <f>IF(INDEX(P_Type,ROW()-4)="","",TRIM(UPPER(INDEX(P_Type,ROW()-4))))</f>
        <v/>
      </c>
      <c r="D2113">
        <f>IF(INDEX(L_Type,ROW()-4)="","",TRIM(UPPER(INDEX(L_Type,ROW()-4))))</f>
        <v/>
      </c>
      <c r="E2113">
        <f>IF(INDEX(P_Status,ROW()-4)="","",TRIM(UPPER(INDEX(P_Status,ROW()-4))))</f>
        <v/>
      </c>
      <c r="G2113">
        <f>IF(INDEX(L_Status,ROW()-4)="","",TRIM(UPPER(INDEX(L_Status,ROW()-4))))</f>
        <v/>
      </c>
      <c r="J2113">
        <f>IF(INDEX(L_ID,ROW()-4)="","",IF(SUMPRODUCT((P_ID=INDEX(L_ID,ROW()-4))*(P_StatusN="INACTIVE"))&gt;0,1,0))</f>
        <v/>
      </c>
    </row>
    <row r="2114">
      <c r="A2114">
        <f>IF(INDEX(L_ID,ROW()-4)="","",IF(COUNTIF(P_ID,INDEX(L_ID,ROW()-4))&gt;0,1,0))</f>
        <v/>
      </c>
      <c r="B2114">
        <f>IF(INDEX(P_Type,ROW()-4)="","",TRIM(UPPER(INDEX(P_Type,ROW()-4))))</f>
        <v/>
      </c>
      <c r="D2114">
        <f>IF(INDEX(L_Type,ROW()-4)="","",TRIM(UPPER(INDEX(L_Type,ROW()-4))))</f>
        <v/>
      </c>
      <c r="E2114">
        <f>IF(INDEX(P_Status,ROW()-4)="","",TRIM(UPPER(INDEX(P_Status,ROW()-4))))</f>
        <v/>
      </c>
      <c r="G2114">
        <f>IF(INDEX(L_Status,ROW()-4)="","",TRIM(UPPER(INDEX(L_Status,ROW()-4))))</f>
        <v/>
      </c>
      <c r="J2114">
        <f>IF(INDEX(L_ID,ROW()-4)="","",IF(SUMPRODUCT((P_ID=INDEX(L_ID,ROW()-4))*(P_StatusN="INACTIVE"))&gt;0,1,0))</f>
        <v/>
      </c>
    </row>
    <row r="2115">
      <c r="A2115">
        <f>IF(INDEX(L_ID,ROW()-4)="","",IF(COUNTIF(P_ID,INDEX(L_ID,ROW()-4))&gt;0,1,0))</f>
        <v/>
      </c>
      <c r="B2115">
        <f>IF(INDEX(P_Type,ROW()-4)="","",TRIM(UPPER(INDEX(P_Type,ROW()-4))))</f>
        <v/>
      </c>
      <c r="D2115">
        <f>IF(INDEX(L_Type,ROW()-4)="","",TRIM(UPPER(INDEX(L_Type,ROW()-4))))</f>
        <v/>
      </c>
      <c r="E2115">
        <f>IF(INDEX(P_Status,ROW()-4)="","",TRIM(UPPER(INDEX(P_Status,ROW()-4))))</f>
        <v/>
      </c>
      <c r="G2115">
        <f>IF(INDEX(L_Status,ROW()-4)="","",TRIM(UPPER(INDEX(L_Status,ROW()-4))))</f>
        <v/>
      </c>
      <c r="J2115">
        <f>IF(INDEX(L_ID,ROW()-4)="","",IF(SUMPRODUCT((P_ID=INDEX(L_ID,ROW()-4))*(P_StatusN="INACTIVE"))&gt;0,1,0))</f>
        <v/>
      </c>
    </row>
    <row r="2116">
      <c r="A2116">
        <f>IF(INDEX(L_ID,ROW()-4)="","",IF(COUNTIF(P_ID,INDEX(L_ID,ROW()-4))&gt;0,1,0))</f>
        <v/>
      </c>
      <c r="B2116">
        <f>IF(INDEX(P_Type,ROW()-4)="","",TRIM(UPPER(INDEX(P_Type,ROW()-4))))</f>
        <v/>
      </c>
      <c r="D2116">
        <f>IF(INDEX(L_Type,ROW()-4)="","",TRIM(UPPER(INDEX(L_Type,ROW()-4))))</f>
        <v/>
      </c>
      <c r="E2116">
        <f>IF(INDEX(P_Status,ROW()-4)="","",TRIM(UPPER(INDEX(P_Status,ROW()-4))))</f>
        <v/>
      </c>
      <c r="G2116">
        <f>IF(INDEX(L_Status,ROW()-4)="","",TRIM(UPPER(INDEX(L_Status,ROW()-4))))</f>
        <v/>
      </c>
      <c r="J2116">
        <f>IF(INDEX(L_ID,ROW()-4)="","",IF(SUMPRODUCT((P_ID=INDEX(L_ID,ROW()-4))*(P_StatusN="INACTIVE"))&gt;0,1,0))</f>
        <v/>
      </c>
    </row>
    <row r="2117">
      <c r="A2117">
        <f>IF(INDEX(L_ID,ROW()-4)="","",IF(COUNTIF(P_ID,INDEX(L_ID,ROW()-4))&gt;0,1,0))</f>
        <v/>
      </c>
      <c r="B2117">
        <f>IF(INDEX(P_Type,ROW()-4)="","",TRIM(UPPER(INDEX(P_Type,ROW()-4))))</f>
        <v/>
      </c>
      <c r="D2117">
        <f>IF(INDEX(L_Type,ROW()-4)="","",TRIM(UPPER(INDEX(L_Type,ROW()-4))))</f>
        <v/>
      </c>
      <c r="E2117">
        <f>IF(INDEX(P_Status,ROW()-4)="","",TRIM(UPPER(INDEX(P_Status,ROW()-4))))</f>
        <v/>
      </c>
      <c r="G2117">
        <f>IF(INDEX(L_Status,ROW()-4)="","",TRIM(UPPER(INDEX(L_Status,ROW()-4))))</f>
        <v/>
      </c>
      <c r="J2117">
        <f>IF(INDEX(L_ID,ROW()-4)="","",IF(SUMPRODUCT((P_ID=INDEX(L_ID,ROW()-4))*(P_StatusN="INACTIVE"))&gt;0,1,0))</f>
        <v/>
      </c>
    </row>
    <row r="2118">
      <c r="A2118">
        <f>IF(INDEX(L_ID,ROW()-4)="","",IF(COUNTIF(P_ID,INDEX(L_ID,ROW()-4))&gt;0,1,0))</f>
        <v/>
      </c>
      <c r="B2118">
        <f>IF(INDEX(P_Type,ROW()-4)="","",TRIM(UPPER(INDEX(P_Type,ROW()-4))))</f>
        <v/>
      </c>
      <c r="D2118">
        <f>IF(INDEX(L_Type,ROW()-4)="","",TRIM(UPPER(INDEX(L_Type,ROW()-4))))</f>
        <v/>
      </c>
      <c r="E2118">
        <f>IF(INDEX(P_Status,ROW()-4)="","",TRIM(UPPER(INDEX(P_Status,ROW()-4))))</f>
        <v/>
      </c>
      <c r="G2118">
        <f>IF(INDEX(L_Status,ROW()-4)="","",TRIM(UPPER(INDEX(L_Status,ROW()-4))))</f>
        <v/>
      </c>
      <c r="J2118">
        <f>IF(INDEX(L_ID,ROW()-4)="","",IF(SUMPRODUCT((P_ID=INDEX(L_ID,ROW()-4))*(P_StatusN="INACTIVE"))&gt;0,1,0))</f>
        <v/>
      </c>
    </row>
    <row r="2119">
      <c r="A2119">
        <f>IF(INDEX(L_ID,ROW()-4)="","",IF(COUNTIF(P_ID,INDEX(L_ID,ROW()-4))&gt;0,1,0))</f>
        <v/>
      </c>
      <c r="B2119">
        <f>IF(INDEX(P_Type,ROW()-4)="","",TRIM(UPPER(INDEX(P_Type,ROW()-4))))</f>
        <v/>
      </c>
      <c r="D2119">
        <f>IF(INDEX(L_Type,ROW()-4)="","",TRIM(UPPER(INDEX(L_Type,ROW()-4))))</f>
        <v/>
      </c>
      <c r="E2119">
        <f>IF(INDEX(P_Status,ROW()-4)="","",TRIM(UPPER(INDEX(P_Status,ROW()-4))))</f>
        <v/>
      </c>
      <c r="G2119">
        <f>IF(INDEX(L_Status,ROW()-4)="","",TRIM(UPPER(INDEX(L_Status,ROW()-4))))</f>
        <v/>
      </c>
      <c r="J2119">
        <f>IF(INDEX(L_ID,ROW()-4)="","",IF(SUMPRODUCT((P_ID=INDEX(L_ID,ROW()-4))*(P_StatusN="INACTIVE"))&gt;0,1,0))</f>
        <v/>
      </c>
    </row>
    <row r="2120">
      <c r="A2120">
        <f>IF(INDEX(L_ID,ROW()-4)="","",IF(COUNTIF(P_ID,INDEX(L_ID,ROW()-4))&gt;0,1,0))</f>
        <v/>
      </c>
      <c r="B2120">
        <f>IF(INDEX(P_Type,ROW()-4)="","",TRIM(UPPER(INDEX(P_Type,ROW()-4))))</f>
        <v/>
      </c>
      <c r="D2120">
        <f>IF(INDEX(L_Type,ROW()-4)="","",TRIM(UPPER(INDEX(L_Type,ROW()-4))))</f>
        <v/>
      </c>
      <c r="E2120">
        <f>IF(INDEX(P_Status,ROW()-4)="","",TRIM(UPPER(INDEX(P_Status,ROW()-4))))</f>
        <v/>
      </c>
      <c r="G2120">
        <f>IF(INDEX(L_Status,ROW()-4)="","",TRIM(UPPER(INDEX(L_Status,ROW()-4))))</f>
        <v/>
      </c>
      <c r="J2120">
        <f>IF(INDEX(L_ID,ROW()-4)="","",IF(SUMPRODUCT((P_ID=INDEX(L_ID,ROW()-4))*(P_StatusN="INACTIVE"))&gt;0,1,0))</f>
        <v/>
      </c>
    </row>
    <row r="2121">
      <c r="A2121">
        <f>IF(INDEX(L_ID,ROW()-4)="","",IF(COUNTIF(P_ID,INDEX(L_ID,ROW()-4))&gt;0,1,0))</f>
        <v/>
      </c>
      <c r="B2121">
        <f>IF(INDEX(P_Type,ROW()-4)="","",TRIM(UPPER(INDEX(P_Type,ROW()-4))))</f>
        <v/>
      </c>
      <c r="D2121">
        <f>IF(INDEX(L_Type,ROW()-4)="","",TRIM(UPPER(INDEX(L_Type,ROW()-4))))</f>
        <v/>
      </c>
      <c r="E2121">
        <f>IF(INDEX(P_Status,ROW()-4)="","",TRIM(UPPER(INDEX(P_Status,ROW()-4))))</f>
        <v/>
      </c>
      <c r="G2121">
        <f>IF(INDEX(L_Status,ROW()-4)="","",TRIM(UPPER(INDEX(L_Status,ROW()-4))))</f>
        <v/>
      </c>
      <c r="J2121">
        <f>IF(INDEX(L_ID,ROW()-4)="","",IF(SUMPRODUCT((P_ID=INDEX(L_ID,ROW()-4))*(P_StatusN="INACTIVE"))&gt;0,1,0))</f>
        <v/>
      </c>
    </row>
    <row r="2122">
      <c r="A2122">
        <f>IF(INDEX(L_ID,ROW()-4)="","",IF(COUNTIF(P_ID,INDEX(L_ID,ROW()-4))&gt;0,1,0))</f>
        <v/>
      </c>
      <c r="B2122">
        <f>IF(INDEX(P_Type,ROW()-4)="","",TRIM(UPPER(INDEX(P_Type,ROW()-4))))</f>
        <v/>
      </c>
      <c r="D2122">
        <f>IF(INDEX(L_Type,ROW()-4)="","",TRIM(UPPER(INDEX(L_Type,ROW()-4))))</f>
        <v/>
      </c>
      <c r="E2122">
        <f>IF(INDEX(P_Status,ROW()-4)="","",TRIM(UPPER(INDEX(P_Status,ROW()-4))))</f>
        <v/>
      </c>
      <c r="G2122">
        <f>IF(INDEX(L_Status,ROW()-4)="","",TRIM(UPPER(INDEX(L_Status,ROW()-4))))</f>
        <v/>
      </c>
      <c r="J2122">
        <f>IF(INDEX(L_ID,ROW()-4)="","",IF(SUMPRODUCT((P_ID=INDEX(L_ID,ROW()-4))*(P_StatusN="INACTIVE"))&gt;0,1,0))</f>
        <v/>
      </c>
    </row>
    <row r="2123">
      <c r="A2123">
        <f>IF(INDEX(L_ID,ROW()-4)="","",IF(COUNTIF(P_ID,INDEX(L_ID,ROW()-4))&gt;0,1,0))</f>
        <v/>
      </c>
      <c r="B2123">
        <f>IF(INDEX(P_Type,ROW()-4)="","",TRIM(UPPER(INDEX(P_Type,ROW()-4))))</f>
        <v/>
      </c>
      <c r="D2123">
        <f>IF(INDEX(L_Type,ROW()-4)="","",TRIM(UPPER(INDEX(L_Type,ROW()-4))))</f>
        <v/>
      </c>
      <c r="E2123">
        <f>IF(INDEX(P_Status,ROW()-4)="","",TRIM(UPPER(INDEX(P_Status,ROW()-4))))</f>
        <v/>
      </c>
      <c r="G2123">
        <f>IF(INDEX(L_Status,ROW()-4)="","",TRIM(UPPER(INDEX(L_Status,ROW()-4))))</f>
        <v/>
      </c>
      <c r="J2123">
        <f>IF(INDEX(L_ID,ROW()-4)="","",IF(SUMPRODUCT((P_ID=INDEX(L_ID,ROW()-4))*(P_StatusN="INACTIVE"))&gt;0,1,0))</f>
        <v/>
      </c>
    </row>
    <row r="2124">
      <c r="A2124">
        <f>IF(INDEX(L_ID,ROW()-4)="","",IF(COUNTIF(P_ID,INDEX(L_ID,ROW()-4))&gt;0,1,0))</f>
        <v/>
      </c>
      <c r="B2124">
        <f>IF(INDEX(P_Type,ROW()-4)="","",TRIM(UPPER(INDEX(P_Type,ROW()-4))))</f>
        <v/>
      </c>
      <c r="D2124">
        <f>IF(INDEX(L_Type,ROW()-4)="","",TRIM(UPPER(INDEX(L_Type,ROW()-4))))</f>
        <v/>
      </c>
      <c r="E2124">
        <f>IF(INDEX(P_Status,ROW()-4)="","",TRIM(UPPER(INDEX(P_Status,ROW()-4))))</f>
        <v/>
      </c>
      <c r="G2124">
        <f>IF(INDEX(L_Status,ROW()-4)="","",TRIM(UPPER(INDEX(L_Status,ROW()-4))))</f>
        <v/>
      </c>
      <c r="J2124">
        <f>IF(INDEX(L_ID,ROW()-4)="","",IF(SUMPRODUCT((P_ID=INDEX(L_ID,ROW()-4))*(P_StatusN="INACTIVE"))&gt;0,1,0))</f>
        <v/>
      </c>
    </row>
    <row r="2125">
      <c r="A2125">
        <f>IF(INDEX(L_ID,ROW()-4)="","",IF(COUNTIF(P_ID,INDEX(L_ID,ROW()-4))&gt;0,1,0))</f>
        <v/>
      </c>
      <c r="B2125">
        <f>IF(INDEX(P_Type,ROW()-4)="","",TRIM(UPPER(INDEX(P_Type,ROW()-4))))</f>
        <v/>
      </c>
      <c r="D2125">
        <f>IF(INDEX(L_Type,ROW()-4)="","",TRIM(UPPER(INDEX(L_Type,ROW()-4))))</f>
        <v/>
      </c>
      <c r="E2125">
        <f>IF(INDEX(P_Status,ROW()-4)="","",TRIM(UPPER(INDEX(P_Status,ROW()-4))))</f>
        <v/>
      </c>
      <c r="G2125">
        <f>IF(INDEX(L_Status,ROW()-4)="","",TRIM(UPPER(INDEX(L_Status,ROW()-4))))</f>
        <v/>
      </c>
      <c r="J2125">
        <f>IF(INDEX(L_ID,ROW()-4)="","",IF(SUMPRODUCT((P_ID=INDEX(L_ID,ROW()-4))*(P_StatusN="INACTIVE"))&gt;0,1,0))</f>
        <v/>
      </c>
    </row>
    <row r="2126">
      <c r="A2126">
        <f>IF(INDEX(L_ID,ROW()-4)="","",IF(COUNTIF(P_ID,INDEX(L_ID,ROW()-4))&gt;0,1,0))</f>
        <v/>
      </c>
      <c r="B2126">
        <f>IF(INDEX(P_Type,ROW()-4)="","",TRIM(UPPER(INDEX(P_Type,ROW()-4))))</f>
        <v/>
      </c>
      <c r="D2126">
        <f>IF(INDEX(L_Type,ROW()-4)="","",TRIM(UPPER(INDEX(L_Type,ROW()-4))))</f>
        <v/>
      </c>
      <c r="E2126">
        <f>IF(INDEX(P_Status,ROW()-4)="","",TRIM(UPPER(INDEX(P_Status,ROW()-4))))</f>
        <v/>
      </c>
      <c r="G2126">
        <f>IF(INDEX(L_Status,ROW()-4)="","",TRIM(UPPER(INDEX(L_Status,ROW()-4))))</f>
        <v/>
      </c>
      <c r="J2126">
        <f>IF(INDEX(L_ID,ROW()-4)="","",IF(SUMPRODUCT((P_ID=INDEX(L_ID,ROW()-4))*(P_StatusN="INACTIVE"))&gt;0,1,0))</f>
        <v/>
      </c>
    </row>
    <row r="2127">
      <c r="A2127">
        <f>IF(INDEX(L_ID,ROW()-4)="","",IF(COUNTIF(P_ID,INDEX(L_ID,ROW()-4))&gt;0,1,0))</f>
        <v/>
      </c>
      <c r="B2127">
        <f>IF(INDEX(P_Type,ROW()-4)="","",TRIM(UPPER(INDEX(P_Type,ROW()-4))))</f>
        <v/>
      </c>
      <c r="D2127">
        <f>IF(INDEX(L_Type,ROW()-4)="","",TRIM(UPPER(INDEX(L_Type,ROW()-4))))</f>
        <v/>
      </c>
      <c r="E2127">
        <f>IF(INDEX(P_Status,ROW()-4)="","",TRIM(UPPER(INDEX(P_Status,ROW()-4))))</f>
        <v/>
      </c>
      <c r="G2127">
        <f>IF(INDEX(L_Status,ROW()-4)="","",TRIM(UPPER(INDEX(L_Status,ROW()-4))))</f>
        <v/>
      </c>
      <c r="J2127">
        <f>IF(INDEX(L_ID,ROW()-4)="","",IF(SUMPRODUCT((P_ID=INDEX(L_ID,ROW()-4))*(P_StatusN="INACTIVE"))&gt;0,1,0))</f>
        <v/>
      </c>
    </row>
    <row r="2128">
      <c r="A2128">
        <f>IF(INDEX(L_ID,ROW()-4)="","",IF(COUNTIF(P_ID,INDEX(L_ID,ROW()-4))&gt;0,1,0))</f>
        <v/>
      </c>
      <c r="B2128">
        <f>IF(INDEX(P_Type,ROW()-4)="","",TRIM(UPPER(INDEX(P_Type,ROW()-4))))</f>
        <v/>
      </c>
      <c r="D2128">
        <f>IF(INDEX(L_Type,ROW()-4)="","",TRIM(UPPER(INDEX(L_Type,ROW()-4))))</f>
        <v/>
      </c>
      <c r="E2128">
        <f>IF(INDEX(P_Status,ROW()-4)="","",TRIM(UPPER(INDEX(P_Status,ROW()-4))))</f>
        <v/>
      </c>
      <c r="G2128">
        <f>IF(INDEX(L_Status,ROW()-4)="","",TRIM(UPPER(INDEX(L_Status,ROW()-4))))</f>
        <v/>
      </c>
      <c r="J2128">
        <f>IF(INDEX(L_ID,ROW()-4)="","",IF(SUMPRODUCT((P_ID=INDEX(L_ID,ROW()-4))*(P_StatusN="INACTIVE"))&gt;0,1,0))</f>
        <v/>
      </c>
    </row>
    <row r="2129">
      <c r="A2129">
        <f>IF(INDEX(L_ID,ROW()-4)="","",IF(COUNTIF(P_ID,INDEX(L_ID,ROW()-4))&gt;0,1,0))</f>
        <v/>
      </c>
      <c r="B2129">
        <f>IF(INDEX(P_Type,ROW()-4)="","",TRIM(UPPER(INDEX(P_Type,ROW()-4))))</f>
        <v/>
      </c>
      <c r="D2129">
        <f>IF(INDEX(L_Type,ROW()-4)="","",TRIM(UPPER(INDEX(L_Type,ROW()-4))))</f>
        <v/>
      </c>
      <c r="E2129">
        <f>IF(INDEX(P_Status,ROW()-4)="","",TRIM(UPPER(INDEX(P_Status,ROW()-4))))</f>
        <v/>
      </c>
      <c r="G2129">
        <f>IF(INDEX(L_Status,ROW()-4)="","",TRIM(UPPER(INDEX(L_Status,ROW()-4))))</f>
        <v/>
      </c>
      <c r="J2129">
        <f>IF(INDEX(L_ID,ROW()-4)="","",IF(SUMPRODUCT((P_ID=INDEX(L_ID,ROW()-4))*(P_StatusN="INACTIVE"))&gt;0,1,0))</f>
        <v/>
      </c>
    </row>
    <row r="2130">
      <c r="A2130">
        <f>IF(INDEX(L_ID,ROW()-4)="","",IF(COUNTIF(P_ID,INDEX(L_ID,ROW()-4))&gt;0,1,0))</f>
        <v/>
      </c>
      <c r="B2130">
        <f>IF(INDEX(P_Type,ROW()-4)="","",TRIM(UPPER(INDEX(P_Type,ROW()-4))))</f>
        <v/>
      </c>
      <c r="D2130">
        <f>IF(INDEX(L_Type,ROW()-4)="","",TRIM(UPPER(INDEX(L_Type,ROW()-4))))</f>
        <v/>
      </c>
      <c r="E2130">
        <f>IF(INDEX(P_Status,ROW()-4)="","",TRIM(UPPER(INDEX(P_Status,ROW()-4))))</f>
        <v/>
      </c>
      <c r="G2130">
        <f>IF(INDEX(L_Status,ROW()-4)="","",TRIM(UPPER(INDEX(L_Status,ROW()-4))))</f>
        <v/>
      </c>
      <c r="J2130">
        <f>IF(INDEX(L_ID,ROW()-4)="","",IF(SUMPRODUCT((P_ID=INDEX(L_ID,ROW()-4))*(P_StatusN="INACTIVE"))&gt;0,1,0))</f>
        <v/>
      </c>
    </row>
    <row r="2131">
      <c r="A2131">
        <f>IF(INDEX(L_ID,ROW()-4)="","",IF(COUNTIF(P_ID,INDEX(L_ID,ROW()-4))&gt;0,1,0))</f>
        <v/>
      </c>
      <c r="B2131">
        <f>IF(INDEX(P_Type,ROW()-4)="","",TRIM(UPPER(INDEX(P_Type,ROW()-4))))</f>
        <v/>
      </c>
      <c r="D2131">
        <f>IF(INDEX(L_Type,ROW()-4)="","",TRIM(UPPER(INDEX(L_Type,ROW()-4))))</f>
        <v/>
      </c>
      <c r="E2131">
        <f>IF(INDEX(P_Status,ROW()-4)="","",TRIM(UPPER(INDEX(P_Status,ROW()-4))))</f>
        <v/>
      </c>
      <c r="G2131">
        <f>IF(INDEX(L_Status,ROW()-4)="","",TRIM(UPPER(INDEX(L_Status,ROW()-4))))</f>
        <v/>
      </c>
      <c r="J2131">
        <f>IF(INDEX(L_ID,ROW()-4)="","",IF(SUMPRODUCT((P_ID=INDEX(L_ID,ROW()-4))*(P_StatusN="INACTIVE"))&gt;0,1,0))</f>
        <v/>
      </c>
    </row>
    <row r="2132">
      <c r="A2132">
        <f>IF(INDEX(L_ID,ROW()-4)="","",IF(COUNTIF(P_ID,INDEX(L_ID,ROW()-4))&gt;0,1,0))</f>
        <v/>
      </c>
      <c r="B2132">
        <f>IF(INDEX(P_Type,ROW()-4)="","",TRIM(UPPER(INDEX(P_Type,ROW()-4))))</f>
        <v/>
      </c>
      <c r="D2132">
        <f>IF(INDEX(L_Type,ROW()-4)="","",TRIM(UPPER(INDEX(L_Type,ROW()-4))))</f>
        <v/>
      </c>
      <c r="E2132">
        <f>IF(INDEX(P_Status,ROW()-4)="","",TRIM(UPPER(INDEX(P_Status,ROW()-4))))</f>
        <v/>
      </c>
      <c r="G2132">
        <f>IF(INDEX(L_Status,ROW()-4)="","",TRIM(UPPER(INDEX(L_Status,ROW()-4))))</f>
        <v/>
      </c>
      <c r="J2132">
        <f>IF(INDEX(L_ID,ROW()-4)="","",IF(SUMPRODUCT((P_ID=INDEX(L_ID,ROW()-4))*(P_StatusN="INACTIVE"))&gt;0,1,0))</f>
        <v/>
      </c>
    </row>
    <row r="2133">
      <c r="A2133">
        <f>IF(INDEX(L_ID,ROW()-4)="","",IF(COUNTIF(P_ID,INDEX(L_ID,ROW()-4))&gt;0,1,0))</f>
        <v/>
      </c>
      <c r="B2133">
        <f>IF(INDEX(P_Type,ROW()-4)="","",TRIM(UPPER(INDEX(P_Type,ROW()-4))))</f>
        <v/>
      </c>
      <c r="D2133">
        <f>IF(INDEX(L_Type,ROW()-4)="","",TRIM(UPPER(INDEX(L_Type,ROW()-4))))</f>
        <v/>
      </c>
      <c r="E2133">
        <f>IF(INDEX(P_Status,ROW()-4)="","",TRIM(UPPER(INDEX(P_Status,ROW()-4))))</f>
        <v/>
      </c>
      <c r="G2133">
        <f>IF(INDEX(L_Status,ROW()-4)="","",TRIM(UPPER(INDEX(L_Status,ROW()-4))))</f>
        <v/>
      </c>
      <c r="J2133">
        <f>IF(INDEX(L_ID,ROW()-4)="","",IF(SUMPRODUCT((P_ID=INDEX(L_ID,ROW()-4))*(P_StatusN="INACTIVE"))&gt;0,1,0))</f>
        <v/>
      </c>
    </row>
    <row r="2134">
      <c r="A2134">
        <f>IF(INDEX(L_ID,ROW()-4)="","",IF(COUNTIF(P_ID,INDEX(L_ID,ROW()-4))&gt;0,1,0))</f>
        <v/>
      </c>
      <c r="B2134">
        <f>IF(INDEX(P_Type,ROW()-4)="","",TRIM(UPPER(INDEX(P_Type,ROW()-4))))</f>
        <v/>
      </c>
      <c r="D2134">
        <f>IF(INDEX(L_Type,ROW()-4)="","",TRIM(UPPER(INDEX(L_Type,ROW()-4))))</f>
        <v/>
      </c>
      <c r="E2134">
        <f>IF(INDEX(P_Status,ROW()-4)="","",TRIM(UPPER(INDEX(P_Status,ROW()-4))))</f>
        <v/>
      </c>
      <c r="G2134">
        <f>IF(INDEX(L_Status,ROW()-4)="","",TRIM(UPPER(INDEX(L_Status,ROW()-4))))</f>
        <v/>
      </c>
      <c r="J2134">
        <f>IF(INDEX(L_ID,ROW()-4)="","",IF(SUMPRODUCT((P_ID=INDEX(L_ID,ROW()-4))*(P_StatusN="INACTIVE"))&gt;0,1,0))</f>
        <v/>
      </c>
    </row>
    <row r="2135">
      <c r="A2135">
        <f>IF(INDEX(L_ID,ROW()-4)="","",IF(COUNTIF(P_ID,INDEX(L_ID,ROW()-4))&gt;0,1,0))</f>
        <v/>
      </c>
      <c r="B2135">
        <f>IF(INDEX(P_Type,ROW()-4)="","",TRIM(UPPER(INDEX(P_Type,ROW()-4))))</f>
        <v/>
      </c>
      <c r="D2135">
        <f>IF(INDEX(L_Type,ROW()-4)="","",TRIM(UPPER(INDEX(L_Type,ROW()-4))))</f>
        <v/>
      </c>
      <c r="E2135">
        <f>IF(INDEX(P_Status,ROW()-4)="","",TRIM(UPPER(INDEX(P_Status,ROW()-4))))</f>
        <v/>
      </c>
      <c r="G2135">
        <f>IF(INDEX(L_Status,ROW()-4)="","",TRIM(UPPER(INDEX(L_Status,ROW()-4))))</f>
        <v/>
      </c>
      <c r="J2135">
        <f>IF(INDEX(L_ID,ROW()-4)="","",IF(SUMPRODUCT((P_ID=INDEX(L_ID,ROW()-4))*(P_StatusN="INACTIVE"))&gt;0,1,0))</f>
        <v/>
      </c>
    </row>
    <row r="2136">
      <c r="A2136">
        <f>IF(INDEX(L_ID,ROW()-4)="","",IF(COUNTIF(P_ID,INDEX(L_ID,ROW()-4))&gt;0,1,0))</f>
        <v/>
      </c>
      <c r="B2136">
        <f>IF(INDEX(P_Type,ROW()-4)="","",TRIM(UPPER(INDEX(P_Type,ROW()-4))))</f>
        <v/>
      </c>
      <c r="D2136">
        <f>IF(INDEX(L_Type,ROW()-4)="","",TRIM(UPPER(INDEX(L_Type,ROW()-4))))</f>
        <v/>
      </c>
      <c r="E2136">
        <f>IF(INDEX(P_Status,ROW()-4)="","",TRIM(UPPER(INDEX(P_Status,ROW()-4))))</f>
        <v/>
      </c>
      <c r="G2136">
        <f>IF(INDEX(L_Status,ROW()-4)="","",TRIM(UPPER(INDEX(L_Status,ROW()-4))))</f>
        <v/>
      </c>
      <c r="J2136">
        <f>IF(INDEX(L_ID,ROW()-4)="","",IF(SUMPRODUCT((P_ID=INDEX(L_ID,ROW()-4))*(P_StatusN="INACTIVE"))&gt;0,1,0))</f>
        <v/>
      </c>
    </row>
    <row r="2137">
      <c r="A2137">
        <f>IF(INDEX(L_ID,ROW()-4)="","",IF(COUNTIF(P_ID,INDEX(L_ID,ROW()-4))&gt;0,1,0))</f>
        <v/>
      </c>
      <c r="B2137">
        <f>IF(INDEX(P_Type,ROW()-4)="","",TRIM(UPPER(INDEX(P_Type,ROW()-4))))</f>
        <v/>
      </c>
      <c r="D2137">
        <f>IF(INDEX(L_Type,ROW()-4)="","",TRIM(UPPER(INDEX(L_Type,ROW()-4))))</f>
        <v/>
      </c>
      <c r="E2137">
        <f>IF(INDEX(P_Status,ROW()-4)="","",TRIM(UPPER(INDEX(P_Status,ROW()-4))))</f>
        <v/>
      </c>
      <c r="G2137">
        <f>IF(INDEX(L_Status,ROW()-4)="","",TRIM(UPPER(INDEX(L_Status,ROW()-4))))</f>
        <v/>
      </c>
      <c r="J2137">
        <f>IF(INDEX(L_ID,ROW()-4)="","",IF(SUMPRODUCT((P_ID=INDEX(L_ID,ROW()-4))*(P_StatusN="INACTIVE"))&gt;0,1,0))</f>
        <v/>
      </c>
    </row>
    <row r="2138">
      <c r="A2138">
        <f>IF(INDEX(L_ID,ROW()-4)="","",IF(COUNTIF(P_ID,INDEX(L_ID,ROW()-4))&gt;0,1,0))</f>
        <v/>
      </c>
      <c r="B2138">
        <f>IF(INDEX(P_Type,ROW()-4)="","",TRIM(UPPER(INDEX(P_Type,ROW()-4))))</f>
        <v/>
      </c>
      <c r="D2138">
        <f>IF(INDEX(L_Type,ROW()-4)="","",TRIM(UPPER(INDEX(L_Type,ROW()-4))))</f>
        <v/>
      </c>
      <c r="E2138">
        <f>IF(INDEX(P_Status,ROW()-4)="","",TRIM(UPPER(INDEX(P_Status,ROW()-4))))</f>
        <v/>
      </c>
      <c r="G2138">
        <f>IF(INDEX(L_Status,ROW()-4)="","",TRIM(UPPER(INDEX(L_Status,ROW()-4))))</f>
        <v/>
      </c>
      <c r="J2138">
        <f>IF(INDEX(L_ID,ROW()-4)="","",IF(SUMPRODUCT((P_ID=INDEX(L_ID,ROW()-4))*(P_StatusN="INACTIVE"))&gt;0,1,0))</f>
        <v/>
      </c>
    </row>
    <row r="2139">
      <c r="A2139">
        <f>IF(INDEX(L_ID,ROW()-4)="","",IF(COUNTIF(P_ID,INDEX(L_ID,ROW()-4))&gt;0,1,0))</f>
        <v/>
      </c>
      <c r="B2139">
        <f>IF(INDEX(P_Type,ROW()-4)="","",TRIM(UPPER(INDEX(P_Type,ROW()-4))))</f>
        <v/>
      </c>
      <c r="D2139">
        <f>IF(INDEX(L_Type,ROW()-4)="","",TRIM(UPPER(INDEX(L_Type,ROW()-4))))</f>
        <v/>
      </c>
      <c r="E2139">
        <f>IF(INDEX(P_Status,ROW()-4)="","",TRIM(UPPER(INDEX(P_Status,ROW()-4))))</f>
        <v/>
      </c>
      <c r="G2139">
        <f>IF(INDEX(L_Status,ROW()-4)="","",TRIM(UPPER(INDEX(L_Status,ROW()-4))))</f>
        <v/>
      </c>
      <c r="J2139">
        <f>IF(INDEX(L_ID,ROW()-4)="","",IF(SUMPRODUCT((P_ID=INDEX(L_ID,ROW()-4))*(P_StatusN="INACTIVE"))&gt;0,1,0))</f>
        <v/>
      </c>
    </row>
    <row r="2140">
      <c r="A2140">
        <f>IF(INDEX(L_ID,ROW()-4)="","",IF(COUNTIF(P_ID,INDEX(L_ID,ROW()-4))&gt;0,1,0))</f>
        <v/>
      </c>
      <c r="B2140">
        <f>IF(INDEX(P_Type,ROW()-4)="","",TRIM(UPPER(INDEX(P_Type,ROW()-4))))</f>
        <v/>
      </c>
      <c r="D2140">
        <f>IF(INDEX(L_Type,ROW()-4)="","",TRIM(UPPER(INDEX(L_Type,ROW()-4))))</f>
        <v/>
      </c>
      <c r="E2140">
        <f>IF(INDEX(P_Status,ROW()-4)="","",TRIM(UPPER(INDEX(P_Status,ROW()-4))))</f>
        <v/>
      </c>
      <c r="G2140">
        <f>IF(INDEX(L_Status,ROW()-4)="","",TRIM(UPPER(INDEX(L_Status,ROW()-4))))</f>
        <v/>
      </c>
      <c r="J2140">
        <f>IF(INDEX(L_ID,ROW()-4)="","",IF(SUMPRODUCT((P_ID=INDEX(L_ID,ROW()-4))*(P_StatusN="INACTIVE"))&gt;0,1,0))</f>
        <v/>
      </c>
    </row>
    <row r="2141">
      <c r="A2141">
        <f>IF(INDEX(L_ID,ROW()-4)="","",IF(COUNTIF(P_ID,INDEX(L_ID,ROW()-4))&gt;0,1,0))</f>
        <v/>
      </c>
      <c r="B2141">
        <f>IF(INDEX(P_Type,ROW()-4)="","",TRIM(UPPER(INDEX(P_Type,ROW()-4))))</f>
        <v/>
      </c>
      <c r="D2141">
        <f>IF(INDEX(L_Type,ROW()-4)="","",TRIM(UPPER(INDEX(L_Type,ROW()-4))))</f>
        <v/>
      </c>
      <c r="E2141">
        <f>IF(INDEX(P_Status,ROW()-4)="","",TRIM(UPPER(INDEX(P_Status,ROW()-4))))</f>
        <v/>
      </c>
      <c r="G2141">
        <f>IF(INDEX(L_Status,ROW()-4)="","",TRIM(UPPER(INDEX(L_Status,ROW()-4))))</f>
        <v/>
      </c>
      <c r="J2141">
        <f>IF(INDEX(L_ID,ROW()-4)="","",IF(SUMPRODUCT((P_ID=INDEX(L_ID,ROW()-4))*(P_StatusN="INACTIVE"))&gt;0,1,0))</f>
        <v/>
      </c>
    </row>
    <row r="2142">
      <c r="A2142">
        <f>IF(INDEX(L_ID,ROW()-4)="","",IF(COUNTIF(P_ID,INDEX(L_ID,ROW()-4))&gt;0,1,0))</f>
        <v/>
      </c>
      <c r="B2142">
        <f>IF(INDEX(P_Type,ROW()-4)="","",TRIM(UPPER(INDEX(P_Type,ROW()-4))))</f>
        <v/>
      </c>
      <c r="D2142">
        <f>IF(INDEX(L_Type,ROW()-4)="","",TRIM(UPPER(INDEX(L_Type,ROW()-4))))</f>
        <v/>
      </c>
      <c r="E2142">
        <f>IF(INDEX(P_Status,ROW()-4)="","",TRIM(UPPER(INDEX(P_Status,ROW()-4))))</f>
        <v/>
      </c>
      <c r="G2142">
        <f>IF(INDEX(L_Status,ROW()-4)="","",TRIM(UPPER(INDEX(L_Status,ROW()-4))))</f>
        <v/>
      </c>
      <c r="J2142">
        <f>IF(INDEX(L_ID,ROW()-4)="","",IF(SUMPRODUCT((P_ID=INDEX(L_ID,ROW()-4))*(P_StatusN="INACTIVE"))&gt;0,1,0))</f>
        <v/>
      </c>
    </row>
    <row r="2143">
      <c r="A2143">
        <f>IF(INDEX(L_ID,ROW()-4)="","",IF(COUNTIF(P_ID,INDEX(L_ID,ROW()-4))&gt;0,1,0))</f>
        <v/>
      </c>
      <c r="B2143">
        <f>IF(INDEX(P_Type,ROW()-4)="","",TRIM(UPPER(INDEX(P_Type,ROW()-4))))</f>
        <v/>
      </c>
      <c r="D2143">
        <f>IF(INDEX(L_Type,ROW()-4)="","",TRIM(UPPER(INDEX(L_Type,ROW()-4))))</f>
        <v/>
      </c>
      <c r="E2143">
        <f>IF(INDEX(P_Status,ROW()-4)="","",TRIM(UPPER(INDEX(P_Status,ROW()-4))))</f>
        <v/>
      </c>
      <c r="G2143">
        <f>IF(INDEX(L_Status,ROW()-4)="","",TRIM(UPPER(INDEX(L_Status,ROW()-4))))</f>
        <v/>
      </c>
      <c r="J2143">
        <f>IF(INDEX(L_ID,ROW()-4)="","",IF(SUMPRODUCT((P_ID=INDEX(L_ID,ROW()-4))*(P_StatusN="INACTIVE"))&gt;0,1,0))</f>
        <v/>
      </c>
    </row>
    <row r="2144">
      <c r="A2144">
        <f>IF(INDEX(L_ID,ROW()-4)="","",IF(COUNTIF(P_ID,INDEX(L_ID,ROW()-4))&gt;0,1,0))</f>
        <v/>
      </c>
      <c r="B2144">
        <f>IF(INDEX(P_Type,ROW()-4)="","",TRIM(UPPER(INDEX(P_Type,ROW()-4))))</f>
        <v/>
      </c>
      <c r="D2144">
        <f>IF(INDEX(L_Type,ROW()-4)="","",TRIM(UPPER(INDEX(L_Type,ROW()-4))))</f>
        <v/>
      </c>
      <c r="E2144">
        <f>IF(INDEX(P_Status,ROW()-4)="","",TRIM(UPPER(INDEX(P_Status,ROW()-4))))</f>
        <v/>
      </c>
      <c r="G2144">
        <f>IF(INDEX(L_Status,ROW()-4)="","",TRIM(UPPER(INDEX(L_Status,ROW()-4))))</f>
        <v/>
      </c>
      <c r="J2144">
        <f>IF(INDEX(L_ID,ROW()-4)="","",IF(SUMPRODUCT((P_ID=INDEX(L_ID,ROW()-4))*(P_StatusN="INACTIVE"))&gt;0,1,0))</f>
        <v/>
      </c>
    </row>
    <row r="2145">
      <c r="A2145">
        <f>IF(INDEX(L_ID,ROW()-4)="","",IF(COUNTIF(P_ID,INDEX(L_ID,ROW()-4))&gt;0,1,0))</f>
        <v/>
      </c>
      <c r="B2145">
        <f>IF(INDEX(P_Type,ROW()-4)="","",TRIM(UPPER(INDEX(P_Type,ROW()-4))))</f>
        <v/>
      </c>
      <c r="D2145">
        <f>IF(INDEX(L_Type,ROW()-4)="","",TRIM(UPPER(INDEX(L_Type,ROW()-4))))</f>
        <v/>
      </c>
      <c r="E2145">
        <f>IF(INDEX(P_Status,ROW()-4)="","",TRIM(UPPER(INDEX(P_Status,ROW()-4))))</f>
        <v/>
      </c>
      <c r="G2145">
        <f>IF(INDEX(L_Status,ROW()-4)="","",TRIM(UPPER(INDEX(L_Status,ROW()-4))))</f>
        <v/>
      </c>
      <c r="J2145">
        <f>IF(INDEX(L_ID,ROW()-4)="","",IF(SUMPRODUCT((P_ID=INDEX(L_ID,ROW()-4))*(P_StatusN="INACTIVE"))&gt;0,1,0))</f>
        <v/>
      </c>
    </row>
    <row r="2146">
      <c r="A2146">
        <f>IF(INDEX(L_ID,ROW()-4)="","",IF(COUNTIF(P_ID,INDEX(L_ID,ROW()-4))&gt;0,1,0))</f>
        <v/>
      </c>
      <c r="B2146">
        <f>IF(INDEX(P_Type,ROW()-4)="","",TRIM(UPPER(INDEX(P_Type,ROW()-4))))</f>
        <v/>
      </c>
      <c r="D2146">
        <f>IF(INDEX(L_Type,ROW()-4)="","",TRIM(UPPER(INDEX(L_Type,ROW()-4))))</f>
        <v/>
      </c>
      <c r="E2146">
        <f>IF(INDEX(P_Status,ROW()-4)="","",TRIM(UPPER(INDEX(P_Status,ROW()-4))))</f>
        <v/>
      </c>
      <c r="G2146">
        <f>IF(INDEX(L_Status,ROW()-4)="","",TRIM(UPPER(INDEX(L_Status,ROW()-4))))</f>
        <v/>
      </c>
      <c r="J2146">
        <f>IF(INDEX(L_ID,ROW()-4)="","",IF(SUMPRODUCT((P_ID=INDEX(L_ID,ROW()-4))*(P_StatusN="INACTIVE"))&gt;0,1,0))</f>
        <v/>
      </c>
    </row>
    <row r="2147">
      <c r="A2147">
        <f>IF(INDEX(L_ID,ROW()-4)="","",IF(COUNTIF(P_ID,INDEX(L_ID,ROW()-4))&gt;0,1,0))</f>
        <v/>
      </c>
      <c r="B2147">
        <f>IF(INDEX(P_Type,ROW()-4)="","",TRIM(UPPER(INDEX(P_Type,ROW()-4))))</f>
        <v/>
      </c>
      <c r="D2147">
        <f>IF(INDEX(L_Type,ROW()-4)="","",TRIM(UPPER(INDEX(L_Type,ROW()-4))))</f>
        <v/>
      </c>
      <c r="E2147">
        <f>IF(INDEX(P_Status,ROW()-4)="","",TRIM(UPPER(INDEX(P_Status,ROW()-4))))</f>
        <v/>
      </c>
      <c r="G2147">
        <f>IF(INDEX(L_Status,ROW()-4)="","",TRIM(UPPER(INDEX(L_Status,ROW()-4))))</f>
        <v/>
      </c>
      <c r="J2147">
        <f>IF(INDEX(L_ID,ROW()-4)="","",IF(SUMPRODUCT((P_ID=INDEX(L_ID,ROW()-4))*(P_StatusN="INACTIVE"))&gt;0,1,0))</f>
        <v/>
      </c>
    </row>
    <row r="2148">
      <c r="A2148">
        <f>IF(INDEX(L_ID,ROW()-4)="","",IF(COUNTIF(P_ID,INDEX(L_ID,ROW()-4))&gt;0,1,0))</f>
        <v/>
      </c>
      <c r="B2148">
        <f>IF(INDEX(P_Type,ROW()-4)="","",TRIM(UPPER(INDEX(P_Type,ROW()-4))))</f>
        <v/>
      </c>
      <c r="D2148">
        <f>IF(INDEX(L_Type,ROW()-4)="","",TRIM(UPPER(INDEX(L_Type,ROW()-4))))</f>
        <v/>
      </c>
      <c r="E2148">
        <f>IF(INDEX(P_Status,ROW()-4)="","",TRIM(UPPER(INDEX(P_Status,ROW()-4))))</f>
        <v/>
      </c>
      <c r="G2148">
        <f>IF(INDEX(L_Status,ROW()-4)="","",TRIM(UPPER(INDEX(L_Status,ROW()-4))))</f>
        <v/>
      </c>
      <c r="J2148">
        <f>IF(INDEX(L_ID,ROW()-4)="","",IF(SUMPRODUCT((P_ID=INDEX(L_ID,ROW()-4))*(P_StatusN="INACTIVE"))&gt;0,1,0))</f>
        <v/>
      </c>
    </row>
    <row r="2149">
      <c r="A2149">
        <f>IF(INDEX(L_ID,ROW()-4)="","",IF(COUNTIF(P_ID,INDEX(L_ID,ROW()-4))&gt;0,1,0))</f>
        <v/>
      </c>
      <c r="B2149">
        <f>IF(INDEX(P_Type,ROW()-4)="","",TRIM(UPPER(INDEX(P_Type,ROW()-4))))</f>
        <v/>
      </c>
      <c r="D2149">
        <f>IF(INDEX(L_Type,ROW()-4)="","",TRIM(UPPER(INDEX(L_Type,ROW()-4))))</f>
        <v/>
      </c>
      <c r="E2149">
        <f>IF(INDEX(P_Status,ROW()-4)="","",TRIM(UPPER(INDEX(P_Status,ROW()-4))))</f>
        <v/>
      </c>
      <c r="G2149">
        <f>IF(INDEX(L_Status,ROW()-4)="","",TRIM(UPPER(INDEX(L_Status,ROW()-4))))</f>
        <v/>
      </c>
      <c r="J2149">
        <f>IF(INDEX(L_ID,ROW()-4)="","",IF(SUMPRODUCT((P_ID=INDEX(L_ID,ROW()-4))*(P_StatusN="INACTIVE"))&gt;0,1,0))</f>
        <v/>
      </c>
    </row>
    <row r="2150">
      <c r="A2150">
        <f>IF(INDEX(L_ID,ROW()-4)="","",IF(COUNTIF(P_ID,INDEX(L_ID,ROW()-4))&gt;0,1,0))</f>
        <v/>
      </c>
      <c r="B2150">
        <f>IF(INDEX(P_Type,ROW()-4)="","",TRIM(UPPER(INDEX(P_Type,ROW()-4))))</f>
        <v/>
      </c>
      <c r="D2150">
        <f>IF(INDEX(L_Type,ROW()-4)="","",TRIM(UPPER(INDEX(L_Type,ROW()-4))))</f>
        <v/>
      </c>
      <c r="E2150">
        <f>IF(INDEX(P_Status,ROW()-4)="","",TRIM(UPPER(INDEX(P_Status,ROW()-4))))</f>
        <v/>
      </c>
      <c r="G2150">
        <f>IF(INDEX(L_Status,ROW()-4)="","",TRIM(UPPER(INDEX(L_Status,ROW()-4))))</f>
        <v/>
      </c>
      <c r="J2150">
        <f>IF(INDEX(L_ID,ROW()-4)="","",IF(SUMPRODUCT((P_ID=INDEX(L_ID,ROW()-4))*(P_StatusN="INACTIVE"))&gt;0,1,0))</f>
        <v/>
      </c>
    </row>
    <row r="2151">
      <c r="A2151">
        <f>IF(INDEX(L_ID,ROW()-4)="","",IF(COUNTIF(P_ID,INDEX(L_ID,ROW()-4))&gt;0,1,0))</f>
        <v/>
      </c>
      <c r="B2151">
        <f>IF(INDEX(P_Type,ROW()-4)="","",TRIM(UPPER(INDEX(P_Type,ROW()-4))))</f>
        <v/>
      </c>
      <c r="D2151">
        <f>IF(INDEX(L_Type,ROW()-4)="","",TRIM(UPPER(INDEX(L_Type,ROW()-4))))</f>
        <v/>
      </c>
      <c r="E2151">
        <f>IF(INDEX(P_Status,ROW()-4)="","",TRIM(UPPER(INDEX(P_Status,ROW()-4))))</f>
        <v/>
      </c>
      <c r="G2151">
        <f>IF(INDEX(L_Status,ROW()-4)="","",TRIM(UPPER(INDEX(L_Status,ROW()-4))))</f>
        <v/>
      </c>
      <c r="J2151">
        <f>IF(INDEX(L_ID,ROW()-4)="","",IF(SUMPRODUCT((P_ID=INDEX(L_ID,ROW()-4))*(P_StatusN="INACTIVE"))&gt;0,1,0))</f>
        <v/>
      </c>
    </row>
    <row r="2152">
      <c r="A2152">
        <f>IF(INDEX(L_ID,ROW()-4)="","",IF(COUNTIF(P_ID,INDEX(L_ID,ROW()-4))&gt;0,1,0))</f>
        <v/>
      </c>
      <c r="B2152">
        <f>IF(INDEX(P_Type,ROW()-4)="","",TRIM(UPPER(INDEX(P_Type,ROW()-4))))</f>
        <v/>
      </c>
      <c r="D2152">
        <f>IF(INDEX(L_Type,ROW()-4)="","",TRIM(UPPER(INDEX(L_Type,ROW()-4))))</f>
        <v/>
      </c>
      <c r="E2152">
        <f>IF(INDEX(P_Status,ROW()-4)="","",TRIM(UPPER(INDEX(P_Status,ROW()-4))))</f>
        <v/>
      </c>
      <c r="G2152">
        <f>IF(INDEX(L_Status,ROW()-4)="","",TRIM(UPPER(INDEX(L_Status,ROW()-4))))</f>
        <v/>
      </c>
      <c r="J2152">
        <f>IF(INDEX(L_ID,ROW()-4)="","",IF(SUMPRODUCT((P_ID=INDEX(L_ID,ROW()-4))*(P_StatusN="INACTIVE"))&gt;0,1,0))</f>
        <v/>
      </c>
    </row>
    <row r="2153">
      <c r="A2153">
        <f>IF(INDEX(L_ID,ROW()-4)="","",IF(COUNTIF(P_ID,INDEX(L_ID,ROW()-4))&gt;0,1,0))</f>
        <v/>
      </c>
      <c r="B2153">
        <f>IF(INDEX(P_Type,ROW()-4)="","",TRIM(UPPER(INDEX(P_Type,ROW()-4))))</f>
        <v/>
      </c>
      <c r="D2153">
        <f>IF(INDEX(L_Type,ROW()-4)="","",TRIM(UPPER(INDEX(L_Type,ROW()-4))))</f>
        <v/>
      </c>
      <c r="E2153">
        <f>IF(INDEX(P_Status,ROW()-4)="","",TRIM(UPPER(INDEX(P_Status,ROW()-4))))</f>
        <v/>
      </c>
      <c r="G2153">
        <f>IF(INDEX(L_Status,ROW()-4)="","",TRIM(UPPER(INDEX(L_Status,ROW()-4))))</f>
        <v/>
      </c>
      <c r="J2153">
        <f>IF(INDEX(L_ID,ROW()-4)="","",IF(SUMPRODUCT((P_ID=INDEX(L_ID,ROW()-4))*(P_StatusN="INACTIVE"))&gt;0,1,0))</f>
        <v/>
      </c>
    </row>
    <row r="2154">
      <c r="A2154">
        <f>IF(INDEX(L_ID,ROW()-4)="","",IF(COUNTIF(P_ID,INDEX(L_ID,ROW()-4))&gt;0,1,0))</f>
        <v/>
      </c>
      <c r="B2154">
        <f>IF(INDEX(P_Type,ROW()-4)="","",TRIM(UPPER(INDEX(P_Type,ROW()-4))))</f>
        <v/>
      </c>
      <c r="D2154">
        <f>IF(INDEX(L_Type,ROW()-4)="","",TRIM(UPPER(INDEX(L_Type,ROW()-4))))</f>
        <v/>
      </c>
      <c r="E2154">
        <f>IF(INDEX(P_Status,ROW()-4)="","",TRIM(UPPER(INDEX(P_Status,ROW()-4))))</f>
        <v/>
      </c>
      <c r="G2154">
        <f>IF(INDEX(L_Status,ROW()-4)="","",TRIM(UPPER(INDEX(L_Status,ROW()-4))))</f>
        <v/>
      </c>
      <c r="J2154">
        <f>IF(INDEX(L_ID,ROW()-4)="","",IF(SUMPRODUCT((P_ID=INDEX(L_ID,ROW()-4))*(P_StatusN="INACTIVE"))&gt;0,1,0))</f>
        <v/>
      </c>
    </row>
    <row r="2155">
      <c r="A2155">
        <f>IF(INDEX(L_ID,ROW()-4)="","",IF(COUNTIF(P_ID,INDEX(L_ID,ROW()-4))&gt;0,1,0))</f>
        <v/>
      </c>
      <c r="B2155">
        <f>IF(INDEX(P_Type,ROW()-4)="","",TRIM(UPPER(INDEX(P_Type,ROW()-4))))</f>
        <v/>
      </c>
      <c r="D2155">
        <f>IF(INDEX(L_Type,ROW()-4)="","",TRIM(UPPER(INDEX(L_Type,ROW()-4))))</f>
        <v/>
      </c>
      <c r="E2155">
        <f>IF(INDEX(P_Status,ROW()-4)="","",TRIM(UPPER(INDEX(P_Status,ROW()-4))))</f>
        <v/>
      </c>
      <c r="G2155">
        <f>IF(INDEX(L_Status,ROW()-4)="","",TRIM(UPPER(INDEX(L_Status,ROW()-4))))</f>
        <v/>
      </c>
      <c r="J2155">
        <f>IF(INDEX(L_ID,ROW()-4)="","",IF(SUMPRODUCT((P_ID=INDEX(L_ID,ROW()-4))*(P_StatusN="INACTIVE"))&gt;0,1,0))</f>
        <v/>
      </c>
    </row>
    <row r="2156">
      <c r="A2156">
        <f>IF(INDEX(L_ID,ROW()-4)="","",IF(COUNTIF(P_ID,INDEX(L_ID,ROW()-4))&gt;0,1,0))</f>
        <v/>
      </c>
      <c r="B2156">
        <f>IF(INDEX(P_Type,ROW()-4)="","",TRIM(UPPER(INDEX(P_Type,ROW()-4))))</f>
        <v/>
      </c>
      <c r="D2156">
        <f>IF(INDEX(L_Type,ROW()-4)="","",TRIM(UPPER(INDEX(L_Type,ROW()-4))))</f>
        <v/>
      </c>
      <c r="E2156">
        <f>IF(INDEX(P_Status,ROW()-4)="","",TRIM(UPPER(INDEX(P_Status,ROW()-4))))</f>
        <v/>
      </c>
      <c r="G2156">
        <f>IF(INDEX(L_Status,ROW()-4)="","",TRIM(UPPER(INDEX(L_Status,ROW()-4))))</f>
        <v/>
      </c>
      <c r="J2156">
        <f>IF(INDEX(L_ID,ROW()-4)="","",IF(SUMPRODUCT((P_ID=INDEX(L_ID,ROW()-4))*(P_StatusN="INACTIVE"))&gt;0,1,0))</f>
        <v/>
      </c>
    </row>
    <row r="2157">
      <c r="A2157">
        <f>IF(INDEX(L_ID,ROW()-4)="","",IF(COUNTIF(P_ID,INDEX(L_ID,ROW()-4))&gt;0,1,0))</f>
        <v/>
      </c>
      <c r="B2157">
        <f>IF(INDEX(P_Type,ROW()-4)="","",TRIM(UPPER(INDEX(P_Type,ROW()-4))))</f>
        <v/>
      </c>
      <c r="D2157">
        <f>IF(INDEX(L_Type,ROW()-4)="","",TRIM(UPPER(INDEX(L_Type,ROW()-4))))</f>
        <v/>
      </c>
      <c r="E2157">
        <f>IF(INDEX(P_Status,ROW()-4)="","",TRIM(UPPER(INDEX(P_Status,ROW()-4))))</f>
        <v/>
      </c>
      <c r="G2157">
        <f>IF(INDEX(L_Status,ROW()-4)="","",TRIM(UPPER(INDEX(L_Status,ROW()-4))))</f>
        <v/>
      </c>
      <c r="J2157">
        <f>IF(INDEX(L_ID,ROW()-4)="","",IF(SUMPRODUCT((P_ID=INDEX(L_ID,ROW()-4))*(P_StatusN="INACTIVE"))&gt;0,1,0))</f>
        <v/>
      </c>
    </row>
    <row r="2158">
      <c r="A2158">
        <f>IF(INDEX(L_ID,ROW()-4)="","",IF(COUNTIF(P_ID,INDEX(L_ID,ROW()-4))&gt;0,1,0))</f>
        <v/>
      </c>
      <c r="B2158">
        <f>IF(INDEX(P_Type,ROW()-4)="","",TRIM(UPPER(INDEX(P_Type,ROW()-4))))</f>
        <v/>
      </c>
      <c r="D2158">
        <f>IF(INDEX(L_Type,ROW()-4)="","",TRIM(UPPER(INDEX(L_Type,ROW()-4))))</f>
        <v/>
      </c>
      <c r="E2158">
        <f>IF(INDEX(P_Status,ROW()-4)="","",TRIM(UPPER(INDEX(P_Status,ROW()-4))))</f>
        <v/>
      </c>
      <c r="G2158">
        <f>IF(INDEX(L_Status,ROW()-4)="","",TRIM(UPPER(INDEX(L_Status,ROW()-4))))</f>
        <v/>
      </c>
      <c r="J2158">
        <f>IF(INDEX(L_ID,ROW()-4)="","",IF(SUMPRODUCT((P_ID=INDEX(L_ID,ROW()-4))*(P_StatusN="INACTIVE"))&gt;0,1,0))</f>
        <v/>
      </c>
    </row>
    <row r="2159">
      <c r="A2159">
        <f>IF(INDEX(L_ID,ROW()-4)="","",IF(COUNTIF(P_ID,INDEX(L_ID,ROW()-4))&gt;0,1,0))</f>
        <v/>
      </c>
      <c r="B2159">
        <f>IF(INDEX(P_Type,ROW()-4)="","",TRIM(UPPER(INDEX(P_Type,ROW()-4))))</f>
        <v/>
      </c>
      <c r="D2159">
        <f>IF(INDEX(L_Type,ROW()-4)="","",TRIM(UPPER(INDEX(L_Type,ROW()-4))))</f>
        <v/>
      </c>
      <c r="E2159">
        <f>IF(INDEX(P_Status,ROW()-4)="","",TRIM(UPPER(INDEX(P_Status,ROW()-4))))</f>
        <v/>
      </c>
      <c r="G2159">
        <f>IF(INDEX(L_Status,ROW()-4)="","",TRIM(UPPER(INDEX(L_Status,ROW()-4))))</f>
        <v/>
      </c>
      <c r="J2159">
        <f>IF(INDEX(L_ID,ROW()-4)="","",IF(SUMPRODUCT((P_ID=INDEX(L_ID,ROW()-4))*(P_StatusN="INACTIVE"))&gt;0,1,0))</f>
        <v/>
      </c>
    </row>
    <row r="2160">
      <c r="A2160">
        <f>IF(INDEX(L_ID,ROW()-4)="","",IF(COUNTIF(P_ID,INDEX(L_ID,ROW()-4))&gt;0,1,0))</f>
        <v/>
      </c>
      <c r="B2160">
        <f>IF(INDEX(P_Type,ROW()-4)="","",TRIM(UPPER(INDEX(P_Type,ROW()-4))))</f>
        <v/>
      </c>
      <c r="D2160">
        <f>IF(INDEX(L_Type,ROW()-4)="","",TRIM(UPPER(INDEX(L_Type,ROW()-4))))</f>
        <v/>
      </c>
      <c r="E2160">
        <f>IF(INDEX(P_Status,ROW()-4)="","",TRIM(UPPER(INDEX(P_Status,ROW()-4))))</f>
        <v/>
      </c>
      <c r="G2160">
        <f>IF(INDEX(L_Status,ROW()-4)="","",TRIM(UPPER(INDEX(L_Status,ROW()-4))))</f>
        <v/>
      </c>
      <c r="J2160">
        <f>IF(INDEX(L_ID,ROW()-4)="","",IF(SUMPRODUCT((P_ID=INDEX(L_ID,ROW()-4))*(P_StatusN="INACTIVE"))&gt;0,1,0))</f>
        <v/>
      </c>
    </row>
    <row r="2161">
      <c r="A2161">
        <f>IF(INDEX(L_ID,ROW()-4)="","",IF(COUNTIF(P_ID,INDEX(L_ID,ROW()-4))&gt;0,1,0))</f>
        <v/>
      </c>
      <c r="B2161">
        <f>IF(INDEX(P_Type,ROW()-4)="","",TRIM(UPPER(INDEX(P_Type,ROW()-4))))</f>
        <v/>
      </c>
      <c r="D2161">
        <f>IF(INDEX(L_Type,ROW()-4)="","",TRIM(UPPER(INDEX(L_Type,ROW()-4))))</f>
        <v/>
      </c>
      <c r="E2161">
        <f>IF(INDEX(P_Status,ROW()-4)="","",TRIM(UPPER(INDEX(P_Status,ROW()-4))))</f>
        <v/>
      </c>
      <c r="G2161">
        <f>IF(INDEX(L_Status,ROW()-4)="","",TRIM(UPPER(INDEX(L_Status,ROW()-4))))</f>
        <v/>
      </c>
      <c r="J2161">
        <f>IF(INDEX(L_ID,ROW()-4)="","",IF(SUMPRODUCT((P_ID=INDEX(L_ID,ROW()-4))*(P_StatusN="INACTIVE"))&gt;0,1,0))</f>
        <v/>
      </c>
    </row>
    <row r="2162">
      <c r="A2162">
        <f>IF(INDEX(L_ID,ROW()-4)="","",IF(COUNTIF(P_ID,INDEX(L_ID,ROW()-4))&gt;0,1,0))</f>
        <v/>
      </c>
      <c r="B2162">
        <f>IF(INDEX(P_Type,ROW()-4)="","",TRIM(UPPER(INDEX(P_Type,ROW()-4))))</f>
        <v/>
      </c>
      <c r="D2162">
        <f>IF(INDEX(L_Type,ROW()-4)="","",TRIM(UPPER(INDEX(L_Type,ROW()-4))))</f>
        <v/>
      </c>
      <c r="E2162">
        <f>IF(INDEX(P_Status,ROW()-4)="","",TRIM(UPPER(INDEX(P_Status,ROW()-4))))</f>
        <v/>
      </c>
      <c r="G2162">
        <f>IF(INDEX(L_Status,ROW()-4)="","",TRIM(UPPER(INDEX(L_Status,ROW()-4))))</f>
        <v/>
      </c>
      <c r="J2162">
        <f>IF(INDEX(L_ID,ROW()-4)="","",IF(SUMPRODUCT((P_ID=INDEX(L_ID,ROW()-4))*(P_StatusN="INACTIVE"))&gt;0,1,0))</f>
        <v/>
      </c>
    </row>
    <row r="2163">
      <c r="A2163">
        <f>IF(INDEX(L_ID,ROW()-4)="","",IF(COUNTIF(P_ID,INDEX(L_ID,ROW()-4))&gt;0,1,0))</f>
        <v/>
      </c>
      <c r="B2163">
        <f>IF(INDEX(P_Type,ROW()-4)="","",TRIM(UPPER(INDEX(P_Type,ROW()-4))))</f>
        <v/>
      </c>
      <c r="D2163">
        <f>IF(INDEX(L_Type,ROW()-4)="","",TRIM(UPPER(INDEX(L_Type,ROW()-4))))</f>
        <v/>
      </c>
      <c r="E2163">
        <f>IF(INDEX(P_Status,ROW()-4)="","",TRIM(UPPER(INDEX(P_Status,ROW()-4))))</f>
        <v/>
      </c>
      <c r="G2163">
        <f>IF(INDEX(L_Status,ROW()-4)="","",TRIM(UPPER(INDEX(L_Status,ROW()-4))))</f>
        <v/>
      </c>
      <c r="J2163">
        <f>IF(INDEX(L_ID,ROW()-4)="","",IF(SUMPRODUCT((P_ID=INDEX(L_ID,ROW()-4))*(P_StatusN="INACTIVE"))&gt;0,1,0))</f>
        <v/>
      </c>
    </row>
    <row r="2164">
      <c r="A2164">
        <f>IF(INDEX(L_ID,ROW()-4)="","",IF(COUNTIF(P_ID,INDEX(L_ID,ROW()-4))&gt;0,1,0))</f>
        <v/>
      </c>
      <c r="B2164">
        <f>IF(INDEX(P_Type,ROW()-4)="","",TRIM(UPPER(INDEX(P_Type,ROW()-4))))</f>
        <v/>
      </c>
      <c r="D2164">
        <f>IF(INDEX(L_Type,ROW()-4)="","",TRIM(UPPER(INDEX(L_Type,ROW()-4))))</f>
        <v/>
      </c>
      <c r="E2164">
        <f>IF(INDEX(P_Status,ROW()-4)="","",TRIM(UPPER(INDEX(P_Status,ROW()-4))))</f>
        <v/>
      </c>
      <c r="G2164">
        <f>IF(INDEX(L_Status,ROW()-4)="","",TRIM(UPPER(INDEX(L_Status,ROW()-4))))</f>
        <v/>
      </c>
      <c r="J2164">
        <f>IF(INDEX(L_ID,ROW()-4)="","",IF(SUMPRODUCT((P_ID=INDEX(L_ID,ROW()-4))*(P_StatusN="INACTIVE"))&gt;0,1,0))</f>
        <v/>
      </c>
    </row>
    <row r="2165">
      <c r="A2165">
        <f>IF(INDEX(L_ID,ROW()-4)="","",IF(COUNTIF(P_ID,INDEX(L_ID,ROW()-4))&gt;0,1,0))</f>
        <v/>
      </c>
      <c r="B2165">
        <f>IF(INDEX(P_Type,ROW()-4)="","",TRIM(UPPER(INDEX(P_Type,ROW()-4))))</f>
        <v/>
      </c>
      <c r="D2165">
        <f>IF(INDEX(L_Type,ROW()-4)="","",TRIM(UPPER(INDEX(L_Type,ROW()-4))))</f>
        <v/>
      </c>
      <c r="E2165">
        <f>IF(INDEX(P_Status,ROW()-4)="","",TRIM(UPPER(INDEX(P_Status,ROW()-4))))</f>
        <v/>
      </c>
      <c r="G2165">
        <f>IF(INDEX(L_Status,ROW()-4)="","",TRIM(UPPER(INDEX(L_Status,ROW()-4))))</f>
        <v/>
      </c>
      <c r="J2165">
        <f>IF(INDEX(L_ID,ROW()-4)="","",IF(SUMPRODUCT((P_ID=INDEX(L_ID,ROW()-4))*(P_StatusN="INACTIVE"))&gt;0,1,0))</f>
        <v/>
      </c>
    </row>
    <row r="2166">
      <c r="A2166">
        <f>IF(INDEX(L_ID,ROW()-4)="","",IF(COUNTIF(P_ID,INDEX(L_ID,ROW()-4))&gt;0,1,0))</f>
        <v/>
      </c>
      <c r="B2166">
        <f>IF(INDEX(P_Type,ROW()-4)="","",TRIM(UPPER(INDEX(P_Type,ROW()-4))))</f>
        <v/>
      </c>
      <c r="D2166">
        <f>IF(INDEX(L_Type,ROW()-4)="","",TRIM(UPPER(INDEX(L_Type,ROW()-4))))</f>
        <v/>
      </c>
      <c r="E2166">
        <f>IF(INDEX(P_Status,ROW()-4)="","",TRIM(UPPER(INDEX(P_Status,ROW()-4))))</f>
        <v/>
      </c>
      <c r="G2166">
        <f>IF(INDEX(L_Status,ROW()-4)="","",TRIM(UPPER(INDEX(L_Status,ROW()-4))))</f>
        <v/>
      </c>
      <c r="J2166">
        <f>IF(INDEX(L_ID,ROW()-4)="","",IF(SUMPRODUCT((P_ID=INDEX(L_ID,ROW()-4))*(P_StatusN="INACTIVE"))&gt;0,1,0))</f>
        <v/>
      </c>
    </row>
    <row r="2167">
      <c r="A2167">
        <f>IF(INDEX(L_ID,ROW()-4)="","",IF(COUNTIF(P_ID,INDEX(L_ID,ROW()-4))&gt;0,1,0))</f>
        <v/>
      </c>
      <c r="B2167">
        <f>IF(INDEX(P_Type,ROW()-4)="","",TRIM(UPPER(INDEX(P_Type,ROW()-4))))</f>
        <v/>
      </c>
      <c r="D2167">
        <f>IF(INDEX(L_Type,ROW()-4)="","",TRIM(UPPER(INDEX(L_Type,ROW()-4))))</f>
        <v/>
      </c>
      <c r="E2167">
        <f>IF(INDEX(P_Status,ROW()-4)="","",TRIM(UPPER(INDEX(P_Status,ROW()-4))))</f>
        <v/>
      </c>
      <c r="G2167">
        <f>IF(INDEX(L_Status,ROW()-4)="","",TRIM(UPPER(INDEX(L_Status,ROW()-4))))</f>
        <v/>
      </c>
      <c r="J2167">
        <f>IF(INDEX(L_ID,ROW()-4)="","",IF(SUMPRODUCT((P_ID=INDEX(L_ID,ROW()-4))*(P_StatusN="INACTIVE"))&gt;0,1,0))</f>
        <v/>
      </c>
    </row>
    <row r="2168">
      <c r="A2168">
        <f>IF(INDEX(L_ID,ROW()-4)="","",IF(COUNTIF(P_ID,INDEX(L_ID,ROW()-4))&gt;0,1,0))</f>
        <v/>
      </c>
      <c r="B2168">
        <f>IF(INDEX(P_Type,ROW()-4)="","",TRIM(UPPER(INDEX(P_Type,ROW()-4))))</f>
        <v/>
      </c>
      <c r="D2168">
        <f>IF(INDEX(L_Type,ROW()-4)="","",TRIM(UPPER(INDEX(L_Type,ROW()-4))))</f>
        <v/>
      </c>
      <c r="E2168">
        <f>IF(INDEX(P_Status,ROW()-4)="","",TRIM(UPPER(INDEX(P_Status,ROW()-4))))</f>
        <v/>
      </c>
      <c r="G2168">
        <f>IF(INDEX(L_Status,ROW()-4)="","",TRIM(UPPER(INDEX(L_Status,ROW()-4))))</f>
        <v/>
      </c>
      <c r="J2168">
        <f>IF(INDEX(L_ID,ROW()-4)="","",IF(SUMPRODUCT((P_ID=INDEX(L_ID,ROW()-4))*(P_StatusN="INACTIVE"))&gt;0,1,0))</f>
        <v/>
      </c>
    </row>
    <row r="2169">
      <c r="A2169">
        <f>IF(INDEX(L_ID,ROW()-4)="","",IF(COUNTIF(P_ID,INDEX(L_ID,ROW()-4))&gt;0,1,0))</f>
        <v/>
      </c>
      <c r="B2169">
        <f>IF(INDEX(P_Type,ROW()-4)="","",TRIM(UPPER(INDEX(P_Type,ROW()-4))))</f>
        <v/>
      </c>
      <c r="D2169">
        <f>IF(INDEX(L_Type,ROW()-4)="","",TRIM(UPPER(INDEX(L_Type,ROW()-4))))</f>
        <v/>
      </c>
      <c r="E2169">
        <f>IF(INDEX(P_Status,ROW()-4)="","",TRIM(UPPER(INDEX(P_Status,ROW()-4))))</f>
        <v/>
      </c>
      <c r="G2169">
        <f>IF(INDEX(L_Status,ROW()-4)="","",TRIM(UPPER(INDEX(L_Status,ROW()-4))))</f>
        <v/>
      </c>
      <c r="J2169">
        <f>IF(INDEX(L_ID,ROW()-4)="","",IF(SUMPRODUCT((P_ID=INDEX(L_ID,ROW()-4))*(P_StatusN="INACTIVE"))&gt;0,1,0))</f>
        <v/>
      </c>
    </row>
    <row r="2170">
      <c r="A2170">
        <f>IF(INDEX(L_ID,ROW()-4)="","",IF(COUNTIF(P_ID,INDEX(L_ID,ROW()-4))&gt;0,1,0))</f>
        <v/>
      </c>
      <c r="B2170">
        <f>IF(INDEX(P_Type,ROW()-4)="","",TRIM(UPPER(INDEX(P_Type,ROW()-4))))</f>
        <v/>
      </c>
      <c r="D2170">
        <f>IF(INDEX(L_Type,ROW()-4)="","",TRIM(UPPER(INDEX(L_Type,ROW()-4))))</f>
        <v/>
      </c>
      <c r="E2170">
        <f>IF(INDEX(P_Status,ROW()-4)="","",TRIM(UPPER(INDEX(P_Status,ROW()-4))))</f>
        <v/>
      </c>
      <c r="G2170">
        <f>IF(INDEX(L_Status,ROW()-4)="","",TRIM(UPPER(INDEX(L_Status,ROW()-4))))</f>
        <v/>
      </c>
      <c r="J2170">
        <f>IF(INDEX(L_ID,ROW()-4)="","",IF(SUMPRODUCT((P_ID=INDEX(L_ID,ROW()-4))*(P_StatusN="INACTIVE"))&gt;0,1,0))</f>
        <v/>
      </c>
    </row>
    <row r="2171">
      <c r="A2171">
        <f>IF(INDEX(L_ID,ROW()-4)="","",IF(COUNTIF(P_ID,INDEX(L_ID,ROW()-4))&gt;0,1,0))</f>
        <v/>
      </c>
      <c r="B2171">
        <f>IF(INDEX(P_Type,ROW()-4)="","",TRIM(UPPER(INDEX(P_Type,ROW()-4))))</f>
        <v/>
      </c>
      <c r="D2171">
        <f>IF(INDEX(L_Type,ROW()-4)="","",TRIM(UPPER(INDEX(L_Type,ROW()-4))))</f>
        <v/>
      </c>
      <c r="E2171">
        <f>IF(INDEX(P_Status,ROW()-4)="","",TRIM(UPPER(INDEX(P_Status,ROW()-4))))</f>
        <v/>
      </c>
      <c r="G2171">
        <f>IF(INDEX(L_Status,ROW()-4)="","",TRIM(UPPER(INDEX(L_Status,ROW()-4))))</f>
        <v/>
      </c>
      <c r="J2171">
        <f>IF(INDEX(L_ID,ROW()-4)="","",IF(SUMPRODUCT((P_ID=INDEX(L_ID,ROW()-4))*(P_StatusN="INACTIVE"))&gt;0,1,0))</f>
        <v/>
      </c>
    </row>
    <row r="2172">
      <c r="A2172">
        <f>IF(INDEX(L_ID,ROW()-4)="","",IF(COUNTIF(P_ID,INDEX(L_ID,ROW()-4))&gt;0,1,0))</f>
        <v/>
      </c>
      <c r="B2172">
        <f>IF(INDEX(P_Type,ROW()-4)="","",TRIM(UPPER(INDEX(P_Type,ROW()-4))))</f>
        <v/>
      </c>
      <c r="D2172">
        <f>IF(INDEX(L_Type,ROW()-4)="","",TRIM(UPPER(INDEX(L_Type,ROW()-4))))</f>
        <v/>
      </c>
      <c r="E2172">
        <f>IF(INDEX(P_Status,ROW()-4)="","",TRIM(UPPER(INDEX(P_Status,ROW()-4))))</f>
        <v/>
      </c>
      <c r="G2172">
        <f>IF(INDEX(L_Status,ROW()-4)="","",TRIM(UPPER(INDEX(L_Status,ROW()-4))))</f>
        <v/>
      </c>
      <c r="J2172">
        <f>IF(INDEX(L_ID,ROW()-4)="","",IF(SUMPRODUCT((P_ID=INDEX(L_ID,ROW()-4))*(P_StatusN="INACTIVE"))&gt;0,1,0))</f>
        <v/>
      </c>
    </row>
    <row r="2173">
      <c r="A2173">
        <f>IF(INDEX(L_ID,ROW()-4)="","",IF(COUNTIF(P_ID,INDEX(L_ID,ROW()-4))&gt;0,1,0))</f>
        <v/>
      </c>
      <c r="B2173">
        <f>IF(INDEX(P_Type,ROW()-4)="","",TRIM(UPPER(INDEX(P_Type,ROW()-4))))</f>
        <v/>
      </c>
      <c r="D2173">
        <f>IF(INDEX(L_Type,ROW()-4)="","",TRIM(UPPER(INDEX(L_Type,ROW()-4))))</f>
        <v/>
      </c>
      <c r="E2173">
        <f>IF(INDEX(P_Status,ROW()-4)="","",TRIM(UPPER(INDEX(P_Status,ROW()-4))))</f>
        <v/>
      </c>
      <c r="G2173">
        <f>IF(INDEX(L_Status,ROW()-4)="","",TRIM(UPPER(INDEX(L_Status,ROW()-4))))</f>
        <v/>
      </c>
      <c r="J2173">
        <f>IF(INDEX(L_ID,ROW()-4)="","",IF(SUMPRODUCT((P_ID=INDEX(L_ID,ROW()-4))*(P_StatusN="INACTIVE"))&gt;0,1,0))</f>
        <v/>
      </c>
    </row>
    <row r="2174">
      <c r="A2174">
        <f>IF(INDEX(L_ID,ROW()-4)="","",IF(COUNTIF(P_ID,INDEX(L_ID,ROW()-4))&gt;0,1,0))</f>
        <v/>
      </c>
      <c r="B2174">
        <f>IF(INDEX(P_Type,ROW()-4)="","",TRIM(UPPER(INDEX(P_Type,ROW()-4))))</f>
        <v/>
      </c>
      <c r="D2174">
        <f>IF(INDEX(L_Type,ROW()-4)="","",TRIM(UPPER(INDEX(L_Type,ROW()-4))))</f>
        <v/>
      </c>
      <c r="E2174">
        <f>IF(INDEX(P_Status,ROW()-4)="","",TRIM(UPPER(INDEX(P_Status,ROW()-4))))</f>
        <v/>
      </c>
      <c r="G2174">
        <f>IF(INDEX(L_Status,ROW()-4)="","",TRIM(UPPER(INDEX(L_Status,ROW()-4))))</f>
        <v/>
      </c>
      <c r="J2174">
        <f>IF(INDEX(L_ID,ROW()-4)="","",IF(SUMPRODUCT((P_ID=INDEX(L_ID,ROW()-4))*(P_StatusN="INACTIVE"))&gt;0,1,0))</f>
        <v/>
      </c>
    </row>
    <row r="2175">
      <c r="A2175">
        <f>IF(INDEX(L_ID,ROW()-4)="","",IF(COUNTIF(P_ID,INDEX(L_ID,ROW()-4))&gt;0,1,0))</f>
        <v/>
      </c>
      <c r="B2175">
        <f>IF(INDEX(P_Type,ROW()-4)="","",TRIM(UPPER(INDEX(P_Type,ROW()-4))))</f>
        <v/>
      </c>
      <c r="D2175">
        <f>IF(INDEX(L_Type,ROW()-4)="","",TRIM(UPPER(INDEX(L_Type,ROW()-4))))</f>
        <v/>
      </c>
      <c r="E2175">
        <f>IF(INDEX(P_Status,ROW()-4)="","",TRIM(UPPER(INDEX(P_Status,ROW()-4))))</f>
        <v/>
      </c>
      <c r="G2175">
        <f>IF(INDEX(L_Status,ROW()-4)="","",TRIM(UPPER(INDEX(L_Status,ROW()-4))))</f>
        <v/>
      </c>
      <c r="J2175">
        <f>IF(INDEX(L_ID,ROW()-4)="","",IF(SUMPRODUCT((P_ID=INDEX(L_ID,ROW()-4))*(P_StatusN="INACTIVE"))&gt;0,1,0))</f>
        <v/>
      </c>
    </row>
    <row r="2176">
      <c r="A2176">
        <f>IF(INDEX(L_ID,ROW()-4)="","",IF(COUNTIF(P_ID,INDEX(L_ID,ROW()-4))&gt;0,1,0))</f>
        <v/>
      </c>
      <c r="B2176">
        <f>IF(INDEX(P_Type,ROW()-4)="","",TRIM(UPPER(INDEX(P_Type,ROW()-4))))</f>
        <v/>
      </c>
      <c r="D2176">
        <f>IF(INDEX(L_Type,ROW()-4)="","",TRIM(UPPER(INDEX(L_Type,ROW()-4))))</f>
        <v/>
      </c>
      <c r="E2176">
        <f>IF(INDEX(P_Status,ROW()-4)="","",TRIM(UPPER(INDEX(P_Status,ROW()-4))))</f>
        <v/>
      </c>
      <c r="G2176">
        <f>IF(INDEX(L_Status,ROW()-4)="","",TRIM(UPPER(INDEX(L_Status,ROW()-4))))</f>
        <v/>
      </c>
      <c r="J2176">
        <f>IF(INDEX(L_ID,ROW()-4)="","",IF(SUMPRODUCT((P_ID=INDEX(L_ID,ROW()-4))*(P_StatusN="INACTIVE"))&gt;0,1,0))</f>
        <v/>
      </c>
    </row>
    <row r="2177">
      <c r="A2177">
        <f>IF(INDEX(L_ID,ROW()-4)="","",IF(COUNTIF(P_ID,INDEX(L_ID,ROW()-4))&gt;0,1,0))</f>
        <v/>
      </c>
      <c r="B2177">
        <f>IF(INDEX(P_Type,ROW()-4)="","",TRIM(UPPER(INDEX(P_Type,ROW()-4))))</f>
        <v/>
      </c>
      <c r="D2177">
        <f>IF(INDEX(L_Type,ROW()-4)="","",TRIM(UPPER(INDEX(L_Type,ROW()-4))))</f>
        <v/>
      </c>
      <c r="E2177">
        <f>IF(INDEX(P_Status,ROW()-4)="","",TRIM(UPPER(INDEX(P_Status,ROW()-4))))</f>
        <v/>
      </c>
      <c r="G2177">
        <f>IF(INDEX(L_Status,ROW()-4)="","",TRIM(UPPER(INDEX(L_Status,ROW()-4))))</f>
        <v/>
      </c>
      <c r="J2177">
        <f>IF(INDEX(L_ID,ROW()-4)="","",IF(SUMPRODUCT((P_ID=INDEX(L_ID,ROW()-4))*(P_StatusN="INACTIVE"))&gt;0,1,0))</f>
        <v/>
      </c>
    </row>
    <row r="2178">
      <c r="A2178">
        <f>IF(INDEX(L_ID,ROW()-4)="","",IF(COUNTIF(P_ID,INDEX(L_ID,ROW()-4))&gt;0,1,0))</f>
        <v/>
      </c>
      <c r="B2178">
        <f>IF(INDEX(P_Type,ROW()-4)="","",TRIM(UPPER(INDEX(P_Type,ROW()-4))))</f>
        <v/>
      </c>
      <c r="D2178">
        <f>IF(INDEX(L_Type,ROW()-4)="","",TRIM(UPPER(INDEX(L_Type,ROW()-4))))</f>
        <v/>
      </c>
      <c r="E2178">
        <f>IF(INDEX(P_Status,ROW()-4)="","",TRIM(UPPER(INDEX(P_Status,ROW()-4))))</f>
        <v/>
      </c>
      <c r="G2178">
        <f>IF(INDEX(L_Status,ROW()-4)="","",TRIM(UPPER(INDEX(L_Status,ROW()-4))))</f>
        <v/>
      </c>
      <c r="J2178">
        <f>IF(INDEX(L_ID,ROW()-4)="","",IF(SUMPRODUCT((P_ID=INDEX(L_ID,ROW()-4))*(P_StatusN="INACTIVE"))&gt;0,1,0))</f>
        <v/>
      </c>
    </row>
    <row r="2179">
      <c r="A2179">
        <f>IF(INDEX(L_ID,ROW()-4)="","",IF(COUNTIF(P_ID,INDEX(L_ID,ROW()-4))&gt;0,1,0))</f>
        <v/>
      </c>
      <c r="B2179">
        <f>IF(INDEX(P_Type,ROW()-4)="","",TRIM(UPPER(INDEX(P_Type,ROW()-4))))</f>
        <v/>
      </c>
      <c r="D2179">
        <f>IF(INDEX(L_Type,ROW()-4)="","",TRIM(UPPER(INDEX(L_Type,ROW()-4))))</f>
        <v/>
      </c>
      <c r="E2179">
        <f>IF(INDEX(P_Status,ROW()-4)="","",TRIM(UPPER(INDEX(P_Status,ROW()-4))))</f>
        <v/>
      </c>
      <c r="G2179">
        <f>IF(INDEX(L_Status,ROW()-4)="","",TRIM(UPPER(INDEX(L_Status,ROW()-4))))</f>
        <v/>
      </c>
      <c r="J2179">
        <f>IF(INDEX(L_ID,ROW()-4)="","",IF(SUMPRODUCT((P_ID=INDEX(L_ID,ROW()-4))*(P_StatusN="INACTIVE"))&gt;0,1,0))</f>
        <v/>
      </c>
    </row>
    <row r="2180">
      <c r="A2180">
        <f>IF(INDEX(L_ID,ROW()-4)="","",IF(COUNTIF(P_ID,INDEX(L_ID,ROW()-4))&gt;0,1,0))</f>
        <v/>
      </c>
      <c r="B2180">
        <f>IF(INDEX(P_Type,ROW()-4)="","",TRIM(UPPER(INDEX(P_Type,ROW()-4))))</f>
        <v/>
      </c>
      <c r="D2180">
        <f>IF(INDEX(L_Type,ROW()-4)="","",TRIM(UPPER(INDEX(L_Type,ROW()-4))))</f>
        <v/>
      </c>
      <c r="E2180">
        <f>IF(INDEX(P_Status,ROW()-4)="","",TRIM(UPPER(INDEX(P_Status,ROW()-4))))</f>
        <v/>
      </c>
      <c r="G2180">
        <f>IF(INDEX(L_Status,ROW()-4)="","",TRIM(UPPER(INDEX(L_Status,ROW()-4))))</f>
        <v/>
      </c>
      <c r="J2180">
        <f>IF(INDEX(L_ID,ROW()-4)="","",IF(SUMPRODUCT((P_ID=INDEX(L_ID,ROW()-4))*(P_StatusN="INACTIVE"))&gt;0,1,0))</f>
        <v/>
      </c>
    </row>
    <row r="2181">
      <c r="A2181">
        <f>IF(INDEX(L_ID,ROW()-4)="","",IF(COUNTIF(P_ID,INDEX(L_ID,ROW()-4))&gt;0,1,0))</f>
        <v/>
      </c>
      <c r="B2181">
        <f>IF(INDEX(P_Type,ROW()-4)="","",TRIM(UPPER(INDEX(P_Type,ROW()-4))))</f>
        <v/>
      </c>
      <c r="D2181">
        <f>IF(INDEX(L_Type,ROW()-4)="","",TRIM(UPPER(INDEX(L_Type,ROW()-4))))</f>
        <v/>
      </c>
      <c r="E2181">
        <f>IF(INDEX(P_Status,ROW()-4)="","",TRIM(UPPER(INDEX(P_Status,ROW()-4))))</f>
        <v/>
      </c>
      <c r="G2181">
        <f>IF(INDEX(L_Status,ROW()-4)="","",TRIM(UPPER(INDEX(L_Status,ROW()-4))))</f>
        <v/>
      </c>
      <c r="J2181">
        <f>IF(INDEX(L_ID,ROW()-4)="","",IF(SUMPRODUCT((P_ID=INDEX(L_ID,ROW()-4))*(P_StatusN="INACTIVE"))&gt;0,1,0))</f>
        <v/>
      </c>
    </row>
    <row r="2182">
      <c r="A2182">
        <f>IF(INDEX(L_ID,ROW()-4)="","",IF(COUNTIF(P_ID,INDEX(L_ID,ROW()-4))&gt;0,1,0))</f>
        <v/>
      </c>
      <c r="B2182">
        <f>IF(INDEX(P_Type,ROW()-4)="","",TRIM(UPPER(INDEX(P_Type,ROW()-4))))</f>
        <v/>
      </c>
      <c r="D2182">
        <f>IF(INDEX(L_Type,ROW()-4)="","",TRIM(UPPER(INDEX(L_Type,ROW()-4))))</f>
        <v/>
      </c>
      <c r="E2182">
        <f>IF(INDEX(P_Status,ROW()-4)="","",TRIM(UPPER(INDEX(P_Status,ROW()-4))))</f>
        <v/>
      </c>
      <c r="G2182">
        <f>IF(INDEX(L_Status,ROW()-4)="","",TRIM(UPPER(INDEX(L_Status,ROW()-4))))</f>
        <v/>
      </c>
      <c r="J2182">
        <f>IF(INDEX(L_ID,ROW()-4)="","",IF(SUMPRODUCT((P_ID=INDEX(L_ID,ROW()-4))*(P_StatusN="INACTIVE"))&gt;0,1,0))</f>
        <v/>
      </c>
    </row>
    <row r="2183">
      <c r="A2183">
        <f>IF(INDEX(L_ID,ROW()-4)="","",IF(COUNTIF(P_ID,INDEX(L_ID,ROW()-4))&gt;0,1,0))</f>
        <v/>
      </c>
      <c r="B2183">
        <f>IF(INDEX(P_Type,ROW()-4)="","",TRIM(UPPER(INDEX(P_Type,ROW()-4))))</f>
        <v/>
      </c>
      <c r="D2183">
        <f>IF(INDEX(L_Type,ROW()-4)="","",TRIM(UPPER(INDEX(L_Type,ROW()-4))))</f>
        <v/>
      </c>
      <c r="E2183">
        <f>IF(INDEX(P_Status,ROW()-4)="","",TRIM(UPPER(INDEX(P_Status,ROW()-4))))</f>
        <v/>
      </c>
      <c r="G2183">
        <f>IF(INDEX(L_Status,ROW()-4)="","",TRIM(UPPER(INDEX(L_Status,ROW()-4))))</f>
        <v/>
      </c>
      <c r="J2183">
        <f>IF(INDEX(L_ID,ROW()-4)="","",IF(SUMPRODUCT((P_ID=INDEX(L_ID,ROW()-4))*(P_StatusN="INACTIVE"))&gt;0,1,0))</f>
        <v/>
      </c>
    </row>
    <row r="2184">
      <c r="A2184">
        <f>IF(INDEX(L_ID,ROW()-4)="","",IF(COUNTIF(P_ID,INDEX(L_ID,ROW()-4))&gt;0,1,0))</f>
        <v/>
      </c>
      <c r="B2184">
        <f>IF(INDEX(P_Type,ROW()-4)="","",TRIM(UPPER(INDEX(P_Type,ROW()-4))))</f>
        <v/>
      </c>
      <c r="D2184">
        <f>IF(INDEX(L_Type,ROW()-4)="","",TRIM(UPPER(INDEX(L_Type,ROW()-4))))</f>
        <v/>
      </c>
      <c r="E2184">
        <f>IF(INDEX(P_Status,ROW()-4)="","",TRIM(UPPER(INDEX(P_Status,ROW()-4))))</f>
        <v/>
      </c>
      <c r="G2184">
        <f>IF(INDEX(L_Status,ROW()-4)="","",TRIM(UPPER(INDEX(L_Status,ROW()-4))))</f>
        <v/>
      </c>
      <c r="J2184">
        <f>IF(INDEX(L_ID,ROW()-4)="","",IF(SUMPRODUCT((P_ID=INDEX(L_ID,ROW()-4))*(P_StatusN="INACTIVE"))&gt;0,1,0))</f>
        <v/>
      </c>
    </row>
    <row r="2185">
      <c r="A2185">
        <f>IF(INDEX(L_ID,ROW()-4)="","",IF(COUNTIF(P_ID,INDEX(L_ID,ROW()-4))&gt;0,1,0))</f>
        <v/>
      </c>
      <c r="B2185">
        <f>IF(INDEX(P_Type,ROW()-4)="","",TRIM(UPPER(INDEX(P_Type,ROW()-4))))</f>
        <v/>
      </c>
      <c r="D2185">
        <f>IF(INDEX(L_Type,ROW()-4)="","",TRIM(UPPER(INDEX(L_Type,ROW()-4))))</f>
        <v/>
      </c>
      <c r="E2185">
        <f>IF(INDEX(P_Status,ROW()-4)="","",TRIM(UPPER(INDEX(P_Status,ROW()-4))))</f>
        <v/>
      </c>
      <c r="G2185">
        <f>IF(INDEX(L_Status,ROW()-4)="","",TRIM(UPPER(INDEX(L_Status,ROW()-4))))</f>
        <v/>
      </c>
      <c r="J2185">
        <f>IF(INDEX(L_ID,ROW()-4)="","",IF(SUMPRODUCT((P_ID=INDEX(L_ID,ROW()-4))*(P_StatusN="INACTIVE"))&gt;0,1,0))</f>
        <v/>
      </c>
    </row>
    <row r="2186">
      <c r="A2186">
        <f>IF(INDEX(L_ID,ROW()-4)="","",IF(COUNTIF(P_ID,INDEX(L_ID,ROW()-4))&gt;0,1,0))</f>
        <v/>
      </c>
      <c r="B2186">
        <f>IF(INDEX(P_Type,ROW()-4)="","",TRIM(UPPER(INDEX(P_Type,ROW()-4))))</f>
        <v/>
      </c>
      <c r="D2186">
        <f>IF(INDEX(L_Type,ROW()-4)="","",TRIM(UPPER(INDEX(L_Type,ROW()-4))))</f>
        <v/>
      </c>
      <c r="E2186">
        <f>IF(INDEX(P_Status,ROW()-4)="","",TRIM(UPPER(INDEX(P_Status,ROW()-4))))</f>
        <v/>
      </c>
      <c r="G2186">
        <f>IF(INDEX(L_Status,ROW()-4)="","",TRIM(UPPER(INDEX(L_Status,ROW()-4))))</f>
        <v/>
      </c>
      <c r="J2186">
        <f>IF(INDEX(L_ID,ROW()-4)="","",IF(SUMPRODUCT((P_ID=INDEX(L_ID,ROW()-4))*(P_StatusN="INACTIVE"))&gt;0,1,0))</f>
        <v/>
      </c>
    </row>
    <row r="2187">
      <c r="A2187">
        <f>IF(INDEX(L_ID,ROW()-4)="","",IF(COUNTIF(P_ID,INDEX(L_ID,ROW()-4))&gt;0,1,0))</f>
        <v/>
      </c>
      <c r="B2187">
        <f>IF(INDEX(P_Type,ROW()-4)="","",TRIM(UPPER(INDEX(P_Type,ROW()-4))))</f>
        <v/>
      </c>
      <c r="D2187">
        <f>IF(INDEX(L_Type,ROW()-4)="","",TRIM(UPPER(INDEX(L_Type,ROW()-4))))</f>
        <v/>
      </c>
      <c r="E2187">
        <f>IF(INDEX(P_Status,ROW()-4)="","",TRIM(UPPER(INDEX(P_Status,ROW()-4))))</f>
        <v/>
      </c>
      <c r="G2187">
        <f>IF(INDEX(L_Status,ROW()-4)="","",TRIM(UPPER(INDEX(L_Status,ROW()-4))))</f>
        <v/>
      </c>
      <c r="J2187">
        <f>IF(INDEX(L_ID,ROW()-4)="","",IF(SUMPRODUCT((P_ID=INDEX(L_ID,ROW()-4))*(P_StatusN="INACTIVE"))&gt;0,1,0))</f>
        <v/>
      </c>
    </row>
    <row r="2188">
      <c r="A2188">
        <f>IF(INDEX(L_ID,ROW()-4)="","",IF(COUNTIF(P_ID,INDEX(L_ID,ROW()-4))&gt;0,1,0))</f>
        <v/>
      </c>
      <c r="B2188">
        <f>IF(INDEX(P_Type,ROW()-4)="","",TRIM(UPPER(INDEX(P_Type,ROW()-4))))</f>
        <v/>
      </c>
      <c r="D2188">
        <f>IF(INDEX(L_Type,ROW()-4)="","",TRIM(UPPER(INDEX(L_Type,ROW()-4))))</f>
        <v/>
      </c>
      <c r="E2188">
        <f>IF(INDEX(P_Status,ROW()-4)="","",TRIM(UPPER(INDEX(P_Status,ROW()-4))))</f>
        <v/>
      </c>
      <c r="G2188">
        <f>IF(INDEX(L_Status,ROW()-4)="","",TRIM(UPPER(INDEX(L_Status,ROW()-4))))</f>
        <v/>
      </c>
      <c r="J2188">
        <f>IF(INDEX(L_ID,ROW()-4)="","",IF(SUMPRODUCT((P_ID=INDEX(L_ID,ROW()-4))*(P_StatusN="INACTIVE"))&gt;0,1,0))</f>
        <v/>
      </c>
    </row>
    <row r="2189">
      <c r="A2189">
        <f>IF(INDEX(L_ID,ROW()-4)="","",IF(COUNTIF(P_ID,INDEX(L_ID,ROW()-4))&gt;0,1,0))</f>
        <v/>
      </c>
      <c r="B2189">
        <f>IF(INDEX(P_Type,ROW()-4)="","",TRIM(UPPER(INDEX(P_Type,ROW()-4))))</f>
        <v/>
      </c>
      <c r="D2189">
        <f>IF(INDEX(L_Type,ROW()-4)="","",TRIM(UPPER(INDEX(L_Type,ROW()-4))))</f>
        <v/>
      </c>
      <c r="E2189">
        <f>IF(INDEX(P_Status,ROW()-4)="","",TRIM(UPPER(INDEX(P_Status,ROW()-4))))</f>
        <v/>
      </c>
      <c r="G2189">
        <f>IF(INDEX(L_Status,ROW()-4)="","",TRIM(UPPER(INDEX(L_Status,ROW()-4))))</f>
        <v/>
      </c>
      <c r="J2189">
        <f>IF(INDEX(L_ID,ROW()-4)="","",IF(SUMPRODUCT((P_ID=INDEX(L_ID,ROW()-4))*(P_StatusN="INACTIVE"))&gt;0,1,0))</f>
        <v/>
      </c>
    </row>
    <row r="2190">
      <c r="A2190">
        <f>IF(INDEX(L_ID,ROW()-4)="","",IF(COUNTIF(P_ID,INDEX(L_ID,ROW()-4))&gt;0,1,0))</f>
        <v/>
      </c>
      <c r="B2190">
        <f>IF(INDEX(P_Type,ROW()-4)="","",TRIM(UPPER(INDEX(P_Type,ROW()-4))))</f>
        <v/>
      </c>
      <c r="D2190">
        <f>IF(INDEX(L_Type,ROW()-4)="","",TRIM(UPPER(INDEX(L_Type,ROW()-4))))</f>
        <v/>
      </c>
      <c r="E2190">
        <f>IF(INDEX(P_Status,ROW()-4)="","",TRIM(UPPER(INDEX(P_Status,ROW()-4))))</f>
        <v/>
      </c>
      <c r="G2190">
        <f>IF(INDEX(L_Status,ROW()-4)="","",TRIM(UPPER(INDEX(L_Status,ROW()-4))))</f>
        <v/>
      </c>
      <c r="J2190">
        <f>IF(INDEX(L_ID,ROW()-4)="","",IF(SUMPRODUCT((P_ID=INDEX(L_ID,ROW()-4))*(P_StatusN="INACTIVE"))&gt;0,1,0))</f>
        <v/>
      </c>
    </row>
    <row r="2191">
      <c r="A2191">
        <f>IF(INDEX(L_ID,ROW()-4)="","",IF(COUNTIF(P_ID,INDEX(L_ID,ROW()-4))&gt;0,1,0))</f>
        <v/>
      </c>
      <c r="B2191">
        <f>IF(INDEX(P_Type,ROW()-4)="","",TRIM(UPPER(INDEX(P_Type,ROW()-4))))</f>
        <v/>
      </c>
      <c r="D2191">
        <f>IF(INDEX(L_Type,ROW()-4)="","",TRIM(UPPER(INDEX(L_Type,ROW()-4))))</f>
        <v/>
      </c>
      <c r="E2191">
        <f>IF(INDEX(P_Status,ROW()-4)="","",TRIM(UPPER(INDEX(P_Status,ROW()-4))))</f>
        <v/>
      </c>
      <c r="G2191">
        <f>IF(INDEX(L_Status,ROW()-4)="","",TRIM(UPPER(INDEX(L_Status,ROW()-4))))</f>
        <v/>
      </c>
      <c r="J2191">
        <f>IF(INDEX(L_ID,ROW()-4)="","",IF(SUMPRODUCT((P_ID=INDEX(L_ID,ROW()-4))*(P_StatusN="INACTIVE"))&gt;0,1,0))</f>
        <v/>
      </c>
    </row>
    <row r="2192">
      <c r="A2192">
        <f>IF(INDEX(L_ID,ROW()-4)="","",IF(COUNTIF(P_ID,INDEX(L_ID,ROW()-4))&gt;0,1,0))</f>
        <v/>
      </c>
      <c r="B2192">
        <f>IF(INDEX(P_Type,ROW()-4)="","",TRIM(UPPER(INDEX(P_Type,ROW()-4))))</f>
        <v/>
      </c>
      <c r="D2192">
        <f>IF(INDEX(L_Type,ROW()-4)="","",TRIM(UPPER(INDEX(L_Type,ROW()-4))))</f>
        <v/>
      </c>
      <c r="E2192">
        <f>IF(INDEX(P_Status,ROW()-4)="","",TRIM(UPPER(INDEX(P_Status,ROW()-4))))</f>
        <v/>
      </c>
      <c r="G2192">
        <f>IF(INDEX(L_Status,ROW()-4)="","",TRIM(UPPER(INDEX(L_Status,ROW()-4))))</f>
        <v/>
      </c>
      <c r="J2192">
        <f>IF(INDEX(L_ID,ROW()-4)="","",IF(SUMPRODUCT((P_ID=INDEX(L_ID,ROW()-4))*(P_StatusN="INACTIVE"))&gt;0,1,0))</f>
        <v/>
      </c>
    </row>
    <row r="2193">
      <c r="A2193">
        <f>IF(INDEX(L_ID,ROW()-4)="","",IF(COUNTIF(P_ID,INDEX(L_ID,ROW()-4))&gt;0,1,0))</f>
        <v/>
      </c>
      <c r="B2193">
        <f>IF(INDEX(P_Type,ROW()-4)="","",TRIM(UPPER(INDEX(P_Type,ROW()-4))))</f>
        <v/>
      </c>
      <c r="D2193">
        <f>IF(INDEX(L_Type,ROW()-4)="","",TRIM(UPPER(INDEX(L_Type,ROW()-4))))</f>
        <v/>
      </c>
      <c r="E2193">
        <f>IF(INDEX(P_Status,ROW()-4)="","",TRIM(UPPER(INDEX(P_Status,ROW()-4))))</f>
        <v/>
      </c>
      <c r="G2193">
        <f>IF(INDEX(L_Status,ROW()-4)="","",TRIM(UPPER(INDEX(L_Status,ROW()-4))))</f>
        <v/>
      </c>
      <c r="J2193">
        <f>IF(INDEX(L_ID,ROW()-4)="","",IF(SUMPRODUCT((P_ID=INDEX(L_ID,ROW()-4))*(P_StatusN="INACTIVE"))&gt;0,1,0))</f>
        <v/>
      </c>
    </row>
    <row r="2194">
      <c r="A2194">
        <f>IF(INDEX(L_ID,ROW()-4)="","",IF(COUNTIF(P_ID,INDEX(L_ID,ROW()-4))&gt;0,1,0))</f>
        <v/>
      </c>
      <c r="B2194">
        <f>IF(INDEX(P_Type,ROW()-4)="","",TRIM(UPPER(INDEX(P_Type,ROW()-4))))</f>
        <v/>
      </c>
      <c r="D2194">
        <f>IF(INDEX(L_Type,ROW()-4)="","",TRIM(UPPER(INDEX(L_Type,ROW()-4))))</f>
        <v/>
      </c>
      <c r="E2194">
        <f>IF(INDEX(P_Status,ROW()-4)="","",TRIM(UPPER(INDEX(P_Status,ROW()-4))))</f>
        <v/>
      </c>
      <c r="G2194">
        <f>IF(INDEX(L_Status,ROW()-4)="","",TRIM(UPPER(INDEX(L_Status,ROW()-4))))</f>
        <v/>
      </c>
      <c r="J2194">
        <f>IF(INDEX(L_ID,ROW()-4)="","",IF(SUMPRODUCT((P_ID=INDEX(L_ID,ROW()-4))*(P_StatusN="INACTIVE"))&gt;0,1,0))</f>
        <v/>
      </c>
    </row>
    <row r="2195">
      <c r="A2195">
        <f>IF(INDEX(L_ID,ROW()-4)="","",IF(COUNTIF(P_ID,INDEX(L_ID,ROW()-4))&gt;0,1,0))</f>
        <v/>
      </c>
      <c r="B2195">
        <f>IF(INDEX(P_Type,ROW()-4)="","",TRIM(UPPER(INDEX(P_Type,ROW()-4))))</f>
        <v/>
      </c>
      <c r="D2195">
        <f>IF(INDEX(L_Type,ROW()-4)="","",TRIM(UPPER(INDEX(L_Type,ROW()-4))))</f>
        <v/>
      </c>
      <c r="E2195">
        <f>IF(INDEX(P_Status,ROW()-4)="","",TRIM(UPPER(INDEX(P_Status,ROW()-4))))</f>
        <v/>
      </c>
      <c r="G2195">
        <f>IF(INDEX(L_Status,ROW()-4)="","",TRIM(UPPER(INDEX(L_Status,ROW()-4))))</f>
        <v/>
      </c>
      <c r="J2195">
        <f>IF(INDEX(L_ID,ROW()-4)="","",IF(SUMPRODUCT((P_ID=INDEX(L_ID,ROW()-4))*(P_StatusN="INACTIVE"))&gt;0,1,0))</f>
        <v/>
      </c>
    </row>
    <row r="2196">
      <c r="A2196">
        <f>IF(INDEX(L_ID,ROW()-4)="","",IF(COUNTIF(P_ID,INDEX(L_ID,ROW()-4))&gt;0,1,0))</f>
        <v/>
      </c>
      <c r="B2196">
        <f>IF(INDEX(P_Type,ROW()-4)="","",TRIM(UPPER(INDEX(P_Type,ROW()-4))))</f>
        <v/>
      </c>
      <c r="D2196">
        <f>IF(INDEX(L_Type,ROW()-4)="","",TRIM(UPPER(INDEX(L_Type,ROW()-4))))</f>
        <v/>
      </c>
      <c r="E2196">
        <f>IF(INDEX(P_Status,ROW()-4)="","",TRIM(UPPER(INDEX(P_Status,ROW()-4))))</f>
        <v/>
      </c>
      <c r="G2196">
        <f>IF(INDEX(L_Status,ROW()-4)="","",TRIM(UPPER(INDEX(L_Status,ROW()-4))))</f>
        <v/>
      </c>
      <c r="J2196">
        <f>IF(INDEX(L_ID,ROW()-4)="","",IF(SUMPRODUCT((P_ID=INDEX(L_ID,ROW()-4))*(P_StatusN="INACTIVE"))&gt;0,1,0))</f>
        <v/>
      </c>
    </row>
    <row r="2197">
      <c r="A2197">
        <f>IF(INDEX(L_ID,ROW()-4)="","",IF(COUNTIF(P_ID,INDEX(L_ID,ROW()-4))&gt;0,1,0))</f>
        <v/>
      </c>
      <c r="B2197">
        <f>IF(INDEX(P_Type,ROW()-4)="","",TRIM(UPPER(INDEX(P_Type,ROW()-4))))</f>
        <v/>
      </c>
      <c r="D2197">
        <f>IF(INDEX(L_Type,ROW()-4)="","",TRIM(UPPER(INDEX(L_Type,ROW()-4))))</f>
        <v/>
      </c>
      <c r="E2197">
        <f>IF(INDEX(P_Status,ROW()-4)="","",TRIM(UPPER(INDEX(P_Status,ROW()-4))))</f>
        <v/>
      </c>
      <c r="G2197">
        <f>IF(INDEX(L_Status,ROW()-4)="","",TRIM(UPPER(INDEX(L_Status,ROW()-4))))</f>
        <v/>
      </c>
      <c r="J2197">
        <f>IF(INDEX(L_ID,ROW()-4)="","",IF(SUMPRODUCT((P_ID=INDEX(L_ID,ROW()-4))*(P_StatusN="INACTIVE"))&gt;0,1,0))</f>
        <v/>
      </c>
    </row>
    <row r="2198">
      <c r="A2198">
        <f>IF(INDEX(L_ID,ROW()-4)="","",IF(COUNTIF(P_ID,INDEX(L_ID,ROW()-4))&gt;0,1,0))</f>
        <v/>
      </c>
      <c r="B2198">
        <f>IF(INDEX(P_Type,ROW()-4)="","",TRIM(UPPER(INDEX(P_Type,ROW()-4))))</f>
        <v/>
      </c>
      <c r="D2198">
        <f>IF(INDEX(L_Type,ROW()-4)="","",TRIM(UPPER(INDEX(L_Type,ROW()-4))))</f>
        <v/>
      </c>
      <c r="E2198">
        <f>IF(INDEX(P_Status,ROW()-4)="","",TRIM(UPPER(INDEX(P_Status,ROW()-4))))</f>
        <v/>
      </c>
      <c r="G2198">
        <f>IF(INDEX(L_Status,ROW()-4)="","",TRIM(UPPER(INDEX(L_Status,ROW()-4))))</f>
        <v/>
      </c>
      <c r="J2198">
        <f>IF(INDEX(L_ID,ROW()-4)="","",IF(SUMPRODUCT((P_ID=INDEX(L_ID,ROW()-4))*(P_StatusN="INACTIVE"))&gt;0,1,0))</f>
        <v/>
      </c>
    </row>
    <row r="2199">
      <c r="A2199">
        <f>IF(INDEX(L_ID,ROW()-4)="","",IF(COUNTIF(P_ID,INDEX(L_ID,ROW()-4))&gt;0,1,0))</f>
        <v/>
      </c>
      <c r="B2199">
        <f>IF(INDEX(P_Type,ROW()-4)="","",TRIM(UPPER(INDEX(P_Type,ROW()-4))))</f>
        <v/>
      </c>
      <c r="D2199">
        <f>IF(INDEX(L_Type,ROW()-4)="","",TRIM(UPPER(INDEX(L_Type,ROW()-4))))</f>
        <v/>
      </c>
      <c r="E2199">
        <f>IF(INDEX(P_Status,ROW()-4)="","",TRIM(UPPER(INDEX(P_Status,ROW()-4))))</f>
        <v/>
      </c>
      <c r="G2199">
        <f>IF(INDEX(L_Status,ROW()-4)="","",TRIM(UPPER(INDEX(L_Status,ROW()-4))))</f>
        <v/>
      </c>
      <c r="J2199">
        <f>IF(INDEX(L_ID,ROW()-4)="","",IF(SUMPRODUCT((P_ID=INDEX(L_ID,ROW()-4))*(P_StatusN="INACTIVE"))&gt;0,1,0))</f>
        <v/>
      </c>
    </row>
    <row r="2200">
      <c r="A2200">
        <f>IF(INDEX(L_ID,ROW()-4)="","",IF(COUNTIF(P_ID,INDEX(L_ID,ROW()-4))&gt;0,1,0))</f>
        <v/>
      </c>
      <c r="B2200">
        <f>IF(INDEX(P_Type,ROW()-4)="","",TRIM(UPPER(INDEX(P_Type,ROW()-4))))</f>
        <v/>
      </c>
      <c r="D2200">
        <f>IF(INDEX(L_Type,ROW()-4)="","",TRIM(UPPER(INDEX(L_Type,ROW()-4))))</f>
        <v/>
      </c>
      <c r="E2200">
        <f>IF(INDEX(P_Status,ROW()-4)="","",TRIM(UPPER(INDEX(P_Status,ROW()-4))))</f>
        <v/>
      </c>
      <c r="G2200">
        <f>IF(INDEX(L_Status,ROW()-4)="","",TRIM(UPPER(INDEX(L_Status,ROW()-4))))</f>
        <v/>
      </c>
      <c r="J2200">
        <f>IF(INDEX(L_ID,ROW()-4)="","",IF(SUMPRODUCT((P_ID=INDEX(L_ID,ROW()-4))*(P_StatusN="INACTIVE"))&gt;0,1,0))</f>
        <v/>
      </c>
    </row>
    <row r="2201">
      <c r="A2201">
        <f>IF(INDEX(L_ID,ROW()-4)="","",IF(COUNTIF(P_ID,INDEX(L_ID,ROW()-4))&gt;0,1,0))</f>
        <v/>
      </c>
      <c r="B2201">
        <f>IF(INDEX(P_Type,ROW()-4)="","",TRIM(UPPER(INDEX(P_Type,ROW()-4))))</f>
        <v/>
      </c>
      <c r="D2201">
        <f>IF(INDEX(L_Type,ROW()-4)="","",TRIM(UPPER(INDEX(L_Type,ROW()-4))))</f>
        <v/>
      </c>
      <c r="E2201">
        <f>IF(INDEX(P_Status,ROW()-4)="","",TRIM(UPPER(INDEX(P_Status,ROW()-4))))</f>
        <v/>
      </c>
      <c r="G2201">
        <f>IF(INDEX(L_Status,ROW()-4)="","",TRIM(UPPER(INDEX(L_Status,ROW()-4))))</f>
        <v/>
      </c>
      <c r="J2201">
        <f>IF(INDEX(L_ID,ROW()-4)="","",IF(SUMPRODUCT((P_ID=INDEX(L_ID,ROW()-4))*(P_StatusN="INACTIVE"))&gt;0,1,0))</f>
        <v/>
      </c>
    </row>
    <row r="2202">
      <c r="A2202">
        <f>IF(INDEX(L_ID,ROW()-4)="","",IF(COUNTIF(P_ID,INDEX(L_ID,ROW()-4))&gt;0,1,0))</f>
        <v/>
      </c>
      <c r="B2202">
        <f>IF(INDEX(P_Type,ROW()-4)="","",TRIM(UPPER(INDEX(P_Type,ROW()-4))))</f>
        <v/>
      </c>
      <c r="D2202">
        <f>IF(INDEX(L_Type,ROW()-4)="","",TRIM(UPPER(INDEX(L_Type,ROW()-4))))</f>
        <v/>
      </c>
      <c r="E2202">
        <f>IF(INDEX(P_Status,ROW()-4)="","",TRIM(UPPER(INDEX(P_Status,ROW()-4))))</f>
        <v/>
      </c>
      <c r="G2202">
        <f>IF(INDEX(L_Status,ROW()-4)="","",TRIM(UPPER(INDEX(L_Status,ROW()-4))))</f>
        <v/>
      </c>
      <c r="J2202">
        <f>IF(INDEX(L_ID,ROW()-4)="","",IF(SUMPRODUCT((P_ID=INDEX(L_ID,ROW()-4))*(P_StatusN="INACTIVE"))&gt;0,1,0))</f>
        <v/>
      </c>
    </row>
    <row r="2203">
      <c r="A2203">
        <f>IF(INDEX(L_ID,ROW()-4)="","",IF(COUNTIF(P_ID,INDEX(L_ID,ROW()-4))&gt;0,1,0))</f>
        <v/>
      </c>
      <c r="B2203">
        <f>IF(INDEX(P_Type,ROW()-4)="","",TRIM(UPPER(INDEX(P_Type,ROW()-4))))</f>
        <v/>
      </c>
      <c r="D2203">
        <f>IF(INDEX(L_Type,ROW()-4)="","",TRIM(UPPER(INDEX(L_Type,ROW()-4))))</f>
        <v/>
      </c>
      <c r="E2203">
        <f>IF(INDEX(P_Status,ROW()-4)="","",TRIM(UPPER(INDEX(P_Status,ROW()-4))))</f>
        <v/>
      </c>
      <c r="G2203">
        <f>IF(INDEX(L_Status,ROW()-4)="","",TRIM(UPPER(INDEX(L_Status,ROW()-4))))</f>
        <v/>
      </c>
      <c r="J2203">
        <f>IF(INDEX(L_ID,ROW()-4)="","",IF(SUMPRODUCT((P_ID=INDEX(L_ID,ROW()-4))*(P_StatusN="INACTIVE"))&gt;0,1,0))</f>
        <v/>
      </c>
    </row>
    <row r="2204">
      <c r="A2204">
        <f>IF(INDEX(L_ID,ROW()-4)="","",IF(COUNTIF(P_ID,INDEX(L_ID,ROW()-4))&gt;0,1,0))</f>
        <v/>
      </c>
      <c r="B2204">
        <f>IF(INDEX(P_Type,ROW()-4)="","",TRIM(UPPER(INDEX(P_Type,ROW()-4))))</f>
        <v/>
      </c>
      <c r="D2204">
        <f>IF(INDEX(L_Type,ROW()-4)="","",TRIM(UPPER(INDEX(L_Type,ROW()-4))))</f>
        <v/>
      </c>
      <c r="E2204">
        <f>IF(INDEX(P_Status,ROW()-4)="","",TRIM(UPPER(INDEX(P_Status,ROW()-4))))</f>
        <v/>
      </c>
      <c r="G2204">
        <f>IF(INDEX(L_Status,ROW()-4)="","",TRIM(UPPER(INDEX(L_Status,ROW()-4))))</f>
        <v/>
      </c>
      <c r="J2204">
        <f>IF(INDEX(L_ID,ROW()-4)="","",IF(SUMPRODUCT((P_ID=INDEX(L_ID,ROW()-4))*(P_StatusN="INACTIVE"))&gt;0,1,0))</f>
        <v/>
      </c>
    </row>
    <row r="2205">
      <c r="A2205">
        <f>IF(INDEX(L_ID,ROW()-4)="","",IF(COUNTIF(P_ID,INDEX(L_ID,ROW()-4))&gt;0,1,0))</f>
        <v/>
      </c>
      <c r="B2205">
        <f>IF(INDEX(P_Type,ROW()-4)="","",TRIM(UPPER(INDEX(P_Type,ROW()-4))))</f>
        <v/>
      </c>
      <c r="D2205">
        <f>IF(INDEX(L_Type,ROW()-4)="","",TRIM(UPPER(INDEX(L_Type,ROW()-4))))</f>
        <v/>
      </c>
      <c r="E2205">
        <f>IF(INDEX(P_Status,ROW()-4)="","",TRIM(UPPER(INDEX(P_Status,ROW()-4))))</f>
        <v/>
      </c>
      <c r="G2205">
        <f>IF(INDEX(L_Status,ROW()-4)="","",TRIM(UPPER(INDEX(L_Status,ROW()-4))))</f>
        <v/>
      </c>
      <c r="J2205">
        <f>IF(INDEX(L_ID,ROW()-4)="","",IF(SUMPRODUCT((P_ID=INDEX(L_ID,ROW()-4))*(P_StatusN="INACTIVE"))&gt;0,1,0))</f>
        <v/>
      </c>
    </row>
    <row r="2206">
      <c r="A2206">
        <f>IF(INDEX(L_ID,ROW()-4)="","",IF(COUNTIF(P_ID,INDEX(L_ID,ROW()-4))&gt;0,1,0))</f>
        <v/>
      </c>
      <c r="B2206">
        <f>IF(INDEX(P_Type,ROW()-4)="","",TRIM(UPPER(INDEX(P_Type,ROW()-4))))</f>
        <v/>
      </c>
      <c r="D2206">
        <f>IF(INDEX(L_Type,ROW()-4)="","",TRIM(UPPER(INDEX(L_Type,ROW()-4))))</f>
        <v/>
      </c>
      <c r="E2206">
        <f>IF(INDEX(P_Status,ROW()-4)="","",TRIM(UPPER(INDEX(P_Status,ROW()-4))))</f>
        <v/>
      </c>
      <c r="G2206">
        <f>IF(INDEX(L_Status,ROW()-4)="","",TRIM(UPPER(INDEX(L_Status,ROW()-4))))</f>
        <v/>
      </c>
      <c r="J2206">
        <f>IF(INDEX(L_ID,ROW()-4)="","",IF(SUMPRODUCT((P_ID=INDEX(L_ID,ROW()-4))*(P_StatusN="INACTIVE"))&gt;0,1,0))</f>
        <v/>
      </c>
    </row>
    <row r="2207">
      <c r="A2207">
        <f>IF(INDEX(L_ID,ROW()-4)="","",IF(COUNTIF(P_ID,INDEX(L_ID,ROW()-4))&gt;0,1,0))</f>
        <v/>
      </c>
      <c r="B2207">
        <f>IF(INDEX(P_Type,ROW()-4)="","",TRIM(UPPER(INDEX(P_Type,ROW()-4))))</f>
        <v/>
      </c>
      <c r="D2207">
        <f>IF(INDEX(L_Type,ROW()-4)="","",TRIM(UPPER(INDEX(L_Type,ROW()-4))))</f>
        <v/>
      </c>
      <c r="E2207">
        <f>IF(INDEX(P_Status,ROW()-4)="","",TRIM(UPPER(INDEX(P_Status,ROW()-4))))</f>
        <v/>
      </c>
      <c r="G2207">
        <f>IF(INDEX(L_Status,ROW()-4)="","",TRIM(UPPER(INDEX(L_Status,ROW()-4))))</f>
        <v/>
      </c>
      <c r="J2207">
        <f>IF(INDEX(L_ID,ROW()-4)="","",IF(SUMPRODUCT((P_ID=INDEX(L_ID,ROW()-4))*(P_StatusN="INACTIVE"))&gt;0,1,0))</f>
        <v/>
      </c>
    </row>
    <row r="2208">
      <c r="A2208">
        <f>IF(INDEX(L_ID,ROW()-4)="","",IF(COUNTIF(P_ID,INDEX(L_ID,ROW()-4))&gt;0,1,0))</f>
        <v/>
      </c>
      <c r="B2208">
        <f>IF(INDEX(P_Type,ROW()-4)="","",TRIM(UPPER(INDEX(P_Type,ROW()-4))))</f>
        <v/>
      </c>
      <c r="D2208">
        <f>IF(INDEX(L_Type,ROW()-4)="","",TRIM(UPPER(INDEX(L_Type,ROW()-4))))</f>
        <v/>
      </c>
      <c r="E2208">
        <f>IF(INDEX(P_Status,ROW()-4)="","",TRIM(UPPER(INDEX(P_Status,ROW()-4))))</f>
        <v/>
      </c>
      <c r="G2208">
        <f>IF(INDEX(L_Status,ROW()-4)="","",TRIM(UPPER(INDEX(L_Status,ROW()-4))))</f>
        <v/>
      </c>
      <c r="J2208">
        <f>IF(INDEX(L_ID,ROW()-4)="","",IF(SUMPRODUCT((P_ID=INDEX(L_ID,ROW()-4))*(P_StatusN="INACTIVE"))&gt;0,1,0))</f>
        <v/>
      </c>
    </row>
    <row r="2209">
      <c r="A2209">
        <f>IF(INDEX(L_ID,ROW()-4)="","",IF(COUNTIF(P_ID,INDEX(L_ID,ROW()-4))&gt;0,1,0))</f>
        <v/>
      </c>
      <c r="B2209">
        <f>IF(INDEX(P_Type,ROW()-4)="","",TRIM(UPPER(INDEX(P_Type,ROW()-4))))</f>
        <v/>
      </c>
      <c r="D2209">
        <f>IF(INDEX(L_Type,ROW()-4)="","",TRIM(UPPER(INDEX(L_Type,ROW()-4))))</f>
        <v/>
      </c>
      <c r="E2209">
        <f>IF(INDEX(P_Status,ROW()-4)="","",TRIM(UPPER(INDEX(P_Status,ROW()-4))))</f>
        <v/>
      </c>
      <c r="G2209">
        <f>IF(INDEX(L_Status,ROW()-4)="","",TRIM(UPPER(INDEX(L_Status,ROW()-4))))</f>
        <v/>
      </c>
      <c r="J2209">
        <f>IF(INDEX(L_ID,ROW()-4)="","",IF(SUMPRODUCT((P_ID=INDEX(L_ID,ROW()-4))*(P_StatusN="INACTIVE"))&gt;0,1,0))</f>
        <v/>
      </c>
    </row>
    <row r="2210">
      <c r="A2210">
        <f>IF(INDEX(L_ID,ROW()-4)="","",IF(COUNTIF(P_ID,INDEX(L_ID,ROW()-4))&gt;0,1,0))</f>
        <v/>
      </c>
      <c r="B2210">
        <f>IF(INDEX(P_Type,ROW()-4)="","",TRIM(UPPER(INDEX(P_Type,ROW()-4))))</f>
        <v/>
      </c>
      <c r="D2210">
        <f>IF(INDEX(L_Type,ROW()-4)="","",TRIM(UPPER(INDEX(L_Type,ROW()-4))))</f>
        <v/>
      </c>
      <c r="E2210">
        <f>IF(INDEX(P_Status,ROW()-4)="","",TRIM(UPPER(INDEX(P_Status,ROW()-4))))</f>
        <v/>
      </c>
      <c r="G2210">
        <f>IF(INDEX(L_Status,ROW()-4)="","",TRIM(UPPER(INDEX(L_Status,ROW()-4))))</f>
        <v/>
      </c>
      <c r="J2210">
        <f>IF(INDEX(L_ID,ROW()-4)="","",IF(SUMPRODUCT((P_ID=INDEX(L_ID,ROW()-4))*(P_StatusN="INACTIVE"))&gt;0,1,0))</f>
        <v/>
      </c>
    </row>
    <row r="2211">
      <c r="A2211">
        <f>IF(INDEX(L_ID,ROW()-4)="","",IF(COUNTIF(P_ID,INDEX(L_ID,ROW()-4))&gt;0,1,0))</f>
        <v/>
      </c>
      <c r="B2211">
        <f>IF(INDEX(P_Type,ROW()-4)="","",TRIM(UPPER(INDEX(P_Type,ROW()-4))))</f>
        <v/>
      </c>
      <c r="D2211">
        <f>IF(INDEX(L_Type,ROW()-4)="","",TRIM(UPPER(INDEX(L_Type,ROW()-4))))</f>
        <v/>
      </c>
      <c r="E2211">
        <f>IF(INDEX(P_Status,ROW()-4)="","",TRIM(UPPER(INDEX(P_Status,ROW()-4))))</f>
        <v/>
      </c>
      <c r="G2211">
        <f>IF(INDEX(L_Status,ROW()-4)="","",TRIM(UPPER(INDEX(L_Status,ROW()-4))))</f>
        <v/>
      </c>
      <c r="J2211">
        <f>IF(INDEX(L_ID,ROW()-4)="","",IF(SUMPRODUCT((P_ID=INDEX(L_ID,ROW()-4))*(P_StatusN="INACTIVE"))&gt;0,1,0))</f>
        <v/>
      </c>
    </row>
    <row r="2212">
      <c r="A2212">
        <f>IF(INDEX(L_ID,ROW()-4)="","",IF(COUNTIF(P_ID,INDEX(L_ID,ROW()-4))&gt;0,1,0))</f>
        <v/>
      </c>
      <c r="B2212">
        <f>IF(INDEX(P_Type,ROW()-4)="","",TRIM(UPPER(INDEX(P_Type,ROW()-4))))</f>
        <v/>
      </c>
      <c r="D2212">
        <f>IF(INDEX(L_Type,ROW()-4)="","",TRIM(UPPER(INDEX(L_Type,ROW()-4))))</f>
        <v/>
      </c>
      <c r="E2212">
        <f>IF(INDEX(P_Status,ROW()-4)="","",TRIM(UPPER(INDEX(P_Status,ROW()-4))))</f>
        <v/>
      </c>
      <c r="G2212">
        <f>IF(INDEX(L_Status,ROW()-4)="","",TRIM(UPPER(INDEX(L_Status,ROW()-4))))</f>
        <v/>
      </c>
      <c r="J2212">
        <f>IF(INDEX(L_ID,ROW()-4)="","",IF(SUMPRODUCT((P_ID=INDEX(L_ID,ROW()-4))*(P_StatusN="INACTIVE"))&gt;0,1,0))</f>
        <v/>
      </c>
    </row>
    <row r="2213">
      <c r="A2213">
        <f>IF(INDEX(L_ID,ROW()-4)="","",IF(COUNTIF(P_ID,INDEX(L_ID,ROW()-4))&gt;0,1,0))</f>
        <v/>
      </c>
      <c r="B2213">
        <f>IF(INDEX(P_Type,ROW()-4)="","",TRIM(UPPER(INDEX(P_Type,ROW()-4))))</f>
        <v/>
      </c>
      <c r="D2213">
        <f>IF(INDEX(L_Type,ROW()-4)="","",TRIM(UPPER(INDEX(L_Type,ROW()-4))))</f>
        <v/>
      </c>
      <c r="E2213">
        <f>IF(INDEX(P_Status,ROW()-4)="","",TRIM(UPPER(INDEX(P_Status,ROW()-4))))</f>
        <v/>
      </c>
      <c r="G2213">
        <f>IF(INDEX(L_Status,ROW()-4)="","",TRIM(UPPER(INDEX(L_Status,ROW()-4))))</f>
        <v/>
      </c>
      <c r="J2213">
        <f>IF(INDEX(L_ID,ROW()-4)="","",IF(SUMPRODUCT((P_ID=INDEX(L_ID,ROW()-4))*(P_StatusN="INACTIVE"))&gt;0,1,0))</f>
        <v/>
      </c>
    </row>
    <row r="2214">
      <c r="A2214">
        <f>IF(INDEX(L_ID,ROW()-4)="","",IF(COUNTIF(P_ID,INDEX(L_ID,ROW()-4))&gt;0,1,0))</f>
        <v/>
      </c>
      <c r="B2214">
        <f>IF(INDEX(P_Type,ROW()-4)="","",TRIM(UPPER(INDEX(P_Type,ROW()-4))))</f>
        <v/>
      </c>
      <c r="D2214">
        <f>IF(INDEX(L_Type,ROW()-4)="","",TRIM(UPPER(INDEX(L_Type,ROW()-4))))</f>
        <v/>
      </c>
      <c r="E2214">
        <f>IF(INDEX(P_Status,ROW()-4)="","",TRIM(UPPER(INDEX(P_Status,ROW()-4))))</f>
        <v/>
      </c>
      <c r="G2214">
        <f>IF(INDEX(L_Status,ROW()-4)="","",TRIM(UPPER(INDEX(L_Status,ROW()-4))))</f>
        <v/>
      </c>
      <c r="J2214">
        <f>IF(INDEX(L_ID,ROW()-4)="","",IF(SUMPRODUCT((P_ID=INDEX(L_ID,ROW()-4))*(P_StatusN="INACTIVE"))&gt;0,1,0))</f>
        <v/>
      </c>
    </row>
    <row r="2215">
      <c r="A2215">
        <f>IF(INDEX(L_ID,ROW()-4)="","",IF(COUNTIF(P_ID,INDEX(L_ID,ROW()-4))&gt;0,1,0))</f>
        <v/>
      </c>
      <c r="B2215">
        <f>IF(INDEX(P_Type,ROW()-4)="","",TRIM(UPPER(INDEX(P_Type,ROW()-4))))</f>
        <v/>
      </c>
      <c r="D2215">
        <f>IF(INDEX(L_Type,ROW()-4)="","",TRIM(UPPER(INDEX(L_Type,ROW()-4))))</f>
        <v/>
      </c>
      <c r="E2215">
        <f>IF(INDEX(P_Status,ROW()-4)="","",TRIM(UPPER(INDEX(P_Status,ROW()-4))))</f>
        <v/>
      </c>
      <c r="G2215">
        <f>IF(INDEX(L_Status,ROW()-4)="","",TRIM(UPPER(INDEX(L_Status,ROW()-4))))</f>
        <v/>
      </c>
      <c r="J2215">
        <f>IF(INDEX(L_ID,ROW()-4)="","",IF(SUMPRODUCT((P_ID=INDEX(L_ID,ROW()-4))*(P_StatusN="INACTIVE"))&gt;0,1,0))</f>
        <v/>
      </c>
    </row>
    <row r="2216">
      <c r="A2216">
        <f>IF(INDEX(L_ID,ROW()-4)="","",IF(COUNTIF(P_ID,INDEX(L_ID,ROW()-4))&gt;0,1,0))</f>
        <v/>
      </c>
      <c r="B2216">
        <f>IF(INDEX(P_Type,ROW()-4)="","",TRIM(UPPER(INDEX(P_Type,ROW()-4))))</f>
        <v/>
      </c>
      <c r="D2216">
        <f>IF(INDEX(L_Type,ROW()-4)="","",TRIM(UPPER(INDEX(L_Type,ROW()-4))))</f>
        <v/>
      </c>
      <c r="E2216">
        <f>IF(INDEX(P_Status,ROW()-4)="","",TRIM(UPPER(INDEX(P_Status,ROW()-4))))</f>
        <v/>
      </c>
      <c r="G2216">
        <f>IF(INDEX(L_Status,ROW()-4)="","",TRIM(UPPER(INDEX(L_Status,ROW()-4))))</f>
        <v/>
      </c>
      <c r="J2216">
        <f>IF(INDEX(L_ID,ROW()-4)="","",IF(SUMPRODUCT((P_ID=INDEX(L_ID,ROW()-4))*(P_StatusN="INACTIVE"))&gt;0,1,0))</f>
        <v/>
      </c>
    </row>
    <row r="2217">
      <c r="A2217">
        <f>IF(INDEX(L_ID,ROW()-4)="","",IF(COUNTIF(P_ID,INDEX(L_ID,ROW()-4))&gt;0,1,0))</f>
        <v/>
      </c>
      <c r="B2217">
        <f>IF(INDEX(P_Type,ROW()-4)="","",TRIM(UPPER(INDEX(P_Type,ROW()-4))))</f>
        <v/>
      </c>
      <c r="D2217">
        <f>IF(INDEX(L_Type,ROW()-4)="","",TRIM(UPPER(INDEX(L_Type,ROW()-4))))</f>
        <v/>
      </c>
      <c r="E2217">
        <f>IF(INDEX(P_Status,ROW()-4)="","",TRIM(UPPER(INDEX(P_Status,ROW()-4))))</f>
        <v/>
      </c>
      <c r="G2217">
        <f>IF(INDEX(L_Status,ROW()-4)="","",TRIM(UPPER(INDEX(L_Status,ROW()-4))))</f>
        <v/>
      </c>
      <c r="J2217">
        <f>IF(INDEX(L_ID,ROW()-4)="","",IF(SUMPRODUCT((P_ID=INDEX(L_ID,ROW()-4))*(P_StatusN="INACTIVE"))&gt;0,1,0))</f>
        <v/>
      </c>
    </row>
    <row r="2218">
      <c r="A2218">
        <f>IF(INDEX(L_ID,ROW()-4)="","",IF(COUNTIF(P_ID,INDEX(L_ID,ROW()-4))&gt;0,1,0))</f>
        <v/>
      </c>
      <c r="B2218">
        <f>IF(INDEX(P_Type,ROW()-4)="","",TRIM(UPPER(INDEX(P_Type,ROW()-4))))</f>
        <v/>
      </c>
      <c r="D2218">
        <f>IF(INDEX(L_Type,ROW()-4)="","",TRIM(UPPER(INDEX(L_Type,ROW()-4))))</f>
        <v/>
      </c>
      <c r="E2218">
        <f>IF(INDEX(P_Status,ROW()-4)="","",TRIM(UPPER(INDEX(P_Status,ROW()-4))))</f>
        <v/>
      </c>
      <c r="G2218">
        <f>IF(INDEX(L_Status,ROW()-4)="","",TRIM(UPPER(INDEX(L_Status,ROW()-4))))</f>
        <v/>
      </c>
      <c r="J2218">
        <f>IF(INDEX(L_ID,ROW()-4)="","",IF(SUMPRODUCT((P_ID=INDEX(L_ID,ROW()-4))*(P_StatusN="INACTIVE"))&gt;0,1,0))</f>
        <v/>
      </c>
    </row>
    <row r="2219">
      <c r="A2219">
        <f>IF(INDEX(L_ID,ROW()-4)="","",IF(COUNTIF(P_ID,INDEX(L_ID,ROW()-4))&gt;0,1,0))</f>
        <v/>
      </c>
      <c r="B2219">
        <f>IF(INDEX(P_Type,ROW()-4)="","",TRIM(UPPER(INDEX(P_Type,ROW()-4))))</f>
        <v/>
      </c>
      <c r="D2219">
        <f>IF(INDEX(L_Type,ROW()-4)="","",TRIM(UPPER(INDEX(L_Type,ROW()-4))))</f>
        <v/>
      </c>
      <c r="E2219">
        <f>IF(INDEX(P_Status,ROW()-4)="","",TRIM(UPPER(INDEX(P_Status,ROW()-4))))</f>
        <v/>
      </c>
      <c r="G2219">
        <f>IF(INDEX(L_Status,ROW()-4)="","",TRIM(UPPER(INDEX(L_Status,ROW()-4))))</f>
        <v/>
      </c>
      <c r="J2219">
        <f>IF(INDEX(L_ID,ROW()-4)="","",IF(SUMPRODUCT((P_ID=INDEX(L_ID,ROW()-4))*(P_StatusN="INACTIVE"))&gt;0,1,0))</f>
        <v/>
      </c>
    </row>
    <row r="2220">
      <c r="A2220">
        <f>IF(INDEX(L_ID,ROW()-4)="","",IF(COUNTIF(P_ID,INDEX(L_ID,ROW()-4))&gt;0,1,0))</f>
        <v/>
      </c>
      <c r="B2220">
        <f>IF(INDEX(P_Type,ROW()-4)="","",TRIM(UPPER(INDEX(P_Type,ROW()-4))))</f>
        <v/>
      </c>
      <c r="D2220">
        <f>IF(INDEX(L_Type,ROW()-4)="","",TRIM(UPPER(INDEX(L_Type,ROW()-4))))</f>
        <v/>
      </c>
      <c r="E2220">
        <f>IF(INDEX(P_Status,ROW()-4)="","",TRIM(UPPER(INDEX(P_Status,ROW()-4))))</f>
        <v/>
      </c>
      <c r="G2220">
        <f>IF(INDEX(L_Status,ROW()-4)="","",TRIM(UPPER(INDEX(L_Status,ROW()-4))))</f>
        <v/>
      </c>
      <c r="J2220">
        <f>IF(INDEX(L_ID,ROW()-4)="","",IF(SUMPRODUCT((P_ID=INDEX(L_ID,ROW()-4))*(P_StatusN="INACTIVE"))&gt;0,1,0))</f>
        <v/>
      </c>
    </row>
    <row r="2221">
      <c r="A2221">
        <f>IF(INDEX(L_ID,ROW()-4)="","",IF(COUNTIF(P_ID,INDEX(L_ID,ROW()-4))&gt;0,1,0))</f>
        <v/>
      </c>
      <c r="B2221">
        <f>IF(INDEX(P_Type,ROW()-4)="","",TRIM(UPPER(INDEX(P_Type,ROW()-4))))</f>
        <v/>
      </c>
      <c r="D2221">
        <f>IF(INDEX(L_Type,ROW()-4)="","",TRIM(UPPER(INDEX(L_Type,ROW()-4))))</f>
        <v/>
      </c>
      <c r="E2221">
        <f>IF(INDEX(P_Status,ROW()-4)="","",TRIM(UPPER(INDEX(P_Status,ROW()-4))))</f>
        <v/>
      </c>
      <c r="G2221">
        <f>IF(INDEX(L_Status,ROW()-4)="","",TRIM(UPPER(INDEX(L_Status,ROW()-4))))</f>
        <v/>
      </c>
      <c r="J2221">
        <f>IF(INDEX(L_ID,ROW()-4)="","",IF(SUMPRODUCT((P_ID=INDEX(L_ID,ROW()-4))*(P_StatusN="INACTIVE"))&gt;0,1,0))</f>
        <v/>
      </c>
    </row>
    <row r="2222">
      <c r="A2222">
        <f>IF(INDEX(L_ID,ROW()-4)="","",IF(COUNTIF(P_ID,INDEX(L_ID,ROW()-4))&gt;0,1,0))</f>
        <v/>
      </c>
      <c r="B2222">
        <f>IF(INDEX(P_Type,ROW()-4)="","",TRIM(UPPER(INDEX(P_Type,ROW()-4))))</f>
        <v/>
      </c>
      <c r="D2222">
        <f>IF(INDEX(L_Type,ROW()-4)="","",TRIM(UPPER(INDEX(L_Type,ROW()-4))))</f>
        <v/>
      </c>
      <c r="E2222">
        <f>IF(INDEX(P_Status,ROW()-4)="","",TRIM(UPPER(INDEX(P_Status,ROW()-4))))</f>
        <v/>
      </c>
      <c r="G2222">
        <f>IF(INDEX(L_Status,ROW()-4)="","",TRIM(UPPER(INDEX(L_Status,ROW()-4))))</f>
        <v/>
      </c>
      <c r="J2222">
        <f>IF(INDEX(L_ID,ROW()-4)="","",IF(SUMPRODUCT((P_ID=INDEX(L_ID,ROW()-4))*(P_StatusN="INACTIVE"))&gt;0,1,0))</f>
        <v/>
      </c>
    </row>
    <row r="2223">
      <c r="A2223">
        <f>IF(INDEX(L_ID,ROW()-4)="","",IF(COUNTIF(P_ID,INDEX(L_ID,ROW()-4))&gt;0,1,0))</f>
        <v/>
      </c>
      <c r="B2223">
        <f>IF(INDEX(P_Type,ROW()-4)="","",TRIM(UPPER(INDEX(P_Type,ROW()-4))))</f>
        <v/>
      </c>
      <c r="D2223">
        <f>IF(INDEX(L_Type,ROW()-4)="","",TRIM(UPPER(INDEX(L_Type,ROW()-4))))</f>
        <v/>
      </c>
      <c r="E2223">
        <f>IF(INDEX(P_Status,ROW()-4)="","",TRIM(UPPER(INDEX(P_Status,ROW()-4))))</f>
        <v/>
      </c>
      <c r="G2223">
        <f>IF(INDEX(L_Status,ROW()-4)="","",TRIM(UPPER(INDEX(L_Status,ROW()-4))))</f>
        <v/>
      </c>
      <c r="J2223">
        <f>IF(INDEX(L_ID,ROW()-4)="","",IF(SUMPRODUCT((P_ID=INDEX(L_ID,ROW()-4))*(P_StatusN="INACTIVE"))&gt;0,1,0))</f>
        <v/>
      </c>
    </row>
    <row r="2224">
      <c r="A2224">
        <f>IF(INDEX(L_ID,ROW()-4)="","",IF(COUNTIF(P_ID,INDEX(L_ID,ROW()-4))&gt;0,1,0))</f>
        <v/>
      </c>
      <c r="B2224">
        <f>IF(INDEX(P_Type,ROW()-4)="","",TRIM(UPPER(INDEX(P_Type,ROW()-4))))</f>
        <v/>
      </c>
      <c r="D2224">
        <f>IF(INDEX(L_Type,ROW()-4)="","",TRIM(UPPER(INDEX(L_Type,ROW()-4))))</f>
        <v/>
      </c>
      <c r="E2224">
        <f>IF(INDEX(P_Status,ROW()-4)="","",TRIM(UPPER(INDEX(P_Status,ROW()-4))))</f>
        <v/>
      </c>
      <c r="G2224">
        <f>IF(INDEX(L_Status,ROW()-4)="","",TRIM(UPPER(INDEX(L_Status,ROW()-4))))</f>
        <v/>
      </c>
      <c r="J2224">
        <f>IF(INDEX(L_ID,ROW()-4)="","",IF(SUMPRODUCT((P_ID=INDEX(L_ID,ROW()-4))*(P_StatusN="INACTIVE"))&gt;0,1,0))</f>
        <v/>
      </c>
    </row>
    <row r="2225">
      <c r="A2225">
        <f>IF(INDEX(L_ID,ROW()-4)="","",IF(COUNTIF(P_ID,INDEX(L_ID,ROW()-4))&gt;0,1,0))</f>
        <v/>
      </c>
      <c r="B2225">
        <f>IF(INDEX(P_Type,ROW()-4)="","",TRIM(UPPER(INDEX(P_Type,ROW()-4))))</f>
        <v/>
      </c>
      <c r="D2225">
        <f>IF(INDEX(L_Type,ROW()-4)="","",TRIM(UPPER(INDEX(L_Type,ROW()-4))))</f>
        <v/>
      </c>
      <c r="E2225">
        <f>IF(INDEX(P_Status,ROW()-4)="","",TRIM(UPPER(INDEX(P_Status,ROW()-4))))</f>
        <v/>
      </c>
      <c r="G2225">
        <f>IF(INDEX(L_Status,ROW()-4)="","",TRIM(UPPER(INDEX(L_Status,ROW()-4))))</f>
        <v/>
      </c>
      <c r="J2225">
        <f>IF(INDEX(L_ID,ROW()-4)="","",IF(SUMPRODUCT((P_ID=INDEX(L_ID,ROW()-4))*(P_StatusN="INACTIVE"))&gt;0,1,0))</f>
        <v/>
      </c>
    </row>
    <row r="2226">
      <c r="A2226">
        <f>IF(INDEX(L_ID,ROW()-4)="","",IF(COUNTIF(P_ID,INDEX(L_ID,ROW()-4))&gt;0,1,0))</f>
        <v/>
      </c>
      <c r="B2226">
        <f>IF(INDEX(P_Type,ROW()-4)="","",TRIM(UPPER(INDEX(P_Type,ROW()-4))))</f>
        <v/>
      </c>
      <c r="D2226">
        <f>IF(INDEX(L_Type,ROW()-4)="","",TRIM(UPPER(INDEX(L_Type,ROW()-4))))</f>
        <v/>
      </c>
      <c r="E2226">
        <f>IF(INDEX(P_Status,ROW()-4)="","",TRIM(UPPER(INDEX(P_Status,ROW()-4))))</f>
        <v/>
      </c>
      <c r="G2226">
        <f>IF(INDEX(L_Status,ROW()-4)="","",TRIM(UPPER(INDEX(L_Status,ROW()-4))))</f>
        <v/>
      </c>
      <c r="J2226">
        <f>IF(INDEX(L_ID,ROW()-4)="","",IF(SUMPRODUCT((P_ID=INDEX(L_ID,ROW()-4))*(P_StatusN="INACTIVE"))&gt;0,1,0))</f>
        <v/>
      </c>
    </row>
    <row r="2227">
      <c r="A2227">
        <f>IF(INDEX(L_ID,ROW()-4)="","",IF(COUNTIF(P_ID,INDEX(L_ID,ROW()-4))&gt;0,1,0))</f>
        <v/>
      </c>
      <c r="B2227">
        <f>IF(INDEX(P_Type,ROW()-4)="","",TRIM(UPPER(INDEX(P_Type,ROW()-4))))</f>
        <v/>
      </c>
      <c r="D2227">
        <f>IF(INDEX(L_Type,ROW()-4)="","",TRIM(UPPER(INDEX(L_Type,ROW()-4))))</f>
        <v/>
      </c>
      <c r="E2227">
        <f>IF(INDEX(P_Status,ROW()-4)="","",TRIM(UPPER(INDEX(P_Status,ROW()-4))))</f>
        <v/>
      </c>
      <c r="G2227">
        <f>IF(INDEX(L_Status,ROW()-4)="","",TRIM(UPPER(INDEX(L_Status,ROW()-4))))</f>
        <v/>
      </c>
      <c r="J2227">
        <f>IF(INDEX(L_ID,ROW()-4)="","",IF(SUMPRODUCT((P_ID=INDEX(L_ID,ROW()-4))*(P_StatusN="INACTIVE"))&gt;0,1,0))</f>
        <v/>
      </c>
    </row>
    <row r="2228">
      <c r="A2228">
        <f>IF(INDEX(L_ID,ROW()-4)="","",IF(COUNTIF(P_ID,INDEX(L_ID,ROW()-4))&gt;0,1,0))</f>
        <v/>
      </c>
      <c r="B2228">
        <f>IF(INDEX(P_Type,ROW()-4)="","",TRIM(UPPER(INDEX(P_Type,ROW()-4))))</f>
        <v/>
      </c>
      <c r="D2228">
        <f>IF(INDEX(L_Type,ROW()-4)="","",TRIM(UPPER(INDEX(L_Type,ROW()-4))))</f>
        <v/>
      </c>
      <c r="E2228">
        <f>IF(INDEX(P_Status,ROW()-4)="","",TRIM(UPPER(INDEX(P_Status,ROW()-4))))</f>
        <v/>
      </c>
      <c r="G2228">
        <f>IF(INDEX(L_Status,ROW()-4)="","",TRIM(UPPER(INDEX(L_Status,ROW()-4))))</f>
        <v/>
      </c>
      <c r="J2228">
        <f>IF(INDEX(L_ID,ROW()-4)="","",IF(SUMPRODUCT((P_ID=INDEX(L_ID,ROW()-4))*(P_StatusN="INACTIVE"))&gt;0,1,0))</f>
        <v/>
      </c>
    </row>
    <row r="2229">
      <c r="A2229">
        <f>IF(INDEX(L_ID,ROW()-4)="","",IF(COUNTIF(P_ID,INDEX(L_ID,ROW()-4))&gt;0,1,0))</f>
        <v/>
      </c>
      <c r="B2229">
        <f>IF(INDEX(P_Type,ROW()-4)="","",TRIM(UPPER(INDEX(P_Type,ROW()-4))))</f>
        <v/>
      </c>
      <c r="D2229">
        <f>IF(INDEX(L_Type,ROW()-4)="","",TRIM(UPPER(INDEX(L_Type,ROW()-4))))</f>
        <v/>
      </c>
      <c r="E2229">
        <f>IF(INDEX(P_Status,ROW()-4)="","",TRIM(UPPER(INDEX(P_Status,ROW()-4))))</f>
        <v/>
      </c>
      <c r="G2229">
        <f>IF(INDEX(L_Status,ROW()-4)="","",TRIM(UPPER(INDEX(L_Status,ROW()-4))))</f>
        <v/>
      </c>
      <c r="J2229">
        <f>IF(INDEX(L_ID,ROW()-4)="","",IF(SUMPRODUCT((P_ID=INDEX(L_ID,ROW()-4))*(P_StatusN="INACTIVE"))&gt;0,1,0))</f>
        <v/>
      </c>
    </row>
    <row r="2230">
      <c r="A2230">
        <f>IF(INDEX(L_ID,ROW()-4)="","",IF(COUNTIF(P_ID,INDEX(L_ID,ROW()-4))&gt;0,1,0))</f>
        <v/>
      </c>
      <c r="B2230">
        <f>IF(INDEX(P_Type,ROW()-4)="","",TRIM(UPPER(INDEX(P_Type,ROW()-4))))</f>
        <v/>
      </c>
      <c r="D2230">
        <f>IF(INDEX(L_Type,ROW()-4)="","",TRIM(UPPER(INDEX(L_Type,ROW()-4))))</f>
        <v/>
      </c>
      <c r="E2230">
        <f>IF(INDEX(P_Status,ROW()-4)="","",TRIM(UPPER(INDEX(P_Status,ROW()-4))))</f>
        <v/>
      </c>
      <c r="G2230">
        <f>IF(INDEX(L_Status,ROW()-4)="","",TRIM(UPPER(INDEX(L_Status,ROW()-4))))</f>
        <v/>
      </c>
      <c r="J2230">
        <f>IF(INDEX(L_ID,ROW()-4)="","",IF(SUMPRODUCT((P_ID=INDEX(L_ID,ROW()-4))*(P_StatusN="INACTIVE"))&gt;0,1,0))</f>
        <v/>
      </c>
    </row>
    <row r="2231">
      <c r="A2231">
        <f>IF(INDEX(L_ID,ROW()-4)="","",IF(COUNTIF(P_ID,INDEX(L_ID,ROW()-4))&gt;0,1,0))</f>
        <v/>
      </c>
      <c r="B2231">
        <f>IF(INDEX(P_Type,ROW()-4)="","",TRIM(UPPER(INDEX(P_Type,ROW()-4))))</f>
        <v/>
      </c>
      <c r="D2231">
        <f>IF(INDEX(L_Type,ROW()-4)="","",TRIM(UPPER(INDEX(L_Type,ROW()-4))))</f>
        <v/>
      </c>
      <c r="E2231">
        <f>IF(INDEX(P_Status,ROW()-4)="","",TRIM(UPPER(INDEX(P_Status,ROW()-4))))</f>
        <v/>
      </c>
      <c r="G2231">
        <f>IF(INDEX(L_Status,ROW()-4)="","",TRIM(UPPER(INDEX(L_Status,ROW()-4))))</f>
        <v/>
      </c>
      <c r="J2231">
        <f>IF(INDEX(L_ID,ROW()-4)="","",IF(SUMPRODUCT((P_ID=INDEX(L_ID,ROW()-4))*(P_StatusN="INACTIVE"))&gt;0,1,0))</f>
        <v/>
      </c>
    </row>
    <row r="2232">
      <c r="A2232">
        <f>IF(INDEX(L_ID,ROW()-4)="","",IF(COUNTIF(P_ID,INDEX(L_ID,ROW()-4))&gt;0,1,0))</f>
        <v/>
      </c>
      <c r="B2232">
        <f>IF(INDEX(P_Type,ROW()-4)="","",TRIM(UPPER(INDEX(P_Type,ROW()-4))))</f>
        <v/>
      </c>
      <c r="D2232">
        <f>IF(INDEX(L_Type,ROW()-4)="","",TRIM(UPPER(INDEX(L_Type,ROW()-4))))</f>
        <v/>
      </c>
      <c r="E2232">
        <f>IF(INDEX(P_Status,ROW()-4)="","",TRIM(UPPER(INDEX(P_Status,ROW()-4))))</f>
        <v/>
      </c>
      <c r="G2232">
        <f>IF(INDEX(L_Status,ROW()-4)="","",TRIM(UPPER(INDEX(L_Status,ROW()-4))))</f>
        <v/>
      </c>
      <c r="J2232">
        <f>IF(INDEX(L_ID,ROW()-4)="","",IF(SUMPRODUCT((P_ID=INDEX(L_ID,ROW()-4))*(P_StatusN="INACTIVE"))&gt;0,1,0))</f>
        <v/>
      </c>
    </row>
    <row r="2233">
      <c r="A2233">
        <f>IF(INDEX(L_ID,ROW()-4)="","",IF(COUNTIF(P_ID,INDEX(L_ID,ROW()-4))&gt;0,1,0))</f>
        <v/>
      </c>
      <c r="B2233">
        <f>IF(INDEX(P_Type,ROW()-4)="","",TRIM(UPPER(INDEX(P_Type,ROW()-4))))</f>
        <v/>
      </c>
      <c r="D2233">
        <f>IF(INDEX(L_Type,ROW()-4)="","",TRIM(UPPER(INDEX(L_Type,ROW()-4))))</f>
        <v/>
      </c>
      <c r="E2233">
        <f>IF(INDEX(P_Status,ROW()-4)="","",TRIM(UPPER(INDEX(P_Status,ROW()-4))))</f>
        <v/>
      </c>
      <c r="G2233">
        <f>IF(INDEX(L_Status,ROW()-4)="","",TRIM(UPPER(INDEX(L_Status,ROW()-4))))</f>
        <v/>
      </c>
      <c r="J2233">
        <f>IF(INDEX(L_ID,ROW()-4)="","",IF(SUMPRODUCT((P_ID=INDEX(L_ID,ROW()-4))*(P_StatusN="INACTIVE"))&gt;0,1,0))</f>
        <v/>
      </c>
    </row>
    <row r="2234">
      <c r="A2234">
        <f>IF(INDEX(L_ID,ROW()-4)="","",IF(COUNTIF(P_ID,INDEX(L_ID,ROW()-4))&gt;0,1,0))</f>
        <v/>
      </c>
      <c r="B2234">
        <f>IF(INDEX(P_Type,ROW()-4)="","",TRIM(UPPER(INDEX(P_Type,ROW()-4))))</f>
        <v/>
      </c>
      <c r="D2234">
        <f>IF(INDEX(L_Type,ROW()-4)="","",TRIM(UPPER(INDEX(L_Type,ROW()-4))))</f>
        <v/>
      </c>
      <c r="E2234">
        <f>IF(INDEX(P_Status,ROW()-4)="","",TRIM(UPPER(INDEX(P_Status,ROW()-4))))</f>
        <v/>
      </c>
      <c r="G2234">
        <f>IF(INDEX(L_Status,ROW()-4)="","",TRIM(UPPER(INDEX(L_Status,ROW()-4))))</f>
        <v/>
      </c>
      <c r="J2234">
        <f>IF(INDEX(L_ID,ROW()-4)="","",IF(SUMPRODUCT((P_ID=INDEX(L_ID,ROW()-4))*(P_StatusN="INACTIVE"))&gt;0,1,0))</f>
        <v/>
      </c>
    </row>
    <row r="2235">
      <c r="A2235">
        <f>IF(INDEX(L_ID,ROW()-4)="","",IF(COUNTIF(P_ID,INDEX(L_ID,ROW()-4))&gt;0,1,0))</f>
        <v/>
      </c>
      <c r="B2235">
        <f>IF(INDEX(P_Type,ROW()-4)="","",TRIM(UPPER(INDEX(P_Type,ROW()-4))))</f>
        <v/>
      </c>
      <c r="D2235">
        <f>IF(INDEX(L_Type,ROW()-4)="","",TRIM(UPPER(INDEX(L_Type,ROW()-4))))</f>
        <v/>
      </c>
      <c r="E2235">
        <f>IF(INDEX(P_Status,ROW()-4)="","",TRIM(UPPER(INDEX(P_Status,ROW()-4))))</f>
        <v/>
      </c>
      <c r="G2235">
        <f>IF(INDEX(L_Status,ROW()-4)="","",TRIM(UPPER(INDEX(L_Status,ROW()-4))))</f>
        <v/>
      </c>
      <c r="J2235">
        <f>IF(INDEX(L_ID,ROW()-4)="","",IF(SUMPRODUCT((P_ID=INDEX(L_ID,ROW()-4))*(P_StatusN="INACTIVE"))&gt;0,1,0))</f>
        <v/>
      </c>
    </row>
    <row r="2236">
      <c r="A2236">
        <f>IF(INDEX(L_ID,ROW()-4)="","",IF(COUNTIF(P_ID,INDEX(L_ID,ROW()-4))&gt;0,1,0))</f>
        <v/>
      </c>
      <c r="B2236">
        <f>IF(INDEX(P_Type,ROW()-4)="","",TRIM(UPPER(INDEX(P_Type,ROW()-4))))</f>
        <v/>
      </c>
      <c r="D2236">
        <f>IF(INDEX(L_Type,ROW()-4)="","",TRIM(UPPER(INDEX(L_Type,ROW()-4))))</f>
        <v/>
      </c>
      <c r="E2236">
        <f>IF(INDEX(P_Status,ROW()-4)="","",TRIM(UPPER(INDEX(P_Status,ROW()-4))))</f>
        <v/>
      </c>
      <c r="G2236">
        <f>IF(INDEX(L_Status,ROW()-4)="","",TRIM(UPPER(INDEX(L_Status,ROW()-4))))</f>
        <v/>
      </c>
      <c r="J2236">
        <f>IF(INDEX(L_ID,ROW()-4)="","",IF(SUMPRODUCT((P_ID=INDEX(L_ID,ROW()-4))*(P_StatusN="INACTIVE"))&gt;0,1,0))</f>
        <v/>
      </c>
    </row>
    <row r="2237">
      <c r="A2237">
        <f>IF(INDEX(L_ID,ROW()-4)="","",IF(COUNTIF(P_ID,INDEX(L_ID,ROW()-4))&gt;0,1,0))</f>
        <v/>
      </c>
      <c r="B2237">
        <f>IF(INDEX(P_Type,ROW()-4)="","",TRIM(UPPER(INDEX(P_Type,ROW()-4))))</f>
        <v/>
      </c>
      <c r="D2237">
        <f>IF(INDEX(L_Type,ROW()-4)="","",TRIM(UPPER(INDEX(L_Type,ROW()-4))))</f>
        <v/>
      </c>
      <c r="E2237">
        <f>IF(INDEX(P_Status,ROW()-4)="","",TRIM(UPPER(INDEX(P_Status,ROW()-4))))</f>
        <v/>
      </c>
      <c r="G2237">
        <f>IF(INDEX(L_Status,ROW()-4)="","",TRIM(UPPER(INDEX(L_Status,ROW()-4))))</f>
        <v/>
      </c>
      <c r="J2237">
        <f>IF(INDEX(L_ID,ROW()-4)="","",IF(SUMPRODUCT((P_ID=INDEX(L_ID,ROW()-4))*(P_StatusN="INACTIVE"))&gt;0,1,0))</f>
        <v/>
      </c>
    </row>
    <row r="2238">
      <c r="A2238">
        <f>IF(INDEX(L_ID,ROW()-4)="","",IF(COUNTIF(P_ID,INDEX(L_ID,ROW()-4))&gt;0,1,0))</f>
        <v/>
      </c>
      <c r="B2238">
        <f>IF(INDEX(P_Type,ROW()-4)="","",TRIM(UPPER(INDEX(P_Type,ROW()-4))))</f>
        <v/>
      </c>
      <c r="D2238">
        <f>IF(INDEX(L_Type,ROW()-4)="","",TRIM(UPPER(INDEX(L_Type,ROW()-4))))</f>
        <v/>
      </c>
      <c r="E2238">
        <f>IF(INDEX(P_Status,ROW()-4)="","",TRIM(UPPER(INDEX(P_Status,ROW()-4))))</f>
        <v/>
      </c>
      <c r="G2238">
        <f>IF(INDEX(L_Status,ROW()-4)="","",TRIM(UPPER(INDEX(L_Status,ROW()-4))))</f>
        <v/>
      </c>
      <c r="J2238">
        <f>IF(INDEX(L_ID,ROW()-4)="","",IF(SUMPRODUCT((P_ID=INDEX(L_ID,ROW()-4))*(P_StatusN="INACTIVE"))&gt;0,1,0))</f>
        <v/>
      </c>
    </row>
    <row r="2239">
      <c r="A2239">
        <f>IF(INDEX(L_ID,ROW()-4)="","",IF(COUNTIF(P_ID,INDEX(L_ID,ROW()-4))&gt;0,1,0))</f>
        <v/>
      </c>
      <c r="B2239">
        <f>IF(INDEX(P_Type,ROW()-4)="","",TRIM(UPPER(INDEX(P_Type,ROW()-4))))</f>
        <v/>
      </c>
      <c r="D2239">
        <f>IF(INDEX(L_Type,ROW()-4)="","",TRIM(UPPER(INDEX(L_Type,ROW()-4))))</f>
        <v/>
      </c>
      <c r="E2239">
        <f>IF(INDEX(P_Status,ROW()-4)="","",TRIM(UPPER(INDEX(P_Status,ROW()-4))))</f>
        <v/>
      </c>
      <c r="G2239">
        <f>IF(INDEX(L_Status,ROW()-4)="","",TRIM(UPPER(INDEX(L_Status,ROW()-4))))</f>
        <v/>
      </c>
      <c r="J2239">
        <f>IF(INDEX(L_ID,ROW()-4)="","",IF(SUMPRODUCT((P_ID=INDEX(L_ID,ROW()-4))*(P_StatusN="INACTIVE"))&gt;0,1,0))</f>
        <v/>
      </c>
    </row>
    <row r="2240">
      <c r="A2240">
        <f>IF(INDEX(L_ID,ROW()-4)="","",IF(COUNTIF(P_ID,INDEX(L_ID,ROW()-4))&gt;0,1,0))</f>
        <v/>
      </c>
      <c r="B2240">
        <f>IF(INDEX(P_Type,ROW()-4)="","",TRIM(UPPER(INDEX(P_Type,ROW()-4))))</f>
        <v/>
      </c>
      <c r="D2240">
        <f>IF(INDEX(L_Type,ROW()-4)="","",TRIM(UPPER(INDEX(L_Type,ROW()-4))))</f>
        <v/>
      </c>
      <c r="E2240">
        <f>IF(INDEX(P_Status,ROW()-4)="","",TRIM(UPPER(INDEX(P_Status,ROW()-4))))</f>
        <v/>
      </c>
      <c r="G2240">
        <f>IF(INDEX(L_Status,ROW()-4)="","",TRIM(UPPER(INDEX(L_Status,ROW()-4))))</f>
        <v/>
      </c>
      <c r="J2240">
        <f>IF(INDEX(L_ID,ROW()-4)="","",IF(SUMPRODUCT((P_ID=INDEX(L_ID,ROW()-4))*(P_StatusN="INACTIVE"))&gt;0,1,0))</f>
        <v/>
      </c>
    </row>
    <row r="2241">
      <c r="A2241">
        <f>IF(INDEX(L_ID,ROW()-4)="","",IF(COUNTIF(P_ID,INDEX(L_ID,ROW()-4))&gt;0,1,0))</f>
        <v/>
      </c>
      <c r="B2241">
        <f>IF(INDEX(P_Type,ROW()-4)="","",TRIM(UPPER(INDEX(P_Type,ROW()-4))))</f>
        <v/>
      </c>
      <c r="D2241">
        <f>IF(INDEX(L_Type,ROW()-4)="","",TRIM(UPPER(INDEX(L_Type,ROW()-4))))</f>
        <v/>
      </c>
      <c r="E2241">
        <f>IF(INDEX(P_Status,ROW()-4)="","",TRIM(UPPER(INDEX(P_Status,ROW()-4))))</f>
        <v/>
      </c>
      <c r="G2241">
        <f>IF(INDEX(L_Status,ROW()-4)="","",TRIM(UPPER(INDEX(L_Status,ROW()-4))))</f>
        <v/>
      </c>
      <c r="J2241">
        <f>IF(INDEX(L_ID,ROW()-4)="","",IF(SUMPRODUCT((P_ID=INDEX(L_ID,ROW()-4))*(P_StatusN="INACTIVE"))&gt;0,1,0))</f>
        <v/>
      </c>
    </row>
    <row r="2242">
      <c r="A2242">
        <f>IF(INDEX(L_ID,ROW()-4)="","",IF(COUNTIF(P_ID,INDEX(L_ID,ROW()-4))&gt;0,1,0))</f>
        <v/>
      </c>
      <c r="B2242">
        <f>IF(INDEX(P_Type,ROW()-4)="","",TRIM(UPPER(INDEX(P_Type,ROW()-4))))</f>
        <v/>
      </c>
      <c r="D2242">
        <f>IF(INDEX(L_Type,ROW()-4)="","",TRIM(UPPER(INDEX(L_Type,ROW()-4))))</f>
        <v/>
      </c>
      <c r="E2242">
        <f>IF(INDEX(P_Status,ROW()-4)="","",TRIM(UPPER(INDEX(P_Status,ROW()-4))))</f>
        <v/>
      </c>
      <c r="G2242">
        <f>IF(INDEX(L_Status,ROW()-4)="","",TRIM(UPPER(INDEX(L_Status,ROW()-4))))</f>
        <v/>
      </c>
      <c r="J2242">
        <f>IF(INDEX(L_ID,ROW()-4)="","",IF(SUMPRODUCT((P_ID=INDEX(L_ID,ROW()-4))*(P_StatusN="INACTIVE"))&gt;0,1,0))</f>
        <v/>
      </c>
    </row>
    <row r="2243">
      <c r="A2243">
        <f>IF(INDEX(L_ID,ROW()-4)="","",IF(COUNTIF(P_ID,INDEX(L_ID,ROW()-4))&gt;0,1,0))</f>
        <v/>
      </c>
      <c r="B2243">
        <f>IF(INDEX(P_Type,ROW()-4)="","",TRIM(UPPER(INDEX(P_Type,ROW()-4))))</f>
        <v/>
      </c>
      <c r="D2243">
        <f>IF(INDEX(L_Type,ROW()-4)="","",TRIM(UPPER(INDEX(L_Type,ROW()-4))))</f>
        <v/>
      </c>
      <c r="E2243">
        <f>IF(INDEX(P_Status,ROW()-4)="","",TRIM(UPPER(INDEX(P_Status,ROW()-4))))</f>
        <v/>
      </c>
      <c r="G2243">
        <f>IF(INDEX(L_Status,ROW()-4)="","",TRIM(UPPER(INDEX(L_Status,ROW()-4))))</f>
        <v/>
      </c>
      <c r="J2243">
        <f>IF(INDEX(L_ID,ROW()-4)="","",IF(SUMPRODUCT((P_ID=INDEX(L_ID,ROW()-4))*(P_StatusN="INACTIVE"))&gt;0,1,0))</f>
        <v/>
      </c>
    </row>
    <row r="2244">
      <c r="A2244">
        <f>IF(INDEX(L_ID,ROW()-4)="","",IF(COUNTIF(P_ID,INDEX(L_ID,ROW()-4))&gt;0,1,0))</f>
        <v/>
      </c>
      <c r="B2244">
        <f>IF(INDEX(P_Type,ROW()-4)="","",TRIM(UPPER(INDEX(P_Type,ROW()-4))))</f>
        <v/>
      </c>
      <c r="D2244">
        <f>IF(INDEX(L_Type,ROW()-4)="","",TRIM(UPPER(INDEX(L_Type,ROW()-4))))</f>
        <v/>
      </c>
      <c r="E2244">
        <f>IF(INDEX(P_Status,ROW()-4)="","",TRIM(UPPER(INDEX(P_Status,ROW()-4))))</f>
        <v/>
      </c>
      <c r="G2244">
        <f>IF(INDEX(L_Status,ROW()-4)="","",TRIM(UPPER(INDEX(L_Status,ROW()-4))))</f>
        <v/>
      </c>
      <c r="J2244">
        <f>IF(INDEX(L_ID,ROW()-4)="","",IF(SUMPRODUCT((P_ID=INDEX(L_ID,ROW()-4))*(P_StatusN="INACTIVE"))&gt;0,1,0))</f>
        <v/>
      </c>
    </row>
    <row r="2245">
      <c r="A2245">
        <f>IF(INDEX(L_ID,ROW()-4)="","",IF(COUNTIF(P_ID,INDEX(L_ID,ROW()-4))&gt;0,1,0))</f>
        <v/>
      </c>
      <c r="B2245">
        <f>IF(INDEX(P_Type,ROW()-4)="","",TRIM(UPPER(INDEX(P_Type,ROW()-4))))</f>
        <v/>
      </c>
      <c r="D2245">
        <f>IF(INDEX(L_Type,ROW()-4)="","",TRIM(UPPER(INDEX(L_Type,ROW()-4))))</f>
        <v/>
      </c>
      <c r="E2245">
        <f>IF(INDEX(P_Status,ROW()-4)="","",TRIM(UPPER(INDEX(P_Status,ROW()-4))))</f>
        <v/>
      </c>
      <c r="G2245">
        <f>IF(INDEX(L_Status,ROW()-4)="","",TRIM(UPPER(INDEX(L_Status,ROW()-4))))</f>
        <v/>
      </c>
      <c r="J2245">
        <f>IF(INDEX(L_ID,ROW()-4)="","",IF(SUMPRODUCT((P_ID=INDEX(L_ID,ROW()-4))*(P_StatusN="INACTIVE"))&gt;0,1,0))</f>
        <v/>
      </c>
    </row>
    <row r="2246">
      <c r="A2246">
        <f>IF(INDEX(L_ID,ROW()-4)="","",IF(COUNTIF(P_ID,INDEX(L_ID,ROW()-4))&gt;0,1,0))</f>
        <v/>
      </c>
      <c r="B2246">
        <f>IF(INDEX(P_Type,ROW()-4)="","",TRIM(UPPER(INDEX(P_Type,ROW()-4))))</f>
        <v/>
      </c>
      <c r="D2246">
        <f>IF(INDEX(L_Type,ROW()-4)="","",TRIM(UPPER(INDEX(L_Type,ROW()-4))))</f>
        <v/>
      </c>
      <c r="E2246">
        <f>IF(INDEX(P_Status,ROW()-4)="","",TRIM(UPPER(INDEX(P_Status,ROW()-4))))</f>
        <v/>
      </c>
      <c r="G2246">
        <f>IF(INDEX(L_Status,ROW()-4)="","",TRIM(UPPER(INDEX(L_Status,ROW()-4))))</f>
        <v/>
      </c>
      <c r="J2246">
        <f>IF(INDEX(L_ID,ROW()-4)="","",IF(SUMPRODUCT((P_ID=INDEX(L_ID,ROW()-4))*(P_StatusN="INACTIVE"))&gt;0,1,0))</f>
        <v/>
      </c>
    </row>
    <row r="2247">
      <c r="A2247">
        <f>IF(INDEX(L_ID,ROW()-4)="","",IF(COUNTIF(P_ID,INDEX(L_ID,ROW()-4))&gt;0,1,0))</f>
        <v/>
      </c>
      <c r="B2247">
        <f>IF(INDEX(P_Type,ROW()-4)="","",TRIM(UPPER(INDEX(P_Type,ROW()-4))))</f>
        <v/>
      </c>
      <c r="D2247">
        <f>IF(INDEX(L_Type,ROW()-4)="","",TRIM(UPPER(INDEX(L_Type,ROW()-4))))</f>
        <v/>
      </c>
      <c r="E2247">
        <f>IF(INDEX(P_Status,ROW()-4)="","",TRIM(UPPER(INDEX(P_Status,ROW()-4))))</f>
        <v/>
      </c>
      <c r="G2247">
        <f>IF(INDEX(L_Status,ROW()-4)="","",TRIM(UPPER(INDEX(L_Status,ROW()-4))))</f>
        <v/>
      </c>
      <c r="J2247">
        <f>IF(INDEX(L_ID,ROW()-4)="","",IF(SUMPRODUCT((P_ID=INDEX(L_ID,ROW()-4))*(P_StatusN="INACTIVE"))&gt;0,1,0))</f>
        <v/>
      </c>
    </row>
    <row r="2248">
      <c r="A2248">
        <f>IF(INDEX(L_ID,ROW()-4)="","",IF(COUNTIF(P_ID,INDEX(L_ID,ROW()-4))&gt;0,1,0))</f>
        <v/>
      </c>
      <c r="B2248">
        <f>IF(INDEX(P_Type,ROW()-4)="","",TRIM(UPPER(INDEX(P_Type,ROW()-4))))</f>
        <v/>
      </c>
      <c r="D2248">
        <f>IF(INDEX(L_Type,ROW()-4)="","",TRIM(UPPER(INDEX(L_Type,ROW()-4))))</f>
        <v/>
      </c>
      <c r="E2248">
        <f>IF(INDEX(P_Status,ROW()-4)="","",TRIM(UPPER(INDEX(P_Status,ROW()-4))))</f>
        <v/>
      </c>
      <c r="G2248">
        <f>IF(INDEX(L_Status,ROW()-4)="","",TRIM(UPPER(INDEX(L_Status,ROW()-4))))</f>
        <v/>
      </c>
      <c r="J2248">
        <f>IF(INDEX(L_ID,ROW()-4)="","",IF(SUMPRODUCT((P_ID=INDEX(L_ID,ROW()-4))*(P_StatusN="INACTIVE"))&gt;0,1,0))</f>
        <v/>
      </c>
    </row>
    <row r="2249">
      <c r="A2249">
        <f>IF(INDEX(L_ID,ROW()-4)="","",IF(COUNTIF(P_ID,INDEX(L_ID,ROW()-4))&gt;0,1,0))</f>
        <v/>
      </c>
      <c r="B2249">
        <f>IF(INDEX(P_Type,ROW()-4)="","",TRIM(UPPER(INDEX(P_Type,ROW()-4))))</f>
        <v/>
      </c>
      <c r="D2249">
        <f>IF(INDEX(L_Type,ROW()-4)="","",TRIM(UPPER(INDEX(L_Type,ROW()-4))))</f>
        <v/>
      </c>
      <c r="E2249">
        <f>IF(INDEX(P_Status,ROW()-4)="","",TRIM(UPPER(INDEX(P_Status,ROW()-4))))</f>
        <v/>
      </c>
      <c r="G2249">
        <f>IF(INDEX(L_Status,ROW()-4)="","",TRIM(UPPER(INDEX(L_Status,ROW()-4))))</f>
        <v/>
      </c>
      <c r="J2249">
        <f>IF(INDEX(L_ID,ROW()-4)="","",IF(SUMPRODUCT((P_ID=INDEX(L_ID,ROW()-4))*(P_StatusN="INACTIVE"))&gt;0,1,0))</f>
        <v/>
      </c>
    </row>
    <row r="2250">
      <c r="A2250">
        <f>IF(INDEX(L_ID,ROW()-4)="","",IF(COUNTIF(P_ID,INDEX(L_ID,ROW()-4))&gt;0,1,0))</f>
        <v/>
      </c>
      <c r="B2250">
        <f>IF(INDEX(P_Type,ROW()-4)="","",TRIM(UPPER(INDEX(P_Type,ROW()-4))))</f>
        <v/>
      </c>
      <c r="D2250">
        <f>IF(INDEX(L_Type,ROW()-4)="","",TRIM(UPPER(INDEX(L_Type,ROW()-4))))</f>
        <v/>
      </c>
      <c r="E2250">
        <f>IF(INDEX(P_Status,ROW()-4)="","",TRIM(UPPER(INDEX(P_Status,ROW()-4))))</f>
        <v/>
      </c>
      <c r="G2250">
        <f>IF(INDEX(L_Status,ROW()-4)="","",TRIM(UPPER(INDEX(L_Status,ROW()-4))))</f>
        <v/>
      </c>
      <c r="J2250">
        <f>IF(INDEX(L_ID,ROW()-4)="","",IF(SUMPRODUCT((P_ID=INDEX(L_ID,ROW()-4))*(P_StatusN="INACTIVE"))&gt;0,1,0))</f>
        <v/>
      </c>
    </row>
    <row r="2251">
      <c r="A2251">
        <f>IF(INDEX(L_ID,ROW()-4)="","",IF(COUNTIF(P_ID,INDEX(L_ID,ROW()-4))&gt;0,1,0))</f>
        <v/>
      </c>
      <c r="B2251">
        <f>IF(INDEX(P_Type,ROW()-4)="","",TRIM(UPPER(INDEX(P_Type,ROW()-4))))</f>
        <v/>
      </c>
      <c r="D2251">
        <f>IF(INDEX(L_Type,ROW()-4)="","",TRIM(UPPER(INDEX(L_Type,ROW()-4))))</f>
        <v/>
      </c>
      <c r="E2251">
        <f>IF(INDEX(P_Status,ROW()-4)="","",TRIM(UPPER(INDEX(P_Status,ROW()-4))))</f>
        <v/>
      </c>
      <c r="G2251">
        <f>IF(INDEX(L_Status,ROW()-4)="","",TRIM(UPPER(INDEX(L_Status,ROW()-4))))</f>
        <v/>
      </c>
      <c r="J2251">
        <f>IF(INDEX(L_ID,ROW()-4)="","",IF(SUMPRODUCT((P_ID=INDEX(L_ID,ROW()-4))*(P_StatusN="INACTIVE"))&gt;0,1,0))</f>
        <v/>
      </c>
    </row>
    <row r="2252">
      <c r="A2252">
        <f>IF(INDEX(L_ID,ROW()-4)="","",IF(COUNTIF(P_ID,INDEX(L_ID,ROW()-4))&gt;0,1,0))</f>
        <v/>
      </c>
      <c r="B2252">
        <f>IF(INDEX(P_Type,ROW()-4)="","",TRIM(UPPER(INDEX(P_Type,ROW()-4))))</f>
        <v/>
      </c>
      <c r="D2252">
        <f>IF(INDEX(L_Type,ROW()-4)="","",TRIM(UPPER(INDEX(L_Type,ROW()-4))))</f>
        <v/>
      </c>
      <c r="E2252">
        <f>IF(INDEX(P_Status,ROW()-4)="","",TRIM(UPPER(INDEX(P_Status,ROW()-4))))</f>
        <v/>
      </c>
      <c r="G2252">
        <f>IF(INDEX(L_Status,ROW()-4)="","",TRIM(UPPER(INDEX(L_Status,ROW()-4))))</f>
        <v/>
      </c>
      <c r="J2252">
        <f>IF(INDEX(L_ID,ROW()-4)="","",IF(SUMPRODUCT((P_ID=INDEX(L_ID,ROW()-4))*(P_StatusN="INACTIVE"))&gt;0,1,0))</f>
        <v/>
      </c>
    </row>
    <row r="2253">
      <c r="A2253">
        <f>IF(INDEX(L_ID,ROW()-4)="","",IF(COUNTIF(P_ID,INDEX(L_ID,ROW()-4))&gt;0,1,0))</f>
        <v/>
      </c>
      <c r="B2253">
        <f>IF(INDEX(P_Type,ROW()-4)="","",TRIM(UPPER(INDEX(P_Type,ROW()-4))))</f>
        <v/>
      </c>
      <c r="D2253">
        <f>IF(INDEX(L_Type,ROW()-4)="","",TRIM(UPPER(INDEX(L_Type,ROW()-4))))</f>
        <v/>
      </c>
      <c r="E2253">
        <f>IF(INDEX(P_Status,ROW()-4)="","",TRIM(UPPER(INDEX(P_Status,ROW()-4))))</f>
        <v/>
      </c>
      <c r="G2253">
        <f>IF(INDEX(L_Status,ROW()-4)="","",TRIM(UPPER(INDEX(L_Status,ROW()-4))))</f>
        <v/>
      </c>
      <c r="J2253">
        <f>IF(INDEX(L_ID,ROW()-4)="","",IF(SUMPRODUCT((P_ID=INDEX(L_ID,ROW()-4))*(P_StatusN="INACTIVE"))&gt;0,1,0))</f>
        <v/>
      </c>
    </row>
    <row r="2254">
      <c r="A2254">
        <f>IF(INDEX(L_ID,ROW()-4)="","",IF(COUNTIF(P_ID,INDEX(L_ID,ROW()-4))&gt;0,1,0))</f>
        <v/>
      </c>
      <c r="B2254">
        <f>IF(INDEX(P_Type,ROW()-4)="","",TRIM(UPPER(INDEX(P_Type,ROW()-4))))</f>
        <v/>
      </c>
      <c r="D2254">
        <f>IF(INDEX(L_Type,ROW()-4)="","",TRIM(UPPER(INDEX(L_Type,ROW()-4))))</f>
        <v/>
      </c>
      <c r="E2254">
        <f>IF(INDEX(P_Status,ROW()-4)="","",TRIM(UPPER(INDEX(P_Status,ROW()-4))))</f>
        <v/>
      </c>
      <c r="G2254">
        <f>IF(INDEX(L_Status,ROW()-4)="","",TRIM(UPPER(INDEX(L_Status,ROW()-4))))</f>
        <v/>
      </c>
      <c r="J2254">
        <f>IF(INDEX(L_ID,ROW()-4)="","",IF(SUMPRODUCT((P_ID=INDEX(L_ID,ROW()-4))*(P_StatusN="INACTIVE"))&gt;0,1,0))</f>
        <v/>
      </c>
    </row>
    <row r="2255">
      <c r="A2255">
        <f>IF(INDEX(L_ID,ROW()-4)="","",IF(COUNTIF(P_ID,INDEX(L_ID,ROW()-4))&gt;0,1,0))</f>
        <v/>
      </c>
      <c r="B2255">
        <f>IF(INDEX(P_Type,ROW()-4)="","",TRIM(UPPER(INDEX(P_Type,ROW()-4))))</f>
        <v/>
      </c>
      <c r="D2255">
        <f>IF(INDEX(L_Type,ROW()-4)="","",TRIM(UPPER(INDEX(L_Type,ROW()-4))))</f>
        <v/>
      </c>
      <c r="E2255">
        <f>IF(INDEX(P_Status,ROW()-4)="","",TRIM(UPPER(INDEX(P_Status,ROW()-4))))</f>
        <v/>
      </c>
      <c r="G2255">
        <f>IF(INDEX(L_Status,ROW()-4)="","",TRIM(UPPER(INDEX(L_Status,ROW()-4))))</f>
        <v/>
      </c>
      <c r="J2255">
        <f>IF(INDEX(L_ID,ROW()-4)="","",IF(SUMPRODUCT((P_ID=INDEX(L_ID,ROW()-4))*(P_StatusN="INACTIVE"))&gt;0,1,0))</f>
        <v/>
      </c>
    </row>
    <row r="2256">
      <c r="A2256">
        <f>IF(INDEX(L_ID,ROW()-4)="","",IF(COUNTIF(P_ID,INDEX(L_ID,ROW()-4))&gt;0,1,0))</f>
        <v/>
      </c>
      <c r="B2256">
        <f>IF(INDEX(P_Type,ROW()-4)="","",TRIM(UPPER(INDEX(P_Type,ROW()-4))))</f>
        <v/>
      </c>
      <c r="D2256">
        <f>IF(INDEX(L_Type,ROW()-4)="","",TRIM(UPPER(INDEX(L_Type,ROW()-4))))</f>
        <v/>
      </c>
      <c r="E2256">
        <f>IF(INDEX(P_Status,ROW()-4)="","",TRIM(UPPER(INDEX(P_Status,ROW()-4))))</f>
        <v/>
      </c>
      <c r="G2256">
        <f>IF(INDEX(L_Status,ROW()-4)="","",TRIM(UPPER(INDEX(L_Status,ROW()-4))))</f>
        <v/>
      </c>
      <c r="J2256">
        <f>IF(INDEX(L_ID,ROW()-4)="","",IF(SUMPRODUCT((P_ID=INDEX(L_ID,ROW()-4))*(P_StatusN="INACTIVE"))&gt;0,1,0))</f>
        <v/>
      </c>
    </row>
    <row r="2257">
      <c r="A2257">
        <f>IF(INDEX(L_ID,ROW()-4)="","",IF(COUNTIF(P_ID,INDEX(L_ID,ROW()-4))&gt;0,1,0))</f>
        <v/>
      </c>
      <c r="B2257">
        <f>IF(INDEX(P_Type,ROW()-4)="","",TRIM(UPPER(INDEX(P_Type,ROW()-4))))</f>
        <v/>
      </c>
      <c r="D2257">
        <f>IF(INDEX(L_Type,ROW()-4)="","",TRIM(UPPER(INDEX(L_Type,ROW()-4))))</f>
        <v/>
      </c>
      <c r="E2257">
        <f>IF(INDEX(P_Status,ROW()-4)="","",TRIM(UPPER(INDEX(P_Status,ROW()-4))))</f>
        <v/>
      </c>
      <c r="G2257">
        <f>IF(INDEX(L_Status,ROW()-4)="","",TRIM(UPPER(INDEX(L_Status,ROW()-4))))</f>
        <v/>
      </c>
      <c r="J2257">
        <f>IF(INDEX(L_ID,ROW()-4)="","",IF(SUMPRODUCT((P_ID=INDEX(L_ID,ROW()-4))*(P_StatusN="INACTIVE"))&gt;0,1,0))</f>
        <v/>
      </c>
    </row>
    <row r="2258">
      <c r="A2258">
        <f>IF(INDEX(L_ID,ROW()-4)="","",IF(COUNTIF(P_ID,INDEX(L_ID,ROW()-4))&gt;0,1,0))</f>
        <v/>
      </c>
      <c r="B2258">
        <f>IF(INDEX(P_Type,ROW()-4)="","",TRIM(UPPER(INDEX(P_Type,ROW()-4))))</f>
        <v/>
      </c>
      <c r="D2258">
        <f>IF(INDEX(L_Type,ROW()-4)="","",TRIM(UPPER(INDEX(L_Type,ROW()-4))))</f>
        <v/>
      </c>
      <c r="E2258">
        <f>IF(INDEX(P_Status,ROW()-4)="","",TRIM(UPPER(INDEX(P_Status,ROW()-4))))</f>
        <v/>
      </c>
      <c r="G2258">
        <f>IF(INDEX(L_Status,ROW()-4)="","",TRIM(UPPER(INDEX(L_Status,ROW()-4))))</f>
        <v/>
      </c>
      <c r="J2258">
        <f>IF(INDEX(L_ID,ROW()-4)="","",IF(SUMPRODUCT((P_ID=INDEX(L_ID,ROW()-4))*(P_StatusN="INACTIVE"))&gt;0,1,0))</f>
        <v/>
      </c>
    </row>
    <row r="2259">
      <c r="A2259">
        <f>IF(INDEX(L_ID,ROW()-4)="","",IF(COUNTIF(P_ID,INDEX(L_ID,ROW()-4))&gt;0,1,0))</f>
        <v/>
      </c>
      <c r="B2259">
        <f>IF(INDEX(P_Type,ROW()-4)="","",TRIM(UPPER(INDEX(P_Type,ROW()-4))))</f>
        <v/>
      </c>
      <c r="D2259">
        <f>IF(INDEX(L_Type,ROW()-4)="","",TRIM(UPPER(INDEX(L_Type,ROW()-4))))</f>
        <v/>
      </c>
      <c r="E2259">
        <f>IF(INDEX(P_Status,ROW()-4)="","",TRIM(UPPER(INDEX(P_Status,ROW()-4))))</f>
        <v/>
      </c>
      <c r="G2259">
        <f>IF(INDEX(L_Status,ROW()-4)="","",TRIM(UPPER(INDEX(L_Status,ROW()-4))))</f>
        <v/>
      </c>
      <c r="J2259">
        <f>IF(INDEX(L_ID,ROW()-4)="","",IF(SUMPRODUCT((P_ID=INDEX(L_ID,ROW()-4))*(P_StatusN="INACTIVE"))&gt;0,1,0))</f>
        <v/>
      </c>
    </row>
    <row r="2260">
      <c r="A2260">
        <f>IF(INDEX(L_ID,ROW()-4)="","",IF(COUNTIF(P_ID,INDEX(L_ID,ROW()-4))&gt;0,1,0))</f>
        <v/>
      </c>
      <c r="B2260">
        <f>IF(INDEX(P_Type,ROW()-4)="","",TRIM(UPPER(INDEX(P_Type,ROW()-4))))</f>
        <v/>
      </c>
      <c r="D2260">
        <f>IF(INDEX(L_Type,ROW()-4)="","",TRIM(UPPER(INDEX(L_Type,ROW()-4))))</f>
        <v/>
      </c>
      <c r="E2260">
        <f>IF(INDEX(P_Status,ROW()-4)="","",TRIM(UPPER(INDEX(P_Status,ROW()-4))))</f>
        <v/>
      </c>
      <c r="G2260">
        <f>IF(INDEX(L_Status,ROW()-4)="","",TRIM(UPPER(INDEX(L_Status,ROW()-4))))</f>
        <v/>
      </c>
      <c r="J2260">
        <f>IF(INDEX(L_ID,ROW()-4)="","",IF(SUMPRODUCT((P_ID=INDEX(L_ID,ROW()-4))*(P_StatusN="INACTIVE"))&gt;0,1,0))</f>
        <v/>
      </c>
    </row>
    <row r="2261">
      <c r="A2261">
        <f>IF(INDEX(L_ID,ROW()-4)="","",IF(COUNTIF(P_ID,INDEX(L_ID,ROW()-4))&gt;0,1,0))</f>
        <v/>
      </c>
      <c r="B2261">
        <f>IF(INDEX(P_Type,ROW()-4)="","",TRIM(UPPER(INDEX(P_Type,ROW()-4))))</f>
        <v/>
      </c>
      <c r="D2261">
        <f>IF(INDEX(L_Type,ROW()-4)="","",TRIM(UPPER(INDEX(L_Type,ROW()-4))))</f>
        <v/>
      </c>
      <c r="E2261">
        <f>IF(INDEX(P_Status,ROW()-4)="","",TRIM(UPPER(INDEX(P_Status,ROW()-4))))</f>
        <v/>
      </c>
      <c r="G2261">
        <f>IF(INDEX(L_Status,ROW()-4)="","",TRIM(UPPER(INDEX(L_Status,ROW()-4))))</f>
        <v/>
      </c>
      <c r="J2261">
        <f>IF(INDEX(L_ID,ROW()-4)="","",IF(SUMPRODUCT((P_ID=INDEX(L_ID,ROW()-4))*(P_StatusN="INACTIVE"))&gt;0,1,0))</f>
        <v/>
      </c>
    </row>
    <row r="2262">
      <c r="A2262">
        <f>IF(INDEX(L_ID,ROW()-4)="","",IF(COUNTIF(P_ID,INDEX(L_ID,ROW()-4))&gt;0,1,0))</f>
        <v/>
      </c>
      <c r="B2262">
        <f>IF(INDEX(P_Type,ROW()-4)="","",TRIM(UPPER(INDEX(P_Type,ROW()-4))))</f>
        <v/>
      </c>
      <c r="D2262">
        <f>IF(INDEX(L_Type,ROW()-4)="","",TRIM(UPPER(INDEX(L_Type,ROW()-4))))</f>
        <v/>
      </c>
      <c r="E2262">
        <f>IF(INDEX(P_Status,ROW()-4)="","",TRIM(UPPER(INDEX(P_Status,ROW()-4))))</f>
        <v/>
      </c>
      <c r="G2262">
        <f>IF(INDEX(L_Status,ROW()-4)="","",TRIM(UPPER(INDEX(L_Status,ROW()-4))))</f>
        <v/>
      </c>
      <c r="J2262">
        <f>IF(INDEX(L_ID,ROW()-4)="","",IF(SUMPRODUCT((P_ID=INDEX(L_ID,ROW()-4))*(P_StatusN="INACTIVE"))&gt;0,1,0))</f>
        <v/>
      </c>
    </row>
    <row r="2263">
      <c r="A2263">
        <f>IF(INDEX(L_ID,ROW()-4)="","",IF(COUNTIF(P_ID,INDEX(L_ID,ROW()-4))&gt;0,1,0))</f>
        <v/>
      </c>
      <c r="B2263">
        <f>IF(INDEX(P_Type,ROW()-4)="","",TRIM(UPPER(INDEX(P_Type,ROW()-4))))</f>
        <v/>
      </c>
      <c r="D2263">
        <f>IF(INDEX(L_Type,ROW()-4)="","",TRIM(UPPER(INDEX(L_Type,ROW()-4))))</f>
        <v/>
      </c>
      <c r="E2263">
        <f>IF(INDEX(P_Status,ROW()-4)="","",TRIM(UPPER(INDEX(P_Status,ROW()-4))))</f>
        <v/>
      </c>
      <c r="G2263">
        <f>IF(INDEX(L_Status,ROW()-4)="","",TRIM(UPPER(INDEX(L_Status,ROW()-4))))</f>
        <v/>
      </c>
      <c r="J2263">
        <f>IF(INDEX(L_ID,ROW()-4)="","",IF(SUMPRODUCT((P_ID=INDEX(L_ID,ROW()-4))*(P_StatusN="INACTIVE"))&gt;0,1,0))</f>
        <v/>
      </c>
    </row>
    <row r="2264">
      <c r="A2264">
        <f>IF(INDEX(L_ID,ROW()-4)="","",IF(COUNTIF(P_ID,INDEX(L_ID,ROW()-4))&gt;0,1,0))</f>
        <v/>
      </c>
      <c r="B2264">
        <f>IF(INDEX(P_Type,ROW()-4)="","",TRIM(UPPER(INDEX(P_Type,ROW()-4))))</f>
        <v/>
      </c>
      <c r="D2264">
        <f>IF(INDEX(L_Type,ROW()-4)="","",TRIM(UPPER(INDEX(L_Type,ROW()-4))))</f>
        <v/>
      </c>
      <c r="E2264">
        <f>IF(INDEX(P_Status,ROW()-4)="","",TRIM(UPPER(INDEX(P_Status,ROW()-4))))</f>
        <v/>
      </c>
      <c r="G2264">
        <f>IF(INDEX(L_Status,ROW()-4)="","",TRIM(UPPER(INDEX(L_Status,ROW()-4))))</f>
        <v/>
      </c>
      <c r="J2264">
        <f>IF(INDEX(L_ID,ROW()-4)="","",IF(SUMPRODUCT((P_ID=INDEX(L_ID,ROW()-4))*(P_StatusN="INACTIVE"))&gt;0,1,0))</f>
        <v/>
      </c>
    </row>
    <row r="2265">
      <c r="A2265">
        <f>IF(INDEX(L_ID,ROW()-4)="","",IF(COUNTIF(P_ID,INDEX(L_ID,ROW()-4))&gt;0,1,0))</f>
        <v/>
      </c>
      <c r="B2265">
        <f>IF(INDEX(P_Type,ROW()-4)="","",TRIM(UPPER(INDEX(P_Type,ROW()-4))))</f>
        <v/>
      </c>
      <c r="D2265">
        <f>IF(INDEX(L_Type,ROW()-4)="","",TRIM(UPPER(INDEX(L_Type,ROW()-4))))</f>
        <v/>
      </c>
      <c r="E2265">
        <f>IF(INDEX(P_Status,ROW()-4)="","",TRIM(UPPER(INDEX(P_Status,ROW()-4))))</f>
        <v/>
      </c>
      <c r="G2265">
        <f>IF(INDEX(L_Status,ROW()-4)="","",TRIM(UPPER(INDEX(L_Status,ROW()-4))))</f>
        <v/>
      </c>
      <c r="J2265">
        <f>IF(INDEX(L_ID,ROW()-4)="","",IF(SUMPRODUCT((P_ID=INDEX(L_ID,ROW()-4))*(P_StatusN="INACTIVE"))&gt;0,1,0))</f>
        <v/>
      </c>
    </row>
    <row r="2266">
      <c r="A2266">
        <f>IF(INDEX(L_ID,ROW()-4)="","",IF(COUNTIF(P_ID,INDEX(L_ID,ROW()-4))&gt;0,1,0))</f>
        <v/>
      </c>
      <c r="B2266">
        <f>IF(INDEX(P_Type,ROW()-4)="","",TRIM(UPPER(INDEX(P_Type,ROW()-4))))</f>
        <v/>
      </c>
      <c r="D2266">
        <f>IF(INDEX(L_Type,ROW()-4)="","",TRIM(UPPER(INDEX(L_Type,ROW()-4))))</f>
        <v/>
      </c>
      <c r="E2266">
        <f>IF(INDEX(P_Status,ROW()-4)="","",TRIM(UPPER(INDEX(P_Status,ROW()-4))))</f>
        <v/>
      </c>
      <c r="G2266">
        <f>IF(INDEX(L_Status,ROW()-4)="","",TRIM(UPPER(INDEX(L_Status,ROW()-4))))</f>
        <v/>
      </c>
      <c r="J2266">
        <f>IF(INDEX(L_ID,ROW()-4)="","",IF(SUMPRODUCT((P_ID=INDEX(L_ID,ROW()-4))*(P_StatusN="INACTIVE"))&gt;0,1,0))</f>
        <v/>
      </c>
    </row>
    <row r="2267">
      <c r="A2267">
        <f>IF(INDEX(L_ID,ROW()-4)="","",IF(COUNTIF(P_ID,INDEX(L_ID,ROW()-4))&gt;0,1,0))</f>
        <v/>
      </c>
      <c r="B2267">
        <f>IF(INDEX(P_Type,ROW()-4)="","",TRIM(UPPER(INDEX(P_Type,ROW()-4))))</f>
        <v/>
      </c>
      <c r="D2267">
        <f>IF(INDEX(L_Type,ROW()-4)="","",TRIM(UPPER(INDEX(L_Type,ROW()-4))))</f>
        <v/>
      </c>
      <c r="E2267">
        <f>IF(INDEX(P_Status,ROW()-4)="","",TRIM(UPPER(INDEX(P_Status,ROW()-4))))</f>
        <v/>
      </c>
      <c r="G2267">
        <f>IF(INDEX(L_Status,ROW()-4)="","",TRIM(UPPER(INDEX(L_Status,ROW()-4))))</f>
        <v/>
      </c>
      <c r="J2267">
        <f>IF(INDEX(L_ID,ROW()-4)="","",IF(SUMPRODUCT((P_ID=INDEX(L_ID,ROW()-4))*(P_StatusN="INACTIVE"))&gt;0,1,0))</f>
        <v/>
      </c>
    </row>
    <row r="2268">
      <c r="A2268">
        <f>IF(INDEX(L_ID,ROW()-4)="","",IF(COUNTIF(P_ID,INDEX(L_ID,ROW()-4))&gt;0,1,0))</f>
        <v/>
      </c>
      <c r="B2268">
        <f>IF(INDEX(P_Type,ROW()-4)="","",TRIM(UPPER(INDEX(P_Type,ROW()-4))))</f>
        <v/>
      </c>
      <c r="D2268">
        <f>IF(INDEX(L_Type,ROW()-4)="","",TRIM(UPPER(INDEX(L_Type,ROW()-4))))</f>
        <v/>
      </c>
      <c r="E2268">
        <f>IF(INDEX(P_Status,ROW()-4)="","",TRIM(UPPER(INDEX(P_Status,ROW()-4))))</f>
        <v/>
      </c>
      <c r="G2268">
        <f>IF(INDEX(L_Status,ROW()-4)="","",TRIM(UPPER(INDEX(L_Status,ROW()-4))))</f>
        <v/>
      </c>
      <c r="J2268">
        <f>IF(INDEX(L_ID,ROW()-4)="","",IF(SUMPRODUCT((P_ID=INDEX(L_ID,ROW()-4))*(P_StatusN="INACTIVE"))&gt;0,1,0))</f>
        <v/>
      </c>
    </row>
    <row r="2269">
      <c r="A2269">
        <f>IF(INDEX(L_ID,ROW()-4)="","",IF(COUNTIF(P_ID,INDEX(L_ID,ROW()-4))&gt;0,1,0))</f>
        <v/>
      </c>
      <c r="B2269">
        <f>IF(INDEX(P_Type,ROW()-4)="","",TRIM(UPPER(INDEX(P_Type,ROW()-4))))</f>
        <v/>
      </c>
      <c r="D2269">
        <f>IF(INDEX(L_Type,ROW()-4)="","",TRIM(UPPER(INDEX(L_Type,ROW()-4))))</f>
        <v/>
      </c>
      <c r="E2269">
        <f>IF(INDEX(P_Status,ROW()-4)="","",TRIM(UPPER(INDEX(P_Status,ROW()-4))))</f>
        <v/>
      </c>
      <c r="G2269">
        <f>IF(INDEX(L_Status,ROW()-4)="","",TRIM(UPPER(INDEX(L_Status,ROW()-4))))</f>
        <v/>
      </c>
      <c r="J2269">
        <f>IF(INDEX(L_ID,ROW()-4)="","",IF(SUMPRODUCT((P_ID=INDEX(L_ID,ROW()-4))*(P_StatusN="INACTIVE"))&gt;0,1,0))</f>
        <v/>
      </c>
    </row>
    <row r="2270">
      <c r="A2270">
        <f>IF(INDEX(L_ID,ROW()-4)="","",IF(COUNTIF(P_ID,INDEX(L_ID,ROW()-4))&gt;0,1,0))</f>
        <v/>
      </c>
      <c r="B2270">
        <f>IF(INDEX(P_Type,ROW()-4)="","",TRIM(UPPER(INDEX(P_Type,ROW()-4))))</f>
        <v/>
      </c>
      <c r="D2270">
        <f>IF(INDEX(L_Type,ROW()-4)="","",TRIM(UPPER(INDEX(L_Type,ROW()-4))))</f>
        <v/>
      </c>
      <c r="E2270">
        <f>IF(INDEX(P_Status,ROW()-4)="","",TRIM(UPPER(INDEX(P_Status,ROW()-4))))</f>
        <v/>
      </c>
      <c r="G2270">
        <f>IF(INDEX(L_Status,ROW()-4)="","",TRIM(UPPER(INDEX(L_Status,ROW()-4))))</f>
        <v/>
      </c>
      <c r="J2270">
        <f>IF(INDEX(L_ID,ROW()-4)="","",IF(SUMPRODUCT((P_ID=INDEX(L_ID,ROW()-4))*(P_StatusN="INACTIVE"))&gt;0,1,0))</f>
        <v/>
      </c>
    </row>
    <row r="2271">
      <c r="A2271">
        <f>IF(INDEX(L_ID,ROW()-4)="","",IF(COUNTIF(P_ID,INDEX(L_ID,ROW()-4))&gt;0,1,0))</f>
        <v/>
      </c>
      <c r="B2271">
        <f>IF(INDEX(P_Type,ROW()-4)="","",TRIM(UPPER(INDEX(P_Type,ROW()-4))))</f>
        <v/>
      </c>
      <c r="D2271">
        <f>IF(INDEX(L_Type,ROW()-4)="","",TRIM(UPPER(INDEX(L_Type,ROW()-4))))</f>
        <v/>
      </c>
      <c r="E2271">
        <f>IF(INDEX(P_Status,ROW()-4)="","",TRIM(UPPER(INDEX(P_Status,ROW()-4))))</f>
        <v/>
      </c>
      <c r="G2271">
        <f>IF(INDEX(L_Status,ROW()-4)="","",TRIM(UPPER(INDEX(L_Status,ROW()-4))))</f>
        <v/>
      </c>
      <c r="J2271">
        <f>IF(INDEX(L_ID,ROW()-4)="","",IF(SUMPRODUCT((P_ID=INDEX(L_ID,ROW()-4))*(P_StatusN="INACTIVE"))&gt;0,1,0))</f>
        <v/>
      </c>
    </row>
    <row r="2272">
      <c r="A2272">
        <f>IF(INDEX(L_ID,ROW()-4)="","",IF(COUNTIF(P_ID,INDEX(L_ID,ROW()-4))&gt;0,1,0))</f>
        <v/>
      </c>
      <c r="B2272">
        <f>IF(INDEX(P_Type,ROW()-4)="","",TRIM(UPPER(INDEX(P_Type,ROW()-4))))</f>
        <v/>
      </c>
      <c r="D2272">
        <f>IF(INDEX(L_Type,ROW()-4)="","",TRIM(UPPER(INDEX(L_Type,ROW()-4))))</f>
        <v/>
      </c>
      <c r="E2272">
        <f>IF(INDEX(P_Status,ROW()-4)="","",TRIM(UPPER(INDEX(P_Status,ROW()-4))))</f>
        <v/>
      </c>
      <c r="G2272">
        <f>IF(INDEX(L_Status,ROW()-4)="","",TRIM(UPPER(INDEX(L_Status,ROW()-4))))</f>
        <v/>
      </c>
      <c r="J2272">
        <f>IF(INDEX(L_ID,ROW()-4)="","",IF(SUMPRODUCT((P_ID=INDEX(L_ID,ROW()-4))*(P_StatusN="INACTIVE"))&gt;0,1,0))</f>
        <v/>
      </c>
    </row>
    <row r="2273">
      <c r="A2273">
        <f>IF(INDEX(L_ID,ROW()-4)="","",IF(COUNTIF(P_ID,INDEX(L_ID,ROW()-4))&gt;0,1,0))</f>
        <v/>
      </c>
      <c r="B2273">
        <f>IF(INDEX(P_Type,ROW()-4)="","",TRIM(UPPER(INDEX(P_Type,ROW()-4))))</f>
        <v/>
      </c>
      <c r="D2273">
        <f>IF(INDEX(L_Type,ROW()-4)="","",TRIM(UPPER(INDEX(L_Type,ROW()-4))))</f>
        <v/>
      </c>
      <c r="E2273">
        <f>IF(INDEX(P_Status,ROW()-4)="","",TRIM(UPPER(INDEX(P_Status,ROW()-4))))</f>
        <v/>
      </c>
      <c r="G2273">
        <f>IF(INDEX(L_Status,ROW()-4)="","",TRIM(UPPER(INDEX(L_Status,ROW()-4))))</f>
        <v/>
      </c>
      <c r="J2273">
        <f>IF(INDEX(L_ID,ROW()-4)="","",IF(SUMPRODUCT((P_ID=INDEX(L_ID,ROW()-4))*(P_StatusN="INACTIVE"))&gt;0,1,0))</f>
        <v/>
      </c>
    </row>
    <row r="2274">
      <c r="A2274">
        <f>IF(INDEX(L_ID,ROW()-4)="","",IF(COUNTIF(P_ID,INDEX(L_ID,ROW()-4))&gt;0,1,0))</f>
        <v/>
      </c>
      <c r="B2274">
        <f>IF(INDEX(P_Type,ROW()-4)="","",TRIM(UPPER(INDEX(P_Type,ROW()-4))))</f>
        <v/>
      </c>
      <c r="D2274">
        <f>IF(INDEX(L_Type,ROW()-4)="","",TRIM(UPPER(INDEX(L_Type,ROW()-4))))</f>
        <v/>
      </c>
      <c r="E2274">
        <f>IF(INDEX(P_Status,ROW()-4)="","",TRIM(UPPER(INDEX(P_Status,ROW()-4))))</f>
        <v/>
      </c>
      <c r="G2274">
        <f>IF(INDEX(L_Status,ROW()-4)="","",TRIM(UPPER(INDEX(L_Status,ROW()-4))))</f>
        <v/>
      </c>
      <c r="J2274">
        <f>IF(INDEX(L_ID,ROW()-4)="","",IF(SUMPRODUCT((P_ID=INDEX(L_ID,ROW()-4))*(P_StatusN="INACTIVE"))&gt;0,1,0))</f>
        <v/>
      </c>
    </row>
    <row r="2275">
      <c r="A2275">
        <f>IF(INDEX(L_ID,ROW()-4)="","",IF(COUNTIF(P_ID,INDEX(L_ID,ROW()-4))&gt;0,1,0))</f>
        <v/>
      </c>
      <c r="B2275">
        <f>IF(INDEX(P_Type,ROW()-4)="","",TRIM(UPPER(INDEX(P_Type,ROW()-4))))</f>
        <v/>
      </c>
      <c r="D2275">
        <f>IF(INDEX(L_Type,ROW()-4)="","",TRIM(UPPER(INDEX(L_Type,ROW()-4))))</f>
        <v/>
      </c>
      <c r="E2275">
        <f>IF(INDEX(P_Status,ROW()-4)="","",TRIM(UPPER(INDEX(P_Status,ROW()-4))))</f>
        <v/>
      </c>
      <c r="G2275">
        <f>IF(INDEX(L_Status,ROW()-4)="","",TRIM(UPPER(INDEX(L_Status,ROW()-4))))</f>
        <v/>
      </c>
      <c r="J2275">
        <f>IF(INDEX(L_ID,ROW()-4)="","",IF(SUMPRODUCT((P_ID=INDEX(L_ID,ROW()-4))*(P_StatusN="INACTIVE"))&gt;0,1,0))</f>
        <v/>
      </c>
    </row>
    <row r="2276">
      <c r="A2276">
        <f>IF(INDEX(L_ID,ROW()-4)="","",IF(COUNTIF(P_ID,INDEX(L_ID,ROW()-4))&gt;0,1,0))</f>
        <v/>
      </c>
      <c r="B2276">
        <f>IF(INDEX(P_Type,ROW()-4)="","",TRIM(UPPER(INDEX(P_Type,ROW()-4))))</f>
        <v/>
      </c>
      <c r="D2276">
        <f>IF(INDEX(L_Type,ROW()-4)="","",TRIM(UPPER(INDEX(L_Type,ROW()-4))))</f>
        <v/>
      </c>
      <c r="E2276">
        <f>IF(INDEX(P_Status,ROW()-4)="","",TRIM(UPPER(INDEX(P_Status,ROW()-4))))</f>
        <v/>
      </c>
      <c r="G2276">
        <f>IF(INDEX(L_Status,ROW()-4)="","",TRIM(UPPER(INDEX(L_Status,ROW()-4))))</f>
        <v/>
      </c>
      <c r="J2276">
        <f>IF(INDEX(L_ID,ROW()-4)="","",IF(SUMPRODUCT((P_ID=INDEX(L_ID,ROW()-4))*(P_StatusN="INACTIVE"))&gt;0,1,0))</f>
        <v/>
      </c>
    </row>
    <row r="2277">
      <c r="A2277">
        <f>IF(INDEX(L_ID,ROW()-4)="","",IF(COUNTIF(P_ID,INDEX(L_ID,ROW()-4))&gt;0,1,0))</f>
        <v/>
      </c>
      <c r="B2277">
        <f>IF(INDEX(P_Type,ROW()-4)="","",TRIM(UPPER(INDEX(P_Type,ROW()-4))))</f>
        <v/>
      </c>
      <c r="D2277">
        <f>IF(INDEX(L_Type,ROW()-4)="","",TRIM(UPPER(INDEX(L_Type,ROW()-4))))</f>
        <v/>
      </c>
      <c r="E2277">
        <f>IF(INDEX(P_Status,ROW()-4)="","",TRIM(UPPER(INDEX(P_Status,ROW()-4))))</f>
        <v/>
      </c>
      <c r="G2277">
        <f>IF(INDEX(L_Status,ROW()-4)="","",TRIM(UPPER(INDEX(L_Status,ROW()-4))))</f>
        <v/>
      </c>
      <c r="J2277">
        <f>IF(INDEX(L_ID,ROW()-4)="","",IF(SUMPRODUCT((P_ID=INDEX(L_ID,ROW()-4))*(P_StatusN="INACTIVE"))&gt;0,1,0))</f>
        <v/>
      </c>
    </row>
    <row r="2278">
      <c r="A2278">
        <f>IF(INDEX(L_ID,ROW()-4)="","",IF(COUNTIF(P_ID,INDEX(L_ID,ROW()-4))&gt;0,1,0))</f>
        <v/>
      </c>
      <c r="B2278">
        <f>IF(INDEX(P_Type,ROW()-4)="","",TRIM(UPPER(INDEX(P_Type,ROW()-4))))</f>
        <v/>
      </c>
      <c r="D2278">
        <f>IF(INDEX(L_Type,ROW()-4)="","",TRIM(UPPER(INDEX(L_Type,ROW()-4))))</f>
        <v/>
      </c>
      <c r="E2278">
        <f>IF(INDEX(P_Status,ROW()-4)="","",TRIM(UPPER(INDEX(P_Status,ROW()-4))))</f>
        <v/>
      </c>
      <c r="G2278">
        <f>IF(INDEX(L_Status,ROW()-4)="","",TRIM(UPPER(INDEX(L_Status,ROW()-4))))</f>
        <v/>
      </c>
      <c r="J2278">
        <f>IF(INDEX(L_ID,ROW()-4)="","",IF(SUMPRODUCT((P_ID=INDEX(L_ID,ROW()-4))*(P_StatusN="INACTIVE"))&gt;0,1,0))</f>
        <v/>
      </c>
    </row>
    <row r="2279">
      <c r="A2279">
        <f>IF(INDEX(L_ID,ROW()-4)="","",IF(COUNTIF(P_ID,INDEX(L_ID,ROW()-4))&gt;0,1,0))</f>
        <v/>
      </c>
      <c r="B2279">
        <f>IF(INDEX(P_Type,ROW()-4)="","",TRIM(UPPER(INDEX(P_Type,ROW()-4))))</f>
        <v/>
      </c>
      <c r="D2279">
        <f>IF(INDEX(L_Type,ROW()-4)="","",TRIM(UPPER(INDEX(L_Type,ROW()-4))))</f>
        <v/>
      </c>
      <c r="E2279">
        <f>IF(INDEX(P_Status,ROW()-4)="","",TRIM(UPPER(INDEX(P_Status,ROW()-4))))</f>
        <v/>
      </c>
      <c r="G2279">
        <f>IF(INDEX(L_Status,ROW()-4)="","",TRIM(UPPER(INDEX(L_Status,ROW()-4))))</f>
        <v/>
      </c>
      <c r="J2279">
        <f>IF(INDEX(L_ID,ROW()-4)="","",IF(SUMPRODUCT((P_ID=INDEX(L_ID,ROW()-4))*(P_StatusN="INACTIVE"))&gt;0,1,0))</f>
        <v/>
      </c>
    </row>
    <row r="2280">
      <c r="A2280">
        <f>IF(INDEX(L_ID,ROW()-4)="","",IF(COUNTIF(P_ID,INDEX(L_ID,ROW()-4))&gt;0,1,0))</f>
        <v/>
      </c>
      <c r="B2280">
        <f>IF(INDEX(P_Type,ROW()-4)="","",TRIM(UPPER(INDEX(P_Type,ROW()-4))))</f>
        <v/>
      </c>
      <c r="D2280">
        <f>IF(INDEX(L_Type,ROW()-4)="","",TRIM(UPPER(INDEX(L_Type,ROW()-4))))</f>
        <v/>
      </c>
      <c r="E2280">
        <f>IF(INDEX(P_Status,ROW()-4)="","",TRIM(UPPER(INDEX(P_Status,ROW()-4))))</f>
        <v/>
      </c>
      <c r="G2280">
        <f>IF(INDEX(L_Status,ROW()-4)="","",TRIM(UPPER(INDEX(L_Status,ROW()-4))))</f>
        <v/>
      </c>
      <c r="J2280">
        <f>IF(INDEX(L_ID,ROW()-4)="","",IF(SUMPRODUCT((P_ID=INDEX(L_ID,ROW()-4))*(P_StatusN="INACTIVE"))&gt;0,1,0))</f>
        <v/>
      </c>
    </row>
    <row r="2281">
      <c r="A2281">
        <f>IF(INDEX(L_ID,ROW()-4)="","",IF(COUNTIF(P_ID,INDEX(L_ID,ROW()-4))&gt;0,1,0))</f>
        <v/>
      </c>
      <c r="B2281">
        <f>IF(INDEX(P_Type,ROW()-4)="","",TRIM(UPPER(INDEX(P_Type,ROW()-4))))</f>
        <v/>
      </c>
      <c r="D2281">
        <f>IF(INDEX(L_Type,ROW()-4)="","",TRIM(UPPER(INDEX(L_Type,ROW()-4))))</f>
        <v/>
      </c>
      <c r="E2281">
        <f>IF(INDEX(P_Status,ROW()-4)="","",TRIM(UPPER(INDEX(P_Status,ROW()-4))))</f>
        <v/>
      </c>
      <c r="G2281">
        <f>IF(INDEX(L_Status,ROW()-4)="","",TRIM(UPPER(INDEX(L_Status,ROW()-4))))</f>
        <v/>
      </c>
      <c r="J2281">
        <f>IF(INDEX(L_ID,ROW()-4)="","",IF(SUMPRODUCT((P_ID=INDEX(L_ID,ROW()-4))*(P_StatusN="INACTIVE"))&gt;0,1,0))</f>
        <v/>
      </c>
    </row>
    <row r="2282">
      <c r="A2282">
        <f>IF(INDEX(L_ID,ROW()-4)="","",IF(COUNTIF(P_ID,INDEX(L_ID,ROW()-4))&gt;0,1,0))</f>
        <v/>
      </c>
      <c r="B2282">
        <f>IF(INDEX(P_Type,ROW()-4)="","",TRIM(UPPER(INDEX(P_Type,ROW()-4))))</f>
        <v/>
      </c>
      <c r="D2282">
        <f>IF(INDEX(L_Type,ROW()-4)="","",TRIM(UPPER(INDEX(L_Type,ROW()-4))))</f>
        <v/>
      </c>
      <c r="E2282">
        <f>IF(INDEX(P_Status,ROW()-4)="","",TRIM(UPPER(INDEX(P_Status,ROW()-4))))</f>
        <v/>
      </c>
      <c r="G2282">
        <f>IF(INDEX(L_Status,ROW()-4)="","",TRIM(UPPER(INDEX(L_Status,ROW()-4))))</f>
        <v/>
      </c>
      <c r="J2282">
        <f>IF(INDEX(L_ID,ROW()-4)="","",IF(SUMPRODUCT((P_ID=INDEX(L_ID,ROW()-4))*(P_StatusN="INACTIVE"))&gt;0,1,0))</f>
        <v/>
      </c>
    </row>
    <row r="2283">
      <c r="A2283">
        <f>IF(INDEX(L_ID,ROW()-4)="","",IF(COUNTIF(P_ID,INDEX(L_ID,ROW()-4))&gt;0,1,0))</f>
        <v/>
      </c>
      <c r="B2283">
        <f>IF(INDEX(P_Type,ROW()-4)="","",TRIM(UPPER(INDEX(P_Type,ROW()-4))))</f>
        <v/>
      </c>
      <c r="D2283">
        <f>IF(INDEX(L_Type,ROW()-4)="","",TRIM(UPPER(INDEX(L_Type,ROW()-4))))</f>
        <v/>
      </c>
      <c r="E2283">
        <f>IF(INDEX(P_Status,ROW()-4)="","",TRIM(UPPER(INDEX(P_Status,ROW()-4))))</f>
        <v/>
      </c>
      <c r="G2283">
        <f>IF(INDEX(L_Status,ROW()-4)="","",TRIM(UPPER(INDEX(L_Status,ROW()-4))))</f>
        <v/>
      </c>
      <c r="J2283">
        <f>IF(INDEX(L_ID,ROW()-4)="","",IF(SUMPRODUCT((P_ID=INDEX(L_ID,ROW()-4))*(P_StatusN="INACTIVE"))&gt;0,1,0))</f>
        <v/>
      </c>
    </row>
    <row r="2284">
      <c r="A2284">
        <f>IF(INDEX(L_ID,ROW()-4)="","",IF(COUNTIF(P_ID,INDEX(L_ID,ROW()-4))&gt;0,1,0))</f>
        <v/>
      </c>
      <c r="B2284">
        <f>IF(INDEX(P_Type,ROW()-4)="","",TRIM(UPPER(INDEX(P_Type,ROW()-4))))</f>
        <v/>
      </c>
      <c r="D2284">
        <f>IF(INDEX(L_Type,ROW()-4)="","",TRIM(UPPER(INDEX(L_Type,ROW()-4))))</f>
        <v/>
      </c>
      <c r="E2284">
        <f>IF(INDEX(P_Status,ROW()-4)="","",TRIM(UPPER(INDEX(P_Status,ROW()-4))))</f>
        <v/>
      </c>
      <c r="G2284">
        <f>IF(INDEX(L_Status,ROW()-4)="","",TRIM(UPPER(INDEX(L_Status,ROW()-4))))</f>
        <v/>
      </c>
      <c r="J2284">
        <f>IF(INDEX(L_ID,ROW()-4)="","",IF(SUMPRODUCT((P_ID=INDEX(L_ID,ROW()-4))*(P_StatusN="INACTIVE"))&gt;0,1,0))</f>
        <v/>
      </c>
    </row>
    <row r="2285">
      <c r="A2285">
        <f>IF(INDEX(L_ID,ROW()-4)="","",IF(COUNTIF(P_ID,INDEX(L_ID,ROW()-4))&gt;0,1,0))</f>
        <v/>
      </c>
      <c r="B2285">
        <f>IF(INDEX(P_Type,ROW()-4)="","",TRIM(UPPER(INDEX(P_Type,ROW()-4))))</f>
        <v/>
      </c>
      <c r="D2285">
        <f>IF(INDEX(L_Type,ROW()-4)="","",TRIM(UPPER(INDEX(L_Type,ROW()-4))))</f>
        <v/>
      </c>
      <c r="E2285">
        <f>IF(INDEX(P_Status,ROW()-4)="","",TRIM(UPPER(INDEX(P_Status,ROW()-4))))</f>
        <v/>
      </c>
      <c r="G2285">
        <f>IF(INDEX(L_Status,ROW()-4)="","",TRIM(UPPER(INDEX(L_Status,ROW()-4))))</f>
        <v/>
      </c>
      <c r="J2285">
        <f>IF(INDEX(L_ID,ROW()-4)="","",IF(SUMPRODUCT((P_ID=INDEX(L_ID,ROW()-4))*(P_StatusN="INACTIVE"))&gt;0,1,0))</f>
        <v/>
      </c>
    </row>
    <row r="2286">
      <c r="A2286">
        <f>IF(INDEX(L_ID,ROW()-4)="","",IF(COUNTIF(P_ID,INDEX(L_ID,ROW()-4))&gt;0,1,0))</f>
        <v/>
      </c>
      <c r="B2286">
        <f>IF(INDEX(P_Type,ROW()-4)="","",TRIM(UPPER(INDEX(P_Type,ROW()-4))))</f>
        <v/>
      </c>
      <c r="D2286">
        <f>IF(INDEX(L_Type,ROW()-4)="","",TRIM(UPPER(INDEX(L_Type,ROW()-4))))</f>
        <v/>
      </c>
      <c r="E2286">
        <f>IF(INDEX(P_Status,ROW()-4)="","",TRIM(UPPER(INDEX(P_Status,ROW()-4))))</f>
        <v/>
      </c>
      <c r="G2286">
        <f>IF(INDEX(L_Status,ROW()-4)="","",TRIM(UPPER(INDEX(L_Status,ROW()-4))))</f>
        <v/>
      </c>
      <c r="J2286">
        <f>IF(INDEX(L_ID,ROW()-4)="","",IF(SUMPRODUCT((P_ID=INDEX(L_ID,ROW()-4))*(P_StatusN="INACTIVE"))&gt;0,1,0))</f>
        <v/>
      </c>
    </row>
    <row r="2287">
      <c r="A2287">
        <f>IF(INDEX(L_ID,ROW()-4)="","",IF(COUNTIF(P_ID,INDEX(L_ID,ROW()-4))&gt;0,1,0))</f>
        <v/>
      </c>
      <c r="B2287">
        <f>IF(INDEX(P_Type,ROW()-4)="","",TRIM(UPPER(INDEX(P_Type,ROW()-4))))</f>
        <v/>
      </c>
      <c r="D2287">
        <f>IF(INDEX(L_Type,ROW()-4)="","",TRIM(UPPER(INDEX(L_Type,ROW()-4))))</f>
        <v/>
      </c>
      <c r="E2287">
        <f>IF(INDEX(P_Status,ROW()-4)="","",TRIM(UPPER(INDEX(P_Status,ROW()-4))))</f>
        <v/>
      </c>
      <c r="G2287">
        <f>IF(INDEX(L_Status,ROW()-4)="","",TRIM(UPPER(INDEX(L_Status,ROW()-4))))</f>
        <v/>
      </c>
      <c r="J2287">
        <f>IF(INDEX(L_ID,ROW()-4)="","",IF(SUMPRODUCT((P_ID=INDEX(L_ID,ROW()-4))*(P_StatusN="INACTIVE"))&gt;0,1,0))</f>
        <v/>
      </c>
    </row>
    <row r="2288">
      <c r="A2288">
        <f>IF(INDEX(L_ID,ROW()-4)="","",IF(COUNTIF(P_ID,INDEX(L_ID,ROW()-4))&gt;0,1,0))</f>
        <v/>
      </c>
      <c r="B2288">
        <f>IF(INDEX(P_Type,ROW()-4)="","",TRIM(UPPER(INDEX(P_Type,ROW()-4))))</f>
        <v/>
      </c>
      <c r="D2288">
        <f>IF(INDEX(L_Type,ROW()-4)="","",TRIM(UPPER(INDEX(L_Type,ROW()-4))))</f>
        <v/>
      </c>
      <c r="E2288">
        <f>IF(INDEX(P_Status,ROW()-4)="","",TRIM(UPPER(INDEX(P_Status,ROW()-4))))</f>
        <v/>
      </c>
      <c r="G2288">
        <f>IF(INDEX(L_Status,ROW()-4)="","",TRIM(UPPER(INDEX(L_Status,ROW()-4))))</f>
        <v/>
      </c>
      <c r="J2288">
        <f>IF(INDEX(L_ID,ROW()-4)="","",IF(SUMPRODUCT((P_ID=INDEX(L_ID,ROW()-4))*(P_StatusN="INACTIVE"))&gt;0,1,0))</f>
        <v/>
      </c>
    </row>
    <row r="2289">
      <c r="A2289">
        <f>IF(INDEX(L_ID,ROW()-4)="","",IF(COUNTIF(P_ID,INDEX(L_ID,ROW()-4))&gt;0,1,0))</f>
        <v/>
      </c>
      <c r="B2289">
        <f>IF(INDEX(P_Type,ROW()-4)="","",TRIM(UPPER(INDEX(P_Type,ROW()-4))))</f>
        <v/>
      </c>
      <c r="D2289">
        <f>IF(INDEX(L_Type,ROW()-4)="","",TRIM(UPPER(INDEX(L_Type,ROW()-4))))</f>
        <v/>
      </c>
      <c r="E2289">
        <f>IF(INDEX(P_Status,ROW()-4)="","",TRIM(UPPER(INDEX(P_Status,ROW()-4))))</f>
        <v/>
      </c>
      <c r="G2289">
        <f>IF(INDEX(L_Status,ROW()-4)="","",TRIM(UPPER(INDEX(L_Status,ROW()-4))))</f>
        <v/>
      </c>
      <c r="J2289">
        <f>IF(INDEX(L_ID,ROW()-4)="","",IF(SUMPRODUCT((P_ID=INDEX(L_ID,ROW()-4))*(P_StatusN="INACTIVE"))&gt;0,1,0))</f>
        <v/>
      </c>
    </row>
    <row r="2290">
      <c r="A2290">
        <f>IF(INDEX(L_ID,ROW()-4)="","",IF(COUNTIF(P_ID,INDEX(L_ID,ROW()-4))&gt;0,1,0))</f>
        <v/>
      </c>
      <c r="B2290">
        <f>IF(INDEX(P_Type,ROW()-4)="","",TRIM(UPPER(INDEX(P_Type,ROW()-4))))</f>
        <v/>
      </c>
      <c r="D2290">
        <f>IF(INDEX(L_Type,ROW()-4)="","",TRIM(UPPER(INDEX(L_Type,ROW()-4))))</f>
        <v/>
      </c>
      <c r="E2290">
        <f>IF(INDEX(P_Status,ROW()-4)="","",TRIM(UPPER(INDEX(P_Status,ROW()-4))))</f>
        <v/>
      </c>
      <c r="G2290">
        <f>IF(INDEX(L_Status,ROW()-4)="","",TRIM(UPPER(INDEX(L_Status,ROW()-4))))</f>
        <v/>
      </c>
      <c r="J2290">
        <f>IF(INDEX(L_ID,ROW()-4)="","",IF(SUMPRODUCT((P_ID=INDEX(L_ID,ROW()-4))*(P_StatusN="INACTIVE"))&gt;0,1,0))</f>
        <v/>
      </c>
    </row>
    <row r="2291">
      <c r="A2291">
        <f>IF(INDEX(L_ID,ROW()-4)="","",IF(COUNTIF(P_ID,INDEX(L_ID,ROW()-4))&gt;0,1,0))</f>
        <v/>
      </c>
      <c r="B2291">
        <f>IF(INDEX(P_Type,ROW()-4)="","",TRIM(UPPER(INDEX(P_Type,ROW()-4))))</f>
        <v/>
      </c>
      <c r="D2291">
        <f>IF(INDEX(L_Type,ROW()-4)="","",TRIM(UPPER(INDEX(L_Type,ROW()-4))))</f>
        <v/>
      </c>
      <c r="E2291">
        <f>IF(INDEX(P_Status,ROW()-4)="","",TRIM(UPPER(INDEX(P_Status,ROW()-4))))</f>
        <v/>
      </c>
      <c r="G2291">
        <f>IF(INDEX(L_Status,ROW()-4)="","",TRIM(UPPER(INDEX(L_Status,ROW()-4))))</f>
        <v/>
      </c>
      <c r="J2291">
        <f>IF(INDEX(L_ID,ROW()-4)="","",IF(SUMPRODUCT((P_ID=INDEX(L_ID,ROW()-4))*(P_StatusN="INACTIVE"))&gt;0,1,0))</f>
        <v/>
      </c>
    </row>
    <row r="2292">
      <c r="A2292">
        <f>IF(INDEX(L_ID,ROW()-4)="","",IF(COUNTIF(P_ID,INDEX(L_ID,ROW()-4))&gt;0,1,0))</f>
        <v/>
      </c>
      <c r="B2292">
        <f>IF(INDEX(P_Type,ROW()-4)="","",TRIM(UPPER(INDEX(P_Type,ROW()-4))))</f>
        <v/>
      </c>
      <c r="D2292">
        <f>IF(INDEX(L_Type,ROW()-4)="","",TRIM(UPPER(INDEX(L_Type,ROW()-4))))</f>
        <v/>
      </c>
      <c r="E2292">
        <f>IF(INDEX(P_Status,ROW()-4)="","",TRIM(UPPER(INDEX(P_Status,ROW()-4))))</f>
        <v/>
      </c>
      <c r="G2292">
        <f>IF(INDEX(L_Status,ROW()-4)="","",TRIM(UPPER(INDEX(L_Status,ROW()-4))))</f>
        <v/>
      </c>
      <c r="J2292">
        <f>IF(INDEX(L_ID,ROW()-4)="","",IF(SUMPRODUCT((P_ID=INDEX(L_ID,ROW()-4))*(P_StatusN="INACTIVE"))&gt;0,1,0))</f>
        <v/>
      </c>
    </row>
    <row r="2293">
      <c r="A2293">
        <f>IF(INDEX(L_ID,ROW()-4)="","",IF(COUNTIF(P_ID,INDEX(L_ID,ROW()-4))&gt;0,1,0))</f>
        <v/>
      </c>
      <c r="B2293">
        <f>IF(INDEX(P_Type,ROW()-4)="","",TRIM(UPPER(INDEX(P_Type,ROW()-4))))</f>
        <v/>
      </c>
      <c r="D2293">
        <f>IF(INDEX(L_Type,ROW()-4)="","",TRIM(UPPER(INDEX(L_Type,ROW()-4))))</f>
        <v/>
      </c>
      <c r="E2293">
        <f>IF(INDEX(P_Status,ROW()-4)="","",TRIM(UPPER(INDEX(P_Status,ROW()-4))))</f>
        <v/>
      </c>
      <c r="G2293">
        <f>IF(INDEX(L_Status,ROW()-4)="","",TRIM(UPPER(INDEX(L_Status,ROW()-4))))</f>
        <v/>
      </c>
      <c r="J2293">
        <f>IF(INDEX(L_ID,ROW()-4)="","",IF(SUMPRODUCT((P_ID=INDEX(L_ID,ROW()-4))*(P_StatusN="INACTIVE"))&gt;0,1,0))</f>
        <v/>
      </c>
    </row>
    <row r="2294">
      <c r="A2294">
        <f>IF(INDEX(L_ID,ROW()-4)="","",IF(COUNTIF(P_ID,INDEX(L_ID,ROW()-4))&gt;0,1,0))</f>
        <v/>
      </c>
      <c r="B2294">
        <f>IF(INDEX(P_Type,ROW()-4)="","",TRIM(UPPER(INDEX(P_Type,ROW()-4))))</f>
        <v/>
      </c>
      <c r="D2294">
        <f>IF(INDEX(L_Type,ROW()-4)="","",TRIM(UPPER(INDEX(L_Type,ROW()-4))))</f>
        <v/>
      </c>
      <c r="E2294">
        <f>IF(INDEX(P_Status,ROW()-4)="","",TRIM(UPPER(INDEX(P_Status,ROW()-4))))</f>
        <v/>
      </c>
      <c r="G2294">
        <f>IF(INDEX(L_Status,ROW()-4)="","",TRIM(UPPER(INDEX(L_Status,ROW()-4))))</f>
        <v/>
      </c>
      <c r="J2294">
        <f>IF(INDEX(L_ID,ROW()-4)="","",IF(SUMPRODUCT((P_ID=INDEX(L_ID,ROW()-4))*(P_StatusN="INACTIVE"))&gt;0,1,0))</f>
        <v/>
      </c>
    </row>
    <row r="2295">
      <c r="A2295">
        <f>IF(INDEX(L_ID,ROW()-4)="","",IF(COUNTIF(P_ID,INDEX(L_ID,ROW()-4))&gt;0,1,0))</f>
        <v/>
      </c>
      <c r="B2295">
        <f>IF(INDEX(P_Type,ROW()-4)="","",TRIM(UPPER(INDEX(P_Type,ROW()-4))))</f>
        <v/>
      </c>
      <c r="D2295">
        <f>IF(INDEX(L_Type,ROW()-4)="","",TRIM(UPPER(INDEX(L_Type,ROW()-4))))</f>
        <v/>
      </c>
      <c r="E2295">
        <f>IF(INDEX(P_Status,ROW()-4)="","",TRIM(UPPER(INDEX(P_Status,ROW()-4))))</f>
        <v/>
      </c>
      <c r="G2295">
        <f>IF(INDEX(L_Status,ROW()-4)="","",TRIM(UPPER(INDEX(L_Status,ROW()-4))))</f>
        <v/>
      </c>
      <c r="J2295">
        <f>IF(INDEX(L_ID,ROW()-4)="","",IF(SUMPRODUCT((P_ID=INDEX(L_ID,ROW()-4))*(P_StatusN="INACTIVE"))&gt;0,1,0))</f>
        <v/>
      </c>
    </row>
    <row r="2296">
      <c r="A2296">
        <f>IF(INDEX(L_ID,ROW()-4)="","",IF(COUNTIF(P_ID,INDEX(L_ID,ROW()-4))&gt;0,1,0))</f>
        <v/>
      </c>
      <c r="B2296">
        <f>IF(INDEX(P_Type,ROW()-4)="","",TRIM(UPPER(INDEX(P_Type,ROW()-4))))</f>
        <v/>
      </c>
      <c r="D2296">
        <f>IF(INDEX(L_Type,ROW()-4)="","",TRIM(UPPER(INDEX(L_Type,ROW()-4))))</f>
        <v/>
      </c>
      <c r="E2296">
        <f>IF(INDEX(P_Status,ROW()-4)="","",TRIM(UPPER(INDEX(P_Status,ROW()-4))))</f>
        <v/>
      </c>
      <c r="G2296">
        <f>IF(INDEX(L_Status,ROW()-4)="","",TRIM(UPPER(INDEX(L_Status,ROW()-4))))</f>
        <v/>
      </c>
      <c r="J2296">
        <f>IF(INDEX(L_ID,ROW()-4)="","",IF(SUMPRODUCT((P_ID=INDEX(L_ID,ROW()-4))*(P_StatusN="INACTIVE"))&gt;0,1,0))</f>
        <v/>
      </c>
    </row>
    <row r="2297">
      <c r="A2297">
        <f>IF(INDEX(L_ID,ROW()-4)="","",IF(COUNTIF(P_ID,INDEX(L_ID,ROW()-4))&gt;0,1,0))</f>
        <v/>
      </c>
      <c r="B2297">
        <f>IF(INDEX(P_Type,ROW()-4)="","",TRIM(UPPER(INDEX(P_Type,ROW()-4))))</f>
        <v/>
      </c>
      <c r="D2297">
        <f>IF(INDEX(L_Type,ROW()-4)="","",TRIM(UPPER(INDEX(L_Type,ROW()-4))))</f>
        <v/>
      </c>
      <c r="E2297">
        <f>IF(INDEX(P_Status,ROW()-4)="","",TRIM(UPPER(INDEX(P_Status,ROW()-4))))</f>
        <v/>
      </c>
      <c r="G2297">
        <f>IF(INDEX(L_Status,ROW()-4)="","",TRIM(UPPER(INDEX(L_Status,ROW()-4))))</f>
        <v/>
      </c>
      <c r="J2297">
        <f>IF(INDEX(L_ID,ROW()-4)="","",IF(SUMPRODUCT((P_ID=INDEX(L_ID,ROW()-4))*(P_StatusN="INACTIVE"))&gt;0,1,0))</f>
        <v/>
      </c>
    </row>
    <row r="2298">
      <c r="A2298">
        <f>IF(INDEX(L_ID,ROW()-4)="","",IF(COUNTIF(P_ID,INDEX(L_ID,ROW()-4))&gt;0,1,0))</f>
        <v/>
      </c>
      <c r="B2298">
        <f>IF(INDEX(P_Type,ROW()-4)="","",TRIM(UPPER(INDEX(P_Type,ROW()-4))))</f>
        <v/>
      </c>
      <c r="D2298">
        <f>IF(INDEX(L_Type,ROW()-4)="","",TRIM(UPPER(INDEX(L_Type,ROW()-4))))</f>
        <v/>
      </c>
      <c r="E2298">
        <f>IF(INDEX(P_Status,ROW()-4)="","",TRIM(UPPER(INDEX(P_Status,ROW()-4))))</f>
        <v/>
      </c>
      <c r="G2298">
        <f>IF(INDEX(L_Status,ROW()-4)="","",TRIM(UPPER(INDEX(L_Status,ROW()-4))))</f>
        <v/>
      </c>
      <c r="J2298">
        <f>IF(INDEX(L_ID,ROW()-4)="","",IF(SUMPRODUCT((P_ID=INDEX(L_ID,ROW()-4))*(P_StatusN="INACTIVE"))&gt;0,1,0))</f>
        <v/>
      </c>
    </row>
    <row r="2299">
      <c r="A2299">
        <f>IF(INDEX(L_ID,ROW()-4)="","",IF(COUNTIF(P_ID,INDEX(L_ID,ROW()-4))&gt;0,1,0))</f>
        <v/>
      </c>
      <c r="B2299">
        <f>IF(INDEX(P_Type,ROW()-4)="","",TRIM(UPPER(INDEX(P_Type,ROW()-4))))</f>
        <v/>
      </c>
      <c r="D2299">
        <f>IF(INDEX(L_Type,ROW()-4)="","",TRIM(UPPER(INDEX(L_Type,ROW()-4))))</f>
        <v/>
      </c>
      <c r="E2299">
        <f>IF(INDEX(P_Status,ROW()-4)="","",TRIM(UPPER(INDEX(P_Status,ROW()-4))))</f>
        <v/>
      </c>
      <c r="G2299">
        <f>IF(INDEX(L_Status,ROW()-4)="","",TRIM(UPPER(INDEX(L_Status,ROW()-4))))</f>
        <v/>
      </c>
      <c r="J2299">
        <f>IF(INDEX(L_ID,ROW()-4)="","",IF(SUMPRODUCT((P_ID=INDEX(L_ID,ROW()-4))*(P_StatusN="INACTIVE"))&gt;0,1,0))</f>
        <v/>
      </c>
    </row>
    <row r="2300">
      <c r="A2300">
        <f>IF(INDEX(L_ID,ROW()-4)="","",IF(COUNTIF(P_ID,INDEX(L_ID,ROW()-4))&gt;0,1,0))</f>
        <v/>
      </c>
      <c r="B2300">
        <f>IF(INDEX(P_Type,ROW()-4)="","",TRIM(UPPER(INDEX(P_Type,ROW()-4))))</f>
        <v/>
      </c>
      <c r="D2300">
        <f>IF(INDEX(L_Type,ROW()-4)="","",TRIM(UPPER(INDEX(L_Type,ROW()-4))))</f>
        <v/>
      </c>
      <c r="E2300">
        <f>IF(INDEX(P_Status,ROW()-4)="","",TRIM(UPPER(INDEX(P_Status,ROW()-4))))</f>
        <v/>
      </c>
      <c r="G2300">
        <f>IF(INDEX(L_Status,ROW()-4)="","",TRIM(UPPER(INDEX(L_Status,ROW()-4))))</f>
        <v/>
      </c>
      <c r="J2300">
        <f>IF(INDEX(L_ID,ROW()-4)="","",IF(SUMPRODUCT((P_ID=INDEX(L_ID,ROW()-4))*(P_StatusN="INACTIVE"))&gt;0,1,0))</f>
        <v/>
      </c>
    </row>
    <row r="2301">
      <c r="A2301">
        <f>IF(INDEX(L_ID,ROW()-4)="","",IF(COUNTIF(P_ID,INDEX(L_ID,ROW()-4))&gt;0,1,0))</f>
        <v/>
      </c>
      <c r="B2301">
        <f>IF(INDEX(P_Type,ROW()-4)="","",TRIM(UPPER(INDEX(P_Type,ROW()-4))))</f>
        <v/>
      </c>
      <c r="D2301">
        <f>IF(INDEX(L_Type,ROW()-4)="","",TRIM(UPPER(INDEX(L_Type,ROW()-4))))</f>
        <v/>
      </c>
      <c r="E2301">
        <f>IF(INDEX(P_Status,ROW()-4)="","",TRIM(UPPER(INDEX(P_Status,ROW()-4))))</f>
        <v/>
      </c>
      <c r="G2301">
        <f>IF(INDEX(L_Status,ROW()-4)="","",TRIM(UPPER(INDEX(L_Status,ROW()-4))))</f>
        <v/>
      </c>
      <c r="J2301">
        <f>IF(INDEX(L_ID,ROW()-4)="","",IF(SUMPRODUCT((P_ID=INDEX(L_ID,ROW()-4))*(P_StatusN="INACTIVE"))&gt;0,1,0))</f>
        <v/>
      </c>
    </row>
    <row r="2302">
      <c r="A2302">
        <f>IF(INDEX(L_ID,ROW()-4)="","",IF(COUNTIF(P_ID,INDEX(L_ID,ROW()-4))&gt;0,1,0))</f>
        <v/>
      </c>
      <c r="B2302">
        <f>IF(INDEX(P_Type,ROW()-4)="","",TRIM(UPPER(INDEX(P_Type,ROW()-4))))</f>
        <v/>
      </c>
      <c r="D2302">
        <f>IF(INDEX(L_Type,ROW()-4)="","",TRIM(UPPER(INDEX(L_Type,ROW()-4))))</f>
        <v/>
      </c>
      <c r="E2302">
        <f>IF(INDEX(P_Status,ROW()-4)="","",TRIM(UPPER(INDEX(P_Status,ROW()-4))))</f>
        <v/>
      </c>
      <c r="G2302">
        <f>IF(INDEX(L_Status,ROW()-4)="","",TRIM(UPPER(INDEX(L_Status,ROW()-4))))</f>
        <v/>
      </c>
      <c r="J2302">
        <f>IF(INDEX(L_ID,ROW()-4)="","",IF(SUMPRODUCT((P_ID=INDEX(L_ID,ROW()-4))*(P_StatusN="INACTIVE"))&gt;0,1,0))</f>
        <v/>
      </c>
    </row>
    <row r="2303">
      <c r="A2303">
        <f>IF(INDEX(L_ID,ROW()-4)="","",IF(COUNTIF(P_ID,INDEX(L_ID,ROW()-4))&gt;0,1,0))</f>
        <v/>
      </c>
      <c r="B2303">
        <f>IF(INDEX(P_Type,ROW()-4)="","",TRIM(UPPER(INDEX(P_Type,ROW()-4))))</f>
        <v/>
      </c>
      <c r="D2303">
        <f>IF(INDEX(L_Type,ROW()-4)="","",TRIM(UPPER(INDEX(L_Type,ROW()-4))))</f>
        <v/>
      </c>
      <c r="E2303">
        <f>IF(INDEX(P_Status,ROW()-4)="","",TRIM(UPPER(INDEX(P_Status,ROW()-4))))</f>
        <v/>
      </c>
      <c r="G2303">
        <f>IF(INDEX(L_Status,ROW()-4)="","",TRIM(UPPER(INDEX(L_Status,ROW()-4))))</f>
        <v/>
      </c>
      <c r="J2303">
        <f>IF(INDEX(L_ID,ROW()-4)="","",IF(SUMPRODUCT((P_ID=INDEX(L_ID,ROW()-4))*(P_StatusN="INACTIVE"))&gt;0,1,0))</f>
        <v/>
      </c>
    </row>
    <row r="2304">
      <c r="A2304">
        <f>IF(INDEX(L_ID,ROW()-4)="","",IF(COUNTIF(P_ID,INDEX(L_ID,ROW()-4))&gt;0,1,0))</f>
        <v/>
      </c>
      <c r="B2304">
        <f>IF(INDEX(P_Type,ROW()-4)="","",TRIM(UPPER(INDEX(P_Type,ROW()-4))))</f>
        <v/>
      </c>
      <c r="D2304">
        <f>IF(INDEX(L_Type,ROW()-4)="","",TRIM(UPPER(INDEX(L_Type,ROW()-4))))</f>
        <v/>
      </c>
      <c r="E2304">
        <f>IF(INDEX(P_Status,ROW()-4)="","",TRIM(UPPER(INDEX(P_Status,ROW()-4))))</f>
        <v/>
      </c>
      <c r="G2304">
        <f>IF(INDEX(L_Status,ROW()-4)="","",TRIM(UPPER(INDEX(L_Status,ROW()-4))))</f>
        <v/>
      </c>
      <c r="J2304">
        <f>IF(INDEX(L_ID,ROW()-4)="","",IF(SUMPRODUCT((P_ID=INDEX(L_ID,ROW()-4))*(P_StatusN="INACTIVE"))&gt;0,1,0))</f>
        <v/>
      </c>
    </row>
    <row r="2305">
      <c r="A2305">
        <f>IF(INDEX(L_ID,ROW()-4)="","",IF(COUNTIF(P_ID,INDEX(L_ID,ROW()-4))&gt;0,1,0))</f>
        <v/>
      </c>
      <c r="B2305">
        <f>IF(INDEX(P_Type,ROW()-4)="","",TRIM(UPPER(INDEX(P_Type,ROW()-4))))</f>
        <v/>
      </c>
      <c r="D2305">
        <f>IF(INDEX(L_Type,ROW()-4)="","",TRIM(UPPER(INDEX(L_Type,ROW()-4))))</f>
        <v/>
      </c>
      <c r="E2305">
        <f>IF(INDEX(P_Status,ROW()-4)="","",TRIM(UPPER(INDEX(P_Status,ROW()-4))))</f>
        <v/>
      </c>
      <c r="G2305">
        <f>IF(INDEX(L_Status,ROW()-4)="","",TRIM(UPPER(INDEX(L_Status,ROW()-4))))</f>
        <v/>
      </c>
      <c r="J2305">
        <f>IF(INDEX(L_ID,ROW()-4)="","",IF(SUMPRODUCT((P_ID=INDEX(L_ID,ROW()-4))*(P_StatusN="INACTIVE"))&gt;0,1,0))</f>
        <v/>
      </c>
    </row>
    <row r="2306">
      <c r="A2306">
        <f>IF(INDEX(L_ID,ROW()-4)="","",IF(COUNTIF(P_ID,INDEX(L_ID,ROW()-4))&gt;0,1,0))</f>
        <v/>
      </c>
      <c r="B2306">
        <f>IF(INDEX(P_Type,ROW()-4)="","",TRIM(UPPER(INDEX(P_Type,ROW()-4))))</f>
        <v/>
      </c>
      <c r="D2306">
        <f>IF(INDEX(L_Type,ROW()-4)="","",TRIM(UPPER(INDEX(L_Type,ROW()-4))))</f>
        <v/>
      </c>
      <c r="E2306">
        <f>IF(INDEX(P_Status,ROW()-4)="","",TRIM(UPPER(INDEX(P_Status,ROW()-4))))</f>
        <v/>
      </c>
      <c r="G2306">
        <f>IF(INDEX(L_Status,ROW()-4)="","",TRIM(UPPER(INDEX(L_Status,ROW()-4))))</f>
        <v/>
      </c>
      <c r="J2306">
        <f>IF(INDEX(L_ID,ROW()-4)="","",IF(SUMPRODUCT((P_ID=INDEX(L_ID,ROW()-4))*(P_StatusN="INACTIVE"))&gt;0,1,0))</f>
        <v/>
      </c>
    </row>
    <row r="2307">
      <c r="A2307">
        <f>IF(INDEX(L_ID,ROW()-4)="","",IF(COUNTIF(P_ID,INDEX(L_ID,ROW()-4))&gt;0,1,0))</f>
        <v/>
      </c>
      <c r="B2307">
        <f>IF(INDEX(P_Type,ROW()-4)="","",TRIM(UPPER(INDEX(P_Type,ROW()-4))))</f>
        <v/>
      </c>
      <c r="D2307">
        <f>IF(INDEX(L_Type,ROW()-4)="","",TRIM(UPPER(INDEX(L_Type,ROW()-4))))</f>
        <v/>
      </c>
      <c r="E2307">
        <f>IF(INDEX(P_Status,ROW()-4)="","",TRIM(UPPER(INDEX(P_Status,ROW()-4))))</f>
        <v/>
      </c>
      <c r="G2307">
        <f>IF(INDEX(L_Status,ROW()-4)="","",TRIM(UPPER(INDEX(L_Status,ROW()-4))))</f>
        <v/>
      </c>
      <c r="J2307">
        <f>IF(INDEX(L_ID,ROW()-4)="","",IF(SUMPRODUCT((P_ID=INDEX(L_ID,ROW()-4))*(P_StatusN="INACTIVE"))&gt;0,1,0))</f>
        <v/>
      </c>
    </row>
    <row r="2308">
      <c r="A2308">
        <f>IF(INDEX(L_ID,ROW()-4)="","",IF(COUNTIF(P_ID,INDEX(L_ID,ROW()-4))&gt;0,1,0))</f>
        <v/>
      </c>
      <c r="B2308">
        <f>IF(INDEX(P_Type,ROW()-4)="","",TRIM(UPPER(INDEX(P_Type,ROW()-4))))</f>
        <v/>
      </c>
      <c r="D2308">
        <f>IF(INDEX(L_Type,ROW()-4)="","",TRIM(UPPER(INDEX(L_Type,ROW()-4))))</f>
        <v/>
      </c>
      <c r="E2308">
        <f>IF(INDEX(P_Status,ROW()-4)="","",TRIM(UPPER(INDEX(P_Status,ROW()-4))))</f>
        <v/>
      </c>
      <c r="G2308">
        <f>IF(INDEX(L_Status,ROW()-4)="","",TRIM(UPPER(INDEX(L_Status,ROW()-4))))</f>
        <v/>
      </c>
      <c r="J2308">
        <f>IF(INDEX(L_ID,ROW()-4)="","",IF(SUMPRODUCT((P_ID=INDEX(L_ID,ROW()-4))*(P_StatusN="INACTIVE"))&gt;0,1,0))</f>
        <v/>
      </c>
    </row>
    <row r="2309">
      <c r="A2309">
        <f>IF(INDEX(L_ID,ROW()-4)="","",IF(COUNTIF(P_ID,INDEX(L_ID,ROW()-4))&gt;0,1,0))</f>
        <v/>
      </c>
      <c r="B2309">
        <f>IF(INDEX(P_Type,ROW()-4)="","",TRIM(UPPER(INDEX(P_Type,ROW()-4))))</f>
        <v/>
      </c>
      <c r="D2309">
        <f>IF(INDEX(L_Type,ROW()-4)="","",TRIM(UPPER(INDEX(L_Type,ROW()-4))))</f>
        <v/>
      </c>
      <c r="E2309">
        <f>IF(INDEX(P_Status,ROW()-4)="","",TRIM(UPPER(INDEX(P_Status,ROW()-4))))</f>
        <v/>
      </c>
      <c r="G2309">
        <f>IF(INDEX(L_Status,ROW()-4)="","",TRIM(UPPER(INDEX(L_Status,ROW()-4))))</f>
        <v/>
      </c>
      <c r="J2309">
        <f>IF(INDEX(L_ID,ROW()-4)="","",IF(SUMPRODUCT((P_ID=INDEX(L_ID,ROW()-4))*(P_StatusN="INACTIVE"))&gt;0,1,0))</f>
        <v/>
      </c>
    </row>
    <row r="2310">
      <c r="A2310">
        <f>IF(INDEX(L_ID,ROW()-4)="","",IF(COUNTIF(P_ID,INDEX(L_ID,ROW()-4))&gt;0,1,0))</f>
        <v/>
      </c>
      <c r="B2310">
        <f>IF(INDEX(P_Type,ROW()-4)="","",TRIM(UPPER(INDEX(P_Type,ROW()-4))))</f>
        <v/>
      </c>
      <c r="D2310">
        <f>IF(INDEX(L_Type,ROW()-4)="","",TRIM(UPPER(INDEX(L_Type,ROW()-4))))</f>
        <v/>
      </c>
      <c r="E2310">
        <f>IF(INDEX(P_Status,ROW()-4)="","",TRIM(UPPER(INDEX(P_Status,ROW()-4))))</f>
        <v/>
      </c>
      <c r="G2310">
        <f>IF(INDEX(L_Status,ROW()-4)="","",TRIM(UPPER(INDEX(L_Status,ROW()-4))))</f>
        <v/>
      </c>
      <c r="J2310">
        <f>IF(INDEX(L_ID,ROW()-4)="","",IF(SUMPRODUCT((P_ID=INDEX(L_ID,ROW()-4))*(P_StatusN="INACTIVE"))&gt;0,1,0))</f>
        <v/>
      </c>
    </row>
    <row r="2311">
      <c r="A2311">
        <f>IF(INDEX(L_ID,ROW()-4)="","",IF(COUNTIF(P_ID,INDEX(L_ID,ROW()-4))&gt;0,1,0))</f>
        <v/>
      </c>
      <c r="B2311">
        <f>IF(INDEX(P_Type,ROW()-4)="","",TRIM(UPPER(INDEX(P_Type,ROW()-4))))</f>
        <v/>
      </c>
      <c r="D2311">
        <f>IF(INDEX(L_Type,ROW()-4)="","",TRIM(UPPER(INDEX(L_Type,ROW()-4))))</f>
        <v/>
      </c>
      <c r="E2311">
        <f>IF(INDEX(P_Status,ROW()-4)="","",TRIM(UPPER(INDEX(P_Status,ROW()-4))))</f>
        <v/>
      </c>
      <c r="G2311">
        <f>IF(INDEX(L_Status,ROW()-4)="","",TRIM(UPPER(INDEX(L_Status,ROW()-4))))</f>
        <v/>
      </c>
      <c r="J2311">
        <f>IF(INDEX(L_ID,ROW()-4)="","",IF(SUMPRODUCT((P_ID=INDEX(L_ID,ROW()-4))*(P_StatusN="INACTIVE"))&gt;0,1,0))</f>
        <v/>
      </c>
    </row>
    <row r="2312">
      <c r="A2312">
        <f>IF(INDEX(L_ID,ROW()-4)="","",IF(COUNTIF(P_ID,INDEX(L_ID,ROW()-4))&gt;0,1,0))</f>
        <v/>
      </c>
      <c r="B2312">
        <f>IF(INDEX(P_Type,ROW()-4)="","",TRIM(UPPER(INDEX(P_Type,ROW()-4))))</f>
        <v/>
      </c>
      <c r="D2312">
        <f>IF(INDEX(L_Type,ROW()-4)="","",TRIM(UPPER(INDEX(L_Type,ROW()-4))))</f>
        <v/>
      </c>
      <c r="E2312">
        <f>IF(INDEX(P_Status,ROW()-4)="","",TRIM(UPPER(INDEX(P_Status,ROW()-4))))</f>
        <v/>
      </c>
      <c r="G2312">
        <f>IF(INDEX(L_Status,ROW()-4)="","",TRIM(UPPER(INDEX(L_Status,ROW()-4))))</f>
        <v/>
      </c>
      <c r="J2312">
        <f>IF(INDEX(L_ID,ROW()-4)="","",IF(SUMPRODUCT((P_ID=INDEX(L_ID,ROW()-4))*(P_StatusN="INACTIVE"))&gt;0,1,0))</f>
        <v/>
      </c>
    </row>
    <row r="2313">
      <c r="A2313">
        <f>IF(INDEX(L_ID,ROW()-4)="","",IF(COUNTIF(P_ID,INDEX(L_ID,ROW()-4))&gt;0,1,0))</f>
        <v/>
      </c>
      <c r="B2313">
        <f>IF(INDEX(P_Type,ROW()-4)="","",TRIM(UPPER(INDEX(P_Type,ROW()-4))))</f>
        <v/>
      </c>
      <c r="D2313">
        <f>IF(INDEX(L_Type,ROW()-4)="","",TRIM(UPPER(INDEX(L_Type,ROW()-4))))</f>
        <v/>
      </c>
      <c r="E2313">
        <f>IF(INDEX(P_Status,ROW()-4)="","",TRIM(UPPER(INDEX(P_Status,ROW()-4))))</f>
        <v/>
      </c>
      <c r="G2313">
        <f>IF(INDEX(L_Status,ROW()-4)="","",TRIM(UPPER(INDEX(L_Status,ROW()-4))))</f>
        <v/>
      </c>
      <c r="J2313">
        <f>IF(INDEX(L_ID,ROW()-4)="","",IF(SUMPRODUCT((P_ID=INDEX(L_ID,ROW()-4))*(P_StatusN="INACTIVE"))&gt;0,1,0))</f>
        <v/>
      </c>
    </row>
    <row r="2314">
      <c r="A2314">
        <f>IF(INDEX(L_ID,ROW()-4)="","",IF(COUNTIF(P_ID,INDEX(L_ID,ROW()-4))&gt;0,1,0))</f>
        <v/>
      </c>
      <c r="B2314">
        <f>IF(INDEX(P_Type,ROW()-4)="","",TRIM(UPPER(INDEX(P_Type,ROW()-4))))</f>
        <v/>
      </c>
      <c r="D2314">
        <f>IF(INDEX(L_Type,ROW()-4)="","",TRIM(UPPER(INDEX(L_Type,ROW()-4))))</f>
        <v/>
      </c>
      <c r="E2314">
        <f>IF(INDEX(P_Status,ROW()-4)="","",TRIM(UPPER(INDEX(P_Status,ROW()-4))))</f>
        <v/>
      </c>
      <c r="G2314">
        <f>IF(INDEX(L_Status,ROW()-4)="","",TRIM(UPPER(INDEX(L_Status,ROW()-4))))</f>
        <v/>
      </c>
      <c r="J2314">
        <f>IF(INDEX(L_ID,ROW()-4)="","",IF(SUMPRODUCT((P_ID=INDEX(L_ID,ROW()-4))*(P_StatusN="INACTIVE"))&gt;0,1,0))</f>
        <v/>
      </c>
    </row>
    <row r="2315">
      <c r="A2315">
        <f>IF(INDEX(L_ID,ROW()-4)="","",IF(COUNTIF(P_ID,INDEX(L_ID,ROW()-4))&gt;0,1,0))</f>
        <v/>
      </c>
      <c r="B2315">
        <f>IF(INDEX(P_Type,ROW()-4)="","",TRIM(UPPER(INDEX(P_Type,ROW()-4))))</f>
        <v/>
      </c>
      <c r="D2315">
        <f>IF(INDEX(L_Type,ROW()-4)="","",TRIM(UPPER(INDEX(L_Type,ROW()-4))))</f>
        <v/>
      </c>
      <c r="E2315">
        <f>IF(INDEX(P_Status,ROW()-4)="","",TRIM(UPPER(INDEX(P_Status,ROW()-4))))</f>
        <v/>
      </c>
      <c r="G2315">
        <f>IF(INDEX(L_Status,ROW()-4)="","",TRIM(UPPER(INDEX(L_Status,ROW()-4))))</f>
        <v/>
      </c>
      <c r="J2315">
        <f>IF(INDEX(L_ID,ROW()-4)="","",IF(SUMPRODUCT((P_ID=INDEX(L_ID,ROW()-4))*(P_StatusN="INACTIVE"))&gt;0,1,0))</f>
        <v/>
      </c>
    </row>
    <row r="2316">
      <c r="A2316">
        <f>IF(INDEX(L_ID,ROW()-4)="","",IF(COUNTIF(P_ID,INDEX(L_ID,ROW()-4))&gt;0,1,0))</f>
        <v/>
      </c>
      <c r="B2316">
        <f>IF(INDEX(P_Type,ROW()-4)="","",TRIM(UPPER(INDEX(P_Type,ROW()-4))))</f>
        <v/>
      </c>
      <c r="D2316">
        <f>IF(INDEX(L_Type,ROW()-4)="","",TRIM(UPPER(INDEX(L_Type,ROW()-4))))</f>
        <v/>
      </c>
      <c r="E2316">
        <f>IF(INDEX(P_Status,ROW()-4)="","",TRIM(UPPER(INDEX(P_Status,ROW()-4))))</f>
        <v/>
      </c>
      <c r="G2316">
        <f>IF(INDEX(L_Status,ROW()-4)="","",TRIM(UPPER(INDEX(L_Status,ROW()-4))))</f>
        <v/>
      </c>
      <c r="J2316">
        <f>IF(INDEX(L_ID,ROW()-4)="","",IF(SUMPRODUCT((P_ID=INDEX(L_ID,ROW()-4))*(P_StatusN="INACTIVE"))&gt;0,1,0))</f>
        <v/>
      </c>
    </row>
    <row r="2317">
      <c r="A2317">
        <f>IF(INDEX(L_ID,ROW()-4)="","",IF(COUNTIF(P_ID,INDEX(L_ID,ROW()-4))&gt;0,1,0))</f>
        <v/>
      </c>
      <c r="B2317">
        <f>IF(INDEX(P_Type,ROW()-4)="","",TRIM(UPPER(INDEX(P_Type,ROW()-4))))</f>
        <v/>
      </c>
      <c r="D2317">
        <f>IF(INDEX(L_Type,ROW()-4)="","",TRIM(UPPER(INDEX(L_Type,ROW()-4))))</f>
        <v/>
      </c>
      <c r="E2317">
        <f>IF(INDEX(P_Status,ROW()-4)="","",TRIM(UPPER(INDEX(P_Status,ROW()-4))))</f>
        <v/>
      </c>
      <c r="G2317">
        <f>IF(INDEX(L_Status,ROW()-4)="","",TRIM(UPPER(INDEX(L_Status,ROW()-4))))</f>
        <v/>
      </c>
      <c r="J2317">
        <f>IF(INDEX(L_ID,ROW()-4)="","",IF(SUMPRODUCT((P_ID=INDEX(L_ID,ROW()-4))*(P_StatusN="INACTIVE"))&gt;0,1,0))</f>
        <v/>
      </c>
    </row>
    <row r="2318">
      <c r="A2318">
        <f>IF(INDEX(L_ID,ROW()-4)="","",IF(COUNTIF(P_ID,INDEX(L_ID,ROW()-4))&gt;0,1,0))</f>
        <v/>
      </c>
      <c r="B2318">
        <f>IF(INDEX(P_Type,ROW()-4)="","",TRIM(UPPER(INDEX(P_Type,ROW()-4))))</f>
        <v/>
      </c>
      <c r="D2318">
        <f>IF(INDEX(L_Type,ROW()-4)="","",TRIM(UPPER(INDEX(L_Type,ROW()-4))))</f>
        <v/>
      </c>
      <c r="E2318">
        <f>IF(INDEX(P_Status,ROW()-4)="","",TRIM(UPPER(INDEX(P_Status,ROW()-4))))</f>
        <v/>
      </c>
      <c r="G2318">
        <f>IF(INDEX(L_Status,ROW()-4)="","",TRIM(UPPER(INDEX(L_Status,ROW()-4))))</f>
        <v/>
      </c>
      <c r="J2318">
        <f>IF(INDEX(L_ID,ROW()-4)="","",IF(SUMPRODUCT((P_ID=INDEX(L_ID,ROW()-4))*(P_StatusN="INACTIVE"))&gt;0,1,0))</f>
        <v/>
      </c>
    </row>
    <row r="2319">
      <c r="A2319">
        <f>IF(INDEX(L_ID,ROW()-4)="","",IF(COUNTIF(P_ID,INDEX(L_ID,ROW()-4))&gt;0,1,0))</f>
        <v/>
      </c>
      <c r="B2319">
        <f>IF(INDEX(P_Type,ROW()-4)="","",TRIM(UPPER(INDEX(P_Type,ROW()-4))))</f>
        <v/>
      </c>
      <c r="D2319">
        <f>IF(INDEX(L_Type,ROW()-4)="","",TRIM(UPPER(INDEX(L_Type,ROW()-4))))</f>
        <v/>
      </c>
      <c r="E2319">
        <f>IF(INDEX(P_Status,ROW()-4)="","",TRIM(UPPER(INDEX(P_Status,ROW()-4))))</f>
        <v/>
      </c>
      <c r="G2319">
        <f>IF(INDEX(L_Status,ROW()-4)="","",TRIM(UPPER(INDEX(L_Status,ROW()-4))))</f>
        <v/>
      </c>
      <c r="J2319">
        <f>IF(INDEX(L_ID,ROW()-4)="","",IF(SUMPRODUCT((P_ID=INDEX(L_ID,ROW()-4))*(P_StatusN="INACTIVE"))&gt;0,1,0))</f>
        <v/>
      </c>
    </row>
    <row r="2320">
      <c r="A2320">
        <f>IF(INDEX(L_ID,ROW()-4)="","",IF(COUNTIF(P_ID,INDEX(L_ID,ROW()-4))&gt;0,1,0))</f>
        <v/>
      </c>
      <c r="B2320">
        <f>IF(INDEX(P_Type,ROW()-4)="","",TRIM(UPPER(INDEX(P_Type,ROW()-4))))</f>
        <v/>
      </c>
      <c r="D2320">
        <f>IF(INDEX(L_Type,ROW()-4)="","",TRIM(UPPER(INDEX(L_Type,ROW()-4))))</f>
        <v/>
      </c>
      <c r="E2320">
        <f>IF(INDEX(P_Status,ROW()-4)="","",TRIM(UPPER(INDEX(P_Status,ROW()-4))))</f>
        <v/>
      </c>
      <c r="G2320">
        <f>IF(INDEX(L_Status,ROW()-4)="","",TRIM(UPPER(INDEX(L_Status,ROW()-4))))</f>
        <v/>
      </c>
      <c r="J2320">
        <f>IF(INDEX(L_ID,ROW()-4)="","",IF(SUMPRODUCT((P_ID=INDEX(L_ID,ROW()-4))*(P_StatusN="INACTIVE"))&gt;0,1,0))</f>
        <v/>
      </c>
    </row>
    <row r="2321">
      <c r="A2321">
        <f>IF(INDEX(L_ID,ROW()-4)="","",IF(COUNTIF(P_ID,INDEX(L_ID,ROW()-4))&gt;0,1,0))</f>
        <v/>
      </c>
      <c r="B2321">
        <f>IF(INDEX(P_Type,ROW()-4)="","",TRIM(UPPER(INDEX(P_Type,ROW()-4))))</f>
        <v/>
      </c>
      <c r="D2321">
        <f>IF(INDEX(L_Type,ROW()-4)="","",TRIM(UPPER(INDEX(L_Type,ROW()-4))))</f>
        <v/>
      </c>
      <c r="E2321">
        <f>IF(INDEX(P_Status,ROW()-4)="","",TRIM(UPPER(INDEX(P_Status,ROW()-4))))</f>
        <v/>
      </c>
      <c r="G2321">
        <f>IF(INDEX(L_Status,ROW()-4)="","",TRIM(UPPER(INDEX(L_Status,ROW()-4))))</f>
        <v/>
      </c>
      <c r="J2321">
        <f>IF(INDEX(L_ID,ROW()-4)="","",IF(SUMPRODUCT((P_ID=INDEX(L_ID,ROW()-4))*(P_StatusN="INACTIVE"))&gt;0,1,0))</f>
        <v/>
      </c>
    </row>
    <row r="2322">
      <c r="A2322">
        <f>IF(INDEX(L_ID,ROW()-4)="","",IF(COUNTIF(P_ID,INDEX(L_ID,ROW()-4))&gt;0,1,0))</f>
        <v/>
      </c>
      <c r="B2322">
        <f>IF(INDEX(P_Type,ROW()-4)="","",TRIM(UPPER(INDEX(P_Type,ROW()-4))))</f>
        <v/>
      </c>
      <c r="D2322">
        <f>IF(INDEX(L_Type,ROW()-4)="","",TRIM(UPPER(INDEX(L_Type,ROW()-4))))</f>
        <v/>
      </c>
      <c r="E2322">
        <f>IF(INDEX(P_Status,ROW()-4)="","",TRIM(UPPER(INDEX(P_Status,ROW()-4))))</f>
        <v/>
      </c>
      <c r="G2322">
        <f>IF(INDEX(L_Status,ROW()-4)="","",TRIM(UPPER(INDEX(L_Status,ROW()-4))))</f>
        <v/>
      </c>
      <c r="J2322">
        <f>IF(INDEX(L_ID,ROW()-4)="","",IF(SUMPRODUCT((P_ID=INDEX(L_ID,ROW()-4))*(P_StatusN="INACTIVE"))&gt;0,1,0))</f>
        <v/>
      </c>
    </row>
    <row r="2323">
      <c r="A2323">
        <f>IF(INDEX(L_ID,ROW()-4)="","",IF(COUNTIF(P_ID,INDEX(L_ID,ROW()-4))&gt;0,1,0))</f>
        <v/>
      </c>
      <c r="B2323">
        <f>IF(INDEX(P_Type,ROW()-4)="","",TRIM(UPPER(INDEX(P_Type,ROW()-4))))</f>
        <v/>
      </c>
      <c r="D2323">
        <f>IF(INDEX(L_Type,ROW()-4)="","",TRIM(UPPER(INDEX(L_Type,ROW()-4))))</f>
        <v/>
      </c>
      <c r="E2323">
        <f>IF(INDEX(P_Status,ROW()-4)="","",TRIM(UPPER(INDEX(P_Status,ROW()-4))))</f>
        <v/>
      </c>
      <c r="G2323">
        <f>IF(INDEX(L_Status,ROW()-4)="","",TRIM(UPPER(INDEX(L_Status,ROW()-4))))</f>
        <v/>
      </c>
      <c r="J2323">
        <f>IF(INDEX(L_ID,ROW()-4)="","",IF(SUMPRODUCT((P_ID=INDEX(L_ID,ROW()-4))*(P_StatusN="INACTIVE"))&gt;0,1,0))</f>
        <v/>
      </c>
    </row>
    <row r="2324">
      <c r="A2324">
        <f>IF(INDEX(L_ID,ROW()-4)="","",IF(COUNTIF(P_ID,INDEX(L_ID,ROW()-4))&gt;0,1,0))</f>
        <v/>
      </c>
      <c r="B2324">
        <f>IF(INDEX(P_Type,ROW()-4)="","",TRIM(UPPER(INDEX(P_Type,ROW()-4))))</f>
        <v/>
      </c>
      <c r="D2324">
        <f>IF(INDEX(L_Type,ROW()-4)="","",TRIM(UPPER(INDEX(L_Type,ROW()-4))))</f>
        <v/>
      </c>
      <c r="E2324">
        <f>IF(INDEX(P_Status,ROW()-4)="","",TRIM(UPPER(INDEX(P_Status,ROW()-4))))</f>
        <v/>
      </c>
      <c r="G2324">
        <f>IF(INDEX(L_Status,ROW()-4)="","",TRIM(UPPER(INDEX(L_Status,ROW()-4))))</f>
        <v/>
      </c>
      <c r="J2324">
        <f>IF(INDEX(L_ID,ROW()-4)="","",IF(SUMPRODUCT((P_ID=INDEX(L_ID,ROW()-4))*(P_StatusN="INACTIVE"))&gt;0,1,0))</f>
        <v/>
      </c>
    </row>
    <row r="2325">
      <c r="A2325">
        <f>IF(INDEX(L_ID,ROW()-4)="","",IF(COUNTIF(P_ID,INDEX(L_ID,ROW()-4))&gt;0,1,0))</f>
        <v/>
      </c>
      <c r="B2325">
        <f>IF(INDEX(P_Type,ROW()-4)="","",TRIM(UPPER(INDEX(P_Type,ROW()-4))))</f>
        <v/>
      </c>
      <c r="D2325">
        <f>IF(INDEX(L_Type,ROW()-4)="","",TRIM(UPPER(INDEX(L_Type,ROW()-4))))</f>
        <v/>
      </c>
      <c r="E2325">
        <f>IF(INDEX(P_Status,ROW()-4)="","",TRIM(UPPER(INDEX(P_Status,ROW()-4))))</f>
        <v/>
      </c>
      <c r="G2325">
        <f>IF(INDEX(L_Status,ROW()-4)="","",TRIM(UPPER(INDEX(L_Status,ROW()-4))))</f>
        <v/>
      </c>
      <c r="J2325">
        <f>IF(INDEX(L_ID,ROW()-4)="","",IF(SUMPRODUCT((P_ID=INDEX(L_ID,ROW()-4))*(P_StatusN="INACTIVE"))&gt;0,1,0))</f>
        <v/>
      </c>
    </row>
    <row r="2326">
      <c r="A2326">
        <f>IF(INDEX(L_ID,ROW()-4)="","",IF(COUNTIF(P_ID,INDEX(L_ID,ROW()-4))&gt;0,1,0))</f>
        <v/>
      </c>
      <c r="B2326">
        <f>IF(INDEX(P_Type,ROW()-4)="","",TRIM(UPPER(INDEX(P_Type,ROW()-4))))</f>
        <v/>
      </c>
      <c r="D2326">
        <f>IF(INDEX(L_Type,ROW()-4)="","",TRIM(UPPER(INDEX(L_Type,ROW()-4))))</f>
        <v/>
      </c>
      <c r="E2326">
        <f>IF(INDEX(P_Status,ROW()-4)="","",TRIM(UPPER(INDEX(P_Status,ROW()-4))))</f>
        <v/>
      </c>
      <c r="G2326">
        <f>IF(INDEX(L_Status,ROW()-4)="","",TRIM(UPPER(INDEX(L_Status,ROW()-4))))</f>
        <v/>
      </c>
      <c r="J2326">
        <f>IF(INDEX(L_ID,ROW()-4)="","",IF(SUMPRODUCT((P_ID=INDEX(L_ID,ROW()-4))*(P_StatusN="INACTIVE"))&gt;0,1,0))</f>
        <v/>
      </c>
    </row>
    <row r="2327">
      <c r="A2327">
        <f>IF(INDEX(L_ID,ROW()-4)="","",IF(COUNTIF(P_ID,INDEX(L_ID,ROW()-4))&gt;0,1,0))</f>
        <v/>
      </c>
      <c r="B2327">
        <f>IF(INDEX(P_Type,ROW()-4)="","",TRIM(UPPER(INDEX(P_Type,ROW()-4))))</f>
        <v/>
      </c>
      <c r="D2327">
        <f>IF(INDEX(L_Type,ROW()-4)="","",TRIM(UPPER(INDEX(L_Type,ROW()-4))))</f>
        <v/>
      </c>
      <c r="E2327">
        <f>IF(INDEX(P_Status,ROW()-4)="","",TRIM(UPPER(INDEX(P_Status,ROW()-4))))</f>
        <v/>
      </c>
      <c r="G2327">
        <f>IF(INDEX(L_Status,ROW()-4)="","",TRIM(UPPER(INDEX(L_Status,ROW()-4))))</f>
        <v/>
      </c>
      <c r="J2327">
        <f>IF(INDEX(L_ID,ROW()-4)="","",IF(SUMPRODUCT((P_ID=INDEX(L_ID,ROW()-4))*(P_StatusN="INACTIVE"))&gt;0,1,0))</f>
        <v/>
      </c>
    </row>
    <row r="2328">
      <c r="A2328">
        <f>IF(INDEX(L_ID,ROW()-4)="","",IF(COUNTIF(P_ID,INDEX(L_ID,ROW()-4))&gt;0,1,0))</f>
        <v/>
      </c>
      <c r="B2328">
        <f>IF(INDEX(P_Type,ROW()-4)="","",TRIM(UPPER(INDEX(P_Type,ROW()-4))))</f>
        <v/>
      </c>
      <c r="D2328">
        <f>IF(INDEX(L_Type,ROW()-4)="","",TRIM(UPPER(INDEX(L_Type,ROW()-4))))</f>
        <v/>
      </c>
      <c r="E2328">
        <f>IF(INDEX(P_Status,ROW()-4)="","",TRIM(UPPER(INDEX(P_Status,ROW()-4))))</f>
        <v/>
      </c>
      <c r="G2328">
        <f>IF(INDEX(L_Status,ROW()-4)="","",TRIM(UPPER(INDEX(L_Status,ROW()-4))))</f>
        <v/>
      </c>
      <c r="J2328">
        <f>IF(INDEX(L_ID,ROW()-4)="","",IF(SUMPRODUCT((P_ID=INDEX(L_ID,ROW()-4))*(P_StatusN="INACTIVE"))&gt;0,1,0))</f>
        <v/>
      </c>
    </row>
    <row r="2329">
      <c r="A2329">
        <f>IF(INDEX(L_ID,ROW()-4)="","",IF(COUNTIF(P_ID,INDEX(L_ID,ROW()-4))&gt;0,1,0))</f>
        <v/>
      </c>
      <c r="B2329">
        <f>IF(INDEX(P_Type,ROW()-4)="","",TRIM(UPPER(INDEX(P_Type,ROW()-4))))</f>
        <v/>
      </c>
      <c r="D2329">
        <f>IF(INDEX(L_Type,ROW()-4)="","",TRIM(UPPER(INDEX(L_Type,ROW()-4))))</f>
        <v/>
      </c>
      <c r="E2329">
        <f>IF(INDEX(P_Status,ROW()-4)="","",TRIM(UPPER(INDEX(P_Status,ROW()-4))))</f>
        <v/>
      </c>
      <c r="G2329">
        <f>IF(INDEX(L_Status,ROW()-4)="","",TRIM(UPPER(INDEX(L_Status,ROW()-4))))</f>
        <v/>
      </c>
      <c r="J2329">
        <f>IF(INDEX(L_ID,ROW()-4)="","",IF(SUMPRODUCT((P_ID=INDEX(L_ID,ROW()-4))*(P_StatusN="INACTIVE"))&gt;0,1,0))</f>
        <v/>
      </c>
    </row>
    <row r="2330">
      <c r="A2330">
        <f>IF(INDEX(L_ID,ROW()-4)="","",IF(COUNTIF(P_ID,INDEX(L_ID,ROW()-4))&gt;0,1,0))</f>
        <v/>
      </c>
      <c r="B2330">
        <f>IF(INDEX(P_Type,ROW()-4)="","",TRIM(UPPER(INDEX(P_Type,ROW()-4))))</f>
        <v/>
      </c>
      <c r="D2330">
        <f>IF(INDEX(L_Type,ROW()-4)="","",TRIM(UPPER(INDEX(L_Type,ROW()-4))))</f>
        <v/>
      </c>
      <c r="E2330">
        <f>IF(INDEX(P_Status,ROW()-4)="","",TRIM(UPPER(INDEX(P_Status,ROW()-4))))</f>
        <v/>
      </c>
      <c r="G2330">
        <f>IF(INDEX(L_Status,ROW()-4)="","",TRIM(UPPER(INDEX(L_Status,ROW()-4))))</f>
        <v/>
      </c>
      <c r="J2330">
        <f>IF(INDEX(L_ID,ROW()-4)="","",IF(SUMPRODUCT((P_ID=INDEX(L_ID,ROW()-4))*(P_StatusN="INACTIVE"))&gt;0,1,0))</f>
        <v/>
      </c>
    </row>
    <row r="2331">
      <c r="A2331">
        <f>IF(INDEX(L_ID,ROW()-4)="","",IF(COUNTIF(P_ID,INDEX(L_ID,ROW()-4))&gt;0,1,0))</f>
        <v/>
      </c>
      <c r="B2331">
        <f>IF(INDEX(P_Type,ROW()-4)="","",TRIM(UPPER(INDEX(P_Type,ROW()-4))))</f>
        <v/>
      </c>
      <c r="D2331">
        <f>IF(INDEX(L_Type,ROW()-4)="","",TRIM(UPPER(INDEX(L_Type,ROW()-4))))</f>
        <v/>
      </c>
      <c r="E2331">
        <f>IF(INDEX(P_Status,ROW()-4)="","",TRIM(UPPER(INDEX(P_Status,ROW()-4))))</f>
        <v/>
      </c>
      <c r="G2331">
        <f>IF(INDEX(L_Status,ROW()-4)="","",TRIM(UPPER(INDEX(L_Status,ROW()-4))))</f>
        <v/>
      </c>
      <c r="J2331">
        <f>IF(INDEX(L_ID,ROW()-4)="","",IF(SUMPRODUCT((P_ID=INDEX(L_ID,ROW()-4))*(P_StatusN="INACTIVE"))&gt;0,1,0))</f>
        <v/>
      </c>
    </row>
    <row r="2332">
      <c r="A2332">
        <f>IF(INDEX(L_ID,ROW()-4)="","",IF(COUNTIF(P_ID,INDEX(L_ID,ROW()-4))&gt;0,1,0))</f>
        <v/>
      </c>
      <c r="B2332">
        <f>IF(INDEX(P_Type,ROW()-4)="","",TRIM(UPPER(INDEX(P_Type,ROW()-4))))</f>
        <v/>
      </c>
      <c r="D2332">
        <f>IF(INDEX(L_Type,ROW()-4)="","",TRIM(UPPER(INDEX(L_Type,ROW()-4))))</f>
        <v/>
      </c>
      <c r="E2332">
        <f>IF(INDEX(P_Status,ROW()-4)="","",TRIM(UPPER(INDEX(P_Status,ROW()-4))))</f>
        <v/>
      </c>
      <c r="G2332">
        <f>IF(INDEX(L_Status,ROW()-4)="","",TRIM(UPPER(INDEX(L_Status,ROW()-4))))</f>
        <v/>
      </c>
      <c r="J2332">
        <f>IF(INDEX(L_ID,ROW()-4)="","",IF(SUMPRODUCT((P_ID=INDEX(L_ID,ROW()-4))*(P_StatusN="INACTIVE"))&gt;0,1,0))</f>
        <v/>
      </c>
    </row>
    <row r="2333">
      <c r="A2333">
        <f>IF(INDEX(L_ID,ROW()-4)="","",IF(COUNTIF(P_ID,INDEX(L_ID,ROW()-4))&gt;0,1,0))</f>
        <v/>
      </c>
      <c r="B2333">
        <f>IF(INDEX(P_Type,ROW()-4)="","",TRIM(UPPER(INDEX(P_Type,ROW()-4))))</f>
        <v/>
      </c>
      <c r="D2333">
        <f>IF(INDEX(L_Type,ROW()-4)="","",TRIM(UPPER(INDEX(L_Type,ROW()-4))))</f>
        <v/>
      </c>
      <c r="E2333">
        <f>IF(INDEX(P_Status,ROW()-4)="","",TRIM(UPPER(INDEX(P_Status,ROW()-4))))</f>
        <v/>
      </c>
      <c r="G2333">
        <f>IF(INDEX(L_Status,ROW()-4)="","",TRIM(UPPER(INDEX(L_Status,ROW()-4))))</f>
        <v/>
      </c>
      <c r="J2333">
        <f>IF(INDEX(L_ID,ROW()-4)="","",IF(SUMPRODUCT((P_ID=INDEX(L_ID,ROW()-4))*(P_StatusN="INACTIVE"))&gt;0,1,0))</f>
        <v/>
      </c>
    </row>
    <row r="2334">
      <c r="A2334">
        <f>IF(INDEX(L_ID,ROW()-4)="","",IF(COUNTIF(P_ID,INDEX(L_ID,ROW()-4))&gt;0,1,0))</f>
        <v/>
      </c>
      <c r="B2334">
        <f>IF(INDEX(P_Type,ROW()-4)="","",TRIM(UPPER(INDEX(P_Type,ROW()-4))))</f>
        <v/>
      </c>
      <c r="D2334">
        <f>IF(INDEX(L_Type,ROW()-4)="","",TRIM(UPPER(INDEX(L_Type,ROW()-4))))</f>
        <v/>
      </c>
      <c r="E2334">
        <f>IF(INDEX(P_Status,ROW()-4)="","",TRIM(UPPER(INDEX(P_Status,ROW()-4))))</f>
        <v/>
      </c>
      <c r="G2334">
        <f>IF(INDEX(L_Status,ROW()-4)="","",TRIM(UPPER(INDEX(L_Status,ROW()-4))))</f>
        <v/>
      </c>
      <c r="J2334">
        <f>IF(INDEX(L_ID,ROW()-4)="","",IF(SUMPRODUCT((P_ID=INDEX(L_ID,ROW()-4))*(P_StatusN="INACTIVE"))&gt;0,1,0))</f>
        <v/>
      </c>
    </row>
    <row r="2335">
      <c r="A2335">
        <f>IF(INDEX(L_ID,ROW()-4)="","",IF(COUNTIF(P_ID,INDEX(L_ID,ROW()-4))&gt;0,1,0))</f>
        <v/>
      </c>
      <c r="B2335">
        <f>IF(INDEX(P_Type,ROW()-4)="","",TRIM(UPPER(INDEX(P_Type,ROW()-4))))</f>
        <v/>
      </c>
      <c r="D2335">
        <f>IF(INDEX(L_Type,ROW()-4)="","",TRIM(UPPER(INDEX(L_Type,ROW()-4))))</f>
        <v/>
      </c>
      <c r="E2335">
        <f>IF(INDEX(P_Status,ROW()-4)="","",TRIM(UPPER(INDEX(P_Status,ROW()-4))))</f>
        <v/>
      </c>
      <c r="G2335">
        <f>IF(INDEX(L_Status,ROW()-4)="","",TRIM(UPPER(INDEX(L_Status,ROW()-4))))</f>
        <v/>
      </c>
      <c r="J2335">
        <f>IF(INDEX(L_ID,ROW()-4)="","",IF(SUMPRODUCT((P_ID=INDEX(L_ID,ROW()-4))*(P_StatusN="INACTIVE"))&gt;0,1,0))</f>
        <v/>
      </c>
    </row>
    <row r="2336">
      <c r="A2336">
        <f>IF(INDEX(L_ID,ROW()-4)="","",IF(COUNTIF(P_ID,INDEX(L_ID,ROW()-4))&gt;0,1,0))</f>
        <v/>
      </c>
      <c r="B2336">
        <f>IF(INDEX(P_Type,ROW()-4)="","",TRIM(UPPER(INDEX(P_Type,ROW()-4))))</f>
        <v/>
      </c>
      <c r="D2336">
        <f>IF(INDEX(L_Type,ROW()-4)="","",TRIM(UPPER(INDEX(L_Type,ROW()-4))))</f>
        <v/>
      </c>
      <c r="E2336">
        <f>IF(INDEX(P_Status,ROW()-4)="","",TRIM(UPPER(INDEX(P_Status,ROW()-4))))</f>
        <v/>
      </c>
      <c r="G2336">
        <f>IF(INDEX(L_Status,ROW()-4)="","",TRIM(UPPER(INDEX(L_Status,ROW()-4))))</f>
        <v/>
      </c>
      <c r="J2336">
        <f>IF(INDEX(L_ID,ROW()-4)="","",IF(SUMPRODUCT((P_ID=INDEX(L_ID,ROW()-4))*(P_StatusN="INACTIVE"))&gt;0,1,0))</f>
        <v/>
      </c>
    </row>
    <row r="2337">
      <c r="A2337">
        <f>IF(INDEX(L_ID,ROW()-4)="","",IF(COUNTIF(P_ID,INDEX(L_ID,ROW()-4))&gt;0,1,0))</f>
        <v/>
      </c>
      <c r="B2337">
        <f>IF(INDEX(P_Type,ROW()-4)="","",TRIM(UPPER(INDEX(P_Type,ROW()-4))))</f>
        <v/>
      </c>
      <c r="D2337">
        <f>IF(INDEX(L_Type,ROW()-4)="","",TRIM(UPPER(INDEX(L_Type,ROW()-4))))</f>
        <v/>
      </c>
      <c r="E2337">
        <f>IF(INDEX(P_Status,ROW()-4)="","",TRIM(UPPER(INDEX(P_Status,ROW()-4))))</f>
        <v/>
      </c>
      <c r="G2337">
        <f>IF(INDEX(L_Status,ROW()-4)="","",TRIM(UPPER(INDEX(L_Status,ROW()-4))))</f>
        <v/>
      </c>
      <c r="J2337">
        <f>IF(INDEX(L_ID,ROW()-4)="","",IF(SUMPRODUCT((P_ID=INDEX(L_ID,ROW()-4))*(P_StatusN="INACTIVE"))&gt;0,1,0))</f>
        <v/>
      </c>
    </row>
    <row r="2338">
      <c r="A2338">
        <f>IF(INDEX(L_ID,ROW()-4)="","",IF(COUNTIF(P_ID,INDEX(L_ID,ROW()-4))&gt;0,1,0))</f>
        <v/>
      </c>
      <c r="B2338">
        <f>IF(INDEX(P_Type,ROW()-4)="","",TRIM(UPPER(INDEX(P_Type,ROW()-4))))</f>
        <v/>
      </c>
      <c r="D2338">
        <f>IF(INDEX(L_Type,ROW()-4)="","",TRIM(UPPER(INDEX(L_Type,ROW()-4))))</f>
        <v/>
      </c>
      <c r="E2338">
        <f>IF(INDEX(P_Status,ROW()-4)="","",TRIM(UPPER(INDEX(P_Status,ROW()-4))))</f>
        <v/>
      </c>
      <c r="G2338">
        <f>IF(INDEX(L_Status,ROW()-4)="","",TRIM(UPPER(INDEX(L_Status,ROW()-4))))</f>
        <v/>
      </c>
      <c r="J2338">
        <f>IF(INDEX(L_ID,ROW()-4)="","",IF(SUMPRODUCT((P_ID=INDEX(L_ID,ROW()-4))*(P_StatusN="INACTIVE"))&gt;0,1,0))</f>
        <v/>
      </c>
    </row>
    <row r="2339">
      <c r="A2339">
        <f>IF(INDEX(L_ID,ROW()-4)="","",IF(COUNTIF(P_ID,INDEX(L_ID,ROW()-4))&gt;0,1,0))</f>
        <v/>
      </c>
      <c r="B2339">
        <f>IF(INDEX(P_Type,ROW()-4)="","",TRIM(UPPER(INDEX(P_Type,ROW()-4))))</f>
        <v/>
      </c>
      <c r="D2339">
        <f>IF(INDEX(L_Type,ROW()-4)="","",TRIM(UPPER(INDEX(L_Type,ROW()-4))))</f>
        <v/>
      </c>
      <c r="E2339">
        <f>IF(INDEX(P_Status,ROW()-4)="","",TRIM(UPPER(INDEX(P_Status,ROW()-4))))</f>
        <v/>
      </c>
      <c r="G2339">
        <f>IF(INDEX(L_Status,ROW()-4)="","",TRIM(UPPER(INDEX(L_Status,ROW()-4))))</f>
        <v/>
      </c>
      <c r="J2339">
        <f>IF(INDEX(L_ID,ROW()-4)="","",IF(SUMPRODUCT((P_ID=INDEX(L_ID,ROW()-4))*(P_StatusN="INACTIVE"))&gt;0,1,0))</f>
        <v/>
      </c>
    </row>
    <row r="2340">
      <c r="A2340">
        <f>IF(INDEX(L_ID,ROW()-4)="","",IF(COUNTIF(P_ID,INDEX(L_ID,ROW()-4))&gt;0,1,0))</f>
        <v/>
      </c>
      <c r="B2340">
        <f>IF(INDEX(P_Type,ROW()-4)="","",TRIM(UPPER(INDEX(P_Type,ROW()-4))))</f>
        <v/>
      </c>
      <c r="D2340">
        <f>IF(INDEX(L_Type,ROW()-4)="","",TRIM(UPPER(INDEX(L_Type,ROW()-4))))</f>
        <v/>
      </c>
      <c r="E2340">
        <f>IF(INDEX(P_Status,ROW()-4)="","",TRIM(UPPER(INDEX(P_Status,ROW()-4))))</f>
        <v/>
      </c>
      <c r="G2340">
        <f>IF(INDEX(L_Status,ROW()-4)="","",TRIM(UPPER(INDEX(L_Status,ROW()-4))))</f>
        <v/>
      </c>
      <c r="J2340">
        <f>IF(INDEX(L_ID,ROW()-4)="","",IF(SUMPRODUCT((P_ID=INDEX(L_ID,ROW()-4))*(P_StatusN="INACTIVE"))&gt;0,1,0))</f>
        <v/>
      </c>
    </row>
    <row r="2341">
      <c r="A2341">
        <f>IF(INDEX(L_ID,ROW()-4)="","",IF(COUNTIF(P_ID,INDEX(L_ID,ROW()-4))&gt;0,1,0))</f>
        <v/>
      </c>
      <c r="B2341">
        <f>IF(INDEX(P_Type,ROW()-4)="","",TRIM(UPPER(INDEX(P_Type,ROW()-4))))</f>
        <v/>
      </c>
      <c r="D2341">
        <f>IF(INDEX(L_Type,ROW()-4)="","",TRIM(UPPER(INDEX(L_Type,ROW()-4))))</f>
        <v/>
      </c>
      <c r="E2341">
        <f>IF(INDEX(P_Status,ROW()-4)="","",TRIM(UPPER(INDEX(P_Status,ROW()-4))))</f>
        <v/>
      </c>
      <c r="G2341">
        <f>IF(INDEX(L_Status,ROW()-4)="","",TRIM(UPPER(INDEX(L_Status,ROW()-4))))</f>
        <v/>
      </c>
      <c r="J2341">
        <f>IF(INDEX(L_ID,ROW()-4)="","",IF(SUMPRODUCT((P_ID=INDEX(L_ID,ROW()-4))*(P_StatusN="INACTIVE"))&gt;0,1,0))</f>
        <v/>
      </c>
    </row>
    <row r="2342">
      <c r="A2342">
        <f>IF(INDEX(L_ID,ROW()-4)="","",IF(COUNTIF(P_ID,INDEX(L_ID,ROW()-4))&gt;0,1,0))</f>
        <v/>
      </c>
      <c r="B2342">
        <f>IF(INDEX(P_Type,ROW()-4)="","",TRIM(UPPER(INDEX(P_Type,ROW()-4))))</f>
        <v/>
      </c>
      <c r="D2342">
        <f>IF(INDEX(L_Type,ROW()-4)="","",TRIM(UPPER(INDEX(L_Type,ROW()-4))))</f>
        <v/>
      </c>
      <c r="E2342">
        <f>IF(INDEX(P_Status,ROW()-4)="","",TRIM(UPPER(INDEX(P_Status,ROW()-4))))</f>
        <v/>
      </c>
      <c r="G2342">
        <f>IF(INDEX(L_Status,ROW()-4)="","",TRIM(UPPER(INDEX(L_Status,ROW()-4))))</f>
        <v/>
      </c>
      <c r="J2342">
        <f>IF(INDEX(L_ID,ROW()-4)="","",IF(SUMPRODUCT((P_ID=INDEX(L_ID,ROW()-4))*(P_StatusN="INACTIVE"))&gt;0,1,0))</f>
        <v/>
      </c>
    </row>
    <row r="2343">
      <c r="A2343">
        <f>IF(INDEX(L_ID,ROW()-4)="","",IF(COUNTIF(P_ID,INDEX(L_ID,ROW()-4))&gt;0,1,0))</f>
        <v/>
      </c>
      <c r="B2343">
        <f>IF(INDEX(P_Type,ROW()-4)="","",TRIM(UPPER(INDEX(P_Type,ROW()-4))))</f>
        <v/>
      </c>
      <c r="D2343">
        <f>IF(INDEX(L_Type,ROW()-4)="","",TRIM(UPPER(INDEX(L_Type,ROW()-4))))</f>
        <v/>
      </c>
      <c r="E2343">
        <f>IF(INDEX(P_Status,ROW()-4)="","",TRIM(UPPER(INDEX(P_Status,ROW()-4))))</f>
        <v/>
      </c>
      <c r="G2343">
        <f>IF(INDEX(L_Status,ROW()-4)="","",TRIM(UPPER(INDEX(L_Status,ROW()-4))))</f>
        <v/>
      </c>
      <c r="J2343">
        <f>IF(INDEX(L_ID,ROW()-4)="","",IF(SUMPRODUCT((P_ID=INDEX(L_ID,ROW()-4))*(P_StatusN="INACTIVE"))&gt;0,1,0))</f>
        <v/>
      </c>
    </row>
    <row r="2344">
      <c r="A2344">
        <f>IF(INDEX(L_ID,ROW()-4)="","",IF(COUNTIF(P_ID,INDEX(L_ID,ROW()-4))&gt;0,1,0))</f>
        <v/>
      </c>
      <c r="B2344">
        <f>IF(INDEX(P_Type,ROW()-4)="","",TRIM(UPPER(INDEX(P_Type,ROW()-4))))</f>
        <v/>
      </c>
      <c r="D2344">
        <f>IF(INDEX(L_Type,ROW()-4)="","",TRIM(UPPER(INDEX(L_Type,ROW()-4))))</f>
        <v/>
      </c>
      <c r="E2344">
        <f>IF(INDEX(P_Status,ROW()-4)="","",TRIM(UPPER(INDEX(P_Status,ROW()-4))))</f>
        <v/>
      </c>
      <c r="G2344">
        <f>IF(INDEX(L_Status,ROW()-4)="","",TRIM(UPPER(INDEX(L_Status,ROW()-4))))</f>
        <v/>
      </c>
      <c r="J2344">
        <f>IF(INDEX(L_ID,ROW()-4)="","",IF(SUMPRODUCT((P_ID=INDEX(L_ID,ROW()-4))*(P_StatusN="INACTIVE"))&gt;0,1,0))</f>
        <v/>
      </c>
    </row>
    <row r="2345">
      <c r="A2345">
        <f>IF(INDEX(L_ID,ROW()-4)="","",IF(COUNTIF(P_ID,INDEX(L_ID,ROW()-4))&gt;0,1,0))</f>
        <v/>
      </c>
      <c r="B2345">
        <f>IF(INDEX(P_Type,ROW()-4)="","",TRIM(UPPER(INDEX(P_Type,ROW()-4))))</f>
        <v/>
      </c>
      <c r="D2345">
        <f>IF(INDEX(L_Type,ROW()-4)="","",TRIM(UPPER(INDEX(L_Type,ROW()-4))))</f>
        <v/>
      </c>
      <c r="E2345">
        <f>IF(INDEX(P_Status,ROW()-4)="","",TRIM(UPPER(INDEX(P_Status,ROW()-4))))</f>
        <v/>
      </c>
      <c r="G2345">
        <f>IF(INDEX(L_Status,ROW()-4)="","",TRIM(UPPER(INDEX(L_Status,ROW()-4))))</f>
        <v/>
      </c>
      <c r="J2345">
        <f>IF(INDEX(L_ID,ROW()-4)="","",IF(SUMPRODUCT((P_ID=INDEX(L_ID,ROW()-4))*(P_StatusN="INACTIVE"))&gt;0,1,0))</f>
        <v/>
      </c>
    </row>
    <row r="2346">
      <c r="A2346">
        <f>IF(INDEX(L_ID,ROW()-4)="","",IF(COUNTIF(P_ID,INDEX(L_ID,ROW()-4))&gt;0,1,0))</f>
        <v/>
      </c>
      <c r="B2346">
        <f>IF(INDEX(P_Type,ROW()-4)="","",TRIM(UPPER(INDEX(P_Type,ROW()-4))))</f>
        <v/>
      </c>
      <c r="D2346">
        <f>IF(INDEX(L_Type,ROW()-4)="","",TRIM(UPPER(INDEX(L_Type,ROW()-4))))</f>
        <v/>
      </c>
      <c r="E2346">
        <f>IF(INDEX(P_Status,ROW()-4)="","",TRIM(UPPER(INDEX(P_Status,ROW()-4))))</f>
        <v/>
      </c>
      <c r="G2346">
        <f>IF(INDEX(L_Status,ROW()-4)="","",TRIM(UPPER(INDEX(L_Status,ROW()-4))))</f>
        <v/>
      </c>
      <c r="J2346">
        <f>IF(INDEX(L_ID,ROW()-4)="","",IF(SUMPRODUCT((P_ID=INDEX(L_ID,ROW()-4))*(P_StatusN="INACTIVE"))&gt;0,1,0))</f>
        <v/>
      </c>
    </row>
    <row r="2347">
      <c r="A2347">
        <f>IF(INDEX(L_ID,ROW()-4)="","",IF(COUNTIF(P_ID,INDEX(L_ID,ROW()-4))&gt;0,1,0))</f>
        <v/>
      </c>
      <c r="B2347">
        <f>IF(INDEX(P_Type,ROW()-4)="","",TRIM(UPPER(INDEX(P_Type,ROW()-4))))</f>
        <v/>
      </c>
      <c r="D2347">
        <f>IF(INDEX(L_Type,ROW()-4)="","",TRIM(UPPER(INDEX(L_Type,ROW()-4))))</f>
        <v/>
      </c>
      <c r="E2347">
        <f>IF(INDEX(P_Status,ROW()-4)="","",TRIM(UPPER(INDEX(P_Status,ROW()-4))))</f>
        <v/>
      </c>
      <c r="G2347">
        <f>IF(INDEX(L_Status,ROW()-4)="","",TRIM(UPPER(INDEX(L_Status,ROW()-4))))</f>
        <v/>
      </c>
      <c r="J2347">
        <f>IF(INDEX(L_ID,ROW()-4)="","",IF(SUMPRODUCT((P_ID=INDEX(L_ID,ROW()-4))*(P_StatusN="INACTIVE"))&gt;0,1,0))</f>
        <v/>
      </c>
    </row>
    <row r="2348">
      <c r="A2348">
        <f>IF(INDEX(L_ID,ROW()-4)="","",IF(COUNTIF(P_ID,INDEX(L_ID,ROW()-4))&gt;0,1,0))</f>
        <v/>
      </c>
      <c r="B2348">
        <f>IF(INDEX(P_Type,ROW()-4)="","",TRIM(UPPER(INDEX(P_Type,ROW()-4))))</f>
        <v/>
      </c>
      <c r="D2348">
        <f>IF(INDEX(L_Type,ROW()-4)="","",TRIM(UPPER(INDEX(L_Type,ROW()-4))))</f>
        <v/>
      </c>
      <c r="E2348">
        <f>IF(INDEX(P_Status,ROW()-4)="","",TRIM(UPPER(INDEX(P_Status,ROW()-4))))</f>
        <v/>
      </c>
      <c r="G2348">
        <f>IF(INDEX(L_Status,ROW()-4)="","",TRIM(UPPER(INDEX(L_Status,ROW()-4))))</f>
        <v/>
      </c>
      <c r="J2348">
        <f>IF(INDEX(L_ID,ROW()-4)="","",IF(SUMPRODUCT((P_ID=INDEX(L_ID,ROW()-4))*(P_StatusN="INACTIVE"))&gt;0,1,0))</f>
        <v/>
      </c>
    </row>
    <row r="2349">
      <c r="A2349">
        <f>IF(INDEX(L_ID,ROW()-4)="","",IF(COUNTIF(P_ID,INDEX(L_ID,ROW()-4))&gt;0,1,0))</f>
        <v/>
      </c>
      <c r="B2349">
        <f>IF(INDEX(P_Type,ROW()-4)="","",TRIM(UPPER(INDEX(P_Type,ROW()-4))))</f>
        <v/>
      </c>
      <c r="D2349">
        <f>IF(INDEX(L_Type,ROW()-4)="","",TRIM(UPPER(INDEX(L_Type,ROW()-4))))</f>
        <v/>
      </c>
      <c r="E2349">
        <f>IF(INDEX(P_Status,ROW()-4)="","",TRIM(UPPER(INDEX(P_Status,ROW()-4))))</f>
        <v/>
      </c>
      <c r="G2349">
        <f>IF(INDEX(L_Status,ROW()-4)="","",TRIM(UPPER(INDEX(L_Status,ROW()-4))))</f>
        <v/>
      </c>
      <c r="J2349">
        <f>IF(INDEX(L_ID,ROW()-4)="","",IF(SUMPRODUCT((P_ID=INDEX(L_ID,ROW()-4))*(P_StatusN="INACTIVE"))&gt;0,1,0))</f>
        <v/>
      </c>
    </row>
    <row r="2350">
      <c r="A2350">
        <f>IF(INDEX(L_ID,ROW()-4)="","",IF(COUNTIF(P_ID,INDEX(L_ID,ROW()-4))&gt;0,1,0))</f>
        <v/>
      </c>
      <c r="B2350">
        <f>IF(INDEX(P_Type,ROW()-4)="","",TRIM(UPPER(INDEX(P_Type,ROW()-4))))</f>
        <v/>
      </c>
      <c r="D2350">
        <f>IF(INDEX(L_Type,ROW()-4)="","",TRIM(UPPER(INDEX(L_Type,ROW()-4))))</f>
        <v/>
      </c>
      <c r="E2350">
        <f>IF(INDEX(P_Status,ROW()-4)="","",TRIM(UPPER(INDEX(P_Status,ROW()-4))))</f>
        <v/>
      </c>
      <c r="G2350">
        <f>IF(INDEX(L_Status,ROW()-4)="","",TRIM(UPPER(INDEX(L_Status,ROW()-4))))</f>
        <v/>
      </c>
      <c r="J2350">
        <f>IF(INDEX(L_ID,ROW()-4)="","",IF(SUMPRODUCT((P_ID=INDEX(L_ID,ROW()-4))*(P_StatusN="INACTIVE"))&gt;0,1,0))</f>
        <v/>
      </c>
    </row>
    <row r="2351">
      <c r="A2351">
        <f>IF(INDEX(L_ID,ROW()-4)="","",IF(COUNTIF(P_ID,INDEX(L_ID,ROW()-4))&gt;0,1,0))</f>
        <v/>
      </c>
      <c r="B2351">
        <f>IF(INDEX(P_Type,ROW()-4)="","",TRIM(UPPER(INDEX(P_Type,ROW()-4))))</f>
        <v/>
      </c>
      <c r="D2351">
        <f>IF(INDEX(L_Type,ROW()-4)="","",TRIM(UPPER(INDEX(L_Type,ROW()-4))))</f>
        <v/>
      </c>
      <c r="E2351">
        <f>IF(INDEX(P_Status,ROW()-4)="","",TRIM(UPPER(INDEX(P_Status,ROW()-4))))</f>
        <v/>
      </c>
      <c r="G2351">
        <f>IF(INDEX(L_Status,ROW()-4)="","",TRIM(UPPER(INDEX(L_Status,ROW()-4))))</f>
        <v/>
      </c>
      <c r="J2351">
        <f>IF(INDEX(L_ID,ROW()-4)="","",IF(SUMPRODUCT((P_ID=INDEX(L_ID,ROW()-4))*(P_StatusN="INACTIVE"))&gt;0,1,0))</f>
        <v/>
      </c>
    </row>
    <row r="2352">
      <c r="A2352">
        <f>IF(INDEX(L_ID,ROW()-4)="","",IF(COUNTIF(P_ID,INDEX(L_ID,ROW()-4))&gt;0,1,0))</f>
        <v/>
      </c>
      <c r="B2352">
        <f>IF(INDEX(P_Type,ROW()-4)="","",TRIM(UPPER(INDEX(P_Type,ROW()-4))))</f>
        <v/>
      </c>
      <c r="D2352">
        <f>IF(INDEX(L_Type,ROW()-4)="","",TRIM(UPPER(INDEX(L_Type,ROW()-4))))</f>
        <v/>
      </c>
      <c r="E2352">
        <f>IF(INDEX(P_Status,ROW()-4)="","",TRIM(UPPER(INDEX(P_Status,ROW()-4))))</f>
        <v/>
      </c>
      <c r="G2352">
        <f>IF(INDEX(L_Status,ROW()-4)="","",TRIM(UPPER(INDEX(L_Status,ROW()-4))))</f>
        <v/>
      </c>
      <c r="J2352">
        <f>IF(INDEX(L_ID,ROW()-4)="","",IF(SUMPRODUCT((P_ID=INDEX(L_ID,ROW()-4))*(P_StatusN="INACTIVE"))&gt;0,1,0))</f>
        <v/>
      </c>
    </row>
    <row r="2353">
      <c r="A2353">
        <f>IF(INDEX(L_ID,ROW()-4)="","",IF(COUNTIF(P_ID,INDEX(L_ID,ROW()-4))&gt;0,1,0))</f>
        <v/>
      </c>
      <c r="B2353">
        <f>IF(INDEX(P_Type,ROW()-4)="","",TRIM(UPPER(INDEX(P_Type,ROW()-4))))</f>
        <v/>
      </c>
      <c r="D2353">
        <f>IF(INDEX(L_Type,ROW()-4)="","",TRIM(UPPER(INDEX(L_Type,ROW()-4))))</f>
        <v/>
      </c>
      <c r="E2353">
        <f>IF(INDEX(P_Status,ROW()-4)="","",TRIM(UPPER(INDEX(P_Status,ROW()-4))))</f>
        <v/>
      </c>
      <c r="G2353">
        <f>IF(INDEX(L_Status,ROW()-4)="","",TRIM(UPPER(INDEX(L_Status,ROW()-4))))</f>
        <v/>
      </c>
      <c r="J2353">
        <f>IF(INDEX(L_ID,ROW()-4)="","",IF(SUMPRODUCT((P_ID=INDEX(L_ID,ROW()-4))*(P_StatusN="INACTIVE"))&gt;0,1,0))</f>
        <v/>
      </c>
    </row>
    <row r="2354">
      <c r="A2354">
        <f>IF(INDEX(L_ID,ROW()-4)="","",IF(COUNTIF(P_ID,INDEX(L_ID,ROW()-4))&gt;0,1,0))</f>
        <v/>
      </c>
      <c r="B2354">
        <f>IF(INDEX(P_Type,ROW()-4)="","",TRIM(UPPER(INDEX(P_Type,ROW()-4))))</f>
        <v/>
      </c>
      <c r="D2354">
        <f>IF(INDEX(L_Type,ROW()-4)="","",TRIM(UPPER(INDEX(L_Type,ROW()-4))))</f>
        <v/>
      </c>
      <c r="E2354">
        <f>IF(INDEX(P_Status,ROW()-4)="","",TRIM(UPPER(INDEX(P_Status,ROW()-4))))</f>
        <v/>
      </c>
      <c r="G2354">
        <f>IF(INDEX(L_Status,ROW()-4)="","",TRIM(UPPER(INDEX(L_Status,ROW()-4))))</f>
        <v/>
      </c>
      <c r="J2354">
        <f>IF(INDEX(L_ID,ROW()-4)="","",IF(SUMPRODUCT((P_ID=INDEX(L_ID,ROW()-4))*(P_StatusN="INACTIVE"))&gt;0,1,0))</f>
        <v/>
      </c>
    </row>
    <row r="2355">
      <c r="A2355">
        <f>IF(INDEX(L_ID,ROW()-4)="","",IF(COUNTIF(P_ID,INDEX(L_ID,ROW()-4))&gt;0,1,0))</f>
        <v/>
      </c>
      <c r="B2355">
        <f>IF(INDEX(P_Type,ROW()-4)="","",TRIM(UPPER(INDEX(P_Type,ROW()-4))))</f>
        <v/>
      </c>
      <c r="D2355">
        <f>IF(INDEX(L_Type,ROW()-4)="","",TRIM(UPPER(INDEX(L_Type,ROW()-4))))</f>
        <v/>
      </c>
      <c r="E2355">
        <f>IF(INDEX(P_Status,ROW()-4)="","",TRIM(UPPER(INDEX(P_Status,ROW()-4))))</f>
        <v/>
      </c>
      <c r="G2355">
        <f>IF(INDEX(L_Status,ROW()-4)="","",TRIM(UPPER(INDEX(L_Status,ROW()-4))))</f>
        <v/>
      </c>
      <c r="J2355">
        <f>IF(INDEX(L_ID,ROW()-4)="","",IF(SUMPRODUCT((P_ID=INDEX(L_ID,ROW()-4))*(P_StatusN="INACTIVE"))&gt;0,1,0))</f>
        <v/>
      </c>
    </row>
    <row r="2356">
      <c r="A2356">
        <f>IF(INDEX(L_ID,ROW()-4)="","",IF(COUNTIF(P_ID,INDEX(L_ID,ROW()-4))&gt;0,1,0))</f>
        <v/>
      </c>
      <c r="B2356">
        <f>IF(INDEX(P_Type,ROW()-4)="","",TRIM(UPPER(INDEX(P_Type,ROW()-4))))</f>
        <v/>
      </c>
      <c r="D2356">
        <f>IF(INDEX(L_Type,ROW()-4)="","",TRIM(UPPER(INDEX(L_Type,ROW()-4))))</f>
        <v/>
      </c>
      <c r="E2356">
        <f>IF(INDEX(P_Status,ROW()-4)="","",TRIM(UPPER(INDEX(P_Status,ROW()-4))))</f>
        <v/>
      </c>
      <c r="G2356">
        <f>IF(INDEX(L_Status,ROW()-4)="","",TRIM(UPPER(INDEX(L_Status,ROW()-4))))</f>
        <v/>
      </c>
      <c r="J2356">
        <f>IF(INDEX(L_ID,ROW()-4)="","",IF(SUMPRODUCT((P_ID=INDEX(L_ID,ROW()-4))*(P_StatusN="INACTIVE"))&gt;0,1,0))</f>
        <v/>
      </c>
    </row>
    <row r="2357">
      <c r="A2357">
        <f>IF(INDEX(L_ID,ROW()-4)="","",IF(COUNTIF(P_ID,INDEX(L_ID,ROW()-4))&gt;0,1,0))</f>
        <v/>
      </c>
      <c r="B2357">
        <f>IF(INDEX(P_Type,ROW()-4)="","",TRIM(UPPER(INDEX(P_Type,ROW()-4))))</f>
        <v/>
      </c>
      <c r="D2357">
        <f>IF(INDEX(L_Type,ROW()-4)="","",TRIM(UPPER(INDEX(L_Type,ROW()-4))))</f>
        <v/>
      </c>
      <c r="E2357">
        <f>IF(INDEX(P_Status,ROW()-4)="","",TRIM(UPPER(INDEX(P_Status,ROW()-4))))</f>
        <v/>
      </c>
      <c r="G2357">
        <f>IF(INDEX(L_Status,ROW()-4)="","",TRIM(UPPER(INDEX(L_Status,ROW()-4))))</f>
        <v/>
      </c>
      <c r="J2357">
        <f>IF(INDEX(L_ID,ROW()-4)="","",IF(SUMPRODUCT((P_ID=INDEX(L_ID,ROW()-4))*(P_StatusN="INACTIVE"))&gt;0,1,0))</f>
        <v/>
      </c>
    </row>
    <row r="2358">
      <c r="A2358">
        <f>IF(INDEX(L_ID,ROW()-4)="","",IF(COUNTIF(P_ID,INDEX(L_ID,ROW()-4))&gt;0,1,0))</f>
        <v/>
      </c>
      <c r="B2358">
        <f>IF(INDEX(P_Type,ROW()-4)="","",TRIM(UPPER(INDEX(P_Type,ROW()-4))))</f>
        <v/>
      </c>
      <c r="D2358">
        <f>IF(INDEX(L_Type,ROW()-4)="","",TRIM(UPPER(INDEX(L_Type,ROW()-4))))</f>
        <v/>
      </c>
      <c r="E2358">
        <f>IF(INDEX(P_Status,ROW()-4)="","",TRIM(UPPER(INDEX(P_Status,ROW()-4))))</f>
        <v/>
      </c>
      <c r="G2358">
        <f>IF(INDEX(L_Status,ROW()-4)="","",TRIM(UPPER(INDEX(L_Status,ROW()-4))))</f>
        <v/>
      </c>
      <c r="J2358">
        <f>IF(INDEX(L_ID,ROW()-4)="","",IF(SUMPRODUCT((P_ID=INDEX(L_ID,ROW()-4))*(P_StatusN="INACTIVE"))&gt;0,1,0))</f>
        <v/>
      </c>
    </row>
    <row r="2359">
      <c r="A2359">
        <f>IF(INDEX(L_ID,ROW()-4)="","",IF(COUNTIF(P_ID,INDEX(L_ID,ROW()-4))&gt;0,1,0))</f>
        <v/>
      </c>
      <c r="B2359">
        <f>IF(INDEX(P_Type,ROW()-4)="","",TRIM(UPPER(INDEX(P_Type,ROW()-4))))</f>
        <v/>
      </c>
      <c r="D2359">
        <f>IF(INDEX(L_Type,ROW()-4)="","",TRIM(UPPER(INDEX(L_Type,ROW()-4))))</f>
        <v/>
      </c>
      <c r="E2359">
        <f>IF(INDEX(P_Status,ROW()-4)="","",TRIM(UPPER(INDEX(P_Status,ROW()-4))))</f>
        <v/>
      </c>
      <c r="G2359">
        <f>IF(INDEX(L_Status,ROW()-4)="","",TRIM(UPPER(INDEX(L_Status,ROW()-4))))</f>
        <v/>
      </c>
      <c r="J2359">
        <f>IF(INDEX(L_ID,ROW()-4)="","",IF(SUMPRODUCT((P_ID=INDEX(L_ID,ROW()-4))*(P_StatusN="INACTIVE"))&gt;0,1,0))</f>
        <v/>
      </c>
    </row>
    <row r="2360">
      <c r="A2360">
        <f>IF(INDEX(L_ID,ROW()-4)="","",IF(COUNTIF(P_ID,INDEX(L_ID,ROW()-4))&gt;0,1,0))</f>
        <v/>
      </c>
      <c r="B2360">
        <f>IF(INDEX(P_Type,ROW()-4)="","",TRIM(UPPER(INDEX(P_Type,ROW()-4))))</f>
        <v/>
      </c>
      <c r="D2360">
        <f>IF(INDEX(L_Type,ROW()-4)="","",TRIM(UPPER(INDEX(L_Type,ROW()-4))))</f>
        <v/>
      </c>
      <c r="E2360">
        <f>IF(INDEX(P_Status,ROW()-4)="","",TRIM(UPPER(INDEX(P_Status,ROW()-4))))</f>
        <v/>
      </c>
      <c r="G2360">
        <f>IF(INDEX(L_Status,ROW()-4)="","",TRIM(UPPER(INDEX(L_Status,ROW()-4))))</f>
        <v/>
      </c>
      <c r="J2360">
        <f>IF(INDEX(L_ID,ROW()-4)="","",IF(SUMPRODUCT((P_ID=INDEX(L_ID,ROW()-4))*(P_StatusN="INACTIVE"))&gt;0,1,0))</f>
        <v/>
      </c>
    </row>
    <row r="2361">
      <c r="A2361">
        <f>IF(INDEX(L_ID,ROW()-4)="","",IF(COUNTIF(P_ID,INDEX(L_ID,ROW()-4))&gt;0,1,0))</f>
        <v/>
      </c>
      <c r="B2361">
        <f>IF(INDEX(P_Type,ROW()-4)="","",TRIM(UPPER(INDEX(P_Type,ROW()-4))))</f>
        <v/>
      </c>
      <c r="D2361">
        <f>IF(INDEX(L_Type,ROW()-4)="","",TRIM(UPPER(INDEX(L_Type,ROW()-4))))</f>
        <v/>
      </c>
      <c r="E2361">
        <f>IF(INDEX(P_Status,ROW()-4)="","",TRIM(UPPER(INDEX(P_Status,ROW()-4))))</f>
        <v/>
      </c>
      <c r="G2361">
        <f>IF(INDEX(L_Status,ROW()-4)="","",TRIM(UPPER(INDEX(L_Status,ROW()-4))))</f>
        <v/>
      </c>
      <c r="J2361">
        <f>IF(INDEX(L_ID,ROW()-4)="","",IF(SUMPRODUCT((P_ID=INDEX(L_ID,ROW()-4))*(P_StatusN="INACTIVE"))&gt;0,1,0))</f>
        <v/>
      </c>
    </row>
    <row r="2362">
      <c r="A2362">
        <f>IF(INDEX(L_ID,ROW()-4)="","",IF(COUNTIF(P_ID,INDEX(L_ID,ROW()-4))&gt;0,1,0))</f>
        <v/>
      </c>
      <c r="B2362">
        <f>IF(INDEX(P_Type,ROW()-4)="","",TRIM(UPPER(INDEX(P_Type,ROW()-4))))</f>
        <v/>
      </c>
      <c r="D2362">
        <f>IF(INDEX(L_Type,ROW()-4)="","",TRIM(UPPER(INDEX(L_Type,ROW()-4))))</f>
        <v/>
      </c>
      <c r="E2362">
        <f>IF(INDEX(P_Status,ROW()-4)="","",TRIM(UPPER(INDEX(P_Status,ROW()-4))))</f>
        <v/>
      </c>
      <c r="G2362">
        <f>IF(INDEX(L_Status,ROW()-4)="","",TRIM(UPPER(INDEX(L_Status,ROW()-4))))</f>
        <v/>
      </c>
      <c r="J2362">
        <f>IF(INDEX(L_ID,ROW()-4)="","",IF(SUMPRODUCT((P_ID=INDEX(L_ID,ROW()-4))*(P_StatusN="INACTIVE"))&gt;0,1,0))</f>
        <v/>
      </c>
    </row>
    <row r="2363">
      <c r="A2363">
        <f>IF(INDEX(L_ID,ROW()-4)="","",IF(COUNTIF(P_ID,INDEX(L_ID,ROW()-4))&gt;0,1,0))</f>
        <v/>
      </c>
      <c r="B2363">
        <f>IF(INDEX(P_Type,ROW()-4)="","",TRIM(UPPER(INDEX(P_Type,ROW()-4))))</f>
        <v/>
      </c>
      <c r="D2363">
        <f>IF(INDEX(L_Type,ROW()-4)="","",TRIM(UPPER(INDEX(L_Type,ROW()-4))))</f>
        <v/>
      </c>
      <c r="E2363">
        <f>IF(INDEX(P_Status,ROW()-4)="","",TRIM(UPPER(INDEX(P_Status,ROW()-4))))</f>
        <v/>
      </c>
      <c r="G2363">
        <f>IF(INDEX(L_Status,ROW()-4)="","",TRIM(UPPER(INDEX(L_Status,ROW()-4))))</f>
        <v/>
      </c>
      <c r="J2363">
        <f>IF(INDEX(L_ID,ROW()-4)="","",IF(SUMPRODUCT((P_ID=INDEX(L_ID,ROW()-4))*(P_StatusN="INACTIVE"))&gt;0,1,0))</f>
        <v/>
      </c>
    </row>
    <row r="2364">
      <c r="A2364">
        <f>IF(INDEX(L_ID,ROW()-4)="","",IF(COUNTIF(P_ID,INDEX(L_ID,ROW()-4))&gt;0,1,0))</f>
        <v/>
      </c>
      <c r="B2364">
        <f>IF(INDEX(P_Type,ROW()-4)="","",TRIM(UPPER(INDEX(P_Type,ROW()-4))))</f>
        <v/>
      </c>
      <c r="D2364">
        <f>IF(INDEX(L_Type,ROW()-4)="","",TRIM(UPPER(INDEX(L_Type,ROW()-4))))</f>
        <v/>
      </c>
      <c r="E2364">
        <f>IF(INDEX(P_Status,ROW()-4)="","",TRIM(UPPER(INDEX(P_Status,ROW()-4))))</f>
        <v/>
      </c>
      <c r="G2364">
        <f>IF(INDEX(L_Status,ROW()-4)="","",TRIM(UPPER(INDEX(L_Status,ROW()-4))))</f>
        <v/>
      </c>
      <c r="J2364">
        <f>IF(INDEX(L_ID,ROW()-4)="","",IF(SUMPRODUCT((P_ID=INDEX(L_ID,ROW()-4))*(P_StatusN="INACTIVE"))&gt;0,1,0))</f>
        <v/>
      </c>
    </row>
    <row r="2365">
      <c r="A2365">
        <f>IF(INDEX(L_ID,ROW()-4)="","",IF(COUNTIF(P_ID,INDEX(L_ID,ROW()-4))&gt;0,1,0))</f>
        <v/>
      </c>
      <c r="B2365">
        <f>IF(INDEX(P_Type,ROW()-4)="","",TRIM(UPPER(INDEX(P_Type,ROW()-4))))</f>
        <v/>
      </c>
      <c r="D2365">
        <f>IF(INDEX(L_Type,ROW()-4)="","",TRIM(UPPER(INDEX(L_Type,ROW()-4))))</f>
        <v/>
      </c>
      <c r="E2365">
        <f>IF(INDEX(P_Status,ROW()-4)="","",TRIM(UPPER(INDEX(P_Status,ROW()-4))))</f>
        <v/>
      </c>
      <c r="G2365">
        <f>IF(INDEX(L_Status,ROW()-4)="","",TRIM(UPPER(INDEX(L_Status,ROW()-4))))</f>
        <v/>
      </c>
      <c r="J2365">
        <f>IF(INDEX(L_ID,ROW()-4)="","",IF(SUMPRODUCT((P_ID=INDEX(L_ID,ROW()-4))*(P_StatusN="INACTIVE"))&gt;0,1,0))</f>
        <v/>
      </c>
    </row>
    <row r="2366">
      <c r="A2366">
        <f>IF(INDEX(L_ID,ROW()-4)="","",IF(COUNTIF(P_ID,INDEX(L_ID,ROW()-4))&gt;0,1,0))</f>
        <v/>
      </c>
      <c r="B2366">
        <f>IF(INDEX(P_Type,ROW()-4)="","",TRIM(UPPER(INDEX(P_Type,ROW()-4))))</f>
        <v/>
      </c>
      <c r="D2366">
        <f>IF(INDEX(L_Type,ROW()-4)="","",TRIM(UPPER(INDEX(L_Type,ROW()-4))))</f>
        <v/>
      </c>
      <c r="E2366">
        <f>IF(INDEX(P_Status,ROW()-4)="","",TRIM(UPPER(INDEX(P_Status,ROW()-4))))</f>
        <v/>
      </c>
      <c r="G2366">
        <f>IF(INDEX(L_Status,ROW()-4)="","",TRIM(UPPER(INDEX(L_Status,ROW()-4))))</f>
        <v/>
      </c>
      <c r="J2366">
        <f>IF(INDEX(L_ID,ROW()-4)="","",IF(SUMPRODUCT((P_ID=INDEX(L_ID,ROW()-4))*(P_StatusN="INACTIVE"))&gt;0,1,0))</f>
        <v/>
      </c>
    </row>
    <row r="2367">
      <c r="A2367">
        <f>IF(INDEX(L_ID,ROW()-4)="","",IF(COUNTIF(P_ID,INDEX(L_ID,ROW()-4))&gt;0,1,0))</f>
        <v/>
      </c>
      <c r="B2367">
        <f>IF(INDEX(P_Type,ROW()-4)="","",TRIM(UPPER(INDEX(P_Type,ROW()-4))))</f>
        <v/>
      </c>
      <c r="D2367">
        <f>IF(INDEX(L_Type,ROW()-4)="","",TRIM(UPPER(INDEX(L_Type,ROW()-4))))</f>
        <v/>
      </c>
      <c r="E2367">
        <f>IF(INDEX(P_Status,ROW()-4)="","",TRIM(UPPER(INDEX(P_Status,ROW()-4))))</f>
        <v/>
      </c>
      <c r="G2367">
        <f>IF(INDEX(L_Status,ROW()-4)="","",TRIM(UPPER(INDEX(L_Status,ROW()-4))))</f>
        <v/>
      </c>
      <c r="J2367">
        <f>IF(INDEX(L_ID,ROW()-4)="","",IF(SUMPRODUCT((P_ID=INDEX(L_ID,ROW()-4))*(P_StatusN="INACTIVE"))&gt;0,1,0))</f>
        <v/>
      </c>
    </row>
    <row r="2368">
      <c r="A2368">
        <f>IF(INDEX(L_ID,ROW()-4)="","",IF(COUNTIF(P_ID,INDEX(L_ID,ROW()-4))&gt;0,1,0))</f>
        <v/>
      </c>
      <c r="B2368">
        <f>IF(INDEX(P_Type,ROW()-4)="","",TRIM(UPPER(INDEX(P_Type,ROW()-4))))</f>
        <v/>
      </c>
      <c r="D2368">
        <f>IF(INDEX(L_Type,ROW()-4)="","",TRIM(UPPER(INDEX(L_Type,ROW()-4))))</f>
        <v/>
      </c>
      <c r="E2368">
        <f>IF(INDEX(P_Status,ROW()-4)="","",TRIM(UPPER(INDEX(P_Status,ROW()-4))))</f>
        <v/>
      </c>
      <c r="G2368">
        <f>IF(INDEX(L_Status,ROW()-4)="","",TRIM(UPPER(INDEX(L_Status,ROW()-4))))</f>
        <v/>
      </c>
      <c r="J2368">
        <f>IF(INDEX(L_ID,ROW()-4)="","",IF(SUMPRODUCT((P_ID=INDEX(L_ID,ROW()-4))*(P_StatusN="INACTIVE"))&gt;0,1,0))</f>
        <v/>
      </c>
    </row>
    <row r="2369">
      <c r="A2369">
        <f>IF(INDEX(L_ID,ROW()-4)="","",IF(COUNTIF(P_ID,INDEX(L_ID,ROW()-4))&gt;0,1,0))</f>
        <v/>
      </c>
      <c r="B2369">
        <f>IF(INDEX(P_Type,ROW()-4)="","",TRIM(UPPER(INDEX(P_Type,ROW()-4))))</f>
        <v/>
      </c>
      <c r="D2369">
        <f>IF(INDEX(L_Type,ROW()-4)="","",TRIM(UPPER(INDEX(L_Type,ROW()-4))))</f>
        <v/>
      </c>
      <c r="E2369">
        <f>IF(INDEX(P_Status,ROW()-4)="","",TRIM(UPPER(INDEX(P_Status,ROW()-4))))</f>
        <v/>
      </c>
      <c r="G2369">
        <f>IF(INDEX(L_Status,ROW()-4)="","",TRIM(UPPER(INDEX(L_Status,ROW()-4))))</f>
        <v/>
      </c>
      <c r="J2369">
        <f>IF(INDEX(L_ID,ROW()-4)="","",IF(SUMPRODUCT((P_ID=INDEX(L_ID,ROW()-4))*(P_StatusN="INACTIVE"))&gt;0,1,0))</f>
        <v/>
      </c>
    </row>
    <row r="2370">
      <c r="A2370">
        <f>IF(INDEX(L_ID,ROW()-4)="","",IF(COUNTIF(P_ID,INDEX(L_ID,ROW()-4))&gt;0,1,0))</f>
        <v/>
      </c>
      <c r="B2370">
        <f>IF(INDEX(P_Type,ROW()-4)="","",TRIM(UPPER(INDEX(P_Type,ROW()-4))))</f>
        <v/>
      </c>
      <c r="D2370">
        <f>IF(INDEX(L_Type,ROW()-4)="","",TRIM(UPPER(INDEX(L_Type,ROW()-4))))</f>
        <v/>
      </c>
      <c r="E2370">
        <f>IF(INDEX(P_Status,ROW()-4)="","",TRIM(UPPER(INDEX(P_Status,ROW()-4))))</f>
        <v/>
      </c>
      <c r="G2370">
        <f>IF(INDEX(L_Status,ROW()-4)="","",TRIM(UPPER(INDEX(L_Status,ROW()-4))))</f>
        <v/>
      </c>
      <c r="J2370">
        <f>IF(INDEX(L_ID,ROW()-4)="","",IF(SUMPRODUCT((P_ID=INDEX(L_ID,ROW()-4))*(P_StatusN="INACTIVE"))&gt;0,1,0))</f>
        <v/>
      </c>
    </row>
    <row r="2371">
      <c r="A2371">
        <f>IF(INDEX(L_ID,ROW()-4)="","",IF(COUNTIF(P_ID,INDEX(L_ID,ROW()-4))&gt;0,1,0))</f>
        <v/>
      </c>
      <c r="B2371">
        <f>IF(INDEX(P_Type,ROW()-4)="","",TRIM(UPPER(INDEX(P_Type,ROW()-4))))</f>
        <v/>
      </c>
      <c r="D2371">
        <f>IF(INDEX(L_Type,ROW()-4)="","",TRIM(UPPER(INDEX(L_Type,ROW()-4))))</f>
        <v/>
      </c>
      <c r="E2371">
        <f>IF(INDEX(P_Status,ROW()-4)="","",TRIM(UPPER(INDEX(P_Status,ROW()-4))))</f>
        <v/>
      </c>
      <c r="G2371">
        <f>IF(INDEX(L_Status,ROW()-4)="","",TRIM(UPPER(INDEX(L_Status,ROW()-4))))</f>
        <v/>
      </c>
      <c r="J2371">
        <f>IF(INDEX(L_ID,ROW()-4)="","",IF(SUMPRODUCT((P_ID=INDEX(L_ID,ROW()-4))*(P_StatusN="INACTIVE"))&gt;0,1,0))</f>
        <v/>
      </c>
    </row>
    <row r="2372">
      <c r="A2372">
        <f>IF(INDEX(L_ID,ROW()-4)="","",IF(COUNTIF(P_ID,INDEX(L_ID,ROW()-4))&gt;0,1,0))</f>
        <v/>
      </c>
      <c r="B2372">
        <f>IF(INDEX(P_Type,ROW()-4)="","",TRIM(UPPER(INDEX(P_Type,ROW()-4))))</f>
        <v/>
      </c>
      <c r="D2372">
        <f>IF(INDEX(L_Type,ROW()-4)="","",TRIM(UPPER(INDEX(L_Type,ROW()-4))))</f>
        <v/>
      </c>
      <c r="E2372">
        <f>IF(INDEX(P_Status,ROW()-4)="","",TRIM(UPPER(INDEX(P_Status,ROW()-4))))</f>
        <v/>
      </c>
      <c r="G2372">
        <f>IF(INDEX(L_Status,ROW()-4)="","",TRIM(UPPER(INDEX(L_Status,ROW()-4))))</f>
        <v/>
      </c>
      <c r="J2372">
        <f>IF(INDEX(L_ID,ROW()-4)="","",IF(SUMPRODUCT((P_ID=INDEX(L_ID,ROW()-4))*(P_StatusN="INACTIVE"))&gt;0,1,0))</f>
        <v/>
      </c>
    </row>
    <row r="2373">
      <c r="A2373">
        <f>IF(INDEX(L_ID,ROW()-4)="","",IF(COUNTIF(P_ID,INDEX(L_ID,ROW()-4))&gt;0,1,0))</f>
        <v/>
      </c>
      <c r="B2373">
        <f>IF(INDEX(P_Type,ROW()-4)="","",TRIM(UPPER(INDEX(P_Type,ROW()-4))))</f>
        <v/>
      </c>
      <c r="D2373">
        <f>IF(INDEX(L_Type,ROW()-4)="","",TRIM(UPPER(INDEX(L_Type,ROW()-4))))</f>
        <v/>
      </c>
      <c r="E2373">
        <f>IF(INDEX(P_Status,ROW()-4)="","",TRIM(UPPER(INDEX(P_Status,ROW()-4))))</f>
        <v/>
      </c>
      <c r="G2373">
        <f>IF(INDEX(L_Status,ROW()-4)="","",TRIM(UPPER(INDEX(L_Status,ROW()-4))))</f>
        <v/>
      </c>
      <c r="J2373">
        <f>IF(INDEX(L_ID,ROW()-4)="","",IF(SUMPRODUCT((P_ID=INDEX(L_ID,ROW()-4))*(P_StatusN="INACTIVE"))&gt;0,1,0))</f>
        <v/>
      </c>
    </row>
    <row r="2374">
      <c r="A2374">
        <f>IF(INDEX(L_ID,ROW()-4)="","",IF(COUNTIF(P_ID,INDEX(L_ID,ROW()-4))&gt;0,1,0))</f>
        <v/>
      </c>
      <c r="B2374">
        <f>IF(INDEX(P_Type,ROW()-4)="","",TRIM(UPPER(INDEX(P_Type,ROW()-4))))</f>
        <v/>
      </c>
      <c r="D2374">
        <f>IF(INDEX(L_Type,ROW()-4)="","",TRIM(UPPER(INDEX(L_Type,ROW()-4))))</f>
        <v/>
      </c>
      <c r="E2374">
        <f>IF(INDEX(P_Status,ROW()-4)="","",TRIM(UPPER(INDEX(P_Status,ROW()-4))))</f>
        <v/>
      </c>
      <c r="G2374">
        <f>IF(INDEX(L_Status,ROW()-4)="","",TRIM(UPPER(INDEX(L_Status,ROW()-4))))</f>
        <v/>
      </c>
      <c r="J2374">
        <f>IF(INDEX(L_ID,ROW()-4)="","",IF(SUMPRODUCT((P_ID=INDEX(L_ID,ROW()-4))*(P_StatusN="INACTIVE"))&gt;0,1,0))</f>
        <v/>
      </c>
    </row>
    <row r="2375">
      <c r="A2375">
        <f>IF(INDEX(L_ID,ROW()-4)="","",IF(COUNTIF(P_ID,INDEX(L_ID,ROW()-4))&gt;0,1,0))</f>
        <v/>
      </c>
      <c r="B2375">
        <f>IF(INDEX(P_Type,ROW()-4)="","",TRIM(UPPER(INDEX(P_Type,ROW()-4))))</f>
        <v/>
      </c>
      <c r="D2375">
        <f>IF(INDEX(L_Type,ROW()-4)="","",TRIM(UPPER(INDEX(L_Type,ROW()-4))))</f>
        <v/>
      </c>
      <c r="E2375">
        <f>IF(INDEX(P_Status,ROW()-4)="","",TRIM(UPPER(INDEX(P_Status,ROW()-4))))</f>
        <v/>
      </c>
      <c r="G2375">
        <f>IF(INDEX(L_Status,ROW()-4)="","",TRIM(UPPER(INDEX(L_Status,ROW()-4))))</f>
        <v/>
      </c>
      <c r="J2375">
        <f>IF(INDEX(L_ID,ROW()-4)="","",IF(SUMPRODUCT((P_ID=INDEX(L_ID,ROW()-4))*(P_StatusN="INACTIVE"))&gt;0,1,0))</f>
        <v/>
      </c>
    </row>
    <row r="2376">
      <c r="A2376">
        <f>IF(INDEX(L_ID,ROW()-4)="","",IF(COUNTIF(P_ID,INDEX(L_ID,ROW()-4))&gt;0,1,0))</f>
        <v/>
      </c>
      <c r="B2376">
        <f>IF(INDEX(P_Type,ROW()-4)="","",TRIM(UPPER(INDEX(P_Type,ROW()-4))))</f>
        <v/>
      </c>
      <c r="D2376">
        <f>IF(INDEX(L_Type,ROW()-4)="","",TRIM(UPPER(INDEX(L_Type,ROW()-4))))</f>
        <v/>
      </c>
      <c r="E2376">
        <f>IF(INDEX(P_Status,ROW()-4)="","",TRIM(UPPER(INDEX(P_Status,ROW()-4))))</f>
        <v/>
      </c>
      <c r="G2376">
        <f>IF(INDEX(L_Status,ROW()-4)="","",TRIM(UPPER(INDEX(L_Status,ROW()-4))))</f>
        <v/>
      </c>
      <c r="J2376">
        <f>IF(INDEX(L_ID,ROW()-4)="","",IF(SUMPRODUCT((P_ID=INDEX(L_ID,ROW()-4))*(P_StatusN="INACTIVE"))&gt;0,1,0))</f>
        <v/>
      </c>
    </row>
    <row r="2377">
      <c r="A2377">
        <f>IF(INDEX(L_ID,ROW()-4)="","",IF(COUNTIF(P_ID,INDEX(L_ID,ROW()-4))&gt;0,1,0))</f>
        <v/>
      </c>
      <c r="B2377">
        <f>IF(INDEX(P_Type,ROW()-4)="","",TRIM(UPPER(INDEX(P_Type,ROW()-4))))</f>
        <v/>
      </c>
      <c r="D2377">
        <f>IF(INDEX(L_Type,ROW()-4)="","",TRIM(UPPER(INDEX(L_Type,ROW()-4))))</f>
        <v/>
      </c>
      <c r="E2377">
        <f>IF(INDEX(P_Status,ROW()-4)="","",TRIM(UPPER(INDEX(P_Status,ROW()-4))))</f>
        <v/>
      </c>
      <c r="G2377">
        <f>IF(INDEX(L_Status,ROW()-4)="","",TRIM(UPPER(INDEX(L_Status,ROW()-4))))</f>
        <v/>
      </c>
      <c r="J2377">
        <f>IF(INDEX(L_ID,ROW()-4)="","",IF(SUMPRODUCT((P_ID=INDEX(L_ID,ROW()-4))*(P_StatusN="INACTIVE"))&gt;0,1,0))</f>
        <v/>
      </c>
    </row>
    <row r="2378">
      <c r="A2378">
        <f>IF(INDEX(L_ID,ROW()-4)="","",IF(COUNTIF(P_ID,INDEX(L_ID,ROW()-4))&gt;0,1,0))</f>
        <v/>
      </c>
      <c r="B2378">
        <f>IF(INDEX(P_Type,ROW()-4)="","",TRIM(UPPER(INDEX(P_Type,ROW()-4))))</f>
        <v/>
      </c>
      <c r="D2378">
        <f>IF(INDEX(L_Type,ROW()-4)="","",TRIM(UPPER(INDEX(L_Type,ROW()-4))))</f>
        <v/>
      </c>
      <c r="E2378">
        <f>IF(INDEX(P_Status,ROW()-4)="","",TRIM(UPPER(INDEX(P_Status,ROW()-4))))</f>
        <v/>
      </c>
      <c r="G2378">
        <f>IF(INDEX(L_Status,ROW()-4)="","",TRIM(UPPER(INDEX(L_Status,ROW()-4))))</f>
        <v/>
      </c>
      <c r="J2378">
        <f>IF(INDEX(L_ID,ROW()-4)="","",IF(SUMPRODUCT((P_ID=INDEX(L_ID,ROW()-4))*(P_StatusN="INACTIVE"))&gt;0,1,0))</f>
        <v/>
      </c>
    </row>
    <row r="2379">
      <c r="A2379">
        <f>IF(INDEX(L_ID,ROW()-4)="","",IF(COUNTIF(P_ID,INDEX(L_ID,ROW()-4))&gt;0,1,0))</f>
        <v/>
      </c>
      <c r="B2379">
        <f>IF(INDEX(P_Type,ROW()-4)="","",TRIM(UPPER(INDEX(P_Type,ROW()-4))))</f>
        <v/>
      </c>
      <c r="D2379">
        <f>IF(INDEX(L_Type,ROW()-4)="","",TRIM(UPPER(INDEX(L_Type,ROW()-4))))</f>
        <v/>
      </c>
      <c r="E2379">
        <f>IF(INDEX(P_Status,ROW()-4)="","",TRIM(UPPER(INDEX(P_Status,ROW()-4))))</f>
        <v/>
      </c>
      <c r="G2379">
        <f>IF(INDEX(L_Status,ROW()-4)="","",TRIM(UPPER(INDEX(L_Status,ROW()-4))))</f>
        <v/>
      </c>
      <c r="J2379">
        <f>IF(INDEX(L_ID,ROW()-4)="","",IF(SUMPRODUCT((P_ID=INDEX(L_ID,ROW()-4))*(P_StatusN="INACTIVE"))&gt;0,1,0))</f>
        <v/>
      </c>
    </row>
    <row r="2380">
      <c r="A2380">
        <f>IF(INDEX(L_ID,ROW()-4)="","",IF(COUNTIF(P_ID,INDEX(L_ID,ROW()-4))&gt;0,1,0))</f>
        <v/>
      </c>
      <c r="B2380">
        <f>IF(INDEX(P_Type,ROW()-4)="","",TRIM(UPPER(INDEX(P_Type,ROW()-4))))</f>
        <v/>
      </c>
      <c r="D2380">
        <f>IF(INDEX(L_Type,ROW()-4)="","",TRIM(UPPER(INDEX(L_Type,ROW()-4))))</f>
        <v/>
      </c>
      <c r="E2380">
        <f>IF(INDEX(P_Status,ROW()-4)="","",TRIM(UPPER(INDEX(P_Status,ROW()-4))))</f>
        <v/>
      </c>
      <c r="G2380">
        <f>IF(INDEX(L_Status,ROW()-4)="","",TRIM(UPPER(INDEX(L_Status,ROW()-4))))</f>
        <v/>
      </c>
      <c r="J2380">
        <f>IF(INDEX(L_ID,ROW()-4)="","",IF(SUMPRODUCT((P_ID=INDEX(L_ID,ROW()-4))*(P_StatusN="INACTIVE"))&gt;0,1,0))</f>
        <v/>
      </c>
    </row>
    <row r="2381">
      <c r="A2381">
        <f>IF(INDEX(L_ID,ROW()-4)="","",IF(COUNTIF(P_ID,INDEX(L_ID,ROW()-4))&gt;0,1,0))</f>
        <v/>
      </c>
      <c r="B2381">
        <f>IF(INDEX(P_Type,ROW()-4)="","",TRIM(UPPER(INDEX(P_Type,ROW()-4))))</f>
        <v/>
      </c>
      <c r="D2381">
        <f>IF(INDEX(L_Type,ROW()-4)="","",TRIM(UPPER(INDEX(L_Type,ROW()-4))))</f>
        <v/>
      </c>
      <c r="E2381">
        <f>IF(INDEX(P_Status,ROW()-4)="","",TRIM(UPPER(INDEX(P_Status,ROW()-4))))</f>
        <v/>
      </c>
      <c r="G2381">
        <f>IF(INDEX(L_Status,ROW()-4)="","",TRIM(UPPER(INDEX(L_Status,ROW()-4))))</f>
        <v/>
      </c>
      <c r="J2381">
        <f>IF(INDEX(L_ID,ROW()-4)="","",IF(SUMPRODUCT((P_ID=INDEX(L_ID,ROW()-4))*(P_StatusN="INACTIVE"))&gt;0,1,0))</f>
        <v/>
      </c>
    </row>
    <row r="2382">
      <c r="A2382">
        <f>IF(INDEX(L_ID,ROW()-4)="","",IF(COUNTIF(P_ID,INDEX(L_ID,ROW()-4))&gt;0,1,0))</f>
        <v/>
      </c>
      <c r="B2382">
        <f>IF(INDEX(P_Type,ROW()-4)="","",TRIM(UPPER(INDEX(P_Type,ROW()-4))))</f>
        <v/>
      </c>
      <c r="D2382">
        <f>IF(INDEX(L_Type,ROW()-4)="","",TRIM(UPPER(INDEX(L_Type,ROW()-4))))</f>
        <v/>
      </c>
      <c r="E2382">
        <f>IF(INDEX(P_Status,ROW()-4)="","",TRIM(UPPER(INDEX(P_Status,ROW()-4))))</f>
        <v/>
      </c>
      <c r="G2382">
        <f>IF(INDEX(L_Status,ROW()-4)="","",TRIM(UPPER(INDEX(L_Status,ROW()-4))))</f>
        <v/>
      </c>
      <c r="J2382">
        <f>IF(INDEX(L_ID,ROW()-4)="","",IF(SUMPRODUCT((P_ID=INDEX(L_ID,ROW()-4))*(P_StatusN="INACTIVE"))&gt;0,1,0))</f>
        <v/>
      </c>
    </row>
    <row r="2383">
      <c r="A2383">
        <f>IF(INDEX(L_ID,ROW()-4)="","",IF(COUNTIF(P_ID,INDEX(L_ID,ROW()-4))&gt;0,1,0))</f>
        <v/>
      </c>
      <c r="B2383">
        <f>IF(INDEX(P_Type,ROW()-4)="","",TRIM(UPPER(INDEX(P_Type,ROW()-4))))</f>
        <v/>
      </c>
      <c r="D2383">
        <f>IF(INDEX(L_Type,ROW()-4)="","",TRIM(UPPER(INDEX(L_Type,ROW()-4))))</f>
        <v/>
      </c>
      <c r="E2383">
        <f>IF(INDEX(P_Status,ROW()-4)="","",TRIM(UPPER(INDEX(P_Status,ROW()-4))))</f>
        <v/>
      </c>
      <c r="G2383">
        <f>IF(INDEX(L_Status,ROW()-4)="","",TRIM(UPPER(INDEX(L_Status,ROW()-4))))</f>
        <v/>
      </c>
      <c r="J2383">
        <f>IF(INDEX(L_ID,ROW()-4)="","",IF(SUMPRODUCT((P_ID=INDEX(L_ID,ROW()-4))*(P_StatusN="INACTIVE"))&gt;0,1,0))</f>
        <v/>
      </c>
    </row>
    <row r="2384">
      <c r="A2384">
        <f>IF(INDEX(L_ID,ROW()-4)="","",IF(COUNTIF(P_ID,INDEX(L_ID,ROW()-4))&gt;0,1,0))</f>
        <v/>
      </c>
      <c r="B2384">
        <f>IF(INDEX(P_Type,ROW()-4)="","",TRIM(UPPER(INDEX(P_Type,ROW()-4))))</f>
        <v/>
      </c>
      <c r="D2384">
        <f>IF(INDEX(L_Type,ROW()-4)="","",TRIM(UPPER(INDEX(L_Type,ROW()-4))))</f>
        <v/>
      </c>
      <c r="E2384">
        <f>IF(INDEX(P_Status,ROW()-4)="","",TRIM(UPPER(INDEX(P_Status,ROW()-4))))</f>
        <v/>
      </c>
      <c r="G2384">
        <f>IF(INDEX(L_Status,ROW()-4)="","",TRIM(UPPER(INDEX(L_Status,ROW()-4))))</f>
        <v/>
      </c>
      <c r="J2384">
        <f>IF(INDEX(L_ID,ROW()-4)="","",IF(SUMPRODUCT((P_ID=INDEX(L_ID,ROW()-4))*(P_StatusN="INACTIVE"))&gt;0,1,0))</f>
        <v/>
      </c>
    </row>
    <row r="2385">
      <c r="A2385">
        <f>IF(INDEX(L_ID,ROW()-4)="","",IF(COUNTIF(P_ID,INDEX(L_ID,ROW()-4))&gt;0,1,0))</f>
        <v/>
      </c>
      <c r="B2385">
        <f>IF(INDEX(P_Type,ROW()-4)="","",TRIM(UPPER(INDEX(P_Type,ROW()-4))))</f>
        <v/>
      </c>
      <c r="D2385">
        <f>IF(INDEX(L_Type,ROW()-4)="","",TRIM(UPPER(INDEX(L_Type,ROW()-4))))</f>
        <v/>
      </c>
      <c r="E2385">
        <f>IF(INDEX(P_Status,ROW()-4)="","",TRIM(UPPER(INDEX(P_Status,ROW()-4))))</f>
        <v/>
      </c>
      <c r="G2385">
        <f>IF(INDEX(L_Status,ROW()-4)="","",TRIM(UPPER(INDEX(L_Status,ROW()-4))))</f>
        <v/>
      </c>
      <c r="J2385">
        <f>IF(INDEX(L_ID,ROW()-4)="","",IF(SUMPRODUCT((P_ID=INDEX(L_ID,ROW()-4))*(P_StatusN="INACTIVE"))&gt;0,1,0))</f>
        <v/>
      </c>
    </row>
    <row r="2386">
      <c r="A2386">
        <f>IF(INDEX(L_ID,ROW()-4)="","",IF(COUNTIF(P_ID,INDEX(L_ID,ROW()-4))&gt;0,1,0))</f>
        <v/>
      </c>
      <c r="B2386">
        <f>IF(INDEX(P_Type,ROW()-4)="","",TRIM(UPPER(INDEX(P_Type,ROW()-4))))</f>
        <v/>
      </c>
      <c r="D2386">
        <f>IF(INDEX(L_Type,ROW()-4)="","",TRIM(UPPER(INDEX(L_Type,ROW()-4))))</f>
        <v/>
      </c>
      <c r="E2386">
        <f>IF(INDEX(P_Status,ROW()-4)="","",TRIM(UPPER(INDEX(P_Status,ROW()-4))))</f>
        <v/>
      </c>
      <c r="G2386">
        <f>IF(INDEX(L_Status,ROW()-4)="","",TRIM(UPPER(INDEX(L_Status,ROW()-4))))</f>
        <v/>
      </c>
      <c r="J2386">
        <f>IF(INDEX(L_ID,ROW()-4)="","",IF(SUMPRODUCT((P_ID=INDEX(L_ID,ROW()-4))*(P_StatusN="INACTIVE"))&gt;0,1,0))</f>
        <v/>
      </c>
    </row>
    <row r="2387">
      <c r="A2387">
        <f>IF(INDEX(L_ID,ROW()-4)="","",IF(COUNTIF(P_ID,INDEX(L_ID,ROW()-4))&gt;0,1,0))</f>
        <v/>
      </c>
      <c r="B2387">
        <f>IF(INDEX(P_Type,ROW()-4)="","",TRIM(UPPER(INDEX(P_Type,ROW()-4))))</f>
        <v/>
      </c>
      <c r="D2387">
        <f>IF(INDEX(L_Type,ROW()-4)="","",TRIM(UPPER(INDEX(L_Type,ROW()-4))))</f>
        <v/>
      </c>
      <c r="E2387">
        <f>IF(INDEX(P_Status,ROW()-4)="","",TRIM(UPPER(INDEX(P_Status,ROW()-4))))</f>
        <v/>
      </c>
      <c r="G2387">
        <f>IF(INDEX(L_Status,ROW()-4)="","",TRIM(UPPER(INDEX(L_Status,ROW()-4))))</f>
        <v/>
      </c>
      <c r="J2387">
        <f>IF(INDEX(L_ID,ROW()-4)="","",IF(SUMPRODUCT((P_ID=INDEX(L_ID,ROW()-4))*(P_StatusN="INACTIVE"))&gt;0,1,0))</f>
        <v/>
      </c>
    </row>
    <row r="2388">
      <c r="A2388">
        <f>IF(INDEX(L_ID,ROW()-4)="","",IF(COUNTIF(P_ID,INDEX(L_ID,ROW()-4))&gt;0,1,0))</f>
        <v/>
      </c>
      <c r="B2388">
        <f>IF(INDEX(P_Type,ROW()-4)="","",TRIM(UPPER(INDEX(P_Type,ROW()-4))))</f>
        <v/>
      </c>
      <c r="D2388">
        <f>IF(INDEX(L_Type,ROW()-4)="","",TRIM(UPPER(INDEX(L_Type,ROW()-4))))</f>
        <v/>
      </c>
      <c r="E2388">
        <f>IF(INDEX(P_Status,ROW()-4)="","",TRIM(UPPER(INDEX(P_Status,ROW()-4))))</f>
        <v/>
      </c>
      <c r="G2388">
        <f>IF(INDEX(L_Status,ROW()-4)="","",TRIM(UPPER(INDEX(L_Status,ROW()-4))))</f>
        <v/>
      </c>
      <c r="J2388">
        <f>IF(INDEX(L_ID,ROW()-4)="","",IF(SUMPRODUCT((P_ID=INDEX(L_ID,ROW()-4))*(P_StatusN="INACTIVE"))&gt;0,1,0))</f>
        <v/>
      </c>
    </row>
    <row r="2389">
      <c r="A2389">
        <f>IF(INDEX(L_ID,ROW()-4)="","",IF(COUNTIF(P_ID,INDEX(L_ID,ROW()-4))&gt;0,1,0))</f>
        <v/>
      </c>
      <c r="B2389">
        <f>IF(INDEX(P_Type,ROW()-4)="","",TRIM(UPPER(INDEX(P_Type,ROW()-4))))</f>
        <v/>
      </c>
      <c r="D2389">
        <f>IF(INDEX(L_Type,ROW()-4)="","",TRIM(UPPER(INDEX(L_Type,ROW()-4))))</f>
        <v/>
      </c>
      <c r="E2389">
        <f>IF(INDEX(P_Status,ROW()-4)="","",TRIM(UPPER(INDEX(P_Status,ROW()-4))))</f>
        <v/>
      </c>
      <c r="G2389">
        <f>IF(INDEX(L_Status,ROW()-4)="","",TRIM(UPPER(INDEX(L_Status,ROW()-4))))</f>
        <v/>
      </c>
      <c r="J2389">
        <f>IF(INDEX(L_ID,ROW()-4)="","",IF(SUMPRODUCT((P_ID=INDEX(L_ID,ROW()-4))*(P_StatusN="INACTIVE"))&gt;0,1,0))</f>
        <v/>
      </c>
    </row>
    <row r="2390">
      <c r="A2390">
        <f>IF(INDEX(L_ID,ROW()-4)="","",IF(COUNTIF(P_ID,INDEX(L_ID,ROW()-4))&gt;0,1,0))</f>
        <v/>
      </c>
      <c r="B2390">
        <f>IF(INDEX(P_Type,ROW()-4)="","",TRIM(UPPER(INDEX(P_Type,ROW()-4))))</f>
        <v/>
      </c>
      <c r="D2390">
        <f>IF(INDEX(L_Type,ROW()-4)="","",TRIM(UPPER(INDEX(L_Type,ROW()-4))))</f>
        <v/>
      </c>
      <c r="E2390">
        <f>IF(INDEX(P_Status,ROW()-4)="","",TRIM(UPPER(INDEX(P_Status,ROW()-4))))</f>
        <v/>
      </c>
      <c r="G2390">
        <f>IF(INDEX(L_Status,ROW()-4)="","",TRIM(UPPER(INDEX(L_Status,ROW()-4))))</f>
        <v/>
      </c>
      <c r="J2390">
        <f>IF(INDEX(L_ID,ROW()-4)="","",IF(SUMPRODUCT((P_ID=INDEX(L_ID,ROW()-4))*(P_StatusN="INACTIVE"))&gt;0,1,0))</f>
        <v/>
      </c>
    </row>
    <row r="2391">
      <c r="A2391">
        <f>IF(INDEX(L_ID,ROW()-4)="","",IF(COUNTIF(P_ID,INDEX(L_ID,ROW()-4))&gt;0,1,0))</f>
        <v/>
      </c>
      <c r="B2391">
        <f>IF(INDEX(P_Type,ROW()-4)="","",TRIM(UPPER(INDEX(P_Type,ROW()-4))))</f>
        <v/>
      </c>
      <c r="D2391">
        <f>IF(INDEX(L_Type,ROW()-4)="","",TRIM(UPPER(INDEX(L_Type,ROW()-4))))</f>
        <v/>
      </c>
      <c r="E2391">
        <f>IF(INDEX(P_Status,ROW()-4)="","",TRIM(UPPER(INDEX(P_Status,ROW()-4))))</f>
        <v/>
      </c>
      <c r="G2391">
        <f>IF(INDEX(L_Status,ROW()-4)="","",TRIM(UPPER(INDEX(L_Status,ROW()-4))))</f>
        <v/>
      </c>
      <c r="J2391">
        <f>IF(INDEX(L_ID,ROW()-4)="","",IF(SUMPRODUCT((P_ID=INDEX(L_ID,ROW()-4))*(P_StatusN="INACTIVE"))&gt;0,1,0))</f>
        <v/>
      </c>
    </row>
    <row r="2392">
      <c r="A2392">
        <f>IF(INDEX(L_ID,ROW()-4)="","",IF(COUNTIF(P_ID,INDEX(L_ID,ROW()-4))&gt;0,1,0))</f>
        <v/>
      </c>
      <c r="B2392">
        <f>IF(INDEX(P_Type,ROW()-4)="","",TRIM(UPPER(INDEX(P_Type,ROW()-4))))</f>
        <v/>
      </c>
      <c r="D2392">
        <f>IF(INDEX(L_Type,ROW()-4)="","",TRIM(UPPER(INDEX(L_Type,ROW()-4))))</f>
        <v/>
      </c>
      <c r="E2392">
        <f>IF(INDEX(P_Status,ROW()-4)="","",TRIM(UPPER(INDEX(P_Status,ROW()-4))))</f>
        <v/>
      </c>
      <c r="G2392">
        <f>IF(INDEX(L_Status,ROW()-4)="","",TRIM(UPPER(INDEX(L_Status,ROW()-4))))</f>
        <v/>
      </c>
      <c r="J2392">
        <f>IF(INDEX(L_ID,ROW()-4)="","",IF(SUMPRODUCT((P_ID=INDEX(L_ID,ROW()-4))*(P_StatusN="INACTIVE"))&gt;0,1,0))</f>
        <v/>
      </c>
    </row>
    <row r="2393">
      <c r="A2393">
        <f>IF(INDEX(L_ID,ROW()-4)="","",IF(COUNTIF(P_ID,INDEX(L_ID,ROW()-4))&gt;0,1,0))</f>
        <v/>
      </c>
      <c r="B2393">
        <f>IF(INDEX(P_Type,ROW()-4)="","",TRIM(UPPER(INDEX(P_Type,ROW()-4))))</f>
        <v/>
      </c>
      <c r="D2393">
        <f>IF(INDEX(L_Type,ROW()-4)="","",TRIM(UPPER(INDEX(L_Type,ROW()-4))))</f>
        <v/>
      </c>
      <c r="E2393">
        <f>IF(INDEX(P_Status,ROW()-4)="","",TRIM(UPPER(INDEX(P_Status,ROW()-4))))</f>
        <v/>
      </c>
      <c r="G2393">
        <f>IF(INDEX(L_Status,ROW()-4)="","",TRIM(UPPER(INDEX(L_Status,ROW()-4))))</f>
        <v/>
      </c>
      <c r="J2393">
        <f>IF(INDEX(L_ID,ROW()-4)="","",IF(SUMPRODUCT((P_ID=INDEX(L_ID,ROW()-4))*(P_StatusN="INACTIVE"))&gt;0,1,0))</f>
        <v/>
      </c>
    </row>
    <row r="2394">
      <c r="A2394">
        <f>IF(INDEX(L_ID,ROW()-4)="","",IF(COUNTIF(P_ID,INDEX(L_ID,ROW()-4))&gt;0,1,0))</f>
        <v/>
      </c>
      <c r="B2394">
        <f>IF(INDEX(P_Type,ROW()-4)="","",TRIM(UPPER(INDEX(P_Type,ROW()-4))))</f>
        <v/>
      </c>
      <c r="D2394">
        <f>IF(INDEX(L_Type,ROW()-4)="","",TRIM(UPPER(INDEX(L_Type,ROW()-4))))</f>
        <v/>
      </c>
      <c r="E2394">
        <f>IF(INDEX(P_Status,ROW()-4)="","",TRIM(UPPER(INDEX(P_Status,ROW()-4))))</f>
        <v/>
      </c>
      <c r="G2394">
        <f>IF(INDEX(L_Status,ROW()-4)="","",TRIM(UPPER(INDEX(L_Status,ROW()-4))))</f>
        <v/>
      </c>
      <c r="J2394">
        <f>IF(INDEX(L_ID,ROW()-4)="","",IF(SUMPRODUCT((P_ID=INDEX(L_ID,ROW()-4))*(P_StatusN="INACTIVE"))&gt;0,1,0))</f>
        <v/>
      </c>
    </row>
    <row r="2395">
      <c r="A2395">
        <f>IF(INDEX(L_ID,ROW()-4)="","",IF(COUNTIF(P_ID,INDEX(L_ID,ROW()-4))&gt;0,1,0))</f>
        <v/>
      </c>
      <c r="B2395">
        <f>IF(INDEX(P_Type,ROW()-4)="","",TRIM(UPPER(INDEX(P_Type,ROW()-4))))</f>
        <v/>
      </c>
      <c r="D2395">
        <f>IF(INDEX(L_Type,ROW()-4)="","",TRIM(UPPER(INDEX(L_Type,ROW()-4))))</f>
        <v/>
      </c>
      <c r="E2395">
        <f>IF(INDEX(P_Status,ROW()-4)="","",TRIM(UPPER(INDEX(P_Status,ROW()-4))))</f>
        <v/>
      </c>
      <c r="G2395">
        <f>IF(INDEX(L_Status,ROW()-4)="","",TRIM(UPPER(INDEX(L_Status,ROW()-4))))</f>
        <v/>
      </c>
      <c r="J2395">
        <f>IF(INDEX(L_ID,ROW()-4)="","",IF(SUMPRODUCT((P_ID=INDEX(L_ID,ROW()-4))*(P_StatusN="INACTIVE"))&gt;0,1,0))</f>
        <v/>
      </c>
    </row>
    <row r="2396">
      <c r="A2396">
        <f>IF(INDEX(L_ID,ROW()-4)="","",IF(COUNTIF(P_ID,INDEX(L_ID,ROW()-4))&gt;0,1,0))</f>
        <v/>
      </c>
      <c r="B2396">
        <f>IF(INDEX(P_Type,ROW()-4)="","",TRIM(UPPER(INDEX(P_Type,ROW()-4))))</f>
        <v/>
      </c>
      <c r="D2396">
        <f>IF(INDEX(L_Type,ROW()-4)="","",TRIM(UPPER(INDEX(L_Type,ROW()-4))))</f>
        <v/>
      </c>
      <c r="E2396">
        <f>IF(INDEX(P_Status,ROW()-4)="","",TRIM(UPPER(INDEX(P_Status,ROW()-4))))</f>
        <v/>
      </c>
      <c r="G2396">
        <f>IF(INDEX(L_Status,ROW()-4)="","",TRIM(UPPER(INDEX(L_Status,ROW()-4))))</f>
        <v/>
      </c>
      <c r="J2396">
        <f>IF(INDEX(L_ID,ROW()-4)="","",IF(SUMPRODUCT((P_ID=INDEX(L_ID,ROW()-4))*(P_StatusN="INACTIVE"))&gt;0,1,0))</f>
        <v/>
      </c>
    </row>
    <row r="2397">
      <c r="A2397">
        <f>IF(INDEX(L_ID,ROW()-4)="","",IF(COUNTIF(P_ID,INDEX(L_ID,ROW()-4))&gt;0,1,0))</f>
        <v/>
      </c>
      <c r="B2397">
        <f>IF(INDEX(P_Type,ROW()-4)="","",TRIM(UPPER(INDEX(P_Type,ROW()-4))))</f>
        <v/>
      </c>
      <c r="D2397">
        <f>IF(INDEX(L_Type,ROW()-4)="","",TRIM(UPPER(INDEX(L_Type,ROW()-4))))</f>
        <v/>
      </c>
      <c r="E2397">
        <f>IF(INDEX(P_Status,ROW()-4)="","",TRIM(UPPER(INDEX(P_Status,ROW()-4))))</f>
        <v/>
      </c>
      <c r="G2397">
        <f>IF(INDEX(L_Status,ROW()-4)="","",TRIM(UPPER(INDEX(L_Status,ROW()-4))))</f>
        <v/>
      </c>
      <c r="J2397">
        <f>IF(INDEX(L_ID,ROW()-4)="","",IF(SUMPRODUCT((P_ID=INDEX(L_ID,ROW()-4))*(P_StatusN="INACTIVE"))&gt;0,1,0))</f>
        <v/>
      </c>
    </row>
    <row r="2398">
      <c r="A2398">
        <f>IF(INDEX(L_ID,ROW()-4)="","",IF(COUNTIF(P_ID,INDEX(L_ID,ROW()-4))&gt;0,1,0))</f>
        <v/>
      </c>
      <c r="B2398">
        <f>IF(INDEX(P_Type,ROW()-4)="","",TRIM(UPPER(INDEX(P_Type,ROW()-4))))</f>
        <v/>
      </c>
      <c r="D2398">
        <f>IF(INDEX(L_Type,ROW()-4)="","",TRIM(UPPER(INDEX(L_Type,ROW()-4))))</f>
        <v/>
      </c>
      <c r="E2398">
        <f>IF(INDEX(P_Status,ROW()-4)="","",TRIM(UPPER(INDEX(P_Status,ROW()-4))))</f>
        <v/>
      </c>
      <c r="G2398">
        <f>IF(INDEX(L_Status,ROW()-4)="","",TRIM(UPPER(INDEX(L_Status,ROW()-4))))</f>
        <v/>
      </c>
      <c r="J2398">
        <f>IF(INDEX(L_ID,ROW()-4)="","",IF(SUMPRODUCT((P_ID=INDEX(L_ID,ROW()-4))*(P_StatusN="INACTIVE"))&gt;0,1,0))</f>
        <v/>
      </c>
    </row>
    <row r="2399">
      <c r="A2399">
        <f>IF(INDEX(L_ID,ROW()-4)="","",IF(COUNTIF(P_ID,INDEX(L_ID,ROW()-4))&gt;0,1,0))</f>
        <v/>
      </c>
      <c r="B2399">
        <f>IF(INDEX(P_Type,ROW()-4)="","",TRIM(UPPER(INDEX(P_Type,ROW()-4))))</f>
        <v/>
      </c>
      <c r="D2399">
        <f>IF(INDEX(L_Type,ROW()-4)="","",TRIM(UPPER(INDEX(L_Type,ROW()-4))))</f>
        <v/>
      </c>
      <c r="E2399">
        <f>IF(INDEX(P_Status,ROW()-4)="","",TRIM(UPPER(INDEX(P_Status,ROW()-4))))</f>
        <v/>
      </c>
      <c r="G2399">
        <f>IF(INDEX(L_Status,ROW()-4)="","",TRIM(UPPER(INDEX(L_Status,ROW()-4))))</f>
        <v/>
      </c>
      <c r="J2399">
        <f>IF(INDEX(L_ID,ROW()-4)="","",IF(SUMPRODUCT((P_ID=INDEX(L_ID,ROW()-4))*(P_StatusN="INACTIVE"))&gt;0,1,0))</f>
        <v/>
      </c>
    </row>
    <row r="2400">
      <c r="A2400">
        <f>IF(INDEX(L_ID,ROW()-4)="","",IF(COUNTIF(P_ID,INDEX(L_ID,ROW()-4))&gt;0,1,0))</f>
        <v/>
      </c>
      <c r="B2400">
        <f>IF(INDEX(P_Type,ROW()-4)="","",TRIM(UPPER(INDEX(P_Type,ROW()-4))))</f>
        <v/>
      </c>
      <c r="D2400">
        <f>IF(INDEX(L_Type,ROW()-4)="","",TRIM(UPPER(INDEX(L_Type,ROW()-4))))</f>
        <v/>
      </c>
      <c r="E2400">
        <f>IF(INDEX(P_Status,ROW()-4)="","",TRIM(UPPER(INDEX(P_Status,ROW()-4))))</f>
        <v/>
      </c>
      <c r="G2400">
        <f>IF(INDEX(L_Status,ROW()-4)="","",TRIM(UPPER(INDEX(L_Status,ROW()-4))))</f>
        <v/>
      </c>
      <c r="J2400">
        <f>IF(INDEX(L_ID,ROW()-4)="","",IF(SUMPRODUCT((P_ID=INDEX(L_ID,ROW()-4))*(P_StatusN="INACTIVE"))&gt;0,1,0))</f>
        <v/>
      </c>
    </row>
    <row r="2401">
      <c r="A2401">
        <f>IF(INDEX(L_ID,ROW()-4)="","",IF(COUNTIF(P_ID,INDEX(L_ID,ROW()-4))&gt;0,1,0))</f>
        <v/>
      </c>
      <c r="B2401">
        <f>IF(INDEX(P_Type,ROW()-4)="","",TRIM(UPPER(INDEX(P_Type,ROW()-4))))</f>
        <v/>
      </c>
      <c r="D2401">
        <f>IF(INDEX(L_Type,ROW()-4)="","",TRIM(UPPER(INDEX(L_Type,ROW()-4))))</f>
        <v/>
      </c>
      <c r="E2401">
        <f>IF(INDEX(P_Status,ROW()-4)="","",TRIM(UPPER(INDEX(P_Status,ROW()-4))))</f>
        <v/>
      </c>
      <c r="G2401">
        <f>IF(INDEX(L_Status,ROW()-4)="","",TRIM(UPPER(INDEX(L_Status,ROW()-4))))</f>
        <v/>
      </c>
      <c r="J2401">
        <f>IF(INDEX(L_ID,ROW()-4)="","",IF(SUMPRODUCT((P_ID=INDEX(L_ID,ROW()-4))*(P_StatusN="INACTIVE"))&gt;0,1,0))</f>
        <v/>
      </c>
    </row>
    <row r="2402">
      <c r="A2402">
        <f>IF(INDEX(L_ID,ROW()-4)="","",IF(COUNTIF(P_ID,INDEX(L_ID,ROW()-4))&gt;0,1,0))</f>
        <v/>
      </c>
      <c r="B2402">
        <f>IF(INDEX(P_Type,ROW()-4)="","",TRIM(UPPER(INDEX(P_Type,ROW()-4))))</f>
        <v/>
      </c>
      <c r="D2402">
        <f>IF(INDEX(L_Type,ROW()-4)="","",TRIM(UPPER(INDEX(L_Type,ROW()-4))))</f>
        <v/>
      </c>
      <c r="E2402">
        <f>IF(INDEX(P_Status,ROW()-4)="","",TRIM(UPPER(INDEX(P_Status,ROW()-4))))</f>
        <v/>
      </c>
      <c r="G2402">
        <f>IF(INDEX(L_Status,ROW()-4)="","",TRIM(UPPER(INDEX(L_Status,ROW()-4))))</f>
        <v/>
      </c>
      <c r="J2402">
        <f>IF(INDEX(L_ID,ROW()-4)="","",IF(SUMPRODUCT((P_ID=INDEX(L_ID,ROW()-4))*(P_StatusN="INACTIVE"))&gt;0,1,0))</f>
        <v/>
      </c>
    </row>
    <row r="2403">
      <c r="A2403">
        <f>IF(INDEX(L_ID,ROW()-4)="","",IF(COUNTIF(P_ID,INDEX(L_ID,ROW()-4))&gt;0,1,0))</f>
        <v/>
      </c>
      <c r="B2403">
        <f>IF(INDEX(P_Type,ROW()-4)="","",TRIM(UPPER(INDEX(P_Type,ROW()-4))))</f>
        <v/>
      </c>
      <c r="D2403">
        <f>IF(INDEX(L_Type,ROW()-4)="","",TRIM(UPPER(INDEX(L_Type,ROW()-4))))</f>
        <v/>
      </c>
      <c r="E2403">
        <f>IF(INDEX(P_Status,ROW()-4)="","",TRIM(UPPER(INDEX(P_Status,ROW()-4))))</f>
        <v/>
      </c>
      <c r="G2403">
        <f>IF(INDEX(L_Status,ROW()-4)="","",TRIM(UPPER(INDEX(L_Status,ROW()-4))))</f>
        <v/>
      </c>
      <c r="J2403">
        <f>IF(INDEX(L_ID,ROW()-4)="","",IF(SUMPRODUCT((P_ID=INDEX(L_ID,ROW()-4))*(P_StatusN="INACTIVE"))&gt;0,1,0))</f>
        <v/>
      </c>
    </row>
    <row r="2404">
      <c r="A2404">
        <f>IF(INDEX(L_ID,ROW()-4)="","",IF(COUNTIF(P_ID,INDEX(L_ID,ROW()-4))&gt;0,1,0))</f>
        <v/>
      </c>
      <c r="B2404">
        <f>IF(INDEX(P_Type,ROW()-4)="","",TRIM(UPPER(INDEX(P_Type,ROW()-4))))</f>
        <v/>
      </c>
      <c r="D2404">
        <f>IF(INDEX(L_Type,ROW()-4)="","",TRIM(UPPER(INDEX(L_Type,ROW()-4))))</f>
        <v/>
      </c>
      <c r="E2404">
        <f>IF(INDEX(P_Status,ROW()-4)="","",TRIM(UPPER(INDEX(P_Status,ROW()-4))))</f>
        <v/>
      </c>
      <c r="G2404">
        <f>IF(INDEX(L_Status,ROW()-4)="","",TRIM(UPPER(INDEX(L_Status,ROW()-4))))</f>
        <v/>
      </c>
      <c r="J2404">
        <f>IF(INDEX(L_ID,ROW()-4)="","",IF(SUMPRODUCT((P_ID=INDEX(L_ID,ROW()-4))*(P_StatusN="INACTIVE"))&gt;0,1,0))</f>
        <v/>
      </c>
    </row>
    <row r="2405">
      <c r="A2405">
        <f>IF(INDEX(L_ID,ROW()-4)="","",IF(COUNTIF(P_ID,INDEX(L_ID,ROW()-4))&gt;0,1,0))</f>
        <v/>
      </c>
      <c r="B2405">
        <f>IF(INDEX(P_Type,ROW()-4)="","",TRIM(UPPER(INDEX(P_Type,ROW()-4))))</f>
        <v/>
      </c>
      <c r="D2405">
        <f>IF(INDEX(L_Type,ROW()-4)="","",TRIM(UPPER(INDEX(L_Type,ROW()-4))))</f>
        <v/>
      </c>
      <c r="E2405">
        <f>IF(INDEX(P_Status,ROW()-4)="","",TRIM(UPPER(INDEX(P_Status,ROW()-4))))</f>
        <v/>
      </c>
      <c r="G2405">
        <f>IF(INDEX(L_Status,ROW()-4)="","",TRIM(UPPER(INDEX(L_Status,ROW()-4))))</f>
        <v/>
      </c>
      <c r="J2405">
        <f>IF(INDEX(L_ID,ROW()-4)="","",IF(SUMPRODUCT((P_ID=INDEX(L_ID,ROW()-4))*(P_StatusN="INACTIVE"))&gt;0,1,0))</f>
        <v/>
      </c>
    </row>
    <row r="2406">
      <c r="A2406">
        <f>IF(INDEX(L_ID,ROW()-4)="","",IF(COUNTIF(P_ID,INDEX(L_ID,ROW()-4))&gt;0,1,0))</f>
        <v/>
      </c>
      <c r="B2406">
        <f>IF(INDEX(P_Type,ROW()-4)="","",TRIM(UPPER(INDEX(P_Type,ROW()-4))))</f>
        <v/>
      </c>
      <c r="D2406">
        <f>IF(INDEX(L_Type,ROW()-4)="","",TRIM(UPPER(INDEX(L_Type,ROW()-4))))</f>
        <v/>
      </c>
      <c r="E2406">
        <f>IF(INDEX(P_Status,ROW()-4)="","",TRIM(UPPER(INDEX(P_Status,ROW()-4))))</f>
        <v/>
      </c>
      <c r="G2406">
        <f>IF(INDEX(L_Status,ROW()-4)="","",TRIM(UPPER(INDEX(L_Status,ROW()-4))))</f>
        <v/>
      </c>
      <c r="J2406">
        <f>IF(INDEX(L_ID,ROW()-4)="","",IF(SUMPRODUCT((P_ID=INDEX(L_ID,ROW()-4))*(P_StatusN="INACTIVE"))&gt;0,1,0))</f>
        <v/>
      </c>
    </row>
    <row r="2407">
      <c r="A2407">
        <f>IF(INDEX(L_ID,ROW()-4)="","",IF(COUNTIF(P_ID,INDEX(L_ID,ROW()-4))&gt;0,1,0))</f>
        <v/>
      </c>
      <c r="B2407">
        <f>IF(INDEX(P_Type,ROW()-4)="","",TRIM(UPPER(INDEX(P_Type,ROW()-4))))</f>
        <v/>
      </c>
      <c r="D2407">
        <f>IF(INDEX(L_Type,ROW()-4)="","",TRIM(UPPER(INDEX(L_Type,ROW()-4))))</f>
        <v/>
      </c>
      <c r="E2407">
        <f>IF(INDEX(P_Status,ROW()-4)="","",TRIM(UPPER(INDEX(P_Status,ROW()-4))))</f>
        <v/>
      </c>
      <c r="G2407">
        <f>IF(INDEX(L_Status,ROW()-4)="","",TRIM(UPPER(INDEX(L_Status,ROW()-4))))</f>
        <v/>
      </c>
      <c r="J2407">
        <f>IF(INDEX(L_ID,ROW()-4)="","",IF(SUMPRODUCT((P_ID=INDEX(L_ID,ROW()-4))*(P_StatusN="INACTIVE"))&gt;0,1,0))</f>
        <v/>
      </c>
    </row>
    <row r="2408">
      <c r="A2408">
        <f>IF(INDEX(L_ID,ROW()-4)="","",IF(COUNTIF(P_ID,INDEX(L_ID,ROW()-4))&gt;0,1,0))</f>
        <v/>
      </c>
      <c r="B2408">
        <f>IF(INDEX(P_Type,ROW()-4)="","",TRIM(UPPER(INDEX(P_Type,ROW()-4))))</f>
        <v/>
      </c>
      <c r="D2408">
        <f>IF(INDEX(L_Type,ROW()-4)="","",TRIM(UPPER(INDEX(L_Type,ROW()-4))))</f>
        <v/>
      </c>
      <c r="E2408">
        <f>IF(INDEX(P_Status,ROW()-4)="","",TRIM(UPPER(INDEX(P_Status,ROW()-4))))</f>
        <v/>
      </c>
      <c r="G2408">
        <f>IF(INDEX(L_Status,ROW()-4)="","",TRIM(UPPER(INDEX(L_Status,ROW()-4))))</f>
        <v/>
      </c>
      <c r="J2408">
        <f>IF(INDEX(L_ID,ROW()-4)="","",IF(SUMPRODUCT((P_ID=INDEX(L_ID,ROW()-4))*(P_StatusN="INACTIVE"))&gt;0,1,0))</f>
        <v/>
      </c>
    </row>
    <row r="2409">
      <c r="A2409">
        <f>IF(INDEX(L_ID,ROW()-4)="","",IF(COUNTIF(P_ID,INDEX(L_ID,ROW()-4))&gt;0,1,0))</f>
        <v/>
      </c>
      <c r="B2409">
        <f>IF(INDEX(P_Type,ROW()-4)="","",TRIM(UPPER(INDEX(P_Type,ROW()-4))))</f>
        <v/>
      </c>
      <c r="D2409">
        <f>IF(INDEX(L_Type,ROW()-4)="","",TRIM(UPPER(INDEX(L_Type,ROW()-4))))</f>
        <v/>
      </c>
      <c r="E2409">
        <f>IF(INDEX(P_Status,ROW()-4)="","",TRIM(UPPER(INDEX(P_Status,ROW()-4))))</f>
        <v/>
      </c>
      <c r="G2409">
        <f>IF(INDEX(L_Status,ROW()-4)="","",TRIM(UPPER(INDEX(L_Status,ROW()-4))))</f>
        <v/>
      </c>
      <c r="J2409">
        <f>IF(INDEX(L_ID,ROW()-4)="","",IF(SUMPRODUCT((P_ID=INDEX(L_ID,ROW()-4))*(P_StatusN="INACTIVE"))&gt;0,1,0))</f>
        <v/>
      </c>
    </row>
    <row r="2410">
      <c r="A2410">
        <f>IF(INDEX(L_ID,ROW()-4)="","",IF(COUNTIF(P_ID,INDEX(L_ID,ROW()-4))&gt;0,1,0))</f>
        <v/>
      </c>
      <c r="B2410">
        <f>IF(INDEX(P_Type,ROW()-4)="","",TRIM(UPPER(INDEX(P_Type,ROW()-4))))</f>
        <v/>
      </c>
      <c r="D2410">
        <f>IF(INDEX(L_Type,ROW()-4)="","",TRIM(UPPER(INDEX(L_Type,ROW()-4))))</f>
        <v/>
      </c>
      <c r="E2410">
        <f>IF(INDEX(P_Status,ROW()-4)="","",TRIM(UPPER(INDEX(P_Status,ROW()-4))))</f>
        <v/>
      </c>
      <c r="G2410">
        <f>IF(INDEX(L_Status,ROW()-4)="","",TRIM(UPPER(INDEX(L_Status,ROW()-4))))</f>
        <v/>
      </c>
      <c r="J2410">
        <f>IF(INDEX(L_ID,ROW()-4)="","",IF(SUMPRODUCT((P_ID=INDEX(L_ID,ROW()-4))*(P_StatusN="INACTIVE"))&gt;0,1,0))</f>
        <v/>
      </c>
    </row>
    <row r="2411">
      <c r="A2411">
        <f>IF(INDEX(L_ID,ROW()-4)="","",IF(COUNTIF(P_ID,INDEX(L_ID,ROW()-4))&gt;0,1,0))</f>
        <v/>
      </c>
      <c r="B2411">
        <f>IF(INDEX(P_Type,ROW()-4)="","",TRIM(UPPER(INDEX(P_Type,ROW()-4))))</f>
        <v/>
      </c>
      <c r="D2411">
        <f>IF(INDEX(L_Type,ROW()-4)="","",TRIM(UPPER(INDEX(L_Type,ROW()-4))))</f>
        <v/>
      </c>
      <c r="E2411">
        <f>IF(INDEX(P_Status,ROW()-4)="","",TRIM(UPPER(INDEX(P_Status,ROW()-4))))</f>
        <v/>
      </c>
      <c r="G2411">
        <f>IF(INDEX(L_Status,ROW()-4)="","",TRIM(UPPER(INDEX(L_Status,ROW()-4))))</f>
        <v/>
      </c>
      <c r="J2411">
        <f>IF(INDEX(L_ID,ROW()-4)="","",IF(SUMPRODUCT((P_ID=INDEX(L_ID,ROW()-4))*(P_StatusN="INACTIVE"))&gt;0,1,0))</f>
        <v/>
      </c>
    </row>
    <row r="2412">
      <c r="A2412">
        <f>IF(INDEX(L_ID,ROW()-4)="","",IF(COUNTIF(P_ID,INDEX(L_ID,ROW()-4))&gt;0,1,0))</f>
        <v/>
      </c>
      <c r="B2412">
        <f>IF(INDEX(P_Type,ROW()-4)="","",TRIM(UPPER(INDEX(P_Type,ROW()-4))))</f>
        <v/>
      </c>
      <c r="D2412">
        <f>IF(INDEX(L_Type,ROW()-4)="","",TRIM(UPPER(INDEX(L_Type,ROW()-4))))</f>
        <v/>
      </c>
      <c r="E2412">
        <f>IF(INDEX(P_Status,ROW()-4)="","",TRIM(UPPER(INDEX(P_Status,ROW()-4))))</f>
        <v/>
      </c>
      <c r="G2412">
        <f>IF(INDEX(L_Status,ROW()-4)="","",TRIM(UPPER(INDEX(L_Status,ROW()-4))))</f>
        <v/>
      </c>
      <c r="J2412">
        <f>IF(INDEX(L_ID,ROW()-4)="","",IF(SUMPRODUCT((P_ID=INDEX(L_ID,ROW()-4))*(P_StatusN="INACTIVE"))&gt;0,1,0))</f>
        <v/>
      </c>
    </row>
    <row r="2413">
      <c r="A2413">
        <f>IF(INDEX(L_ID,ROW()-4)="","",IF(COUNTIF(P_ID,INDEX(L_ID,ROW()-4))&gt;0,1,0))</f>
        <v/>
      </c>
      <c r="B2413">
        <f>IF(INDEX(P_Type,ROW()-4)="","",TRIM(UPPER(INDEX(P_Type,ROW()-4))))</f>
        <v/>
      </c>
      <c r="D2413">
        <f>IF(INDEX(L_Type,ROW()-4)="","",TRIM(UPPER(INDEX(L_Type,ROW()-4))))</f>
        <v/>
      </c>
      <c r="E2413">
        <f>IF(INDEX(P_Status,ROW()-4)="","",TRIM(UPPER(INDEX(P_Status,ROW()-4))))</f>
        <v/>
      </c>
      <c r="G2413">
        <f>IF(INDEX(L_Status,ROW()-4)="","",TRIM(UPPER(INDEX(L_Status,ROW()-4))))</f>
        <v/>
      </c>
      <c r="J2413">
        <f>IF(INDEX(L_ID,ROW()-4)="","",IF(SUMPRODUCT((P_ID=INDEX(L_ID,ROW()-4))*(P_StatusN="INACTIVE"))&gt;0,1,0))</f>
        <v/>
      </c>
    </row>
    <row r="2414">
      <c r="A2414">
        <f>IF(INDEX(L_ID,ROW()-4)="","",IF(COUNTIF(P_ID,INDEX(L_ID,ROW()-4))&gt;0,1,0))</f>
        <v/>
      </c>
      <c r="B2414">
        <f>IF(INDEX(P_Type,ROW()-4)="","",TRIM(UPPER(INDEX(P_Type,ROW()-4))))</f>
        <v/>
      </c>
      <c r="D2414">
        <f>IF(INDEX(L_Type,ROW()-4)="","",TRIM(UPPER(INDEX(L_Type,ROW()-4))))</f>
        <v/>
      </c>
      <c r="E2414">
        <f>IF(INDEX(P_Status,ROW()-4)="","",TRIM(UPPER(INDEX(P_Status,ROW()-4))))</f>
        <v/>
      </c>
      <c r="G2414">
        <f>IF(INDEX(L_Status,ROW()-4)="","",TRIM(UPPER(INDEX(L_Status,ROW()-4))))</f>
        <v/>
      </c>
      <c r="J2414">
        <f>IF(INDEX(L_ID,ROW()-4)="","",IF(SUMPRODUCT((P_ID=INDEX(L_ID,ROW()-4))*(P_StatusN="INACTIVE"))&gt;0,1,0))</f>
        <v/>
      </c>
    </row>
    <row r="2415">
      <c r="A2415">
        <f>IF(INDEX(L_ID,ROW()-4)="","",IF(COUNTIF(P_ID,INDEX(L_ID,ROW()-4))&gt;0,1,0))</f>
        <v/>
      </c>
      <c r="B2415">
        <f>IF(INDEX(P_Type,ROW()-4)="","",TRIM(UPPER(INDEX(P_Type,ROW()-4))))</f>
        <v/>
      </c>
      <c r="D2415">
        <f>IF(INDEX(L_Type,ROW()-4)="","",TRIM(UPPER(INDEX(L_Type,ROW()-4))))</f>
        <v/>
      </c>
      <c r="E2415">
        <f>IF(INDEX(P_Status,ROW()-4)="","",TRIM(UPPER(INDEX(P_Status,ROW()-4))))</f>
        <v/>
      </c>
      <c r="G2415">
        <f>IF(INDEX(L_Status,ROW()-4)="","",TRIM(UPPER(INDEX(L_Status,ROW()-4))))</f>
        <v/>
      </c>
      <c r="J2415">
        <f>IF(INDEX(L_ID,ROW()-4)="","",IF(SUMPRODUCT((P_ID=INDEX(L_ID,ROW()-4))*(P_StatusN="INACTIVE"))&gt;0,1,0))</f>
        <v/>
      </c>
    </row>
    <row r="2416">
      <c r="A2416">
        <f>IF(INDEX(L_ID,ROW()-4)="","",IF(COUNTIF(P_ID,INDEX(L_ID,ROW()-4))&gt;0,1,0))</f>
        <v/>
      </c>
      <c r="B2416">
        <f>IF(INDEX(P_Type,ROW()-4)="","",TRIM(UPPER(INDEX(P_Type,ROW()-4))))</f>
        <v/>
      </c>
      <c r="D2416">
        <f>IF(INDEX(L_Type,ROW()-4)="","",TRIM(UPPER(INDEX(L_Type,ROW()-4))))</f>
        <v/>
      </c>
      <c r="E2416">
        <f>IF(INDEX(P_Status,ROW()-4)="","",TRIM(UPPER(INDEX(P_Status,ROW()-4))))</f>
        <v/>
      </c>
      <c r="G2416">
        <f>IF(INDEX(L_Status,ROW()-4)="","",TRIM(UPPER(INDEX(L_Status,ROW()-4))))</f>
        <v/>
      </c>
      <c r="J2416">
        <f>IF(INDEX(L_ID,ROW()-4)="","",IF(SUMPRODUCT((P_ID=INDEX(L_ID,ROW()-4))*(P_StatusN="INACTIVE"))&gt;0,1,0))</f>
        <v/>
      </c>
    </row>
    <row r="2417">
      <c r="A2417">
        <f>IF(INDEX(L_ID,ROW()-4)="","",IF(COUNTIF(P_ID,INDEX(L_ID,ROW()-4))&gt;0,1,0))</f>
        <v/>
      </c>
      <c r="B2417">
        <f>IF(INDEX(P_Type,ROW()-4)="","",TRIM(UPPER(INDEX(P_Type,ROW()-4))))</f>
        <v/>
      </c>
      <c r="D2417">
        <f>IF(INDEX(L_Type,ROW()-4)="","",TRIM(UPPER(INDEX(L_Type,ROW()-4))))</f>
        <v/>
      </c>
      <c r="E2417">
        <f>IF(INDEX(P_Status,ROW()-4)="","",TRIM(UPPER(INDEX(P_Status,ROW()-4))))</f>
        <v/>
      </c>
      <c r="G2417">
        <f>IF(INDEX(L_Status,ROW()-4)="","",TRIM(UPPER(INDEX(L_Status,ROW()-4))))</f>
        <v/>
      </c>
      <c r="J2417">
        <f>IF(INDEX(L_ID,ROW()-4)="","",IF(SUMPRODUCT((P_ID=INDEX(L_ID,ROW()-4))*(P_StatusN="INACTIVE"))&gt;0,1,0))</f>
        <v/>
      </c>
    </row>
    <row r="2418">
      <c r="A2418">
        <f>IF(INDEX(L_ID,ROW()-4)="","",IF(COUNTIF(P_ID,INDEX(L_ID,ROW()-4))&gt;0,1,0))</f>
        <v/>
      </c>
      <c r="B2418">
        <f>IF(INDEX(P_Type,ROW()-4)="","",TRIM(UPPER(INDEX(P_Type,ROW()-4))))</f>
        <v/>
      </c>
      <c r="D2418">
        <f>IF(INDEX(L_Type,ROW()-4)="","",TRIM(UPPER(INDEX(L_Type,ROW()-4))))</f>
        <v/>
      </c>
      <c r="E2418">
        <f>IF(INDEX(P_Status,ROW()-4)="","",TRIM(UPPER(INDEX(P_Status,ROW()-4))))</f>
        <v/>
      </c>
      <c r="G2418">
        <f>IF(INDEX(L_Status,ROW()-4)="","",TRIM(UPPER(INDEX(L_Status,ROW()-4))))</f>
        <v/>
      </c>
      <c r="J2418">
        <f>IF(INDEX(L_ID,ROW()-4)="","",IF(SUMPRODUCT((P_ID=INDEX(L_ID,ROW()-4))*(P_StatusN="INACTIVE"))&gt;0,1,0))</f>
        <v/>
      </c>
    </row>
    <row r="2419">
      <c r="A2419">
        <f>IF(INDEX(L_ID,ROW()-4)="","",IF(COUNTIF(P_ID,INDEX(L_ID,ROW()-4))&gt;0,1,0))</f>
        <v/>
      </c>
      <c r="B2419">
        <f>IF(INDEX(P_Type,ROW()-4)="","",TRIM(UPPER(INDEX(P_Type,ROW()-4))))</f>
        <v/>
      </c>
      <c r="D2419">
        <f>IF(INDEX(L_Type,ROW()-4)="","",TRIM(UPPER(INDEX(L_Type,ROW()-4))))</f>
        <v/>
      </c>
      <c r="E2419">
        <f>IF(INDEX(P_Status,ROW()-4)="","",TRIM(UPPER(INDEX(P_Status,ROW()-4))))</f>
        <v/>
      </c>
      <c r="G2419">
        <f>IF(INDEX(L_Status,ROW()-4)="","",TRIM(UPPER(INDEX(L_Status,ROW()-4))))</f>
        <v/>
      </c>
      <c r="J2419">
        <f>IF(INDEX(L_ID,ROW()-4)="","",IF(SUMPRODUCT((P_ID=INDEX(L_ID,ROW()-4))*(P_StatusN="INACTIVE"))&gt;0,1,0))</f>
        <v/>
      </c>
    </row>
    <row r="2420">
      <c r="A2420">
        <f>IF(INDEX(L_ID,ROW()-4)="","",IF(COUNTIF(P_ID,INDEX(L_ID,ROW()-4))&gt;0,1,0))</f>
        <v/>
      </c>
      <c r="B2420">
        <f>IF(INDEX(P_Type,ROW()-4)="","",TRIM(UPPER(INDEX(P_Type,ROW()-4))))</f>
        <v/>
      </c>
      <c r="D2420">
        <f>IF(INDEX(L_Type,ROW()-4)="","",TRIM(UPPER(INDEX(L_Type,ROW()-4))))</f>
        <v/>
      </c>
      <c r="E2420">
        <f>IF(INDEX(P_Status,ROW()-4)="","",TRIM(UPPER(INDEX(P_Status,ROW()-4))))</f>
        <v/>
      </c>
      <c r="G2420">
        <f>IF(INDEX(L_Status,ROW()-4)="","",TRIM(UPPER(INDEX(L_Status,ROW()-4))))</f>
        <v/>
      </c>
      <c r="J2420">
        <f>IF(INDEX(L_ID,ROW()-4)="","",IF(SUMPRODUCT((P_ID=INDEX(L_ID,ROW()-4))*(P_StatusN="INACTIVE"))&gt;0,1,0))</f>
        <v/>
      </c>
    </row>
    <row r="2421">
      <c r="A2421">
        <f>IF(INDEX(L_ID,ROW()-4)="","",IF(COUNTIF(P_ID,INDEX(L_ID,ROW()-4))&gt;0,1,0))</f>
        <v/>
      </c>
      <c r="B2421">
        <f>IF(INDEX(P_Type,ROW()-4)="","",TRIM(UPPER(INDEX(P_Type,ROW()-4))))</f>
        <v/>
      </c>
      <c r="D2421">
        <f>IF(INDEX(L_Type,ROW()-4)="","",TRIM(UPPER(INDEX(L_Type,ROW()-4))))</f>
        <v/>
      </c>
      <c r="E2421">
        <f>IF(INDEX(P_Status,ROW()-4)="","",TRIM(UPPER(INDEX(P_Status,ROW()-4))))</f>
        <v/>
      </c>
      <c r="G2421">
        <f>IF(INDEX(L_Status,ROW()-4)="","",TRIM(UPPER(INDEX(L_Status,ROW()-4))))</f>
        <v/>
      </c>
      <c r="J2421">
        <f>IF(INDEX(L_ID,ROW()-4)="","",IF(SUMPRODUCT((P_ID=INDEX(L_ID,ROW()-4))*(P_StatusN="INACTIVE"))&gt;0,1,0))</f>
        <v/>
      </c>
    </row>
    <row r="2422">
      <c r="A2422">
        <f>IF(INDEX(L_ID,ROW()-4)="","",IF(COUNTIF(P_ID,INDEX(L_ID,ROW()-4))&gt;0,1,0))</f>
        <v/>
      </c>
      <c r="B2422">
        <f>IF(INDEX(P_Type,ROW()-4)="","",TRIM(UPPER(INDEX(P_Type,ROW()-4))))</f>
        <v/>
      </c>
      <c r="D2422">
        <f>IF(INDEX(L_Type,ROW()-4)="","",TRIM(UPPER(INDEX(L_Type,ROW()-4))))</f>
        <v/>
      </c>
      <c r="E2422">
        <f>IF(INDEX(P_Status,ROW()-4)="","",TRIM(UPPER(INDEX(P_Status,ROW()-4))))</f>
        <v/>
      </c>
      <c r="G2422">
        <f>IF(INDEX(L_Status,ROW()-4)="","",TRIM(UPPER(INDEX(L_Status,ROW()-4))))</f>
        <v/>
      </c>
      <c r="J2422">
        <f>IF(INDEX(L_ID,ROW()-4)="","",IF(SUMPRODUCT((P_ID=INDEX(L_ID,ROW()-4))*(P_StatusN="INACTIVE"))&gt;0,1,0))</f>
        <v/>
      </c>
    </row>
    <row r="2423">
      <c r="A2423">
        <f>IF(INDEX(L_ID,ROW()-4)="","",IF(COUNTIF(P_ID,INDEX(L_ID,ROW()-4))&gt;0,1,0))</f>
        <v/>
      </c>
      <c r="B2423">
        <f>IF(INDEX(P_Type,ROW()-4)="","",TRIM(UPPER(INDEX(P_Type,ROW()-4))))</f>
        <v/>
      </c>
      <c r="D2423">
        <f>IF(INDEX(L_Type,ROW()-4)="","",TRIM(UPPER(INDEX(L_Type,ROW()-4))))</f>
        <v/>
      </c>
      <c r="E2423">
        <f>IF(INDEX(P_Status,ROW()-4)="","",TRIM(UPPER(INDEX(P_Status,ROW()-4))))</f>
        <v/>
      </c>
      <c r="G2423">
        <f>IF(INDEX(L_Status,ROW()-4)="","",TRIM(UPPER(INDEX(L_Status,ROW()-4))))</f>
        <v/>
      </c>
      <c r="J2423">
        <f>IF(INDEX(L_ID,ROW()-4)="","",IF(SUMPRODUCT((P_ID=INDEX(L_ID,ROW()-4))*(P_StatusN="INACTIVE"))&gt;0,1,0))</f>
        <v/>
      </c>
    </row>
    <row r="2424">
      <c r="A2424">
        <f>IF(INDEX(L_ID,ROW()-4)="","",IF(COUNTIF(P_ID,INDEX(L_ID,ROW()-4))&gt;0,1,0))</f>
        <v/>
      </c>
      <c r="B2424">
        <f>IF(INDEX(P_Type,ROW()-4)="","",TRIM(UPPER(INDEX(P_Type,ROW()-4))))</f>
        <v/>
      </c>
      <c r="D2424">
        <f>IF(INDEX(L_Type,ROW()-4)="","",TRIM(UPPER(INDEX(L_Type,ROW()-4))))</f>
        <v/>
      </c>
      <c r="E2424">
        <f>IF(INDEX(P_Status,ROW()-4)="","",TRIM(UPPER(INDEX(P_Status,ROW()-4))))</f>
        <v/>
      </c>
      <c r="G2424">
        <f>IF(INDEX(L_Status,ROW()-4)="","",TRIM(UPPER(INDEX(L_Status,ROW()-4))))</f>
        <v/>
      </c>
      <c r="J2424">
        <f>IF(INDEX(L_ID,ROW()-4)="","",IF(SUMPRODUCT((P_ID=INDEX(L_ID,ROW()-4))*(P_StatusN="INACTIVE"))&gt;0,1,0))</f>
        <v/>
      </c>
    </row>
    <row r="2425">
      <c r="A2425">
        <f>IF(INDEX(L_ID,ROW()-4)="","",IF(COUNTIF(P_ID,INDEX(L_ID,ROW()-4))&gt;0,1,0))</f>
        <v/>
      </c>
      <c r="B2425">
        <f>IF(INDEX(P_Type,ROW()-4)="","",TRIM(UPPER(INDEX(P_Type,ROW()-4))))</f>
        <v/>
      </c>
      <c r="D2425">
        <f>IF(INDEX(L_Type,ROW()-4)="","",TRIM(UPPER(INDEX(L_Type,ROW()-4))))</f>
        <v/>
      </c>
      <c r="E2425">
        <f>IF(INDEX(P_Status,ROW()-4)="","",TRIM(UPPER(INDEX(P_Status,ROW()-4))))</f>
        <v/>
      </c>
      <c r="G2425">
        <f>IF(INDEX(L_Status,ROW()-4)="","",TRIM(UPPER(INDEX(L_Status,ROW()-4))))</f>
        <v/>
      </c>
      <c r="J2425">
        <f>IF(INDEX(L_ID,ROW()-4)="","",IF(SUMPRODUCT((P_ID=INDEX(L_ID,ROW()-4))*(P_StatusN="INACTIVE"))&gt;0,1,0))</f>
        <v/>
      </c>
    </row>
    <row r="2426">
      <c r="A2426">
        <f>IF(INDEX(L_ID,ROW()-4)="","",IF(COUNTIF(P_ID,INDEX(L_ID,ROW()-4))&gt;0,1,0))</f>
        <v/>
      </c>
      <c r="B2426">
        <f>IF(INDEX(P_Type,ROW()-4)="","",TRIM(UPPER(INDEX(P_Type,ROW()-4))))</f>
        <v/>
      </c>
      <c r="D2426">
        <f>IF(INDEX(L_Type,ROW()-4)="","",TRIM(UPPER(INDEX(L_Type,ROW()-4))))</f>
        <v/>
      </c>
      <c r="E2426">
        <f>IF(INDEX(P_Status,ROW()-4)="","",TRIM(UPPER(INDEX(P_Status,ROW()-4))))</f>
        <v/>
      </c>
      <c r="G2426">
        <f>IF(INDEX(L_Status,ROW()-4)="","",TRIM(UPPER(INDEX(L_Status,ROW()-4))))</f>
        <v/>
      </c>
      <c r="J2426">
        <f>IF(INDEX(L_ID,ROW()-4)="","",IF(SUMPRODUCT((P_ID=INDEX(L_ID,ROW()-4))*(P_StatusN="INACTIVE"))&gt;0,1,0))</f>
        <v/>
      </c>
    </row>
    <row r="2427">
      <c r="A2427">
        <f>IF(INDEX(L_ID,ROW()-4)="","",IF(COUNTIF(P_ID,INDEX(L_ID,ROW()-4))&gt;0,1,0))</f>
        <v/>
      </c>
      <c r="B2427">
        <f>IF(INDEX(P_Type,ROW()-4)="","",TRIM(UPPER(INDEX(P_Type,ROW()-4))))</f>
        <v/>
      </c>
      <c r="D2427">
        <f>IF(INDEX(L_Type,ROW()-4)="","",TRIM(UPPER(INDEX(L_Type,ROW()-4))))</f>
        <v/>
      </c>
      <c r="E2427">
        <f>IF(INDEX(P_Status,ROW()-4)="","",TRIM(UPPER(INDEX(P_Status,ROW()-4))))</f>
        <v/>
      </c>
      <c r="G2427">
        <f>IF(INDEX(L_Status,ROW()-4)="","",TRIM(UPPER(INDEX(L_Status,ROW()-4))))</f>
        <v/>
      </c>
      <c r="J2427">
        <f>IF(INDEX(L_ID,ROW()-4)="","",IF(SUMPRODUCT((P_ID=INDEX(L_ID,ROW()-4))*(P_StatusN="INACTIVE"))&gt;0,1,0))</f>
        <v/>
      </c>
    </row>
    <row r="2428">
      <c r="A2428">
        <f>IF(INDEX(L_ID,ROW()-4)="","",IF(COUNTIF(P_ID,INDEX(L_ID,ROW()-4))&gt;0,1,0))</f>
        <v/>
      </c>
      <c r="B2428">
        <f>IF(INDEX(P_Type,ROW()-4)="","",TRIM(UPPER(INDEX(P_Type,ROW()-4))))</f>
        <v/>
      </c>
      <c r="D2428">
        <f>IF(INDEX(L_Type,ROW()-4)="","",TRIM(UPPER(INDEX(L_Type,ROW()-4))))</f>
        <v/>
      </c>
      <c r="E2428">
        <f>IF(INDEX(P_Status,ROW()-4)="","",TRIM(UPPER(INDEX(P_Status,ROW()-4))))</f>
        <v/>
      </c>
      <c r="G2428">
        <f>IF(INDEX(L_Status,ROW()-4)="","",TRIM(UPPER(INDEX(L_Status,ROW()-4))))</f>
        <v/>
      </c>
      <c r="J2428">
        <f>IF(INDEX(L_ID,ROW()-4)="","",IF(SUMPRODUCT((P_ID=INDEX(L_ID,ROW()-4))*(P_StatusN="INACTIVE"))&gt;0,1,0))</f>
        <v/>
      </c>
    </row>
    <row r="2429">
      <c r="A2429">
        <f>IF(INDEX(L_ID,ROW()-4)="","",IF(COUNTIF(P_ID,INDEX(L_ID,ROW()-4))&gt;0,1,0))</f>
        <v/>
      </c>
      <c r="B2429">
        <f>IF(INDEX(P_Type,ROW()-4)="","",TRIM(UPPER(INDEX(P_Type,ROW()-4))))</f>
        <v/>
      </c>
      <c r="D2429">
        <f>IF(INDEX(L_Type,ROW()-4)="","",TRIM(UPPER(INDEX(L_Type,ROW()-4))))</f>
        <v/>
      </c>
      <c r="E2429">
        <f>IF(INDEX(P_Status,ROW()-4)="","",TRIM(UPPER(INDEX(P_Status,ROW()-4))))</f>
        <v/>
      </c>
      <c r="G2429">
        <f>IF(INDEX(L_Status,ROW()-4)="","",TRIM(UPPER(INDEX(L_Status,ROW()-4))))</f>
        <v/>
      </c>
      <c r="J2429">
        <f>IF(INDEX(L_ID,ROW()-4)="","",IF(SUMPRODUCT((P_ID=INDEX(L_ID,ROW()-4))*(P_StatusN="INACTIVE"))&gt;0,1,0))</f>
        <v/>
      </c>
    </row>
    <row r="2430">
      <c r="A2430">
        <f>IF(INDEX(L_ID,ROW()-4)="","",IF(COUNTIF(P_ID,INDEX(L_ID,ROW()-4))&gt;0,1,0))</f>
        <v/>
      </c>
      <c r="B2430">
        <f>IF(INDEX(P_Type,ROW()-4)="","",TRIM(UPPER(INDEX(P_Type,ROW()-4))))</f>
        <v/>
      </c>
      <c r="D2430">
        <f>IF(INDEX(L_Type,ROW()-4)="","",TRIM(UPPER(INDEX(L_Type,ROW()-4))))</f>
        <v/>
      </c>
      <c r="E2430">
        <f>IF(INDEX(P_Status,ROW()-4)="","",TRIM(UPPER(INDEX(P_Status,ROW()-4))))</f>
        <v/>
      </c>
      <c r="G2430">
        <f>IF(INDEX(L_Status,ROW()-4)="","",TRIM(UPPER(INDEX(L_Status,ROW()-4))))</f>
        <v/>
      </c>
      <c r="J2430">
        <f>IF(INDEX(L_ID,ROW()-4)="","",IF(SUMPRODUCT((P_ID=INDEX(L_ID,ROW()-4))*(P_StatusN="INACTIVE"))&gt;0,1,0))</f>
        <v/>
      </c>
    </row>
    <row r="2431">
      <c r="A2431">
        <f>IF(INDEX(L_ID,ROW()-4)="","",IF(COUNTIF(P_ID,INDEX(L_ID,ROW()-4))&gt;0,1,0))</f>
        <v/>
      </c>
      <c r="B2431">
        <f>IF(INDEX(P_Type,ROW()-4)="","",TRIM(UPPER(INDEX(P_Type,ROW()-4))))</f>
        <v/>
      </c>
      <c r="D2431">
        <f>IF(INDEX(L_Type,ROW()-4)="","",TRIM(UPPER(INDEX(L_Type,ROW()-4))))</f>
        <v/>
      </c>
      <c r="E2431">
        <f>IF(INDEX(P_Status,ROW()-4)="","",TRIM(UPPER(INDEX(P_Status,ROW()-4))))</f>
        <v/>
      </c>
      <c r="G2431">
        <f>IF(INDEX(L_Status,ROW()-4)="","",TRIM(UPPER(INDEX(L_Status,ROW()-4))))</f>
        <v/>
      </c>
      <c r="J2431">
        <f>IF(INDEX(L_ID,ROW()-4)="","",IF(SUMPRODUCT((P_ID=INDEX(L_ID,ROW()-4))*(P_StatusN="INACTIVE"))&gt;0,1,0))</f>
        <v/>
      </c>
    </row>
    <row r="2432">
      <c r="A2432">
        <f>IF(INDEX(L_ID,ROW()-4)="","",IF(COUNTIF(P_ID,INDEX(L_ID,ROW()-4))&gt;0,1,0))</f>
        <v/>
      </c>
      <c r="B2432">
        <f>IF(INDEX(P_Type,ROW()-4)="","",TRIM(UPPER(INDEX(P_Type,ROW()-4))))</f>
        <v/>
      </c>
      <c r="D2432">
        <f>IF(INDEX(L_Type,ROW()-4)="","",TRIM(UPPER(INDEX(L_Type,ROW()-4))))</f>
        <v/>
      </c>
      <c r="E2432">
        <f>IF(INDEX(P_Status,ROW()-4)="","",TRIM(UPPER(INDEX(P_Status,ROW()-4))))</f>
        <v/>
      </c>
      <c r="G2432">
        <f>IF(INDEX(L_Status,ROW()-4)="","",TRIM(UPPER(INDEX(L_Status,ROW()-4))))</f>
        <v/>
      </c>
      <c r="J2432">
        <f>IF(INDEX(L_ID,ROW()-4)="","",IF(SUMPRODUCT((P_ID=INDEX(L_ID,ROW()-4))*(P_StatusN="INACTIVE"))&gt;0,1,0))</f>
        <v/>
      </c>
    </row>
    <row r="2433">
      <c r="A2433">
        <f>IF(INDEX(L_ID,ROW()-4)="","",IF(COUNTIF(P_ID,INDEX(L_ID,ROW()-4))&gt;0,1,0))</f>
        <v/>
      </c>
      <c r="B2433">
        <f>IF(INDEX(P_Type,ROW()-4)="","",TRIM(UPPER(INDEX(P_Type,ROW()-4))))</f>
        <v/>
      </c>
      <c r="D2433">
        <f>IF(INDEX(L_Type,ROW()-4)="","",TRIM(UPPER(INDEX(L_Type,ROW()-4))))</f>
        <v/>
      </c>
      <c r="E2433">
        <f>IF(INDEX(P_Status,ROW()-4)="","",TRIM(UPPER(INDEX(P_Status,ROW()-4))))</f>
        <v/>
      </c>
      <c r="G2433">
        <f>IF(INDEX(L_Status,ROW()-4)="","",TRIM(UPPER(INDEX(L_Status,ROW()-4))))</f>
        <v/>
      </c>
      <c r="J2433">
        <f>IF(INDEX(L_ID,ROW()-4)="","",IF(SUMPRODUCT((P_ID=INDEX(L_ID,ROW()-4))*(P_StatusN="INACTIVE"))&gt;0,1,0))</f>
        <v/>
      </c>
    </row>
    <row r="2434">
      <c r="A2434">
        <f>IF(INDEX(L_ID,ROW()-4)="","",IF(COUNTIF(P_ID,INDEX(L_ID,ROW()-4))&gt;0,1,0))</f>
        <v/>
      </c>
      <c r="B2434">
        <f>IF(INDEX(P_Type,ROW()-4)="","",TRIM(UPPER(INDEX(P_Type,ROW()-4))))</f>
        <v/>
      </c>
      <c r="D2434">
        <f>IF(INDEX(L_Type,ROW()-4)="","",TRIM(UPPER(INDEX(L_Type,ROW()-4))))</f>
        <v/>
      </c>
      <c r="E2434">
        <f>IF(INDEX(P_Status,ROW()-4)="","",TRIM(UPPER(INDEX(P_Status,ROW()-4))))</f>
        <v/>
      </c>
      <c r="G2434">
        <f>IF(INDEX(L_Status,ROW()-4)="","",TRIM(UPPER(INDEX(L_Status,ROW()-4))))</f>
        <v/>
      </c>
      <c r="J2434">
        <f>IF(INDEX(L_ID,ROW()-4)="","",IF(SUMPRODUCT((P_ID=INDEX(L_ID,ROW()-4))*(P_StatusN="INACTIVE"))&gt;0,1,0))</f>
        <v/>
      </c>
    </row>
    <row r="2435">
      <c r="A2435">
        <f>IF(INDEX(L_ID,ROW()-4)="","",IF(COUNTIF(P_ID,INDEX(L_ID,ROW()-4))&gt;0,1,0))</f>
        <v/>
      </c>
      <c r="B2435">
        <f>IF(INDEX(P_Type,ROW()-4)="","",TRIM(UPPER(INDEX(P_Type,ROW()-4))))</f>
        <v/>
      </c>
      <c r="D2435">
        <f>IF(INDEX(L_Type,ROW()-4)="","",TRIM(UPPER(INDEX(L_Type,ROW()-4))))</f>
        <v/>
      </c>
      <c r="E2435">
        <f>IF(INDEX(P_Status,ROW()-4)="","",TRIM(UPPER(INDEX(P_Status,ROW()-4))))</f>
        <v/>
      </c>
      <c r="G2435">
        <f>IF(INDEX(L_Status,ROW()-4)="","",TRIM(UPPER(INDEX(L_Status,ROW()-4))))</f>
        <v/>
      </c>
      <c r="J2435">
        <f>IF(INDEX(L_ID,ROW()-4)="","",IF(SUMPRODUCT((P_ID=INDEX(L_ID,ROW()-4))*(P_StatusN="INACTIVE"))&gt;0,1,0))</f>
        <v/>
      </c>
    </row>
    <row r="2436">
      <c r="A2436">
        <f>IF(INDEX(L_ID,ROW()-4)="","",IF(COUNTIF(P_ID,INDEX(L_ID,ROW()-4))&gt;0,1,0))</f>
        <v/>
      </c>
      <c r="B2436">
        <f>IF(INDEX(P_Type,ROW()-4)="","",TRIM(UPPER(INDEX(P_Type,ROW()-4))))</f>
        <v/>
      </c>
      <c r="D2436">
        <f>IF(INDEX(L_Type,ROW()-4)="","",TRIM(UPPER(INDEX(L_Type,ROW()-4))))</f>
        <v/>
      </c>
      <c r="E2436">
        <f>IF(INDEX(P_Status,ROW()-4)="","",TRIM(UPPER(INDEX(P_Status,ROW()-4))))</f>
        <v/>
      </c>
      <c r="G2436">
        <f>IF(INDEX(L_Status,ROW()-4)="","",TRIM(UPPER(INDEX(L_Status,ROW()-4))))</f>
        <v/>
      </c>
      <c r="J2436">
        <f>IF(INDEX(L_ID,ROW()-4)="","",IF(SUMPRODUCT((P_ID=INDEX(L_ID,ROW()-4))*(P_StatusN="INACTIVE"))&gt;0,1,0))</f>
        <v/>
      </c>
    </row>
    <row r="2437">
      <c r="A2437">
        <f>IF(INDEX(L_ID,ROW()-4)="","",IF(COUNTIF(P_ID,INDEX(L_ID,ROW()-4))&gt;0,1,0))</f>
        <v/>
      </c>
      <c r="B2437">
        <f>IF(INDEX(P_Type,ROW()-4)="","",TRIM(UPPER(INDEX(P_Type,ROW()-4))))</f>
        <v/>
      </c>
      <c r="D2437">
        <f>IF(INDEX(L_Type,ROW()-4)="","",TRIM(UPPER(INDEX(L_Type,ROW()-4))))</f>
        <v/>
      </c>
      <c r="E2437">
        <f>IF(INDEX(P_Status,ROW()-4)="","",TRIM(UPPER(INDEX(P_Status,ROW()-4))))</f>
        <v/>
      </c>
      <c r="G2437">
        <f>IF(INDEX(L_Status,ROW()-4)="","",TRIM(UPPER(INDEX(L_Status,ROW()-4))))</f>
        <v/>
      </c>
      <c r="J2437">
        <f>IF(INDEX(L_ID,ROW()-4)="","",IF(SUMPRODUCT((P_ID=INDEX(L_ID,ROW()-4))*(P_StatusN="INACTIVE"))&gt;0,1,0))</f>
        <v/>
      </c>
    </row>
    <row r="2438">
      <c r="A2438">
        <f>IF(INDEX(L_ID,ROW()-4)="","",IF(COUNTIF(P_ID,INDEX(L_ID,ROW()-4))&gt;0,1,0))</f>
        <v/>
      </c>
      <c r="B2438">
        <f>IF(INDEX(P_Type,ROW()-4)="","",TRIM(UPPER(INDEX(P_Type,ROW()-4))))</f>
        <v/>
      </c>
      <c r="D2438">
        <f>IF(INDEX(L_Type,ROW()-4)="","",TRIM(UPPER(INDEX(L_Type,ROW()-4))))</f>
        <v/>
      </c>
      <c r="E2438">
        <f>IF(INDEX(P_Status,ROW()-4)="","",TRIM(UPPER(INDEX(P_Status,ROW()-4))))</f>
        <v/>
      </c>
      <c r="G2438">
        <f>IF(INDEX(L_Status,ROW()-4)="","",TRIM(UPPER(INDEX(L_Status,ROW()-4))))</f>
        <v/>
      </c>
      <c r="J2438">
        <f>IF(INDEX(L_ID,ROW()-4)="","",IF(SUMPRODUCT((P_ID=INDEX(L_ID,ROW()-4))*(P_StatusN="INACTIVE"))&gt;0,1,0))</f>
        <v/>
      </c>
    </row>
    <row r="2439">
      <c r="A2439">
        <f>IF(INDEX(L_ID,ROW()-4)="","",IF(COUNTIF(P_ID,INDEX(L_ID,ROW()-4))&gt;0,1,0))</f>
        <v/>
      </c>
      <c r="B2439">
        <f>IF(INDEX(P_Type,ROW()-4)="","",TRIM(UPPER(INDEX(P_Type,ROW()-4))))</f>
        <v/>
      </c>
      <c r="D2439">
        <f>IF(INDEX(L_Type,ROW()-4)="","",TRIM(UPPER(INDEX(L_Type,ROW()-4))))</f>
        <v/>
      </c>
      <c r="E2439">
        <f>IF(INDEX(P_Status,ROW()-4)="","",TRIM(UPPER(INDEX(P_Status,ROW()-4))))</f>
        <v/>
      </c>
      <c r="G2439">
        <f>IF(INDEX(L_Status,ROW()-4)="","",TRIM(UPPER(INDEX(L_Status,ROW()-4))))</f>
        <v/>
      </c>
      <c r="J2439">
        <f>IF(INDEX(L_ID,ROW()-4)="","",IF(SUMPRODUCT((P_ID=INDEX(L_ID,ROW()-4))*(P_StatusN="INACTIVE"))&gt;0,1,0))</f>
        <v/>
      </c>
    </row>
    <row r="2440">
      <c r="A2440">
        <f>IF(INDEX(L_ID,ROW()-4)="","",IF(COUNTIF(P_ID,INDEX(L_ID,ROW()-4))&gt;0,1,0))</f>
        <v/>
      </c>
      <c r="B2440">
        <f>IF(INDEX(P_Type,ROW()-4)="","",TRIM(UPPER(INDEX(P_Type,ROW()-4))))</f>
        <v/>
      </c>
      <c r="D2440">
        <f>IF(INDEX(L_Type,ROW()-4)="","",TRIM(UPPER(INDEX(L_Type,ROW()-4))))</f>
        <v/>
      </c>
      <c r="E2440">
        <f>IF(INDEX(P_Status,ROW()-4)="","",TRIM(UPPER(INDEX(P_Status,ROW()-4))))</f>
        <v/>
      </c>
      <c r="G2440">
        <f>IF(INDEX(L_Status,ROW()-4)="","",TRIM(UPPER(INDEX(L_Status,ROW()-4))))</f>
        <v/>
      </c>
      <c r="J2440">
        <f>IF(INDEX(L_ID,ROW()-4)="","",IF(SUMPRODUCT((P_ID=INDEX(L_ID,ROW()-4))*(P_StatusN="INACTIVE"))&gt;0,1,0))</f>
        <v/>
      </c>
    </row>
    <row r="2441">
      <c r="A2441">
        <f>IF(INDEX(L_ID,ROW()-4)="","",IF(COUNTIF(P_ID,INDEX(L_ID,ROW()-4))&gt;0,1,0))</f>
        <v/>
      </c>
      <c r="B2441">
        <f>IF(INDEX(P_Type,ROW()-4)="","",TRIM(UPPER(INDEX(P_Type,ROW()-4))))</f>
        <v/>
      </c>
      <c r="D2441">
        <f>IF(INDEX(L_Type,ROW()-4)="","",TRIM(UPPER(INDEX(L_Type,ROW()-4))))</f>
        <v/>
      </c>
      <c r="E2441">
        <f>IF(INDEX(P_Status,ROW()-4)="","",TRIM(UPPER(INDEX(P_Status,ROW()-4))))</f>
        <v/>
      </c>
      <c r="G2441">
        <f>IF(INDEX(L_Status,ROW()-4)="","",TRIM(UPPER(INDEX(L_Status,ROW()-4))))</f>
        <v/>
      </c>
      <c r="J2441">
        <f>IF(INDEX(L_ID,ROW()-4)="","",IF(SUMPRODUCT((P_ID=INDEX(L_ID,ROW()-4))*(P_StatusN="INACTIVE"))&gt;0,1,0))</f>
        <v/>
      </c>
    </row>
    <row r="2442">
      <c r="A2442">
        <f>IF(INDEX(L_ID,ROW()-4)="","",IF(COUNTIF(P_ID,INDEX(L_ID,ROW()-4))&gt;0,1,0))</f>
        <v/>
      </c>
      <c r="B2442">
        <f>IF(INDEX(P_Type,ROW()-4)="","",TRIM(UPPER(INDEX(P_Type,ROW()-4))))</f>
        <v/>
      </c>
      <c r="D2442">
        <f>IF(INDEX(L_Type,ROW()-4)="","",TRIM(UPPER(INDEX(L_Type,ROW()-4))))</f>
        <v/>
      </c>
      <c r="E2442">
        <f>IF(INDEX(P_Status,ROW()-4)="","",TRIM(UPPER(INDEX(P_Status,ROW()-4))))</f>
        <v/>
      </c>
      <c r="G2442">
        <f>IF(INDEX(L_Status,ROW()-4)="","",TRIM(UPPER(INDEX(L_Status,ROW()-4))))</f>
        <v/>
      </c>
      <c r="J2442">
        <f>IF(INDEX(L_ID,ROW()-4)="","",IF(SUMPRODUCT((P_ID=INDEX(L_ID,ROW()-4))*(P_StatusN="INACTIVE"))&gt;0,1,0))</f>
        <v/>
      </c>
    </row>
    <row r="2443">
      <c r="A2443">
        <f>IF(INDEX(L_ID,ROW()-4)="","",IF(COUNTIF(P_ID,INDEX(L_ID,ROW()-4))&gt;0,1,0))</f>
        <v/>
      </c>
      <c r="B2443">
        <f>IF(INDEX(P_Type,ROW()-4)="","",TRIM(UPPER(INDEX(P_Type,ROW()-4))))</f>
        <v/>
      </c>
      <c r="D2443">
        <f>IF(INDEX(L_Type,ROW()-4)="","",TRIM(UPPER(INDEX(L_Type,ROW()-4))))</f>
        <v/>
      </c>
      <c r="E2443">
        <f>IF(INDEX(P_Status,ROW()-4)="","",TRIM(UPPER(INDEX(P_Status,ROW()-4))))</f>
        <v/>
      </c>
      <c r="G2443">
        <f>IF(INDEX(L_Status,ROW()-4)="","",TRIM(UPPER(INDEX(L_Status,ROW()-4))))</f>
        <v/>
      </c>
      <c r="J2443">
        <f>IF(INDEX(L_ID,ROW()-4)="","",IF(SUMPRODUCT((P_ID=INDEX(L_ID,ROW()-4))*(P_StatusN="INACTIVE"))&gt;0,1,0))</f>
        <v/>
      </c>
    </row>
    <row r="2444">
      <c r="A2444">
        <f>IF(INDEX(L_ID,ROW()-4)="","",IF(COUNTIF(P_ID,INDEX(L_ID,ROW()-4))&gt;0,1,0))</f>
        <v/>
      </c>
      <c r="B2444">
        <f>IF(INDEX(P_Type,ROW()-4)="","",TRIM(UPPER(INDEX(P_Type,ROW()-4))))</f>
        <v/>
      </c>
      <c r="D2444">
        <f>IF(INDEX(L_Type,ROW()-4)="","",TRIM(UPPER(INDEX(L_Type,ROW()-4))))</f>
        <v/>
      </c>
      <c r="E2444">
        <f>IF(INDEX(P_Status,ROW()-4)="","",TRIM(UPPER(INDEX(P_Status,ROW()-4))))</f>
        <v/>
      </c>
      <c r="G2444">
        <f>IF(INDEX(L_Status,ROW()-4)="","",TRIM(UPPER(INDEX(L_Status,ROW()-4))))</f>
        <v/>
      </c>
      <c r="J2444">
        <f>IF(INDEX(L_ID,ROW()-4)="","",IF(SUMPRODUCT((P_ID=INDEX(L_ID,ROW()-4))*(P_StatusN="INACTIVE"))&gt;0,1,0))</f>
        <v/>
      </c>
    </row>
    <row r="2445">
      <c r="A2445">
        <f>IF(INDEX(L_ID,ROW()-4)="","",IF(COUNTIF(P_ID,INDEX(L_ID,ROW()-4))&gt;0,1,0))</f>
        <v/>
      </c>
      <c r="B2445">
        <f>IF(INDEX(P_Type,ROW()-4)="","",TRIM(UPPER(INDEX(P_Type,ROW()-4))))</f>
        <v/>
      </c>
      <c r="D2445">
        <f>IF(INDEX(L_Type,ROW()-4)="","",TRIM(UPPER(INDEX(L_Type,ROW()-4))))</f>
        <v/>
      </c>
      <c r="E2445">
        <f>IF(INDEX(P_Status,ROW()-4)="","",TRIM(UPPER(INDEX(P_Status,ROW()-4))))</f>
        <v/>
      </c>
      <c r="G2445">
        <f>IF(INDEX(L_Status,ROW()-4)="","",TRIM(UPPER(INDEX(L_Status,ROW()-4))))</f>
        <v/>
      </c>
      <c r="J2445">
        <f>IF(INDEX(L_ID,ROW()-4)="","",IF(SUMPRODUCT((P_ID=INDEX(L_ID,ROW()-4))*(P_StatusN="INACTIVE"))&gt;0,1,0))</f>
        <v/>
      </c>
    </row>
    <row r="2446">
      <c r="A2446">
        <f>IF(INDEX(L_ID,ROW()-4)="","",IF(COUNTIF(P_ID,INDEX(L_ID,ROW()-4))&gt;0,1,0))</f>
        <v/>
      </c>
      <c r="B2446">
        <f>IF(INDEX(P_Type,ROW()-4)="","",TRIM(UPPER(INDEX(P_Type,ROW()-4))))</f>
        <v/>
      </c>
      <c r="D2446">
        <f>IF(INDEX(L_Type,ROW()-4)="","",TRIM(UPPER(INDEX(L_Type,ROW()-4))))</f>
        <v/>
      </c>
      <c r="E2446">
        <f>IF(INDEX(P_Status,ROW()-4)="","",TRIM(UPPER(INDEX(P_Status,ROW()-4))))</f>
        <v/>
      </c>
      <c r="G2446">
        <f>IF(INDEX(L_Status,ROW()-4)="","",TRIM(UPPER(INDEX(L_Status,ROW()-4))))</f>
        <v/>
      </c>
      <c r="J2446">
        <f>IF(INDEX(L_ID,ROW()-4)="","",IF(SUMPRODUCT((P_ID=INDEX(L_ID,ROW()-4))*(P_StatusN="INACTIVE"))&gt;0,1,0))</f>
        <v/>
      </c>
    </row>
    <row r="2447">
      <c r="A2447">
        <f>IF(INDEX(L_ID,ROW()-4)="","",IF(COUNTIF(P_ID,INDEX(L_ID,ROW()-4))&gt;0,1,0))</f>
        <v/>
      </c>
      <c r="B2447">
        <f>IF(INDEX(P_Type,ROW()-4)="","",TRIM(UPPER(INDEX(P_Type,ROW()-4))))</f>
        <v/>
      </c>
      <c r="D2447">
        <f>IF(INDEX(L_Type,ROW()-4)="","",TRIM(UPPER(INDEX(L_Type,ROW()-4))))</f>
        <v/>
      </c>
      <c r="E2447">
        <f>IF(INDEX(P_Status,ROW()-4)="","",TRIM(UPPER(INDEX(P_Status,ROW()-4))))</f>
        <v/>
      </c>
      <c r="G2447">
        <f>IF(INDEX(L_Status,ROW()-4)="","",TRIM(UPPER(INDEX(L_Status,ROW()-4))))</f>
        <v/>
      </c>
      <c r="J2447">
        <f>IF(INDEX(L_ID,ROW()-4)="","",IF(SUMPRODUCT((P_ID=INDEX(L_ID,ROW()-4))*(P_StatusN="INACTIVE"))&gt;0,1,0))</f>
        <v/>
      </c>
    </row>
    <row r="2448">
      <c r="A2448">
        <f>IF(INDEX(L_ID,ROW()-4)="","",IF(COUNTIF(P_ID,INDEX(L_ID,ROW()-4))&gt;0,1,0))</f>
        <v/>
      </c>
      <c r="B2448">
        <f>IF(INDEX(P_Type,ROW()-4)="","",TRIM(UPPER(INDEX(P_Type,ROW()-4))))</f>
        <v/>
      </c>
      <c r="D2448">
        <f>IF(INDEX(L_Type,ROW()-4)="","",TRIM(UPPER(INDEX(L_Type,ROW()-4))))</f>
        <v/>
      </c>
      <c r="E2448">
        <f>IF(INDEX(P_Status,ROW()-4)="","",TRIM(UPPER(INDEX(P_Status,ROW()-4))))</f>
        <v/>
      </c>
      <c r="G2448">
        <f>IF(INDEX(L_Status,ROW()-4)="","",TRIM(UPPER(INDEX(L_Status,ROW()-4))))</f>
        <v/>
      </c>
      <c r="J2448">
        <f>IF(INDEX(L_ID,ROW()-4)="","",IF(SUMPRODUCT((P_ID=INDEX(L_ID,ROW()-4))*(P_StatusN="INACTIVE"))&gt;0,1,0))</f>
        <v/>
      </c>
    </row>
    <row r="2449">
      <c r="A2449">
        <f>IF(INDEX(L_ID,ROW()-4)="","",IF(COUNTIF(P_ID,INDEX(L_ID,ROW()-4))&gt;0,1,0))</f>
        <v/>
      </c>
      <c r="B2449">
        <f>IF(INDEX(P_Type,ROW()-4)="","",TRIM(UPPER(INDEX(P_Type,ROW()-4))))</f>
        <v/>
      </c>
      <c r="D2449">
        <f>IF(INDEX(L_Type,ROW()-4)="","",TRIM(UPPER(INDEX(L_Type,ROW()-4))))</f>
        <v/>
      </c>
      <c r="E2449">
        <f>IF(INDEX(P_Status,ROW()-4)="","",TRIM(UPPER(INDEX(P_Status,ROW()-4))))</f>
        <v/>
      </c>
      <c r="G2449">
        <f>IF(INDEX(L_Status,ROW()-4)="","",TRIM(UPPER(INDEX(L_Status,ROW()-4))))</f>
        <v/>
      </c>
      <c r="J2449">
        <f>IF(INDEX(L_ID,ROW()-4)="","",IF(SUMPRODUCT((P_ID=INDEX(L_ID,ROW()-4))*(P_StatusN="INACTIVE"))&gt;0,1,0))</f>
        <v/>
      </c>
    </row>
    <row r="2450">
      <c r="A2450">
        <f>IF(INDEX(L_ID,ROW()-4)="","",IF(COUNTIF(P_ID,INDEX(L_ID,ROW()-4))&gt;0,1,0))</f>
        <v/>
      </c>
      <c r="B2450">
        <f>IF(INDEX(P_Type,ROW()-4)="","",TRIM(UPPER(INDEX(P_Type,ROW()-4))))</f>
        <v/>
      </c>
      <c r="D2450">
        <f>IF(INDEX(L_Type,ROW()-4)="","",TRIM(UPPER(INDEX(L_Type,ROW()-4))))</f>
        <v/>
      </c>
      <c r="E2450">
        <f>IF(INDEX(P_Status,ROW()-4)="","",TRIM(UPPER(INDEX(P_Status,ROW()-4))))</f>
        <v/>
      </c>
      <c r="G2450">
        <f>IF(INDEX(L_Status,ROW()-4)="","",TRIM(UPPER(INDEX(L_Status,ROW()-4))))</f>
        <v/>
      </c>
      <c r="J2450">
        <f>IF(INDEX(L_ID,ROW()-4)="","",IF(SUMPRODUCT((P_ID=INDEX(L_ID,ROW()-4))*(P_StatusN="INACTIVE"))&gt;0,1,0))</f>
        <v/>
      </c>
    </row>
    <row r="2451">
      <c r="A2451">
        <f>IF(INDEX(L_ID,ROW()-4)="","",IF(COUNTIF(P_ID,INDEX(L_ID,ROW()-4))&gt;0,1,0))</f>
        <v/>
      </c>
      <c r="B2451">
        <f>IF(INDEX(P_Type,ROW()-4)="","",TRIM(UPPER(INDEX(P_Type,ROW()-4))))</f>
        <v/>
      </c>
      <c r="D2451">
        <f>IF(INDEX(L_Type,ROW()-4)="","",TRIM(UPPER(INDEX(L_Type,ROW()-4))))</f>
        <v/>
      </c>
      <c r="E2451">
        <f>IF(INDEX(P_Status,ROW()-4)="","",TRIM(UPPER(INDEX(P_Status,ROW()-4))))</f>
        <v/>
      </c>
      <c r="G2451">
        <f>IF(INDEX(L_Status,ROW()-4)="","",TRIM(UPPER(INDEX(L_Status,ROW()-4))))</f>
        <v/>
      </c>
      <c r="J2451">
        <f>IF(INDEX(L_ID,ROW()-4)="","",IF(SUMPRODUCT((P_ID=INDEX(L_ID,ROW()-4))*(P_StatusN="INACTIVE"))&gt;0,1,0))</f>
        <v/>
      </c>
    </row>
    <row r="2452">
      <c r="A2452">
        <f>IF(INDEX(L_ID,ROW()-4)="","",IF(COUNTIF(P_ID,INDEX(L_ID,ROW()-4))&gt;0,1,0))</f>
        <v/>
      </c>
      <c r="B2452">
        <f>IF(INDEX(P_Type,ROW()-4)="","",TRIM(UPPER(INDEX(P_Type,ROW()-4))))</f>
        <v/>
      </c>
      <c r="D2452">
        <f>IF(INDEX(L_Type,ROW()-4)="","",TRIM(UPPER(INDEX(L_Type,ROW()-4))))</f>
        <v/>
      </c>
      <c r="E2452">
        <f>IF(INDEX(P_Status,ROW()-4)="","",TRIM(UPPER(INDEX(P_Status,ROW()-4))))</f>
        <v/>
      </c>
      <c r="G2452">
        <f>IF(INDEX(L_Status,ROW()-4)="","",TRIM(UPPER(INDEX(L_Status,ROW()-4))))</f>
        <v/>
      </c>
      <c r="J2452">
        <f>IF(INDEX(L_ID,ROW()-4)="","",IF(SUMPRODUCT((P_ID=INDEX(L_ID,ROW()-4))*(P_StatusN="INACTIVE"))&gt;0,1,0))</f>
        <v/>
      </c>
    </row>
    <row r="2453">
      <c r="A2453">
        <f>IF(INDEX(L_ID,ROW()-4)="","",IF(COUNTIF(P_ID,INDEX(L_ID,ROW()-4))&gt;0,1,0))</f>
        <v/>
      </c>
      <c r="B2453">
        <f>IF(INDEX(P_Type,ROW()-4)="","",TRIM(UPPER(INDEX(P_Type,ROW()-4))))</f>
        <v/>
      </c>
      <c r="D2453">
        <f>IF(INDEX(L_Type,ROW()-4)="","",TRIM(UPPER(INDEX(L_Type,ROW()-4))))</f>
        <v/>
      </c>
      <c r="E2453">
        <f>IF(INDEX(P_Status,ROW()-4)="","",TRIM(UPPER(INDEX(P_Status,ROW()-4))))</f>
        <v/>
      </c>
      <c r="G2453">
        <f>IF(INDEX(L_Status,ROW()-4)="","",TRIM(UPPER(INDEX(L_Status,ROW()-4))))</f>
        <v/>
      </c>
      <c r="J2453">
        <f>IF(INDEX(L_ID,ROW()-4)="","",IF(SUMPRODUCT((P_ID=INDEX(L_ID,ROW()-4))*(P_StatusN="INACTIVE"))&gt;0,1,0))</f>
        <v/>
      </c>
    </row>
    <row r="2454">
      <c r="A2454">
        <f>IF(INDEX(L_ID,ROW()-4)="","",IF(COUNTIF(P_ID,INDEX(L_ID,ROW()-4))&gt;0,1,0))</f>
        <v/>
      </c>
      <c r="B2454">
        <f>IF(INDEX(P_Type,ROW()-4)="","",TRIM(UPPER(INDEX(P_Type,ROW()-4))))</f>
        <v/>
      </c>
      <c r="D2454">
        <f>IF(INDEX(L_Type,ROW()-4)="","",TRIM(UPPER(INDEX(L_Type,ROW()-4))))</f>
        <v/>
      </c>
      <c r="E2454">
        <f>IF(INDEX(P_Status,ROW()-4)="","",TRIM(UPPER(INDEX(P_Status,ROW()-4))))</f>
        <v/>
      </c>
      <c r="G2454">
        <f>IF(INDEX(L_Status,ROW()-4)="","",TRIM(UPPER(INDEX(L_Status,ROW()-4))))</f>
        <v/>
      </c>
      <c r="J2454">
        <f>IF(INDEX(L_ID,ROW()-4)="","",IF(SUMPRODUCT((P_ID=INDEX(L_ID,ROW()-4))*(P_StatusN="INACTIVE"))&gt;0,1,0))</f>
        <v/>
      </c>
    </row>
    <row r="2455">
      <c r="A2455">
        <f>IF(INDEX(L_ID,ROW()-4)="","",IF(COUNTIF(P_ID,INDEX(L_ID,ROW()-4))&gt;0,1,0))</f>
        <v/>
      </c>
      <c r="B2455">
        <f>IF(INDEX(P_Type,ROW()-4)="","",TRIM(UPPER(INDEX(P_Type,ROW()-4))))</f>
        <v/>
      </c>
      <c r="D2455">
        <f>IF(INDEX(L_Type,ROW()-4)="","",TRIM(UPPER(INDEX(L_Type,ROW()-4))))</f>
        <v/>
      </c>
      <c r="E2455">
        <f>IF(INDEX(P_Status,ROW()-4)="","",TRIM(UPPER(INDEX(P_Status,ROW()-4))))</f>
        <v/>
      </c>
      <c r="G2455">
        <f>IF(INDEX(L_Status,ROW()-4)="","",TRIM(UPPER(INDEX(L_Status,ROW()-4))))</f>
        <v/>
      </c>
      <c r="J2455">
        <f>IF(INDEX(L_ID,ROW()-4)="","",IF(SUMPRODUCT((P_ID=INDEX(L_ID,ROW()-4))*(P_StatusN="INACTIVE"))&gt;0,1,0))</f>
        <v/>
      </c>
    </row>
    <row r="2456">
      <c r="A2456">
        <f>IF(INDEX(L_ID,ROW()-4)="","",IF(COUNTIF(P_ID,INDEX(L_ID,ROW()-4))&gt;0,1,0))</f>
        <v/>
      </c>
      <c r="B2456">
        <f>IF(INDEX(P_Type,ROW()-4)="","",TRIM(UPPER(INDEX(P_Type,ROW()-4))))</f>
        <v/>
      </c>
      <c r="D2456">
        <f>IF(INDEX(L_Type,ROW()-4)="","",TRIM(UPPER(INDEX(L_Type,ROW()-4))))</f>
        <v/>
      </c>
      <c r="E2456">
        <f>IF(INDEX(P_Status,ROW()-4)="","",TRIM(UPPER(INDEX(P_Status,ROW()-4))))</f>
        <v/>
      </c>
      <c r="G2456">
        <f>IF(INDEX(L_Status,ROW()-4)="","",TRIM(UPPER(INDEX(L_Status,ROW()-4))))</f>
        <v/>
      </c>
      <c r="J2456">
        <f>IF(INDEX(L_ID,ROW()-4)="","",IF(SUMPRODUCT((P_ID=INDEX(L_ID,ROW()-4))*(P_StatusN="INACTIVE"))&gt;0,1,0))</f>
        <v/>
      </c>
    </row>
    <row r="2457">
      <c r="A2457">
        <f>IF(INDEX(L_ID,ROW()-4)="","",IF(COUNTIF(P_ID,INDEX(L_ID,ROW()-4))&gt;0,1,0))</f>
        <v/>
      </c>
      <c r="B2457">
        <f>IF(INDEX(P_Type,ROW()-4)="","",TRIM(UPPER(INDEX(P_Type,ROW()-4))))</f>
        <v/>
      </c>
      <c r="D2457">
        <f>IF(INDEX(L_Type,ROW()-4)="","",TRIM(UPPER(INDEX(L_Type,ROW()-4))))</f>
        <v/>
      </c>
      <c r="E2457">
        <f>IF(INDEX(P_Status,ROW()-4)="","",TRIM(UPPER(INDEX(P_Status,ROW()-4))))</f>
        <v/>
      </c>
      <c r="G2457">
        <f>IF(INDEX(L_Status,ROW()-4)="","",TRIM(UPPER(INDEX(L_Status,ROW()-4))))</f>
        <v/>
      </c>
      <c r="J2457">
        <f>IF(INDEX(L_ID,ROW()-4)="","",IF(SUMPRODUCT((P_ID=INDEX(L_ID,ROW()-4))*(P_StatusN="INACTIVE"))&gt;0,1,0))</f>
        <v/>
      </c>
    </row>
    <row r="2458">
      <c r="A2458">
        <f>IF(INDEX(L_ID,ROW()-4)="","",IF(COUNTIF(P_ID,INDEX(L_ID,ROW()-4))&gt;0,1,0))</f>
        <v/>
      </c>
      <c r="B2458">
        <f>IF(INDEX(P_Type,ROW()-4)="","",TRIM(UPPER(INDEX(P_Type,ROW()-4))))</f>
        <v/>
      </c>
      <c r="D2458">
        <f>IF(INDEX(L_Type,ROW()-4)="","",TRIM(UPPER(INDEX(L_Type,ROW()-4))))</f>
        <v/>
      </c>
      <c r="E2458">
        <f>IF(INDEX(P_Status,ROW()-4)="","",TRIM(UPPER(INDEX(P_Status,ROW()-4))))</f>
        <v/>
      </c>
      <c r="G2458">
        <f>IF(INDEX(L_Status,ROW()-4)="","",TRIM(UPPER(INDEX(L_Status,ROW()-4))))</f>
        <v/>
      </c>
      <c r="J2458">
        <f>IF(INDEX(L_ID,ROW()-4)="","",IF(SUMPRODUCT((P_ID=INDEX(L_ID,ROW()-4))*(P_StatusN="INACTIVE"))&gt;0,1,0))</f>
        <v/>
      </c>
    </row>
    <row r="2459">
      <c r="A2459">
        <f>IF(INDEX(L_ID,ROW()-4)="","",IF(COUNTIF(P_ID,INDEX(L_ID,ROW()-4))&gt;0,1,0))</f>
        <v/>
      </c>
      <c r="B2459">
        <f>IF(INDEX(P_Type,ROW()-4)="","",TRIM(UPPER(INDEX(P_Type,ROW()-4))))</f>
        <v/>
      </c>
      <c r="D2459">
        <f>IF(INDEX(L_Type,ROW()-4)="","",TRIM(UPPER(INDEX(L_Type,ROW()-4))))</f>
        <v/>
      </c>
      <c r="E2459">
        <f>IF(INDEX(P_Status,ROW()-4)="","",TRIM(UPPER(INDEX(P_Status,ROW()-4))))</f>
        <v/>
      </c>
      <c r="G2459">
        <f>IF(INDEX(L_Status,ROW()-4)="","",TRIM(UPPER(INDEX(L_Status,ROW()-4))))</f>
        <v/>
      </c>
      <c r="J2459">
        <f>IF(INDEX(L_ID,ROW()-4)="","",IF(SUMPRODUCT((P_ID=INDEX(L_ID,ROW()-4))*(P_StatusN="INACTIVE"))&gt;0,1,0))</f>
        <v/>
      </c>
    </row>
    <row r="2460">
      <c r="A2460">
        <f>IF(INDEX(L_ID,ROW()-4)="","",IF(COUNTIF(P_ID,INDEX(L_ID,ROW()-4))&gt;0,1,0))</f>
        <v/>
      </c>
      <c r="B2460">
        <f>IF(INDEX(P_Type,ROW()-4)="","",TRIM(UPPER(INDEX(P_Type,ROW()-4))))</f>
        <v/>
      </c>
      <c r="D2460">
        <f>IF(INDEX(L_Type,ROW()-4)="","",TRIM(UPPER(INDEX(L_Type,ROW()-4))))</f>
        <v/>
      </c>
      <c r="E2460">
        <f>IF(INDEX(P_Status,ROW()-4)="","",TRIM(UPPER(INDEX(P_Status,ROW()-4))))</f>
        <v/>
      </c>
      <c r="G2460">
        <f>IF(INDEX(L_Status,ROW()-4)="","",TRIM(UPPER(INDEX(L_Status,ROW()-4))))</f>
        <v/>
      </c>
      <c r="J2460">
        <f>IF(INDEX(L_ID,ROW()-4)="","",IF(SUMPRODUCT((P_ID=INDEX(L_ID,ROW()-4))*(P_StatusN="INACTIVE"))&gt;0,1,0))</f>
        <v/>
      </c>
    </row>
    <row r="2461">
      <c r="A2461">
        <f>IF(INDEX(L_ID,ROW()-4)="","",IF(COUNTIF(P_ID,INDEX(L_ID,ROW()-4))&gt;0,1,0))</f>
        <v/>
      </c>
      <c r="B2461">
        <f>IF(INDEX(P_Type,ROW()-4)="","",TRIM(UPPER(INDEX(P_Type,ROW()-4))))</f>
        <v/>
      </c>
      <c r="D2461">
        <f>IF(INDEX(L_Type,ROW()-4)="","",TRIM(UPPER(INDEX(L_Type,ROW()-4))))</f>
        <v/>
      </c>
      <c r="E2461">
        <f>IF(INDEX(P_Status,ROW()-4)="","",TRIM(UPPER(INDEX(P_Status,ROW()-4))))</f>
        <v/>
      </c>
      <c r="G2461">
        <f>IF(INDEX(L_Status,ROW()-4)="","",TRIM(UPPER(INDEX(L_Status,ROW()-4))))</f>
        <v/>
      </c>
      <c r="J2461">
        <f>IF(INDEX(L_ID,ROW()-4)="","",IF(SUMPRODUCT((P_ID=INDEX(L_ID,ROW()-4))*(P_StatusN="INACTIVE"))&gt;0,1,0))</f>
        <v/>
      </c>
    </row>
    <row r="2462">
      <c r="A2462">
        <f>IF(INDEX(L_ID,ROW()-4)="","",IF(COUNTIF(P_ID,INDEX(L_ID,ROW()-4))&gt;0,1,0))</f>
        <v/>
      </c>
      <c r="B2462">
        <f>IF(INDEX(P_Type,ROW()-4)="","",TRIM(UPPER(INDEX(P_Type,ROW()-4))))</f>
        <v/>
      </c>
      <c r="D2462">
        <f>IF(INDEX(L_Type,ROW()-4)="","",TRIM(UPPER(INDEX(L_Type,ROW()-4))))</f>
        <v/>
      </c>
      <c r="E2462">
        <f>IF(INDEX(P_Status,ROW()-4)="","",TRIM(UPPER(INDEX(P_Status,ROW()-4))))</f>
        <v/>
      </c>
      <c r="G2462">
        <f>IF(INDEX(L_Status,ROW()-4)="","",TRIM(UPPER(INDEX(L_Status,ROW()-4))))</f>
        <v/>
      </c>
      <c r="J2462">
        <f>IF(INDEX(L_ID,ROW()-4)="","",IF(SUMPRODUCT((P_ID=INDEX(L_ID,ROW()-4))*(P_StatusN="INACTIVE"))&gt;0,1,0))</f>
        <v/>
      </c>
    </row>
    <row r="2463">
      <c r="A2463">
        <f>IF(INDEX(L_ID,ROW()-4)="","",IF(COUNTIF(P_ID,INDEX(L_ID,ROW()-4))&gt;0,1,0))</f>
        <v/>
      </c>
      <c r="B2463">
        <f>IF(INDEX(P_Type,ROW()-4)="","",TRIM(UPPER(INDEX(P_Type,ROW()-4))))</f>
        <v/>
      </c>
      <c r="D2463">
        <f>IF(INDEX(L_Type,ROW()-4)="","",TRIM(UPPER(INDEX(L_Type,ROW()-4))))</f>
        <v/>
      </c>
      <c r="E2463">
        <f>IF(INDEX(P_Status,ROW()-4)="","",TRIM(UPPER(INDEX(P_Status,ROW()-4))))</f>
        <v/>
      </c>
      <c r="G2463">
        <f>IF(INDEX(L_Status,ROW()-4)="","",TRIM(UPPER(INDEX(L_Status,ROW()-4))))</f>
        <v/>
      </c>
      <c r="J2463">
        <f>IF(INDEX(L_ID,ROW()-4)="","",IF(SUMPRODUCT((P_ID=INDEX(L_ID,ROW()-4))*(P_StatusN="INACTIVE"))&gt;0,1,0))</f>
        <v/>
      </c>
    </row>
    <row r="2464">
      <c r="A2464">
        <f>IF(INDEX(L_ID,ROW()-4)="","",IF(COUNTIF(P_ID,INDEX(L_ID,ROW()-4))&gt;0,1,0))</f>
        <v/>
      </c>
      <c r="B2464">
        <f>IF(INDEX(P_Type,ROW()-4)="","",TRIM(UPPER(INDEX(P_Type,ROW()-4))))</f>
        <v/>
      </c>
      <c r="D2464">
        <f>IF(INDEX(L_Type,ROW()-4)="","",TRIM(UPPER(INDEX(L_Type,ROW()-4))))</f>
        <v/>
      </c>
      <c r="E2464">
        <f>IF(INDEX(P_Status,ROW()-4)="","",TRIM(UPPER(INDEX(P_Status,ROW()-4))))</f>
        <v/>
      </c>
      <c r="G2464">
        <f>IF(INDEX(L_Status,ROW()-4)="","",TRIM(UPPER(INDEX(L_Status,ROW()-4))))</f>
        <v/>
      </c>
      <c r="J2464">
        <f>IF(INDEX(L_ID,ROW()-4)="","",IF(SUMPRODUCT((P_ID=INDEX(L_ID,ROW()-4))*(P_StatusN="INACTIVE"))&gt;0,1,0))</f>
        <v/>
      </c>
    </row>
    <row r="2465">
      <c r="A2465">
        <f>IF(INDEX(L_ID,ROW()-4)="","",IF(COUNTIF(P_ID,INDEX(L_ID,ROW()-4))&gt;0,1,0))</f>
        <v/>
      </c>
      <c r="B2465">
        <f>IF(INDEX(P_Type,ROW()-4)="","",TRIM(UPPER(INDEX(P_Type,ROW()-4))))</f>
        <v/>
      </c>
      <c r="D2465">
        <f>IF(INDEX(L_Type,ROW()-4)="","",TRIM(UPPER(INDEX(L_Type,ROW()-4))))</f>
        <v/>
      </c>
      <c r="E2465">
        <f>IF(INDEX(P_Status,ROW()-4)="","",TRIM(UPPER(INDEX(P_Status,ROW()-4))))</f>
        <v/>
      </c>
      <c r="G2465">
        <f>IF(INDEX(L_Status,ROW()-4)="","",TRIM(UPPER(INDEX(L_Status,ROW()-4))))</f>
        <v/>
      </c>
      <c r="J2465">
        <f>IF(INDEX(L_ID,ROW()-4)="","",IF(SUMPRODUCT((P_ID=INDEX(L_ID,ROW()-4))*(P_StatusN="INACTIVE"))&gt;0,1,0))</f>
        <v/>
      </c>
    </row>
    <row r="2466">
      <c r="A2466">
        <f>IF(INDEX(L_ID,ROW()-4)="","",IF(COUNTIF(P_ID,INDEX(L_ID,ROW()-4))&gt;0,1,0))</f>
        <v/>
      </c>
      <c r="B2466">
        <f>IF(INDEX(P_Type,ROW()-4)="","",TRIM(UPPER(INDEX(P_Type,ROW()-4))))</f>
        <v/>
      </c>
      <c r="D2466">
        <f>IF(INDEX(L_Type,ROW()-4)="","",TRIM(UPPER(INDEX(L_Type,ROW()-4))))</f>
        <v/>
      </c>
      <c r="E2466">
        <f>IF(INDEX(P_Status,ROW()-4)="","",TRIM(UPPER(INDEX(P_Status,ROW()-4))))</f>
        <v/>
      </c>
      <c r="G2466">
        <f>IF(INDEX(L_Status,ROW()-4)="","",TRIM(UPPER(INDEX(L_Status,ROW()-4))))</f>
        <v/>
      </c>
      <c r="J2466">
        <f>IF(INDEX(L_ID,ROW()-4)="","",IF(SUMPRODUCT((P_ID=INDEX(L_ID,ROW()-4))*(P_StatusN="INACTIVE"))&gt;0,1,0))</f>
        <v/>
      </c>
    </row>
    <row r="2467">
      <c r="A2467">
        <f>IF(INDEX(L_ID,ROW()-4)="","",IF(COUNTIF(P_ID,INDEX(L_ID,ROW()-4))&gt;0,1,0))</f>
        <v/>
      </c>
      <c r="B2467">
        <f>IF(INDEX(P_Type,ROW()-4)="","",TRIM(UPPER(INDEX(P_Type,ROW()-4))))</f>
        <v/>
      </c>
      <c r="D2467">
        <f>IF(INDEX(L_Type,ROW()-4)="","",TRIM(UPPER(INDEX(L_Type,ROW()-4))))</f>
        <v/>
      </c>
      <c r="E2467">
        <f>IF(INDEX(P_Status,ROW()-4)="","",TRIM(UPPER(INDEX(P_Status,ROW()-4))))</f>
        <v/>
      </c>
      <c r="G2467">
        <f>IF(INDEX(L_Status,ROW()-4)="","",TRIM(UPPER(INDEX(L_Status,ROW()-4))))</f>
        <v/>
      </c>
      <c r="J2467">
        <f>IF(INDEX(L_ID,ROW()-4)="","",IF(SUMPRODUCT((P_ID=INDEX(L_ID,ROW()-4))*(P_StatusN="INACTIVE"))&gt;0,1,0))</f>
        <v/>
      </c>
    </row>
    <row r="2468">
      <c r="A2468">
        <f>IF(INDEX(L_ID,ROW()-4)="","",IF(COUNTIF(P_ID,INDEX(L_ID,ROW()-4))&gt;0,1,0))</f>
        <v/>
      </c>
      <c r="B2468">
        <f>IF(INDEX(P_Type,ROW()-4)="","",TRIM(UPPER(INDEX(P_Type,ROW()-4))))</f>
        <v/>
      </c>
      <c r="D2468">
        <f>IF(INDEX(L_Type,ROW()-4)="","",TRIM(UPPER(INDEX(L_Type,ROW()-4))))</f>
        <v/>
      </c>
      <c r="E2468">
        <f>IF(INDEX(P_Status,ROW()-4)="","",TRIM(UPPER(INDEX(P_Status,ROW()-4))))</f>
        <v/>
      </c>
      <c r="G2468">
        <f>IF(INDEX(L_Status,ROW()-4)="","",TRIM(UPPER(INDEX(L_Status,ROW()-4))))</f>
        <v/>
      </c>
      <c r="J2468">
        <f>IF(INDEX(L_ID,ROW()-4)="","",IF(SUMPRODUCT((P_ID=INDEX(L_ID,ROW()-4))*(P_StatusN="INACTIVE"))&gt;0,1,0))</f>
        <v/>
      </c>
    </row>
    <row r="2469">
      <c r="A2469">
        <f>IF(INDEX(L_ID,ROW()-4)="","",IF(COUNTIF(P_ID,INDEX(L_ID,ROW()-4))&gt;0,1,0))</f>
        <v/>
      </c>
      <c r="B2469">
        <f>IF(INDEX(P_Type,ROW()-4)="","",TRIM(UPPER(INDEX(P_Type,ROW()-4))))</f>
        <v/>
      </c>
      <c r="D2469">
        <f>IF(INDEX(L_Type,ROW()-4)="","",TRIM(UPPER(INDEX(L_Type,ROW()-4))))</f>
        <v/>
      </c>
      <c r="E2469">
        <f>IF(INDEX(P_Status,ROW()-4)="","",TRIM(UPPER(INDEX(P_Status,ROW()-4))))</f>
        <v/>
      </c>
      <c r="G2469">
        <f>IF(INDEX(L_Status,ROW()-4)="","",TRIM(UPPER(INDEX(L_Status,ROW()-4))))</f>
        <v/>
      </c>
      <c r="J2469">
        <f>IF(INDEX(L_ID,ROW()-4)="","",IF(SUMPRODUCT((P_ID=INDEX(L_ID,ROW()-4))*(P_StatusN="INACTIVE"))&gt;0,1,0))</f>
        <v/>
      </c>
    </row>
    <row r="2470">
      <c r="A2470">
        <f>IF(INDEX(L_ID,ROW()-4)="","",IF(COUNTIF(P_ID,INDEX(L_ID,ROW()-4))&gt;0,1,0))</f>
        <v/>
      </c>
      <c r="B2470">
        <f>IF(INDEX(P_Type,ROW()-4)="","",TRIM(UPPER(INDEX(P_Type,ROW()-4))))</f>
        <v/>
      </c>
      <c r="D2470">
        <f>IF(INDEX(L_Type,ROW()-4)="","",TRIM(UPPER(INDEX(L_Type,ROW()-4))))</f>
        <v/>
      </c>
      <c r="E2470">
        <f>IF(INDEX(P_Status,ROW()-4)="","",TRIM(UPPER(INDEX(P_Status,ROW()-4))))</f>
        <v/>
      </c>
      <c r="G2470">
        <f>IF(INDEX(L_Status,ROW()-4)="","",TRIM(UPPER(INDEX(L_Status,ROW()-4))))</f>
        <v/>
      </c>
      <c r="J2470">
        <f>IF(INDEX(L_ID,ROW()-4)="","",IF(SUMPRODUCT((P_ID=INDEX(L_ID,ROW()-4))*(P_StatusN="INACTIVE"))&gt;0,1,0))</f>
        <v/>
      </c>
    </row>
    <row r="2471">
      <c r="A2471">
        <f>IF(INDEX(L_ID,ROW()-4)="","",IF(COUNTIF(P_ID,INDEX(L_ID,ROW()-4))&gt;0,1,0))</f>
        <v/>
      </c>
      <c r="B2471">
        <f>IF(INDEX(P_Type,ROW()-4)="","",TRIM(UPPER(INDEX(P_Type,ROW()-4))))</f>
        <v/>
      </c>
      <c r="D2471">
        <f>IF(INDEX(L_Type,ROW()-4)="","",TRIM(UPPER(INDEX(L_Type,ROW()-4))))</f>
        <v/>
      </c>
      <c r="E2471">
        <f>IF(INDEX(P_Status,ROW()-4)="","",TRIM(UPPER(INDEX(P_Status,ROW()-4))))</f>
        <v/>
      </c>
      <c r="G2471">
        <f>IF(INDEX(L_Status,ROW()-4)="","",TRIM(UPPER(INDEX(L_Status,ROW()-4))))</f>
        <v/>
      </c>
      <c r="J2471">
        <f>IF(INDEX(L_ID,ROW()-4)="","",IF(SUMPRODUCT((P_ID=INDEX(L_ID,ROW()-4))*(P_StatusN="INACTIVE"))&gt;0,1,0))</f>
        <v/>
      </c>
    </row>
    <row r="2472">
      <c r="A2472">
        <f>IF(INDEX(L_ID,ROW()-4)="","",IF(COUNTIF(P_ID,INDEX(L_ID,ROW()-4))&gt;0,1,0))</f>
        <v/>
      </c>
      <c r="B2472">
        <f>IF(INDEX(P_Type,ROW()-4)="","",TRIM(UPPER(INDEX(P_Type,ROW()-4))))</f>
        <v/>
      </c>
      <c r="D2472">
        <f>IF(INDEX(L_Type,ROW()-4)="","",TRIM(UPPER(INDEX(L_Type,ROW()-4))))</f>
        <v/>
      </c>
      <c r="E2472">
        <f>IF(INDEX(P_Status,ROW()-4)="","",TRIM(UPPER(INDEX(P_Status,ROW()-4))))</f>
        <v/>
      </c>
      <c r="G2472">
        <f>IF(INDEX(L_Status,ROW()-4)="","",TRIM(UPPER(INDEX(L_Status,ROW()-4))))</f>
        <v/>
      </c>
      <c r="J2472">
        <f>IF(INDEX(L_ID,ROW()-4)="","",IF(SUMPRODUCT((P_ID=INDEX(L_ID,ROW()-4))*(P_StatusN="INACTIVE"))&gt;0,1,0))</f>
        <v/>
      </c>
    </row>
    <row r="2473">
      <c r="A2473">
        <f>IF(INDEX(L_ID,ROW()-4)="","",IF(COUNTIF(P_ID,INDEX(L_ID,ROW()-4))&gt;0,1,0))</f>
        <v/>
      </c>
      <c r="B2473">
        <f>IF(INDEX(P_Type,ROW()-4)="","",TRIM(UPPER(INDEX(P_Type,ROW()-4))))</f>
        <v/>
      </c>
      <c r="D2473">
        <f>IF(INDEX(L_Type,ROW()-4)="","",TRIM(UPPER(INDEX(L_Type,ROW()-4))))</f>
        <v/>
      </c>
      <c r="E2473">
        <f>IF(INDEX(P_Status,ROW()-4)="","",TRIM(UPPER(INDEX(P_Status,ROW()-4))))</f>
        <v/>
      </c>
      <c r="G2473">
        <f>IF(INDEX(L_Status,ROW()-4)="","",TRIM(UPPER(INDEX(L_Status,ROW()-4))))</f>
        <v/>
      </c>
      <c r="J2473">
        <f>IF(INDEX(L_ID,ROW()-4)="","",IF(SUMPRODUCT((P_ID=INDEX(L_ID,ROW()-4))*(P_StatusN="INACTIVE"))&gt;0,1,0))</f>
        <v/>
      </c>
    </row>
    <row r="2474">
      <c r="A2474">
        <f>IF(INDEX(L_ID,ROW()-4)="","",IF(COUNTIF(P_ID,INDEX(L_ID,ROW()-4))&gt;0,1,0))</f>
        <v/>
      </c>
      <c r="B2474">
        <f>IF(INDEX(P_Type,ROW()-4)="","",TRIM(UPPER(INDEX(P_Type,ROW()-4))))</f>
        <v/>
      </c>
      <c r="D2474">
        <f>IF(INDEX(L_Type,ROW()-4)="","",TRIM(UPPER(INDEX(L_Type,ROW()-4))))</f>
        <v/>
      </c>
      <c r="E2474">
        <f>IF(INDEX(P_Status,ROW()-4)="","",TRIM(UPPER(INDEX(P_Status,ROW()-4))))</f>
        <v/>
      </c>
      <c r="G2474">
        <f>IF(INDEX(L_Status,ROW()-4)="","",TRIM(UPPER(INDEX(L_Status,ROW()-4))))</f>
        <v/>
      </c>
      <c r="J2474">
        <f>IF(INDEX(L_ID,ROW()-4)="","",IF(SUMPRODUCT((P_ID=INDEX(L_ID,ROW()-4))*(P_StatusN="INACTIVE"))&gt;0,1,0))</f>
        <v/>
      </c>
    </row>
    <row r="2475">
      <c r="A2475">
        <f>IF(INDEX(L_ID,ROW()-4)="","",IF(COUNTIF(P_ID,INDEX(L_ID,ROW()-4))&gt;0,1,0))</f>
        <v/>
      </c>
      <c r="B2475">
        <f>IF(INDEX(P_Type,ROW()-4)="","",TRIM(UPPER(INDEX(P_Type,ROW()-4))))</f>
        <v/>
      </c>
      <c r="D2475">
        <f>IF(INDEX(L_Type,ROW()-4)="","",TRIM(UPPER(INDEX(L_Type,ROW()-4))))</f>
        <v/>
      </c>
      <c r="E2475">
        <f>IF(INDEX(P_Status,ROW()-4)="","",TRIM(UPPER(INDEX(P_Status,ROW()-4))))</f>
        <v/>
      </c>
      <c r="G2475">
        <f>IF(INDEX(L_Status,ROW()-4)="","",TRIM(UPPER(INDEX(L_Status,ROW()-4))))</f>
        <v/>
      </c>
      <c r="J2475">
        <f>IF(INDEX(L_ID,ROW()-4)="","",IF(SUMPRODUCT((P_ID=INDEX(L_ID,ROW()-4))*(P_StatusN="INACTIVE"))&gt;0,1,0))</f>
        <v/>
      </c>
    </row>
    <row r="2476">
      <c r="A2476">
        <f>IF(INDEX(L_ID,ROW()-4)="","",IF(COUNTIF(P_ID,INDEX(L_ID,ROW()-4))&gt;0,1,0))</f>
        <v/>
      </c>
      <c r="B2476">
        <f>IF(INDEX(P_Type,ROW()-4)="","",TRIM(UPPER(INDEX(P_Type,ROW()-4))))</f>
        <v/>
      </c>
      <c r="D2476">
        <f>IF(INDEX(L_Type,ROW()-4)="","",TRIM(UPPER(INDEX(L_Type,ROW()-4))))</f>
        <v/>
      </c>
      <c r="E2476">
        <f>IF(INDEX(P_Status,ROW()-4)="","",TRIM(UPPER(INDEX(P_Status,ROW()-4))))</f>
        <v/>
      </c>
      <c r="G2476">
        <f>IF(INDEX(L_Status,ROW()-4)="","",TRIM(UPPER(INDEX(L_Status,ROW()-4))))</f>
        <v/>
      </c>
      <c r="J2476">
        <f>IF(INDEX(L_ID,ROW()-4)="","",IF(SUMPRODUCT((P_ID=INDEX(L_ID,ROW()-4))*(P_StatusN="INACTIVE"))&gt;0,1,0))</f>
        <v/>
      </c>
    </row>
    <row r="2477">
      <c r="A2477">
        <f>IF(INDEX(L_ID,ROW()-4)="","",IF(COUNTIF(P_ID,INDEX(L_ID,ROW()-4))&gt;0,1,0))</f>
        <v/>
      </c>
      <c r="B2477">
        <f>IF(INDEX(P_Type,ROW()-4)="","",TRIM(UPPER(INDEX(P_Type,ROW()-4))))</f>
        <v/>
      </c>
      <c r="D2477">
        <f>IF(INDEX(L_Type,ROW()-4)="","",TRIM(UPPER(INDEX(L_Type,ROW()-4))))</f>
        <v/>
      </c>
      <c r="E2477">
        <f>IF(INDEX(P_Status,ROW()-4)="","",TRIM(UPPER(INDEX(P_Status,ROW()-4))))</f>
        <v/>
      </c>
      <c r="G2477">
        <f>IF(INDEX(L_Status,ROW()-4)="","",TRIM(UPPER(INDEX(L_Status,ROW()-4))))</f>
        <v/>
      </c>
      <c r="J2477">
        <f>IF(INDEX(L_ID,ROW()-4)="","",IF(SUMPRODUCT((P_ID=INDEX(L_ID,ROW()-4))*(P_StatusN="INACTIVE"))&gt;0,1,0))</f>
        <v/>
      </c>
    </row>
    <row r="2478">
      <c r="A2478">
        <f>IF(INDEX(L_ID,ROW()-4)="","",IF(COUNTIF(P_ID,INDEX(L_ID,ROW()-4))&gt;0,1,0))</f>
        <v/>
      </c>
      <c r="B2478">
        <f>IF(INDEX(P_Type,ROW()-4)="","",TRIM(UPPER(INDEX(P_Type,ROW()-4))))</f>
        <v/>
      </c>
      <c r="D2478">
        <f>IF(INDEX(L_Type,ROW()-4)="","",TRIM(UPPER(INDEX(L_Type,ROW()-4))))</f>
        <v/>
      </c>
      <c r="E2478">
        <f>IF(INDEX(P_Status,ROW()-4)="","",TRIM(UPPER(INDEX(P_Status,ROW()-4))))</f>
        <v/>
      </c>
      <c r="G2478">
        <f>IF(INDEX(L_Status,ROW()-4)="","",TRIM(UPPER(INDEX(L_Status,ROW()-4))))</f>
        <v/>
      </c>
      <c r="J2478">
        <f>IF(INDEX(L_ID,ROW()-4)="","",IF(SUMPRODUCT((P_ID=INDEX(L_ID,ROW()-4))*(P_StatusN="INACTIVE"))&gt;0,1,0))</f>
        <v/>
      </c>
    </row>
    <row r="2479">
      <c r="A2479">
        <f>IF(INDEX(L_ID,ROW()-4)="","",IF(COUNTIF(P_ID,INDEX(L_ID,ROW()-4))&gt;0,1,0))</f>
        <v/>
      </c>
      <c r="B2479">
        <f>IF(INDEX(P_Type,ROW()-4)="","",TRIM(UPPER(INDEX(P_Type,ROW()-4))))</f>
        <v/>
      </c>
      <c r="D2479">
        <f>IF(INDEX(L_Type,ROW()-4)="","",TRIM(UPPER(INDEX(L_Type,ROW()-4))))</f>
        <v/>
      </c>
      <c r="E2479">
        <f>IF(INDEX(P_Status,ROW()-4)="","",TRIM(UPPER(INDEX(P_Status,ROW()-4))))</f>
        <v/>
      </c>
      <c r="G2479">
        <f>IF(INDEX(L_Status,ROW()-4)="","",TRIM(UPPER(INDEX(L_Status,ROW()-4))))</f>
        <v/>
      </c>
      <c r="J2479">
        <f>IF(INDEX(L_ID,ROW()-4)="","",IF(SUMPRODUCT((P_ID=INDEX(L_ID,ROW()-4))*(P_StatusN="INACTIVE"))&gt;0,1,0))</f>
        <v/>
      </c>
    </row>
    <row r="2480">
      <c r="A2480">
        <f>IF(INDEX(L_ID,ROW()-4)="","",IF(COUNTIF(P_ID,INDEX(L_ID,ROW()-4))&gt;0,1,0))</f>
        <v/>
      </c>
      <c r="B2480">
        <f>IF(INDEX(P_Type,ROW()-4)="","",TRIM(UPPER(INDEX(P_Type,ROW()-4))))</f>
        <v/>
      </c>
      <c r="D2480">
        <f>IF(INDEX(L_Type,ROW()-4)="","",TRIM(UPPER(INDEX(L_Type,ROW()-4))))</f>
        <v/>
      </c>
      <c r="E2480">
        <f>IF(INDEX(P_Status,ROW()-4)="","",TRIM(UPPER(INDEX(P_Status,ROW()-4))))</f>
        <v/>
      </c>
      <c r="G2480">
        <f>IF(INDEX(L_Status,ROW()-4)="","",TRIM(UPPER(INDEX(L_Status,ROW()-4))))</f>
        <v/>
      </c>
      <c r="J2480">
        <f>IF(INDEX(L_ID,ROW()-4)="","",IF(SUMPRODUCT((P_ID=INDEX(L_ID,ROW()-4))*(P_StatusN="INACTIVE"))&gt;0,1,0))</f>
        <v/>
      </c>
    </row>
    <row r="2481">
      <c r="A2481">
        <f>IF(INDEX(L_ID,ROW()-4)="","",IF(COUNTIF(P_ID,INDEX(L_ID,ROW()-4))&gt;0,1,0))</f>
        <v/>
      </c>
      <c r="B2481">
        <f>IF(INDEX(P_Type,ROW()-4)="","",TRIM(UPPER(INDEX(P_Type,ROW()-4))))</f>
        <v/>
      </c>
      <c r="D2481">
        <f>IF(INDEX(L_Type,ROW()-4)="","",TRIM(UPPER(INDEX(L_Type,ROW()-4))))</f>
        <v/>
      </c>
      <c r="E2481">
        <f>IF(INDEX(P_Status,ROW()-4)="","",TRIM(UPPER(INDEX(P_Status,ROW()-4))))</f>
        <v/>
      </c>
      <c r="G2481">
        <f>IF(INDEX(L_Status,ROW()-4)="","",TRIM(UPPER(INDEX(L_Status,ROW()-4))))</f>
        <v/>
      </c>
      <c r="J2481">
        <f>IF(INDEX(L_ID,ROW()-4)="","",IF(SUMPRODUCT((P_ID=INDEX(L_ID,ROW()-4))*(P_StatusN="INACTIVE"))&gt;0,1,0))</f>
        <v/>
      </c>
    </row>
    <row r="2482">
      <c r="A2482">
        <f>IF(INDEX(L_ID,ROW()-4)="","",IF(COUNTIF(P_ID,INDEX(L_ID,ROW()-4))&gt;0,1,0))</f>
        <v/>
      </c>
      <c r="B2482">
        <f>IF(INDEX(P_Type,ROW()-4)="","",TRIM(UPPER(INDEX(P_Type,ROW()-4))))</f>
        <v/>
      </c>
      <c r="D2482">
        <f>IF(INDEX(L_Type,ROW()-4)="","",TRIM(UPPER(INDEX(L_Type,ROW()-4))))</f>
        <v/>
      </c>
      <c r="E2482">
        <f>IF(INDEX(P_Status,ROW()-4)="","",TRIM(UPPER(INDEX(P_Status,ROW()-4))))</f>
        <v/>
      </c>
      <c r="G2482">
        <f>IF(INDEX(L_Status,ROW()-4)="","",TRIM(UPPER(INDEX(L_Status,ROW()-4))))</f>
        <v/>
      </c>
      <c r="J2482">
        <f>IF(INDEX(L_ID,ROW()-4)="","",IF(SUMPRODUCT((P_ID=INDEX(L_ID,ROW()-4))*(P_StatusN="INACTIVE"))&gt;0,1,0))</f>
        <v/>
      </c>
    </row>
    <row r="2483">
      <c r="A2483">
        <f>IF(INDEX(L_ID,ROW()-4)="","",IF(COUNTIF(P_ID,INDEX(L_ID,ROW()-4))&gt;0,1,0))</f>
        <v/>
      </c>
      <c r="B2483">
        <f>IF(INDEX(P_Type,ROW()-4)="","",TRIM(UPPER(INDEX(P_Type,ROW()-4))))</f>
        <v/>
      </c>
      <c r="D2483">
        <f>IF(INDEX(L_Type,ROW()-4)="","",TRIM(UPPER(INDEX(L_Type,ROW()-4))))</f>
        <v/>
      </c>
      <c r="E2483">
        <f>IF(INDEX(P_Status,ROW()-4)="","",TRIM(UPPER(INDEX(P_Status,ROW()-4))))</f>
        <v/>
      </c>
      <c r="G2483">
        <f>IF(INDEX(L_Status,ROW()-4)="","",TRIM(UPPER(INDEX(L_Status,ROW()-4))))</f>
        <v/>
      </c>
      <c r="J2483">
        <f>IF(INDEX(L_ID,ROW()-4)="","",IF(SUMPRODUCT((P_ID=INDEX(L_ID,ROW()-4))*(P_StatusN="INACTIVE"))&gt;0,1,0))</f>
        <v/>
      </c>
    </row>
    <row r="2484">
      <c r="A2484">
        <f>IF(INDEX(L_ID,ROW()-4)="","",IF(COUNTIF(P_ID,INDEX(L_ID,ROW()-4))&gt;0,1,0))</f>
        <v/>
      </c>
      <c r="B2484">
        <f>IF(INDEX(P_Type,ROW()-4)="","",TRIM(UPPER(INDEX(P_Type,ROW()-4))))</f>
        <v/>
      </c>
      <c r="D2484">
        <f>IF(INDEX(L_Type,ROW()-4)="","",TRIM(UPPER(INDEX(L_Type,ROW()-4))))</f>
        <v/>
      </c>
      <c r="E2484">
        <f>IF(INDEX(P_Status,ROW()-4)="","",TRIM(UPPER(INDEX(P_Status,ROW()-4))))</f>
        <v/>
      </c>
      <c r="G2484">
        <f>IF(INDEX(L_Status,ROW()-4)="","",TRIM(UPPER(INDEX(L_Status,ROW()-4))))</f>
        <v/>
      </c>
      <c r="J2484">
        <f>IF(INDEX(L_ID,ROW()-4)="","",IF(SUMPRODUCT((P_ID=INDEX(L_ID,ROW()-4))*(P_StatusN="INACTIVE"))&gt;0,1,0))</f>
        <v/>
      </c>
    </row>
    <row r="2485">
      <c r="A2485">
        <f>IF(INDEX(L_ID,ROW()-4)="","",IF(COUNTIF(P_ID,INDEX(L_ID,ROW()-4))&gt;0,1,0))</f>
        <v/>
      </c>
      <c r="B2485">
        <f>IF(INDEX(P_Type,ROW()-4)="","",TRIM(UPPER(INDEX(P_Type,ROW()-4))))</f>
        <v/>
      </c>
      <c r="D2485">
        <f>IF(INDEX(L_Type,ROW()-4)="","",TRIM(UPPER(INDEX(L_Type,ROW()-4))))</f>
        <v/>
      </c>
      <c r="E2485">
        <f>IF(INDEX(P_Status,ROW()-4)="","",TRIM(UPPER(INDEX(P_Status,ROW()-4))))</f>
        <v/>
      </c>
      <c r="G2485">
        <f>IF(INDEX(L_Status,ROW()-4)="","",TRIM(UPPER(INDEX(L_Status,ROW()-4))))</f>
        <v/>
      </c>
      <c r="J2485">
        <f>IF(INDEX(L_ID,ROW()-4)="","",IF(SUMPRODUCT((P_ID=INDEX(L_ID,ROW()-4))*(P_StatusN="INACTIVE"))&gt;0,1,0))</f>
        <v/>
      </c>
    </row>
    <row r="2486">
      <c r="A2486">
        <f>IF(INDEX(L_ID,ROW()-4)="","",IF(COUNTIF(P_ID,INDEX(L_ID,ROW()-4))&gt;0,1,0))</f>
        <v/>
      </c>
      <c r="B2486">
        <f>IF(INDEX(P_Type,ROW()-4)="","",TRIM(UPPER(INDEX(P_Type,ROW()-4))))</f>
        <v/>
      </c>
      <c r="D2486">
        <f>IF(INDEX(L_Type,ROW()-4)="","",TRIM(UPPER(INDEX(L_Type,ROW()-4))))</f>
        <v/>
      </c>
      <c r="E2486">
        <f>IF(INDEX(P_Status,ROW()-4)="","",TRIM(UPPER(INDEX(P_Status,ROW()-4))))</f>
        <v/>
      </c>
      <c r="G2486">
        <f>IF(INDEX(L_Status,ROW()-4)="","",TRIM(UPPER(INDEX(L_Status,ROW()-4))))</f>
        <v/>
      </c>
      <c r="J2486">
        <f>IF(INDEX(L_ID,ROW()-4)="","",IF(SUMPRODUCT((P_ID=INDEX(L_ID,ROW()-4))*(P_StatusN="INACTIVE"))&gt;0,1,0))</f>
        <v/>
      </c>
    </row>
    <row r="2487">
      <c r="A2487">
        <f>IF(INDEX(L_ID,ROW()-4)="","",IF(COUNTIF(P_ID,INDEX(L_ID,ROW()-4))&gt;0,1,0))</f>
        <v/>
      </c>
      <c r="B2487">
        <f>IF(INDEX(P_Type,ROW()-4)="","",TRIM(UPPER(INDEX(P_Type,ROW()-4))))</f>
        <v/>
      </c>
      <c r="D2487">
        <f>IF(INDEX(L_Type,ROW()-4)="","",TRIM(UPPER(INDEX(L_Type,ROW()-4))))</f>
        <v/>
      </c>
      <c r="E2487">
        <f>IF(INDEX(P_Status,ROW()-4)="","",TRIM(UPPER(INDEX(P_Status,ROW()-4))))</f>
        <v/>
      </c>
      <c r="G2487">
        <f>IF(INDEX(L_Status,ROW()-4)="","",TRIM(UPPER(INDEX(L_Status,ROW()-4))))</f>
        <v/>
      </c>
      <c r="J2487">
        <f>IF(INDEX(L_ID,ROW()-4)="","",IF(SUMPRODUCT((P_ID=INDEX(L_ID,ROW()-4))*(P_StatusN="INACTIVE"))&gt;0,1,0))</f>
        <v/>
      </c>
    </row>
    <row r="2488">
      <c r="A2488">
        <f>IF(INDEX(L_ID,ROW()-4)="","",IF(COUNTIF(P_ID,INDEX(L_ID,ROW()-4))&gt;0,1,0))</f>
        <v/>
      </c>
      <c r="B2488">
        <f>IF(INDEX(P_Type,ROW()-4)="","",TRIM(UPPER(INDEX(P_Type,ROW()-4))))</f>
        <v/>
      </c>
      <c r="D2488">
        <f>IF(INDEX(L_Type,ROW()-4)="","",TRIM(UPPER(INDEX(L_Type,ROW()-4))))</f>
        <v/>
      </c>
      <c r="E2488">
        <f>IF(INDEX(P_Status,ROW()-4)="","",TRIM(UPPER(INDEX(P_Status,ROW()-4))))</f>
        <v/>
      </c>
      <c r="G2488">
        <f>IF(INDEX(L_Status,ROW()-4)="","",TRIM(UPPER(INDEX(L_Status,ROW()-4))))</f>
        <v/>
      </c>
      <c r="J2488">
        <f>IF(INDEX(L_ID,ROW()-4)="","",IF(SUMPRODUCT((P_ID=INDEX(L_ID,ROW()-4))*(P_StatusN="INACTIVE"))&gt;0,1,0))</f>
        <v/>
      </c>
    </row>
    <row r="2489">
      <c r="A2489">
        <f>IF(INDEX(L_ID,ROW()-4)="","",IF(COUNTIF(P_ID,INDEX(L_ID,ROW()-4))&gt;0,1,0))</f>
        <v/>
      </c>
      <c r="B2489">
        <f>IF(INDEX(P_Type,ROW()-4)="","",TRIM(UPPER(INDEX(P_Type,ROW()-4))))</f>
        <v/>
      </c>
      <c r="D2489">
        <f>IF(INDEX(L_Type,ROW()-4)="","",TRIM(UPPER(INDEX(L_Type,ROW()-4))))</f>
        <v/>
      </c>
      <c r="E2489">
        <f>IF(INDEX(P_Status,ROW()-4)="","",TRIM(UPPER(INDEX(P_Status,ROW()-4))))</f>
        <v/>
      </c>
      <c r="G2489">
        <f>IF(INDEX(L_Status,ROW()-4)="","",TRIM(UPPER(INDEX(L_Status,ROW()-4))))</f>
        <v/>
      </c>
      <c r="J2489">
        <f>IF(INDEX(L_ID,ROW()-4)="","",IF(SUMPRODUCT((P_ID=INDEX(L_ID,ROW()-4))*(P_StatusN="INACTIVE"))&gt;0,1,0))</f>
        <v/>
      </c>
    </row>
    <row r="2490">
      <c r="A2490">
        <f>IF(INDEX(L_ID,ROW()-4)="","",IF(COUNTIF(P_ID,INDEX(L_ID,ROW()-4))&gt;0,1,0))</f>
        <v/>
      </c>
      <c r="B2490">
        <f>IF(INDEX(P_Type,ROW()-4)="","",TRIM(UPPER(INDEX(P_Type,ROW()-4))))</f>
        <v/>
      </c>
      <c r="D2490">
        <f>IF(INDEX(L_Type,ROW()-4)="","",TRIM(UPPER(INDEX(L_Type,ROW()-4))))</f>
        <v/>
      </c>
      <c r="E2490">
        <f>IF(INDEX(P_Status,ROW()-4)="","",TRIM(UPPER(INDEX(P_Status,ROW()-4))))</f>
        <v/>
      </c>
      <c r="G2490">
        <f>IF(INDEX(L_Status,ROW()-4)="","",TRIM(UPPER(INDEX(L_Status,ROW()-4))))</f>
        <v/>
      </c>
      <c r="J2490">
        <f>IF(INDEX(L_ID,ROW()-4)="","",IF(SUMPRODUCT((P_ID=INDEX(L_ID,ROW()-4))*(P_StatusN="INACTIVE"))&gt;0,1,0))</f>
        <v/>
      </c>
    </row>
    <row r="2491">
      <c r="A2491">
        <f>IF(INDEX(L_ID,ROW()-4)="","",IF(COUNTIF(P_ID,INDEX(L_ID,ROW()-4))&gt;0,1,0))</f>
        <v/>
      </c>
      <c r="B2491">
        <f>IF(INDEX(P_Type,ROW()-4)="","",TRIM(UPPER(INDEX(P_Type,ROW()-4))))</f>
        <v/>
      </c>
      <c r="D2491">
        <f>IF(INDEX(L_Type,ROW()-4)="","",TRIM(UPPER(INDEX(L_Type,ROW()-4))))</f>
        <v/>
      </c>
      <c r="E2491">
        <f>IF(INDEX(P_Status,ROW()-4)="","",TRIM(UPPER(INDEX(P_Status,ROW()-4))))</f>
        <v/>
      </c>
      <c r="G2491">
        <f>IF(INDEX(L_Status,ROW()-4)="","",TRIM(UPPER(INDEX(L_Status,ROW()-4))))</f>
        <v/>
      </c>
      <c r="J2491">
        <f>IF(INDEX(L_ID,ROW()-4)="","",IF(SUMPRODUCT((P_ID=INDEX(L_ID,ROW()-4))*(P_StatusN="INACTIVE"))&gt;0,1,0))</f>
        <v/>
      </c>
    </row>
    <row r="2492">
      <c r="A2492">
        <f>IF(INDEX(L_ID,ROW()-4)="","",IF(COUNTIF(P_ID,INDEX(L_ID,ROW()-4))&gt;0,1,0))</f>
        <v/>
      </c>
      <c r="B2492">
        <f>IF(INDEX(P_Type,ROW()-4)="","",TRIM(UPPER(INDEX(P_Type,ROW()-4))))</f>
        <v/>
      </c>
      <c r="D2492">
        <f>IF(INDEX(L_Type,ROW()-4)="","",TRIM(UPPER(INDEX(L_Type,ROW()-4))))</f>
        <v/>
      </c>
      <c r="E2492">
        <f>IF(INDEX(P_Status,ROW()-4)="","",TRIM(UPPER(INDEX(P_Status,ROW()-4))))</f>
        <v/>
      </c>
      <c r="G2492">
        <f>IF(INDEX(L_Status,ROW()-4)="","",TRIM(UPPER(INDEX(L_Status,ROW()-4))))</f>
        <v/>
      </c>
      <c r="J2492">
        <f>IF(INDEX(L_ID,ROW()-4)="","",IF(SUMPRODUCT((P_ID=INDEX(L_ID,ROW()-4))*(P_StatusN="INACTIVE"))&gt;0,1,0))</f>
        <v/>
      </c>
    </row>
    <row r="2493">
      <c r="A2493">
        <f>IF(INDEX(L_ID,ROW()-4)="","",IF(COUNTIF(P_ID,INDEX(L_ID,ROW()-4))&gt;0,1,0))</f>
        <v/>
      </c>
      <c r="B2493">
        <f>IF(INDEX(P_Type,ROW()-4)="","",TRIM(UPPER(INDEX(P_Type,ROW()-4))))</f>
        <v/>
      </c>
      <c r="D2493">
        <f>IF(INDEX(L_Type,ROW()-4)="","",TRIM(UPPER(INDEX(L_Type,ROW()-4))))</f>
        <v/>
      </c>
      <c r="E2493">
        <f>IF(INDEX(P_Status,ROW()-4)="","",TRIM(UPPER(INDEX(P_Status,ROW()-4))))</f>
        <v/>
      </c>
      <c r="G2493">
        <f>IF(INDEX(L_Status,ROW()-4)="","",TRIM(UPPER(INDEX(L_Status,ROW()-4))))</f>
        <v/>
      </c>
      <c r="J2493">
        <f>IF(INDEX(L_ID,ROW()-4)="","",IF(SUMPRODUCT((P_ID=INDEX(L_ID,ROW()-4))*(P_StatusN="INACTIVE"))&gt;0,1,0))</f>
        <v/>
      </c>
    </row>
    <row r="2494">
      <c r="A2494">
        <f>IF(INDEX(L_ID,ROW()-4)="","",IF(COUNTIF(P_ID,INDEX(L_ID,ROW()-4))&gt;0,1,0))</f>
        <v/>
      </c>
      <c r="B2494">
        <f>IF(INDEX(P_Type,ROW()-4)="","",TRIM(UPPER(INDEX(P_Type,ROW()-4))))</f>
        <v/>
      </c>
      <c r="D2494">
        <f>IF(INDEX(L_Type,ROW()-4)="","",TRIM(UPPER(INDEX(L_Type,ROW()-4))))</f>
        <v/>
      </c>
      <c r="E2494">
        <f>IF(INDEX(P_Status,ROW()-4)="","",TRIM(UPPER(INDEX(P_Status,ROW()-4))))</f>
        <v/>
      </c>
      <c r="G2494">
        <f>IF(INDEX(L_Status,ROW()-4)="","",TRIM(UPPER(INDEX(L_Status,ROW()-4))))</f>
        <v/>
      </c>
      <c r="J2494">
        <f>IF(INDEX(L_ID,ROW()-4)="","",IF(SUMPRODUCT((P_ID=INDEX(L_ID,ROW()-4))*(P_StatusN="INACTIVE"))&gt;0,1,0))</f>
        <v/>
      </c>
    </row>
    <row r="2495">
      <c r="A2495">
        <f>IF(INDEX(L_ID,ROW()-4)="","",IF(COUNTIF(P_ID,INDEX(L_ID,ROW()-4))&gt;0,1,0))</f>
        <v/>
      </c>
      <c r="B2495">
        <f>IF(INDEX(P_Type,ROW()-4)="","",TRIM(UPPER(INDEX(P_Type,ROW()-4))))</f>
        <v/>
      </c>
      <c r="D2495">
        <f>IF(INDEX(L_Type,ROW()-4)="","",TRIM(UPPER(INDEX(L_Type,ROW()-4))))</f>
        <v/>
      </c>
      <c r="E2495">
        <f>IF(INDEX(P_Status,ROW()-4)="","",TRIM(UPPER(INDEX(P_Status,ROW()-4))))</f>
        <v/>
      </c>
      <c r="G2495">
        <f>IF(INDEX(L_Status,ROW()-4)="","",TRIM(UPPER(INDEX(L_Status,ROW()-4))))</f>
        <v/>
      </c>
      <c r="J2495">
        <f>IF(INDEX(L_ID,ROW()-4)="","",IF(SUMPRODUCT((P_ID=INDEX(L_ID,ROW()-4))*(P_StatusN="INACTIVE"))&gt;0,1,0))</f>
        <v/>
      </c>
    </row>
    <row r="2496">
      <c r="A2496">
        <f>IF(INDEX(L_ID,ROW()-4)="","",IF(COUNTIF(P_ID,INDEX(L_ID,ROW()-4))&gt;0,1,0))</f>
        <v/>
      </c>
      <c r="B2496">
        <f>IF(INDEX(P_Type,ROW()-4)="","",TRIM(UPPER(INDEX(P_Type,ROW()-4))))</f>
        <v/>
      </c>
      <c r="D2496">
        <f>IF(INDEX(L_Type,ROW()-4)="","",TRIM(UPPER(INDEX(L_Type,ROW()-4))))</f>
        <v/>
      </c>
      <c r="E2496">
        <f>IF(INDEX(P_Status,ROW()-4)="","",TRIM(UPPER(INDEX(P_Status,ROW()-4))))</f>
        <v/>
      </c>
      <c r="G2496">
        <f>IF(INDEX(L_Status,ROW()-4)="","",TRIM(UPPER(INDEX(L_Status,ROW()-4))))</f>
        <v/>
      </c>
      <c r="J2496">
        <f>IF(INDEX(L_ID,ROW()-4)="","",IF(SUMPRODUCT((P_ID=INDEX(L_ID,ROW()-4))*(P_StatusN="INACTIVE"))&gt;0,1,0))</f>
        <v/>
      </c>
    </row>
    <row r="2497">
      <c r="A2497">
        <f>IF(INDEX(L_ID,ROW()-4)="","",IF(COUNTIF(P_ID,INDEX(L_ID,ROW()-4))&gt;0,1,0))</f>
        <v/>
      </c>
      <c r="B2497">
        <f>IF(INDEX(P_Type,ROW()-4)="","",TRIM(UPPER(INDEX(P_Type,ROW()-4))))</f>
        <v/>
      </c>
      <c r="D2497">
        <f>IF(INDEX(L_Type,ROW()-4)="","",TRIM(UPPER(INDEX(L_Type,ROW()-4))))</f>
        <v/>
      </c>
      <c r="E2497">
        <f>IF(INDEX(P_Status,ROW()-4)="","",TRIM(UPPER(INDEX(P_Status,ROW()-4))))</f>
        <v/>
      </c>
      <c r="G2497">
        <f>IF(INDEX(L_Status,ROW()-4)="","",TRIM(UPPER(INDEX(L_Status,ROW()-4))))</f>
        <v/>
      </c>
      <c r="J2497">
        <f>IF(INDEX(L_ID,ROW()-4)="","",IF(SUMPRODUCT((P_ID=INDEX(L_ID,ROW()-4))*(P_StatusN="INACTIVE"))&gt;0,1,0))</f>
        <v/>
      </c>
    </row>
    <row r="2498">
      <c r="A2498">
        <f>IF(INDEX(L_ID,ROW()-4)="","",IF(COUNTIF(P_ID,INDEX(L_ID,ROW()-4))&gt;0,1,0))</f>
        <v/>
      </c>
      <c r="B2498">
        <f>IF(INDEX(P_Type,ROW()-4)="","",TRIM(UPPER(INDEX(P_Type,ROW()-4))))</f>
        <v/>
      </c>
      <c r="D2498">
        <f>IF(INDEX(L_Type,ROW()-4)="","",TRIM(UPPER(INDEX(L_Type,ROW()-4))))</f>
        <v/>
      </c>
      <c r="E2498">
        <f>IF(INDEX(P_Status,ROW()-4)="","",TRIM(UPPER(INDEX(P_Status,ROW()-4))))</f>
        <v/>
      </c>
      <c r="G2498">
        <f>IF(INDEX(L_Status,ROW()-4)="","",TRIM(UPPER(INDEX(L_Status,ROW()-4))))</f>
        <v/>
      </c>
      <c r="J2498">
        <f>IF(INDEX(L_ID,ROW()-4)="","",IF(SUMPRODUCT((P_ID=INDEX(L_ID,ROW()-4))*(P_StatusN="INACTIVE"))&gt;0,1,0))</f>
        <v/>
      </c>
    </row>
    <row r="2499">
      <c r="A2499">
        <f>IF(INDEX(L_ID,ROW()-4)="","",IF(COUNTIF(P_ID,INDEX(L_ID,ROW()-4))&gt;0,1,0))</f>
        <v/>
      </c>
      <c r="B2499">
        <f>IF(INDEX(P_Type,ROW()-4)="","",TRIM(UPPER(INDEX(P_Type,ROW()-4))))</f>
        <v/>
      </c>
      <c r="D2499">
        <f>IF(INDEX(L_Type,ROW()-4)="","",TRIM(UPPER(INDEX(L_Type,ROW()-4))))</f>
        <v/>
      </c>
      <c r="E2499">
        <f>IF(INDEX(P_Status,ROW()-4)="","",TRIM(UPPER(INDEX(P_Status,ROW()-4))))</f>
        <v/>
      </c>
      <c r="G2499">
        <f>IF(INDEX(L_Status,ROW()-4)="","",TRIM(UPPER(INDEX(L_Status,ROW()-4))))</f>
        <v/>
      </c>
      <c r="J2499">
        <f>IF(INDEX(L_ID,ROW()-4)="","",IF(SUMPRODUCT((P_ID=INDEX(L_ID,ROW()-4))*(P_StatusN="INACTIVE"))&gt;0,1,0))</f>
        <v/>
      </c>
    </row>
    <row r="2500">
      <c r="A2500">
        <f>IF(INDEX(L_ID,ROW()-4)="","",IF(COUNTIF(P_ID,INDEX(L_ID,ROW()-4))&gt;0,1,0))</f>
        <v/>
      </c>
      <c r="B2500">
        <f>IF(INDEX(P_Type,ROW()-4)="","",TRIM(UPPER(INDEX(P_Type,ROW()-4))))</f>
        <v/>
      </c>
      <c r="D2500">
        <f>IF(INDEX(L_Type,ROW()-4)="","",TRIM(UPPER(INDEX(L_Type,ROW()-4))))</f>
        <v/>
      </c>
      <c r="E2500">
        <f>IF(INDEX(P_Status,ROW()-4)="","",TRIM(UPPER(INDEX(P_Status,ROW()-4))))</f>
        <v/>
      </c>
      <c r="G2500">
        <f>IF(INDEX(L_Status,ROW()-4)="","",TRIM(UPPER(INDEX(L_Status,ROW()-4))))</f>
        <v/>
      </c>
      <c r="J2500">
        <f>IF(INDEX(L_ID,ROW()-4)="","",IF(SUMPRODUCT((P_ID=INDEX(L_ID,ROW()-4))*(P_StatusN="INACTIVE"))&gt;0,1,0))</f>
        <v/>
      </c>
    </row>
    <row r="2501">
      <c r="A2501">
        <f>IF(INDEX(L_ID,ROW()-4)="","",IF(COUNTIF(P_ID,INDEX(L_ID,ROW()-4))&gt;0,1,0))</f>
        <v/>
      </c>
      <c r="B2501">
        <f>IF(INDEX(P_Type,ROW()-4)="","",TRIM(UPPER(INDEX(P_Type,ROW()-4))))</f>
        <v/>
      </c>
      <c r="D2501">
        <f>IF(INDEX(L_Type,ROW()-4)="","",TRIM(UPPER(INDEX(L_Type,ROW()-4))))</f>
        <v/>
      </c>
      <c r="E2501">
        <f>IF(INDEX(P_Status,ROW()-4)="","",TRIM(UPPER(INDEX(P_Status,ROW()-4))))</f>
        <v/>
      </c>
      <c r="G2501">
        <f>IF(INDEX(L_Status,ROW()-4)="","",TRIM(UPPER(INDEX(L_Status,ROW()-4))))</f>
        <v/>
      </c>
      <c r="J2501">
        <f>IF(INDEX(L_ID,ROW()-4)="","",IF(SUMPRODUCT((P_ID=INDEX(L_ID,ROW()-4))*(P_StatusN="INACTIVE"))&gt;0,1,0))</f>
        <v/>
      </c>
    </row>
    <row r="2502">
      <c r="A2502">
        <f>IF(INDEX(L_ID,ROW()-4)="","",IF(COUNTIF(P_ID,INDEX(L_ID,ROW()-4))&gt;0,1,0))</f>
        <v/>
      </c>
      <c r="B2502">
        <f>IF(INDEX(P_Type,ROW()-4)="","",TRIM(UPPER(INDEX(P_Type,ROW()-4))))</f>
        <v/>
      </c>
      <c r="D2502">
        <f>IF(INDEX(L_Type,ROW()-4)="","",TRIM(UPPER(INDEX(L_Type,ROW()-4))))</f>
        <v/>
      </c>
      <c r="E2502">
        <f>IF(INDEX(P_Status,ROW()-4)="","",TRIM(UPPER(INDEX(P_Status,ROW()-4))))</f>
        <v/>
      </c>
      <c r="G2502">
        <f>IF(INDEX(L_Status,ROW()-4)="","",TRIM(UPPER(INDEX(L_Status,ROW()-4))))</f>
        <v/>
      </c>
      <c r="J2502">
        <f>IF(INDEX(L_ID,ROW()-4)="","",IF(SUMPRODUCT((P_ID=INDEX(L_ID,ROW()-4))*(P_StatusN="INACTIVE"))&gt;0,1,0))</f>
        <v/>
      </c>
    </row>
    <row r="2503">
      <c r="A2503">
        <f>IF(INDEX(L_ID,ROW()-4)="","",IF(COUNTIF(P_ID,INDEX(L_ID,ROW()-4))&gt;0,1,0))</f>
        <v/>
      </c>
      <c r="B2503">
        <f>IF(INDEX(P_Type,ROW()-4)="","",TRIM(UPPER(INDEX(P_Type,ROW()-4))))</f>
        <v/>
      </c>
      <c r="D2503">
        <f>IF(INDEX(L_Type,ROW()-4)="","",TRIM(UPPER(INDEX(L_Type,ROW()-4))))</f>
        <v/>
      </c>
      <c r="E2503">
        <f>IF(INDEX(P_Status,ROW()-4)="","",TRIM(UPPER(INDEX(P_Status,ROW()-4))))</f>
        <v/>
      </c>
      <c r="G2503">
        <f>IF(INDEX(L_Status,ROW()-4)="","",TRIM(UPPER(INDEX(L_Status,ROW()-4))))</f>
        <v/>
      </c>
      <c r="J2503">
        <f>IF(INDEX(L_ID,ROW()-4)="","",IF(SUMPRODUCT((P_ID=INDEX(L_ID,ROW()-4))*(P_StatusN="INACTIVE"))&gt;0,1,0))</f>
        <v/>
      </c>
    </row>
    <row r="2504">
      <c r="A2504">
        <f>IF(INDEX(L_ID,ROW()-4)="","",IF(COUNTIF(P_ID,INDEX(L_ID,ROW()-4))&gt;0,1,0))</f>
        <v/>
      </c>
      <c r="B2504">
        <f>IF(INDEX(P_Type,ROW()-4)="","",TRIM(UPPER(INDEX(P_Type,ROW()-4))))</f>
        <v/>
      </c>
      <c r="D2504">
        <f>IF(INDEX(L_Type,ROW()-4)="","",TRIM(UPPER(INDEX(L_Type,ROW()-4))))</f>
        <v/>
      </c>
      <c r="E2504">
        <f>IF(INDEX(P_Status,ROW()-4)="","",TRIM(UPPER(INDEX(P_Status,ROW()-4))))</f>
        <v/>
      </c>
      <c r="G2504">
        <f>IF(INDEX(L_Status,ROW()-4)="","",TRIM(UPPER(INDEX(L_Status,ROW()-4))))</f>
        <v/>
      </c>
      <c r="J2504">
        <f>IF(INDEX(L_ID,ROW()-4)="","",IF(SUMPRODUCT((P_ID=INDEX(L_ID,ROW()-4))*(P_StatusN="INACTIVE"))&gt;0,1,0))</f>
        <v/>
      </c>
    </row>
    <row r="2505">
      <c r="A2505">
        <f>IF(INDEX(L_ID,ROW()-4)="","",IF(COUNTIF(P_ID,INDEX(L_ID,ROW()-4))&gt;0,1,0))</f>
        <v/>
      </c>
      <c r="B2505">
        <f>IF(INDEX(P_Type,ROW()-4)="","",TRIM(UPPER(INDEX(P_Type,ROW()-4))))</f>
        <v/>
      </c>
      <c r="D2505">
        <f>IF(INDEX(L_Type,ROW()-4)="","",TRIM(UPPER(INDEX(L_Type,ROW()-4))))</f>
        <v/>
      </c>
      <c r="E2505">
        <f>IF(INDEX(P_Status,ROW()-4)="","",TRIM(UPPER(INDEX(P_Status,ROW()-4))))</f>
        <v/>
      </c>
      <c r="G2505">
        <f>IF(INDEX(L_Status,ROW()-4)="","",TRIM(UPPER(INDEX(L_Status,ROW()-4))))</f>
        <v/>
      </c>
      <c r="J2505">
        <f>IF(INDEX(L_ID,ROW()-4)="","",IF(SUMPRODUCT((P_ID=INDEX(L_ID,ROW()-4))*(P_StatusN="INACTIVE"))&gt;0,1,0))</f>
        <v/>
      </c>
    </row>
    <row r="2506">
      <c r="A2506">
        <f>IF(INDEX(L_ID,ROW()-4)="","",IF(COUNTIF(P_ID,INDEX(L_ID,ROW()-4))&gt;0,1,0))</f>
        <v/>
      </c>
      <c r="B2506">
        <f>IF(INDEX(P_Type,ROW()-4)="","",TRIM(UPPER(INDEX(P_Type,ROW()-4))))</f>
        <v/>
      </c>
      <c r="D2506">
        <f>IF(INDEX(L_Type,ROW()-4)="","",TRIM(UPPER(INDEX(L_Type,ROW()-4))))</f>
        <v/>
      </c>
      <c r="E2506">
        <f>IF(INDEX(P_Status,ROW()-4)="","",TRIM(UPPER(INDEX(P_Status,ROW()-4))))</f>
        <v/>
      </c>
      <c r="G2506">
        <f>IF(INDEX(L_Status,ROW()-4)="","",TRIM(UPPER(INDEX(L_Status,ROW()-4))))</f>
        <v/>
      </c>
      <c r="J2506">
        <f>IF(INDEX(L_ID,ROW()-4)="","",IF(SUMPRODUCT((P_ID=INDEX(L_ID,ROW()-4))*(P_StatusN="INACTIVE"))&gt;0,1,0))</f>
        <v/>
      </c>
    </row>
    <row r="2507">
      <c r="A2507">
        <f>IF(INDEX(L_ID,ROW()-4)="","",IF(COUNTIF(P_ID,INDEX(L_ID,ROW()-4))&gt;0,1,0))</f>
        <v/>
      </c>
      <c r="B2507">
        <f>IF(INDEX(P_Type,ROW()-4)="","",TRIM(UPPER(INDEX(P_Type,ROW()-4))))</f>
        <v/>
      </c>
      <c r="D2507">
        <f>IF(INDEX(L_Type,ROW()-4)="","",TRIM(UPPER(INDEX(L_Type,ROW()-4))))</f>
        <v/>
      </c>
      <c r="E2507">
        <f>IF(INDEX(P_Status,ROW()-4)="","",TRIM(UPPER(INDEX(P_Status,ROW()-4))))</f>
        <v/>
      </c>
      <c r="G2507">
        <f>IF(INDEX(L_Status,ROW()-4)="","",TRIM(UPPER(INDEX(L_Status,ROW()-4))))</f>
        <v/>
      </c>
      <c r="J2507">
        <f>IF(INDEX(L_ID,ROW()-4)="","",IF(SUMPRODUCT((P_ID=INDEX(L_ID,ROW()-4))*(P_StatusN="INACTIVE"))&gt;0,1,0))</f>
        <v/>
      </c>
    </row>
    <row r="2508">
      <c r="A2508">
        <f>IF(INDEX(L_ID,ROW()-4)="","",IF(COUNTIF(P_ID,INDEX(L_ID,ROW()-4))&gt;0,1,0))</f>
        <v/>
      </c>
      <c r="B2508">
        <f>IF(INDEX(P_Type,ROW()-4)="","",TRIM(UPPER(INDEX(P_Type,ROW()-4))))</f>
        <v/>
      </c>
      <c r="D2508">
        <f>IF(INDEX(L_Type,ROW()-4)="","",TRIM(UPPER(INDEX(L_Type,ROW()-4))))</f>
        <v/>
      </c>
      <c r="E2508">
        <f>IF(INDEX(P_Status,ROW()-4)="","",TRIM(UPPER(INDEX(P_Status,ROW()-4))))</f>
        <v/>
      </c>
      <c r="G2508">
        <f>IF(INDEX(L_Status,ROW()-4)="","",TRIM(UPPER(INDEX(L_Status,ROW()-4))))</f>
        <v/>
      </c>
      <c r="J2508">
        <f>IF(INDEX(L_ID,ROW()-4)="","",IF(SUMPRODUCT((P_ID=INDEX(L_ID,ROW()-4))*(P_StatusN="INACTIVE"))&gt;0,1,0))</f>
        <v/>
      </c>
    </row>
    <row r="2509">
      <c r="A2509">
        <f>IF(INDEX(L_ID,ROW()-4)="","",IF(COUNTIF(P_ID,INDEX(L_ID,ROW()-4))&gt;0,1,0))</f>
        <v/>
      </c>
      <c r="B2509">
        <f>IF(INDEX(P_Type,ROW()-4)="","",TRIM(UPPER(INDEX(P_Type,ROW()-4))))</f>
        <v/>
      </c>
      <c r="D2509">
        <f>IF(INDEX(L_Type,ROW()-4)="","",TRIM(UPPER(INDEX(L_Type,ROW()-4))))</f>
        <v/>
      </c>
      <c r="E2509">
        <f>IF(INDEX(P_Status,ROW()-4)="","",TRIM(UPPER(INDEX(P_Status,ROW()-4))))</f>
        <v/>
      </c>
      <c r="G2509">
        <f>IF(INDEX(L_Status,ROW()-4)="","",TRIM(UPPER(INDEX(L_Status,ROW()-4))))</f>
        <v/>
      </c>
      <c r="J2509">
        <f>IF(INDEX(L_ID,ROW()-4)="","",IF(SUMPRODUCT((P_ID=INDEX(L_ID,ROW()-4))*(P_StatusN="INACTIVE"))&gt;0,1,0))</f>
        <v/>
      </c>
    </row>
    <row r="2510">
      <c r="A2510">
        <f>IF(INDEX(L_ID,ROW()-4)="","",IF(COUNTIF(P_ID,INDEX(L_ID,ROW()-4))&gt;0,1,0))</f>
        <v/>
      </c>
      <c r="B2510">
        <f>IF(INDEX(P_Type,ROW()-4)="","",TRIM(UPPER(INDEX(P_Type,ROW()-4))))</f>
        <v/>
      </c>
      <c r="D2510">
        <f>IF(INDEX(L_Type,ROW()-4)="","",TRIM(UPPER(INDEX(L_Type,ROW()-4))))</f>
        <v/>
      </c>
      <c r="E2510">
        <f>IF(INDEX(P_Status,ROW()-4)="","",TRIM(UPPER(INDEX(P_Status,ROW()-4))))</f>
        <v/>
      </c>
      <c r="G2510">
        <f>IF(INDEX(L_Status,ROW()-4)="","",TRIM(UPPER(INDEX(L_Status,ROW()-4))))</f>
        <v/>
      </c>
      <c r="J2510">
        <f>IF(INDEX(L_ID,ROW()-4)="","",IF(SUMPRODUCT((P_ID=INDEX(L_ID,ROW()-4))*(P_StatusN="INACTIVE"))&gt;0,1,0))</f>
        <v/>
      </c>
    </row>
    <row r="2511">
      <c r="A2511">
        <f>IF(INDEX(L_ID,ROW()-4)="","",IF(COUNTIF(P_ID,INDEX(L_ID,ROW()-4))&gt;0,1,0))</f>
        <v/>
      </c>
      <c r="B2511">
        <f>IF(INDEX(P_Type,ROW()-4)="","",TRIM(UPPER(INDEX(P_Type,ROW()-4))))</f>
        <v/>
      </c>
      <c r="D2511">
        <f>IF(INDEX(L_Type,ROW()-4)="","",TRIM(UPPER(INDEX(L_Type,ROW()-4))))</f>
        <v/>
      </c>
      <c r="E2511">
        <f>IF(INDEX(P_Status,ROW()-4)="","",TRIM(UPPER(INDEX(P_Status,ROW()-4))))</f>
        <v/>
      </c>
      <c r="G2511">
        <f>IF(INDEX(L_Status,ROW()-4)="","",TRIM(UPPER(INDEX(L_Status,ROW()-4))))</f>
        <v/>
      </c>
      <c r="J2511">
        <f>IF(INDEX(L_ID,ROW()-4)="","",IF(SUMPRODUCT((P_ID=INDEX(L_ID,ROW()-4))*(P_StatusN="INACTIVE"))&gt;0,1,0))</f>
        <v/>
      </c>
    </row>
    <row r="2512">
      <c r="A2512">
        <f>IF(INDEX(L_ID,ROW()-4)="","",IF(COUNTIF(P_ID,INDEX(L_ID,ROW()-4))&gt;0,1,0))</f>
        <v/>
      </c>
      <c r="B2512">
        <f>IF(INDEX(P_Type,ROW()-4)="","",TRIM(UPPER(INDEX(P_Type,ROW()-4))))</f>
        <v/>
      </c>
      <c r="D2512">
        <f>IF(INDEX(L_Type,ROW()-4)="","",TRIM(UPPER(INDEX(L_Type,ROW()-4))))</f>
        <v/>
      </c>
      <c r="E2512">
        <f>IF(INDEX(P_Status,ROW()-4)="","",TRIM(UPPER(INDEX(P_Status,ROW()-4))))</f>
        <v/>
      </c>
      <c r="G2512">
        <f>IF(INDEX(L_Status,ROW()-4)="","",TRIM(UPPER(INDEX(L_Status,ROW()-4))))</f>
        <v/>
      </c>
      <c r="J2512">
        <f>IF(INDEX(L_ID,ROW()-4)="","",IF(SUMPRODUCT((P_ID=INDEX(L_ID,ROW()-4))*(P_StatusN="INACTIVE"))&gt;0,1,0))</f>
        <v/>
      </c>
    </row>
    <row r="2513">
      <c r="A2513">
        <f>IF(INDEX(L_ID,ROW()-4)="","",IF(COUNTIF(P_ID,INDEX(L_ID,ROW()-4))&gt;0,1,0))</f>
        <v/>
      </c>
      <c r="B2513">
        <f>IF(INDEX(P_Type,ROW()-4)="","",TRIM(UPPER(INDEX(P_Type,ROW()-4))))</f>
        <v/>
      </c>
      <c r="D2513">
        <f>IF(INDEX(L_Type,ROW()-4)="","",TRIM(UPPER(INDEX(L_Type,ROW()-4))))</f>
        <v/>
      </c>
      <c r="E2513">
        <f>IF(INDEX(P_Status,ROW()-4)="","",TRIM(UPPER(INDEX(P_Status,ROW()-4))))</f>
        <v/>
      </c>
      <c r="G2513">
        <f>IF(INDEX(L_Status,ROW()-4)="","",TRIM(UPPER(INDEX(L_Status,ROW()-4))))</f>
        <v/>
      </c>
      <c r="J2513">
        <f>IF(INDEX(L_ID,ROW()-4)="","",IF(SUMPRODUCT((P_ID=INDEX(L_ID,ROW()-4))*(P_StatusN="INACTIVE"))&gt;0,1,0))</f>
        <v/>
      </c>
    </row>
    <row r="2514">
      <c r="A2514">
        <f>IF(INDEX(L_ID,ROW()-4)="","",IF(COUNTIF(P_ID,INDEX(L_ID,ROW()-4))&gt;0,1,0))</f>
        <v/>
      </c>
      <c r="B2514">
        <f>IF(INDEX(P_Type,ROW()-4)="","",TRIM(UPPER(INDEX(P_Type,ROW()-4))))</f>
        <v/>
      </c>
      <c r="D2514">
        <f>IF(INDEX(L_Type,ROW()-4)="","",TRIM(UPPER(INDEX(L_Type,ROW()-4))))</f>
        <v/>
      </c>
      <c r="E2514">
        <f>IF(INDEX(P_Status,ROW()-4)="","",TRIM(UPPER(INDEX(P_Status,ROW()-4))))</f>
        <v/>
      </c>
      <c r="G2514">
        <f>IF(INDEX(L_Status,ROW()-4)="","",TRIM(UPPER(INDEX(L_Status,ROW()-4))))</f>
        <v/>
      </c>
      <c r="J2514">
        <f>IF(INDEX(L_ID,ROW()-4)="","",IF(SUMPRODUCT((P_ID=INDEX(L_ID,ROW()-4))*(P_StatusN="INACTIVE"))&gt;0,1,0))</f>
        <v/>
      </c>
    </row>
    <row r="2515">
      <c r="A2515">
        <f>IF(INDEX(L_ID,ROW()-4)="","",IF(COUNTIF(P_ID,INDEX(L_ID,ROW()-4))&gt;0,1,0))</f>
        <v/>
      </c>
      <c r="B2515">
        <f>IF(INDEX(P_Type,ROW()-4)="","",TRIM(UPPER(INDEX(P_Type,ROW()-4))))</f>
        <v/>
      </c>
      <c r="D2515">
        <f>IF(INDEX(L_Type,ROW()-4)="","",TRIM(UPPER(INDEX(L_Type,ROW()-4))))</f>
        <v/>
      </c>
      <c r="E2515">
        <f>IF(INDEX(P_Status,ROW()-4)="","",TRIM(UPPER(INDEX(P_Status,ROW()-4))))</f>
        <v/>
      </c>
      <c r="G2515">
        <f>IF(INDEX(L_Status,ROW()-4)="","",TRIM(UPPER(INDEX(L_Status,ROW()-4))))</f>
        <v/>
      </c>
      <c r="J2515">
        <f>IF(INDEX(L_ID,ROW()-4)="","",IF(SUMPRODUCT((P_ID=INDEX(L_ID,ROW()-4))*(P_StatusN="INACTIVE"))&gt;0,1,0))</f>
        <v/>
      </c>
    </row>
    <row r="2516">
      <c r="A2516">
        <f>IF(INDEX(L_ID,ROW()-4)="","",IF(COUNTIF(P_ID,INDEX(L_ID,ROW()-4))&gt;0,1,0))</f>
        <v/>
      </c>
      <c r="B2516">
        <f>IF(INDEX(P_Type,ROW()-4)="","",TRIM(UPPER(INDEX(P_Type,ROW()-4))))</f>
        <v/>
      </c>
      <c r="D2516">
        <f>IF(INDEX(L_Type,ROW()-4)="","",TRIM(UPPER(INDEX(L_Type,ROW()-4))))</f>
        <v/>
      </c>
      <c r="E2516">
        <f>IF(INDEX(P_Status,ROW()-4)="","",TRIM(UPPER(INDEX(P_Status,ROW()-4))))</f>
        <v/>
      </c>
      <c r="G2516">
        <f>IF(INDEX(L_Status,ROW()-4)="","",TRIM(UPPER(INDEX(L_Status,ROW()-4))))</f>
        <v/>
      </c>
      <c r="J2516">
        <f>IF(INDEX(L_ID,ROW()-4)="","",IF(SUMPRODUCT((P_ID=INDEX(L_ID,ROW()-4))*(P_StatusN="INACTIVE"))&gt;0,1,0))</f>
        <v/>
      </c>
    </row>
    <row r="2517">
      <c r="A2517">
        <f>IF(INDEX(L_ID,ROW()-4)="","",IF(COUNTIF(P_ID,INDEX(L_ID,ROW()-4))&gt;0,1,0))</f>
        <v/>
      </c>
      <c r="B2517">
        <f>IF(INDEX(P_Type,ROW()-4)="","",TRIM(UPPER(INDEX(P_Type,ROW()-4))))</f>
        <v/>
      </c>
      <c r="D2517">
        <f>IF(INDEX(L_Type,ROW()-4)="","",TRIM(UPPER(INDEX(L_Type,ROW()-4))))</f>
        <v/>
      </c>
      <c r="E2517">
        <f>IF(INDEX(P_Status,ROW()-4)="","",TRIM(UPPER(INDEX(P_Status,ROW()-4))))</f>
        <v/>
      </c>
      <c r="G2517">
        <f>IF(INDEX(L_Status,ROW()-4)="","",TRIM(UPPER(INDEX(L_Status,ROW()-4))))</f>
        <v/>
      </c>
      <c r="J2517">
        <f>IF(INDEX(L_ID,ROW()-4)="","",IF(SUMPRODUCT((P_ID=INDEX(L_ID,ROW()-4))*(P_StatusN="INACTIVE"))&gt;0,1,0))</f>
        <v/>
      </c>
    </row>
    <row r="2518">
      <c r="A2518">
        <f>IF(INDEX(L_ID,ROW()-4)="","",IF(COUNTIF(P_ID,INDEX(L_ID,ROW()-4))&gt;0,1,0))</f>
        <v/>
      </c>
      <c r="B2518">
        <f>IF(INDEX(P_Type,ROW()-4)="","",TRIM(UPPER(INDEX(P_Type,ROW()-4))))</f>
        <v/>
      </c>
      <c r="D2518">
        <f>IF(INDEX(L_Type,ROW()-4)="","",TRIM(UPPER(INDEX(L_Type,ROW()-4))))</f>
        <v/>
      </c>
      <c r="E2518">
        <f>IF(INDEX(P_Status,ROW()-4)="","",TRIM(UPPER(INDEX(P_Status,ROW()-4))))</f>
        <v/>
      </c>
      <c r="G2518">
        <f>IF(INDEX(L_Status,ROW()-4)="","",TRIM(UPPER(INDEX(L_Status,ROW()-4))))</f>
        <v/>
      </c>
      <c r="J2518">
        <f>IF(INDEX(L_ID,ROW()-4)="","",IF(SUMPRODUCT((P_ID=INDEX(L_ID,ROW()-4))*(P_StatusN="INACTIVE"))&gt;0,1,0))</f>
        <v/>
      </c>
    </row>
    <row r="2519">
      <c r="A2519">
        <f>IF(INDEX(L_ID,ROW()-4)="","",IF(COUNTIF(P_ID,INDEX(L_ID,ROW()-4))&gt;0,1,0))</f>
        <v/>
      </c>
      <c r="B2519">
        <f>IF(INDEX(P_Type,ROW()-4)="","",TRIM(UPPER(INDEX(P_Type,ROW()-4))))</f>
        <v/>
      </c>
      <c r="D2519">
        <f>IF(INDEX(L_Type,ROW()-4)="","",TRIM(UPPER(INDEX(L_Type,ROW()-4))))</f>
        <v/>
      </c>
      <c r="E2519">
        <f>IF(INDEX(P_Status,ROW()-4)="","",TRIM(UPPER(INDEX(P_Status,ROW()-4))))</f>
        <v/>
      </c>
      <c r="G2519">
        <f>IF(INDEX(L_Status,ROW()-4)="","",TRIM(UPPER(INDEX(L_Status,ROW()-4))))</f>
        <v/>
      </c>
      <c r="J2519">
        <f>IF(INDEX(L_ID,ROW()-4)="","",IF(SUMPRODUCT((P_ID=INDEX(L_ID,ROW()-4))*(P_StatusN="INACTIVE"))&gt;0,1,0))</f>
        <v/>
      </c>
    </row>
    <row r="2520">
      <c r="A2520">
        <f>IF(INDEX(L_ID,ROW()-4)="","",IF(COUNTIF(P_ID,INDEX(L_ID,ROW()-4))&gt;0,1,0))</f>
        <v/>
      </c>
      <c r="B2520">
        <f>IF(INDEX(P_Type,ROW()-4)="","",TRIM(UPPER(INDEX(P_Type,ROW()-4))))</f>
        <v/>
      </c>
      <c r="D2520">
        <f>IF(INDEX(L_Type,ROW()-4)="","",TRIM(UPPER(INDEX(L_Type,ROW()-4))))</f>
        <v/>
      </c>
      <c r="E2520">
        <f>IF(INDEX(P_Status,ROW()-4)="","",TRIM(UPPER(INDEX(P_Status,ROW()-4))))</f>
        <v/>
      </c>
      <c r="G2520">
        <f>IF(INDEX(L_Status,ROW()-4)="","",TRIM(UPPER(INDEX(L_Status,ROW()-4))))</f>
        <v/>
      </c>
      <c r="J2520">
        <f>IF(INDEX(L_ID,ROW()-4)="","",IF(SUMPRODUCT((P_ID=INDEX(L_ID,ROW()-4))*(P_StatusN="INACTIVE"))&gt;0,1,0))</f>
        <v/>
      </c>
    </row>
    <row r="2521">
      <c r="A2521">
        <f>IF(INDEX(L_ID,ROW()-4)="","",IF(COUNTIF(P_ID,INDEX(L_ID,ROW()-4))&gt;0,1,0))</f>
        <v/>
      </c>
      <c r="B2521">
        <f>IF(INDEX(P_Type,ROW()-4)="","",TRIM(UPPER(INDEX(P_Type,ROW()-4))))</f>
        <v/>
      </c>
      <c r="D2521">
        <f>IF(INDEX(L_Type,ROW()-4)="","",TRIM(UPPER(INDEX(L_Type,ROW()-4))))</f>
        <v/>
      </c>
      <c r="E2521">
        <f>IF(INDEX(P_Status,ROW()-4)="","",TRIM(UPPER(INDEX(P_Status,ROW()-4))))</f>
        <v/>
      </c>
      <c r="G2521">
        <f>IF(INDEX(L_Status,ROW()-4)="","",TRIM(UPPER(INDEX(L_Status,ROW()-4))))</f>
        <v/>
      </c>
      <c r="J2521">
        <f>IF(INDEX(L_ID,ROW()-4)="","",IF(SUMPRODUCT((P_ID=INDEX(L_ID,ROW()-4))*(P_StatusN="INACTIVE"))&gt;0,1,0))</f>
        <v/>
      </c>
    </row>
    <row r="2522">
      <c r="A2522">
        <f>IF(INDEX(L_ID,ROW()-4)="","",IF(COUNTIF(P_ID,INDEX(L_ID,ROW()-4))&gt;0,1,0))</f>
        <v/>
      </c>
      <c r="B2522">
        <f>IF(INDEX(P_Type,ROW()-4)="","",TRIM(UPPER(INDEX(P_Type,ROW()-4))))</f>
        <v/>
      </c>
      <c r="D2522">
        <f>IF(INDEX(L_Type,ROW()-4)="","",TRIM(UPPER(INDEX(L_Type,ROW()-4))))</f>
        <v/>
      </c>
      <c r="E2522">
        <f>IF(INDEX(P_Status,ROW()-4)="","",TRIM(UPPER(INDEX(P_Status,ROW()-4))))</f>
        <v/>
      </c>
      <c r="G2522">
        <f>IF(INDEX(L_Status,ROW()-4)="","",TRIM(UPPER(INDEX(L_Status,ROW()-4))))</f>
        <v/>
      </c>
      <c r="J2522">
        <f>IF(INDEX(L_ID,ROW()-4)="","",IF(SUMPRODUCT((P_ID=INDEX(L_ID,ROW()-4))*(P_StatusN="INACTIVE"))&gt;0,1,0))</f>
        <v/>
      </c>
    </row>
    <row r="2523">
      <c r="A2523">
        <f>IF(INDEX(L_ID,ROW()-4)="","",IF(COUNTIF(P_ID,INDEX(L_ID,ROW()-4))&gt;0,1,0))</f>
        <v/>
      </c>
      <c r="B2523">
        <f>IF(INDEX(P_Type,ROW()-4)="","",TRIM(UPPER(INDEX(P_Type,ROW()-4))))</f>
        <v/>
      </c>
      <c r="D2523">
        <f>IF(INDEX(L_Type,ROW()-4)="","",TRIM(UPPER(INDEX(L_Type,ROW()-4))))</f>
        <v/>
      </c>
      <c r="E2523">
        <f>IF(INDEX(P_Status,ROW()-4)="","",TRIM(UPPER(INDEX(P_Status,ROW()-4))))</f>
        <v/>
      </c>
      <c r="G2523">
        <f>IF(INDEX(L_Status,ROW()-4)="","",TRIM(UPPER(INDEX(L_Status,ROW()-4))))</f>
        <v/>
      </c>
      <c r="J2523">
        <f>IF(INDEX(L_ID,ROW()-4)="","",IF(SUMPRODUCT((P_ID=INDEX(L_ID,ROW()-4))*(P_StatusN="INACTIVE"))&gt;0,1,0))</f>
        <v/>
      </c>
    </row>
    <row r="2524">
      <c r="A2524">
        <f>IF(INDEX(L_ID,ROW()-4)="","",IF(COUNTIF(P_ID,INDEX(L_ID,ROW()-4))&gt;0,1,0))</f>
        <v/>
      </c>
      <c r="B2524">
        <f>IF(INDEX(P_Type,ROW()-4)="","",TRIM(UPPER(INDEX(P_Type,ROW()-4))))</f>
        <v/>
      </c>
      <c r="D2524">
        <f>IF(INDEX(L_Type,ROW()-4)="","",TRIM(UPPER(INDEX(L_Type,ROW()-4))))</f>
        <v/>
      </c>
      <c r="E2524">
        <f>IF(INDEX(P_Status,ROW()-4)="","",TRIM(UPPER(INDEX(P_Status,ROW()-4))))</f>
        <v/>
      </c>
      <c r="G2524">
        <f>IF(INDEX(L_Status,ROW()-4)="","",TRIM(UPPER(INDEX(L_Status,ROW()-4))))</f>
        <v/>
      </c>
      <c r="J2524">
        <f>IF(INDEX(L_ID,ROW()-4)="","",IF(SUMPRODUCT((P_ID=INDEX(L_ID,ROW()-4))*(P_StatusN="INACTIVE"))&gt;0,1,0))</f>
        <v/>
      </c>
    </row>
    <row r="2525">
      <c r="A2525">
        <f>IF(INDEX(L_ID,ROW()-4)="","",IF(COUNTIF(P_ID,INDEX(L_ID,ROW()-4))&gt;0,1,0))</f>
        <v/>
      </c>
      <c r="B2525">
        <f>IF(INDEX(P_Type,ROW()-4)="","",TRIM(UPPER(INDEX(P_Type,ROW()-4))))</f>
        <v/>
      </c>
      <c r="D2525">
        <f>IF(INDEX(L_Type,ROW()-4)="","",TRIM(UPPER(INDEX(L_Type,ROW()-4))))</f>
        <v/>
      </c>
      <c r="E2525">
        <f>IF(INDEX(P_Status,ROW()-4)="","",TRIM(UPPER(INDEX(P_Status,ROW()-4))))</f>
        <v/>
      </c>
      <c r="G2525">
        <f>IF(INDEX(L_Status,ROW()-4)="","",TRIM(UPPER(INDEX(L_Status,ROW()-4))))</f>
        <v/>
      </c>
      <c r="J2525">
        <f>IF(INDEX(L_ID,ROW()-4)="","",IF(SUMPRODUCT((P_ID=INDEX(L_ID,ROW()-4))*(P_StatusN="INACTIVE"))&gt;0,1,0))</f>
        <v/>
      </c>
    </row>
    <row r="2526">
      <c r="A2526">
        <f>IF(INDEX(L_ID,ROW()-4)="","",IF(COUNTIF(P_ID,INDEX(L_ID,ROW()-4))&gt;0,1,0))</f>
        <v/>
      </c>
      <c r="B2526">
        <f>IF(INDEX(P_Type,ROW()-4)="","",TRIM(UPPER(INDEX(P_Type,ROW()-4))))</f>
        <v/>
      </c>
      <c r="D2526">
        <f>IF(INDEX(L_Type,ROW()-4)="","",TRIM(UPPER(INDEX(L_Type,ROW()-4))))</f>
        <v/>
      </c>
      <c r="E2526">
        <f>IF(INDEX(P_Status,ROW()-4)="","",TRIM(UPPER(INDEX(P_Status,ROW()-4))))</f>
        <v/>
      </c>
      <c r="G2526">
        <f>IF(INDEX(L_Status,ROW()-4)="","",TRIM(UPPER(INDEX(L_Status,ROW()-4))))</f>
        <v/>
      </c>
      <c r="J2526">
        <f>IF(INDEX(L_ID,ROW()-4)="","",IF(SUMPRODUCT((P_ID=INDEX(L_ID,ROW()-4))*(P_StatusN="INACTIVE"))&gt;0,1,0))</f>
        <v/>
      </c>
    </row>
    <row r="2527">
      <c r="A2527">
        <f>IF(INDEX(L_ID,ROW()-4)="","",IF(COUNTIF(P_ID,INDEX(L_ID,ROW()-4))&gt;0,1,0))</f>
        <v/>
      </c>
      <c r="B2527">
        <f>IF(INDEX(P_Type,ROW()-4)="","",TRIM(UPPER(INDEX(P_Type,ROW()-4))))</f>
        <v/>
      </c>
      <c r="D2527">
        <f>IF(INDEX(L_Type,ROW()-4)="","",TRIM(UPPER(INDEX(L_Type,ROW()-4))))</f>
        <v/>
      </c>
      <c r="E2527">
        <f>IF(INDEX(P_Status,ROW()-4)="","",TRIM(UPPER(INDEX(P_Status,ROW()-4))))</f>
        <v/>
      </c>
      <c r="G2527">
        <f>IF(INDEX(L_Status,ROW()-4)="","",TRIM(UPPER(INDEX(L_Status,ROW()-4))))</f>
        <v/>
      </c>
      <c r="J2527">
        <f>IF(INDEX(L_ID,ROW()-4)="","",IF(SUMPRODUCT((P_ID=INDEX(L_ID,ROW()-4))*(P_StatusN="INACTIVE"))&gt;0,1,0))</f>
        <v/>
      </c>
    </row>
    <row r="2528">
      <c r="A2528">
        <f>IF(INDEX(L_ID,ROW()-4)="","",IF(COUNTIF(P_ID,INDEX(L_ID,ROW()-4))&gt;0,1,0))</f>
        <v/>
      </c>
      <c r="B2528">
        <f>IF(INDEX(P_Type,ROW()-4)="","",TRIM(UPPER(INDEX(P_Type,ROW()-4))))</f>
        <v/>
      </c>
      <c r="D2528">
        <f>IF(INDEX(L_Type,ROW()-4)="","",TRIM(UPPER(INDEX(L_Type,ROW()-4))))</f>
        <v/>
      </c>
      <c r="E2528">
        <f>IF(INDEX(P_Status,ROW()-4)="","",TRIM(UPPER(INDEX(P_Status,ROW()-4))))</f>
        <v/>
      </c>
      <c r="G2528">
        <f>IF(INDEX(L_Status,ROW()-4)="","",TRIM(UPPER(INDEX(L_Status,ROW()-4))))</f>
        <v/>
      </c>
      <c r="J2528">
        <f>IF(INDEX(L_ID,ROW()-4)="","",IF(SUMPRODUCT((P_ID=INDEX(L_ID,ROW()-4))*(P_StatusN="INACTIVE"))&gt;0,1,0))</f>
        <v/>
      </c>
    </row>
    <row r="2529">
      <c r="A2529">
        <f>IF(INDEX(L_ID,ROW()-4)="","",IF(COUNTIF(P_ID,INDEX(L_ID,ROW()-4))&gt;0,1,0))</f>
        <v/>
      </c>
      <c r="B2529">
        <f>IF(INDEX(P_Type,ROW()-4)="","",TRIM(UPPER(INDEX(P_Type,ROW()-4))))</f>
        <v/>
      </c>
      <c r="D2529">
        <f>IF(INDEX(L_Type,ROW()-4)="","",TRIM(UPPER(INDEX(L_Type,ROW()-4))))</f>
        <v/>
      </c>
      <c r="E2529">
        <f>IF(INDEX(P_Status,ROW()-4)="","",TRIM(UPPER(INDEX(P_Status,ROW()-4))))</f>
        <v/>
      </c>
      <c r="G2529">
        <f>IF(INDEX(L_Status,ROW()-4)="","",TRIM(UPPER(INDEX(L_Status,ROW()-4))))</f>
        <v/>
      </c>
      <c r="J2529">
        <f>IF(INDEX(L_ID,ROW()-4)="","",IF(SUMPRODUCT((P_ID=INDEX(L_ID,ROW()-4))*(P_StatusN="INACTIVE"))&gt;0,1,0))</f>
        <v/>
      </c>
    </row>
    <row r="2530">
      <c r="A2530">
        <f>IF(INDEX(L_ID,ROW()-4)="","",IF(COUNTIF(P_ID,INDEX(L_ID,ROW()-4))&gt;0,1,0))</f>
        <v/>
      </c>
      <c r="B2530">
        <f>IF(INDEX(P_Type,ROW()-4)="","",TRIM(UPPER(INDEX(P_Type,ROW()-4))))</f>
        <v/>
      </c>
      <c r="D2530">
        <f>IF(INDEX(L_Type,ROW()-4)="","",TRIM(UPPER(INDEX(L_Type,ROW()-4))))</f>
        <v/>
      </c>
      <c r="E2530">
        <f>IF(INDEX(P_Status,ROW()-4)="","",TRIM(UPPER(INDEX(P_Status,ROW()-4))))</f>
        <v/>
      </c>
      <c r="G2530">
        <f>IF(INDEX(L_Status,ROW()-4)="","",TRIM(UPPER(INDEX(L_Status,ROW()-4))))</f>
        <v/>
      </c>
      <c r="J2530">
        <f>IF(INDEX(L_ID,ROW()-4)="","",IF(SUMPRODUCT((P_ID=INDEX(L_ID,ROW()-4))*(P_StatusN="INACTIVE"))&gt;0,1,0))</f>
        <v/>
      </c>
    </row>
    <row r="2531">
      <c r="A2531">
        <f>IF(INDEX(L_ID,ROW()-4)="","",IF(COUNTIF(P_ID,INDEX(L_ID,ROW()-4))&gt;0,1,0))</f>
        <v/>
      </c>
      <c r="B2531">
        <f>IF(INDEX(P_Type,ROW()-4)="","",TRIM(UPPER(INDEX(P_Type,ROW()-4))))</f>
        <v/>
      </c>
      <c r="D2531">
        <f>IF(INDEX(L_Type,ROW()-4)="","",TRIM(UPPER(INDEX(L_Type,ROW()-4))))</f>
        <v/>
      </c>
      <c r="E2531">
        <f>IF(INDEX(P_Status,ROW()-4)="","",TRIM(UPPER(INDEX(P_Status,ROW()-4))))</f>
        <v/>
      </c>
      <c r="G2531">
        <f>IF(INDEX(L_Status,ROW()-4)="","",TRIM(UPPER(INDEX(L_Status,ROW()-4))))</f>
        <v/>
      </c>
      <c r="J2531">
        <f>IF(INDEX(L_ID,ROW()-4)="","",IF(SUMPRODUCT((P_ID=INDEX(L_ID,ROW()-4))*(P_StatusN="INACTIVE"))&gt;0,1,0))</f>
        <v/>
      </c>
    </row>
    <row r="2532">
      <c r="A2532">
        <f>IF(INDEX(L_ID,ROW()-4)="","",IF(COUNTIF(P_ID,INDEX(L_ID,ROW()-4))&gt;0,1,0))</f>
        <v/>
      </c>
      <c r="B2532">
        <f>IF(INDEX(P_Type,ROW()-4)="","",TRIM(UPPER(INDEX(P_Type,ROW()-4))))</f>
        <v/>
      </c>
      <c r="D2532">
        <f>IF(INDEX(L_Type,ROW()-4)="","",TRIM(UPPER(INDEX(L_Type,ROW()-4))))</f>
        <v/>
      </c>
      <c r="E2532">
        <f>IF(INDEX(P_Status,ROW()-4)="","",TRIM(UPPER(INDEX(P_Status,ROW()-4))))</f>
        <v/>
      </c>
      <c r="G2532">
        <f>IF(INDEX(L_Status,ROW()-4)="","",TRIM(UPPER(INDEX(L_Status,ROW()-4))))</f>
        <v/>
      </c>
      <c r="J2532">
        <f>IF(INDEX(L_ID,ROW()-4)="","",IF(SUMPRODUCT((P_ID=INDEX(L_ID,ROW()-4))*(P_StatusN="INACTIVE"))&gt;0,1,0))</f>
        <v/>
      </c>
    </row>
    <row r="2533">
      <c r="A2533">
        <f>IF(INDEX(L_ID,ROW()-4)="","",IF(COUNTIF(P_ID,INDEX(L_ID,ROW()-4))&gt;0,1,0))</f>
        <v/>
      </c>
      <c r="B2533">
        <f>IF(INDEX(P_Type,ROW()-4)="","",TRIM(UPPER(INDEX(P_Type,ROW()-4))))</f>
        <v/>
      </c>
      <c r="D2533">
        <f>IF(INDEX(L_Type,ROW()-4)="","",TRIM(UPPER(INDEX(L_Type,ROW()-4))))</f>
        <v/>
      </c>
      <c r="E2533">
        <f>IF(INDEX(P_Status,ROW()-4)="","",TRIM(UPPER(INDEX(P_Status,ROW()-4))))</f>
        <v/>
      </c>
      <c r="G2533">
        <f>IF(INDEX(L_Status,ROW()-4)="","",TRIM(UPPER(INDEX(L_Status,ROW()-4))))</f>
        <v/>
      </c>
      <c r="J2533">
        <f>IF(INDEX(L_ID,ROW()-4)="","",IF(SUMPRODUCT((P_ID=INDEX(L_ID,ROW()-4))*(P_StatusN="INACTIVE"))&gt;0,1,0))</f>
        <v/>
      </c>
    </row>
    <row r="2534">
      <c r="A2534">
        <f>IF(INDEX(L_ID,ROW()-4)="","",IF(COUNTIF(P_ID,INDEX(L_ID,ROW()-4))&gt;0,1,0))</f>
        <v/>
      </c>
      <c r="B2534">
        <f>IF(INDEX(P_Type,ROW()-4)="","",TRIM(UPPER(INDEX(P_Type,ROW()-4))))</f>
        <v/>
      </c>
      <c r="D2534">
        <f>IF(INDEX(L_Type,ROW()-4)="","",TRIM(UPPER(INDEX(L_Type,ROW()-4))))</f>
        <v/>
      </c>
      <c r="E2534">
        <f>IF(INDEX(P_Status,ROW()-4)="","",TRIM(UPPER(INDEX(P_Status,ROW()-4))))</f>
        <v/>
      </c>
      <c r="G2534">
        <f>IF(INDEX(L_Status,ROW()-4)="","",TRIM(UPPER(INDEX(L_Status,ROW()-4))))</f>
        <v/>
      </c>
      <c r="J2534">
        <f>IF(INDEX(L_ID,ROW()-4)="","",IF(SUMPRODUCT((P_ID=INDEX(L_ID,ROW()-4))*(P_StatusN="INACTIVE"))&gt;0,1,0))</f>
        <v/>
      </c>
    </row>
    <row r="2535">
      <c r="A2535">
        <f>IF(INDEX(L_ID,ROW()-4)="","",IF(COUNTIF(P_ID,INDEX(L_ID,ROW()-4))&gt;0,1,0))</f>
        <v/>
      </c>
      <c r="B2535">
        <f>IF(INDEX(P_Type,ROW()-4)="","",TRIM(UPPER(INDEX(P_Type,ROW()-4))))</f>
        <v/>
      </c>
      <c r="D2535">
        <f>IF(INDEX(L_Type,ROW()-4)="","",TRIM(UPPER(INDEX(L_Type,ROW()-4))))</f>
        <v/>
      </c>
      <c r="E2535">
        <f>IF(INDEX(P_Status,ROW()-4)="","",TRIM(UPPER(INDEX(P_Status,ROW()-4))))</f>
        <v/>
      </c>
      <c r="G2535">
        <f>IF(INDEX(L_Status,ROW()-4)="","",TRIM(UPPER(INDEX(L_Status,ROW()-4))))</f>
        <v/>
      </c>
      <c r="J2535">
        <f>IF(INDEX(L_ID,ROW()-4)="","",IF(SUMPRODUCT((P_ID=INDEX(L_ID,ROW()-4))*(P_StatusN="INACTIVE"))&gt;0,1,0))</f>
        <v/>
      </c>
    </row>
    <row r="2536">
      <c r="A2536">
        <f>IF(INDEX(L_ID,ROW()-4)="","",IF(COUNTIF(P_ID,INDEX(L_ID,ROW()-4))&gt;0,1,0))</f>
        <v/>
      </c>
      <c r="B2536">
        <f>IF(INDEX(P_Type,ROW()-4)="","",TRIM(UPPER(INDEX(P_Type,ROW()-4))))</f>
        <v/>
      </c>
      <c r="D2536">
        <f>IF(INDEX(L_Type,ROW()-4)="","",TRIM(UPPER(INDEX(L_Type,ROW()-4))))</f>
        <v/>
      </c>
      <c r="E2536">
        <f>IF(INDEX(P_Status,ROW()-4)="","",TRIM(UPPER(INDEX(P_Status,ROW()-4))))</f>
        <v/>
      </c>
      <c r="G2536">
        <f>IF(INDEX(L_Status,ROW()-4)="","",TRIM(UPPER(INDEX(L_Status,ROW()-4))))</f>
        <v/>
      </c>
      <c r="J2536">
        <f>IF(INDEX(L_ID,ROW()-4)="","",IF(SUMPRODUCT((P_ID=INDEX(L_ID,ROW()-4))*(P_StatusN="INACTIVE"))&gt;0,1,0))</f>
        <v/>
      </c>
    </row>
    <row r="2537">
      <c r="A2537">
        <f>IF(INDEX(L_ID,ROW()-4)="","",IF(COUNTIF(P_ID,INDEX(L_ID,ROW()-4))&gt;0,1,0))</f>
        <v/>
      </c>
      <c r="B2537">
        <f>IF(INDEX(P_Type,ROW()-4)="","",TRIM(UPPER(INDEX(P_Type,ROW()-4))))</f>
        <v/>
      </c>
      <c r="D2537">
        <f>IF(INDEX(L_Type,ROW()-4)="","",TRIM(UPPER(INDEX(L_Type,ROW()-4))))</f>
        <v/>
      </c>
      <c r="E2537">
        <f>IF(INDEX(P_Status,ROW()-4)="","",TRIM(UPPER(INDEX(P_Status,ROW()-4))))</f>
        <v/>
      </c>
      <c r="G2537">
        <f>IF(INDEX(L_Status,ROW()-4)="","",TRIM(UPPER(INDEX(L_Status,ROW()-4))))</f>
        <v/>
      </c>
      <c r="J2537">
        <f>IF(INDEX(L_ID,ROW()-4)="","",IF(SUMPRODUCT((P_ID=INDEX(L_ID,ROW()-4))*(P_StatusN="INACTIVE"))&gt;0,1,0))</f>
        <v/>
      </c>
    </row>
    <row r="2538">
      <c r="A2538">
        <f>IF(INDEX(L_ID,ROW()-4)="","",IF(COUNTIF(P_ID,INDEX(L_ID,ROW()-4))&gt;0,1,0))</f>
        <v/>
      </c>
      <c r="B2538">
        <f>IF(INDEX(P_Type,ROW()-4)="","",TRIM(UPPER(INDEX(P_Type,ROW()-4))))</f>
        <v/>
      </c>
      <c r="D2538">
        <f>IF(INDEX(L_Type,ROW()-4)="","",TRIM(UPPER(INDEX(L_Type,ROW()-4))))</f>
        <v/>
      </c>
      <c r="E2538">
        <f>IF(INDEX(P_Status,ROW()-4)="","",TRIM(UPPER(INDEX(P_Status,ROW()-4))))</f>
        <v/>
      </c>
      <c r="G2538">
        <f>IF(INDEX(L_Status,ROW()-4)="","",TRIM(UPPER(INDEX(L_Status,ROW()-4))))</f>
        <v/>
      </c>
      <c r="J2538">
        <f>IF(INDEX(L_ID,ROW()-4)="","",IF(SUMPRODUCT((P_ID=INDEX(L_ID,ROW()-4))*(P_StatusN="INACTIVE"))&gt;0,1,0))</f>
        <v/>
      </c>
    </row>
    <row r="2539">
      <c r="A2539">
        <f>IF(INDEX(L_ID,ROW()-4)="","",IF(COUNTIF(P_ID,INDEX(L_ID,ROW()-4))&gt;0,1,0))</f>
        <v/>
      </c>
      <c r="B2539">
        <f>IF(INDEX(P_Type,ROW()-4)="","",TRIM(UPPER(INDEX(P_Type,ROW()-4))))</f>
        <v/>
      </c>
      <c r="D2539">
        <f>IF(INDEX(L_Type,ROW()-4)="","",TRIM(UPPER(INDEX(L_Type,ROW()-4))))</f>
        <v/>
      </c>
      <c r="E2539">
        <f>IF(INDEX(P_Status,ROW()-4)="","",TRIM(UPPER(INDEX(P_Status,ROW()-4))))</f>
        <v/>
      </c>
      <c r="G2539">
        <f>IF(INDEX(L_Status,ROW()-4)="","",TRIM(UPPER(INDEX(L_Status,ROW()-4))))</f>
        <v/>
      </c>
      <c r="J2539">
        <f>IF(INDEX(L_ID,ROW()-4)="","",IF(SUMPRODUCT((P_ID=INDEX(L_ID,ROW()-4))*(P_StatusN="INACTIVE"))&gt;0,1,0))</f>
        <v/>
      </c>
    </row>
    <row r="2540">
      <c r="A2540">
        <f>IF(INDEX(L_ID,ROW()-4)="","",IF(COUNTIF(P_ID,INDEX(L_ID,ROW()-4))&gt;0,1,0))</f>
        <v/>
      </c>
      <c r="B2540">
        <f>IF(INDEX(P_Type,ROW()-4)="","",TRIM(UPPER(INDEX(P_Type,ROW()-4))))</f>
        <v/>
      </c>
      <c r="D2540">
        <f>IF(INDEX(L_Type,ROW()-4)="","",TRIM(UPPER(INDEX(L_Type,ROW()-4))))</f>
        <v/>
      </c>
      <c r="E2540">
        <f>IF(INDEX(P_Status,ROW()-4)="","",TRIM(UPPER(INDEX(P_Status,ROW()-4))))</f>
        <v/>
      </c>
      <c r="G2540">
        <f>IF(INDEX(L_Status,ROW()-4)="","",TRIM(UPPER(INDEX(L_Status,ROW()-4))))</f>
        <v/>
      </c>
      <c r="J2540">
        <f>IF(INDEX(L_ID,ROW()-4)="","",IF(SUMPRODUCT((P_ID=INDEX(L_ID,ROW()-4))*(P_StatusN="INACTIVE"))&gt;0,1,0))</f>
        <v/>
      </c>
    </row>
    <row r="2541">
      <c r="A2541">
        <f>IF(INDEX(L_ID,ROW()-4)="","",IF(COUNTIF(P_ID,INDEX(L_ID,ROW()-4))&gt;0,1,0))</f>
        <v/>
      </c>
      <c r="B2541">
        <f>IF(INDEX(P_Type,ROW()-4)="","",TRIM(UPPER(INDEX(P_Type,ROW()-4))))</f>
        <v/>
      </c>
      <c r="D2541">
        <f>IF(INDEX(L_Type,ROW()-4)="","",TRIM(UPPER(INDEX(L_Type,ROW()-4))))</f>
        <v/>
      </c>
      <c r="E2541">
        <f>IF(INDEX(P_Status,ROW()-4)="","",TRIM(UPPER(INDEX(P_Status,ROW()-4))))</f>
        <v/>
      </c>
      <c r="G2541">
        <f>IF(INDEX(L_Status,ROW()-4)="","",TRIM(UPPER(INDEX(L_Status,ROW()-4))))</f>
        <v/>
      </c>
      <c r="J2541">
        <f>IF(INDEX(L_ID,ROW()-4)="","",IF(SUMPRODUCT((P_ID=INDEX(L_ID,ROW()-4))*(P_StatusN="INACTIVE"))&gt;0,1,0))</f>
        <v/>
      </c>
    </row>
    <row r="2542">
      <c r="A2542">
        <f>IF(INDEX(L_ID,ROW()-4)="","",IF(COUNTIF(P_ID,INDEX(L_ID,ROW()-4))&gt;0,1,0))</f>
        <v/>
      </c>
      <c r="B2542">
        <f>IF(INDEX(P_Type,ROW()-4)="","",TRIM(UPPER(INDEX(P_Type,ROW()-4))))</f>
        <v/>
      </c>
      <c r="D2542">
        <f>IF(INDEX(L_Type,ROW()-4)="","",TRIM(UPPER(INDEX(L_Type,ROW()-4))))</f>
        <v/>
      </c>
      <c r="E2542">
        <f>IF(INDEX(P_Status,ROW()-4)="","",TRIM(UPPER(INDEX(P_Status,ROW()-4))))</f>
        <v/>
      </c>
      <c r="G2542">
        <f>IF(INDEX(L_Status,ROW()-4)="","",TRIM(UPPER(INDEX(L_Status,ROW()-4))))</f>
        <v/>
      </c>
      <c r="J2542">
        <f>IF(INDEX(L_ID,ROW()-4)="","",IF(SUMPRODUCT((P_ID=INDEX(L_ID,ROW()-4))*(P_StatusN="INACTIVE"))&gt;0,1,0))</f>
        <v/>
      </c>
    </row>
    <row r="2543">
      <c r="A2543">
        <f>IF(INDEX(L_ID,ROW()-4)="","",IF(COUNTIF(P_ID,INDEX(L_ID,ROW()-4))&gt;0,1,0))</f>
        <v/>
      </c>
      <c r="B2543">
        <f>IF(INDEX(P_Type,ROW()-4)="","",TRIM(UPPER(INDEX(P_Type,ROW()-4))))</f>
        <v/>
      </c>
      <c r="D2543">
        <f>IF(INDEX(L_Type,ROW()-4)="","",TRIM(UPPER(INDEX(L_Type,ROW()-4))))</f>
        <v/>
      </c>
      <c r="E2543">
        <f>IF(INDEX(P_Status,ROW()-4)="","",TRIM(UPPER(INDEX(P_Status,ROW()-4))))</f>
        <v/>
      </c>
      <c r="G2543">
        <f>IF(INDEX(L_Status,ROW()-4)="","",TRIM(UPPER(INDEX(L_Status,ROW()-4))))</f>
        <v/>
      </c>
      <c r="J2543">
        <f>IF(INDEX(L_ID,ROW()-4)="","",IF(SUMPRODUCT((P_ID=INDEX(L_ID,ROW()-4))*(P_StatusN="INACTIVE"))&gt;0,1,0))</f>
        <v/>
      </c>
    </row>
    <row r="2544">
      <c r="A2544">
        <f>IF(INDEX(L_ID,ROW()-4)="","",IF(COUNTIF(P_ID,INDEX(L_ID,ROW()-4))&gt;0,1,0))</f>
        <v/>
      </c>
      <c r="B2544">
        <f>IF(INDEX(P_Type,ROW()-4)="","",TRIM(UPPER(INDEX(P_Type,ROW()-4))))</f>
        <v/>
      </c>
      <c r="D2544">
        <f>IF(INDEX(L_Type,ROW()-4)="","",TRIM(UPPER(INDEX(L_Type,ROW()-4))))</f>
        <v/>
      </c>
      <c r="E2544">
        <f>IF(INDEX(P_Status,ROW()-4)="","",TRIM(UPPER(INDEX(P_Status,ROW()-4))))</f>
        <v/>
      </c>
      <c r="G2544">
        <f>IF(INDEX(L_Status,ROW()-4)="","",TRIM(UPPER(INDEX(L_Status,ROW()-4))))</f>
        <v/>
      </c>
      <c r="J2544">
        <f>IF(INDEX(L_ID,ROW()-4)="","",IF(SUMPRODUCT((P_ID=INDEX(L_ID,ROW()-4))*(P_StatusN="INACTIVE"))&gt;0,1,0))</f>
        <v/>
      </c>
    </row>
    <row r="2545">
      <c r="A2545">
        <f>IF(INDEX(L_ID,ROW()-4)="","",IF(COUNTIF(P_ID,INDEX(L_ID,ROW()-4))&gt;0,1,0))</f>
        <v/>
      </c>
      <c r="B2545">
        <f>IF(INDEX(P_Type,ROW()-4)="","",TRIM(UPPER(INDEX(P_Type,ROW()-4))))</f>
        <v/>
      </c>
      <c r="D2545">
        <f>IF(INDEX(L_Type,ROW()-4)="","",TRIM(UPPER(INDEX(L_Type,ROW()-4))))</f>
        <v/>
      </c>
      <c r="E2545">
        <f>IF(INDEX(P_Status,ROW()-4)="","",TRIM(UPPER(INDEX(P_Status,ROW()-4))))</f>
        <v/>
      </c>
      <c r="G2545">
        <f>IF(INDEX(L_Status,ROW()-4)="","",TRIM(UPPER(INDEX(L_Status,ROW()-4))))</f>
        <v/>
      </c>
      <c r="J2545">
        <f>IF(INDEX(L_ID,ROW()-4)="","",IF(SUMPRODUCT((P_ID=INDEX(L_ID,ROW()-4))*(P_StatusN="INACTIVE"))&gt;0,1,0))</f>
        <v/>
      </c>
    </row>
    <row r="2546">
      <c r="A2546">
        <f>IF(INDEX(L_ID,ROW()-4)="","",IF(COUNTIF(P_ID,INDEX(L_ID,ROW()-4))&gt;0,1,0))</f>
        <v/>
      </c>
      <c r="B2546">
        <f>IF(INDEX(P_Type,ROW()-4)="","",TRIM(UPPER(INDEX(P_Type,ROW()-4))))</f>
        <v/>
      </c>
      <c r="D2546">
        <f>IF(INDEX(L_Type,ROW()-4)="","",TRIM(UPPER(INDEX(L_Type,ROW()-4))))</f>
        <v/>
      </c>
      <c r="E2546">
        <f>IF(INDEX(P_Status,ROW()-4)="","",TRIM(UPPER(INDEX(P_Status,ROW()-4))))</f>
        <v/>
      </c>
      <c r="G2546">
        <f>IF(INDEX(L_Status,ROW()-4)="","",TRIM(UPPER(INDEX(L_Status,ROW()-4))))</f>
        <v/>
      </c>
      <c r="J2546">
        <f>IF(INDEX(L_ID,ROW()-4)="","",IF(SUMPRODUCT((P_ID=INDEX(L_ID,ROW()-4))*(P_StatusN="INACTIVE"))&gt;0,1,0))</f>
        <v/>
      </c>
    </row>
    <row r="2547">
      <c r="A2547">
        <f>IF(INDEX(L_ID,ROW()-4)="","",IF(COUNTIF(P_ID,INDEX(L_ID,ROW()-4))&gt;0,1,0))</f>
        <v/>
      </c>
      <c r="B2547">
        <f>IF(INDEX(P_Type,ROW()-4)="","",TRIM(UPPER(INDEX(P_Type,ROW()-4))))</f>
        <v/>
      </c>
      <c r="D2547">
        <f>IF(INDEX(L_Type,ROW()-4)="","",TRIM(UPPER(INDEX(L_Type,ROW()-4))))</f>
        <v/>
      </c>
      <c r="E2547">
        <f>IF(INDEX(P_Status,ROW()-4)="","",TRIM(UPPER(INDEX(P_Status,ROW()-4))))</f>
        <v/>
      </c>
      <c r="G2547">
        <f>IF(INDEX(L_Status,ROW()-4)="","",TRIM(UPPER(INDEX(L_Status,ROW()-4))))</f>
        <v/>
      </c>
      <c r="J2547">
        <f>IF(INDEX(L_ID,ROW()-4)="","",IF(SUMPRODUCT((P_ID=INDEX(L_ID,ROW()-4))*(P_StatusN="INACTIVE"))&gt;0,1,0))</f>
        <v/>
      </c>
    </row>
    <row r="2548">
      <c r="A2548">
        <f>IF(INDEX(L_ID,ROW()-4)="","",IF(COUNTIF(P_ID,INDEX(L_ID,ROW()-4))&gt;0,1,0))</f>
        <v/>
      </c>
      <c r="B2548">
        <f>IF(INDEX(P_Type,ROW()-4)="","",TRIM(UPPER(INDEX(P_Type,ROW()-4))))</f>
        <v/>
      </c>
      <c r="D2548">
        <f>IF(INDEX(L_Type,ROW()-4)="","",TRIM(UPPER(INDEX(L_Type,ROW()-4))))</f>
        <v/>
      </c>
      <c r="E2548">
        <f>IF(INDEX(P_Status,ROW()-4)="","",TRIM(UPPER(INDEX(P_Status,ROW()-4))))</f>
        <v/>
      </c>
      <c r="G2548">
        <f>IF(INDEX(L_Status,ROW()-4)="","",TRIM(UPPER(INDEX(L_Status,ROW()-4))))</f>
        <v/>
      </c>
      <c r="J2548">
        <f>IF(INDEX(L_ID,ROW()-4)="","",IF(SUMPRODUCT((P_ID=INDEX(L_ID,ROW()-4))*(P_StatusN="INACTIVE"))&gt;0,1,0))</f>
        <v/>
      </c>
    </row>
    <row r="2549">
      <c r="A2549">
        <f>IF(INDEX(L_ID,ROW()-4)="","",IF(COUNTIF(P_ID,INDEX(L_ID,ROW()-4))&gt;0,1,0))</f>
        <v/>
      </c>
      <c r="B2549">
        <f>IF(INDEX(P_Type,ROW()-4)="","",TRIM(UPPER(INDEX(P_Type,ROW()-4))))</f>
        <v/>
      </c>
      <c r="D2549">
        <f>IF(INDEX(L_Type,ROW()-4)="","",TRIM(UPPER(INDEX(L_Type,ROW()-4))))</f>
        <v/>
      </c>
      <c r="E2549">
        <f>IF(INDEX(P_Status,ROW()-4)="","",TRIM(UPPER(INDEX(P_Status,ROW()-4))))</f>
        <v/>
      </c>
      <c r="G2549">
        <f>IF(INDEX(L_Status,ROW()-4)="","",TRIM(UPPER(INDEX(L_Status,ROW()-4))))</f>
        <v/>
      </c>
      <c r="J2549">
        <f>IF(INDEX(L_ID,ROW()-4)="","",IF(SUMPRODUCT((P_ID=INDEX(L_ID,ROW()-4))*(P_StatusN="INACTIVE"))&gt;0,1,0))</f>
        <v/>
      </c>
    </row>
    <row r="2550">
      <c r="A2550">
        <f>IF(INDEX(L_ID,ROW()-4)="","",IF(COUNTIF(P_ID,INDEX(L_ID,ROW()-4))&gt;0,1,0))</f>
        <v/>
      </c>
      <c r="B2550">
        <f>IF(INDEX(P_Type,ROW()-4)="","",TRIM(UPPER(INDEX(P_Type,ROW()-4))))</f>
        <v/>
      </c>
      <c r="D2550">
        <f>IF(INDEX(L_Type,ROW()-4)="","",TRIM(UPPER(INDEX(L_Type,ROW()-4))))</f>
        <v/>
      </c>
      <c r="E2550">
        <f>IF(INDEX(P_Status,ROW()-4)="","",TRIM(UPPER(INDEX(P_Status,ROW()-4))))</f>
        <v/>
      </c>
      <c r="G2550">
        <f>IF(INDEX(L_Status,ROW()-4)="","",TRIM(UPPER(INDEX(L_Status,ROW()-4))))</f>
        <v/>
      </c>
      <c r="J2550">
        <f>IF(INDEX(L_ID,ROW()-4)="","",IF(SUMPRODUCT((P_ID=INDEX(L_ID,ROW()-4))*(P_StatusN="INACTIVE"))&gt;0,1,0))</f>
        <v/>
      </c>
    </row>
    <row r="2551">
      <c r="A2551">
        <f>IF(INDEX(L_ID,ROW()-4)="","",IF(COUNTIF(P_ID,INDEX(L_ID,ROW()-4))&gt;0,1,0))</f>
        <v/>
      </c>
      <c r="B2551">
        <f>IF(INDEX(P_Type,ROW()-4)="","",TRIM(UPPER(INDEX(P_Type,ROW()-4))))</f>
        <v/>
      </c>
      <c r="D2551">
        <f>IF(INDEX(L_Type,ROW()-4)="","",TRIM(UPPER(INDEX(L_Type,ROW()-4))))</f>
        <v/>
      </c>
      <c r="E2551">
        <f>IF(INDEX(P_Status,ROW()-4)="","",TRIM(UPPER(INDEX(P_Status,ROW()-4))))</f>
        <v/>
      </c>
      <c r="G2551">
        <f>IF(INDEX(L_Status,ROW()-4)="","",TRIM(UPPER(INDEX(L_Status,ROW()-4))))</f>
        <v/>
      </c>
      <c r="J2551">
        <f>IF(INDEX(L_ID,ROW()-4)="","",IF(SUMPRODUCT((P_ID=INDEX(L_ID,ROW()-4))*(P_StatusN="INACTIVE"))&gt;0,1,0))</f>
        <v/>
      </c>
    </row>
    <row r="2552">
      <c r="A2552">
        <f>IF(INDEX(L_ID,ROW()-4)="","",IF(COUNTIF(P_ID,INDEX(L_ID,ROW()-4))&gt;0,1,0))</f>
        <v/>
      </c>
      <c r="B2552">
        <f>IF(INDEX(P_Type,ROW()-4)="","",TRIM(UPPER(INDEX(P_Type,ROW()-4))))</f>
        <v/>
      </c>
      <c r="D2552">
        <f>IF(INDEX(L_Type,ROW()-4)="","",TRIM(UPPER(INDEX(L_Type,ROW()-4))))</f>
        <v/>
      </c>
      <c r="E2552">
        <f>IF(INDEX(P_Status,ROW()-4)="","",TRIM(UPPER(INDEX(P_Status,ROW()-4))))</f>
        <v/>
      </c>
      <c r="G2552">
        <f>IF(INDEX(L_Status,ROW()-4)="","",TRIM(UPPER(INDEX(L_Status,ROW()-4))))</f>
        <v/>
      </c>
      <c r="J2552">
        <f>IF(INDEX(L_ID,ROW()-4)="","",IF(SUMPRODUCT((P_ID=INDEX(L_ID,ROW()-4))*(P_StatusN="INACTIVE"))&gt;0,1,0))</f>
        <v/>
      </c>
    </row>
    <row r="2553">
      <c r="A2553">
        <f>IF(INDEX(L_ID,ROW()-4)="","",IF(COUNTIF(P_ID,INDEX(L_ID,ROW()-4))&gt;0,1,0))</f>
        <v/>
      </c>
      <c r="B2553">
        <f>IF(INDEX(P_Type,ROW()-4)="","",TRIM(UPPER(INDEX(P_Type,ROW()-4))))</f>
        <v/>
      </c>
      <c r="D2553">
        <f>IF(INDEX(L_Type,ROW()-4)="","",TRIM(UPPER(INDEX(L_Type,ROW()-4))))</f>
        <v/>
      </c>
      <c r="E2553">
        <f>IF(INDEX(P_Status,ROW()-4)="","",TRIM(UPPER(INDEX(P_Status,ROW()-4))))</f>
        <v/>
      </c>
      <c r="G2553">
        <f>IF(INDEX(L_Status,ROW()-4)="","",TRIM(UPPER(INDEX(L_Status,ROW()-4))))</f>
        <v/>
      </c>
      <c r="J2553">
        <f>IF(INDEX(L_ID,ROW()-4)="","",IF(SUMPRODUCT((P_ID=INDEX(L_ID,ROW()-4))*(P_StatusN="INACTIVE"))&gt;0,1,0))</f>
        <v/>
      </c>
    </row>
    <row r="2554">
      <c r="A2554">
        <f>IF(INDEX(L_ID,ROW()-4)="","",IF(COUNTIF(P_ID,INDEX(L_ID,ROW()-4))&gt;0,1,0))</f>
        <v/>
      </c>
      <c r="B2554">
        <f>IF(INDEX(P_Type,ROW()-4)="","",TRIM(UPPER(INDEX(P_Type,ROW()-4))))</f>
        <v/>
      </c>
      <c r="D2554">
        <f>IF(INDEX(L_Type,ROW()-4)="","",TRIM(UPPER(INDEX(L_Type,ROW()-4))))</f>
        <v/>
      </c>
      <c r="E2554">
        <f>IF(INDEX(P_Status,ROW()-4)="","",TRIM(UPPER(INDEX(P_Status,ROW()-4))))</f>
        <v/>
      </c>
      <c r="G2554">
        <f>IF(INDEX(L_Status,ROW()-4)="","",TRIM(UPPER(INDEX(L_Status,ROW()-4))))</f>
        <v/>
      </c>
      <c r="J2554">
        <f>IF(INDEX(L_ID,ROW()-4)="","",IF(SUMPRODUCT((P_ID=INDEX(L_ID,ROW()-4))*(P_StatusN="INACTIVE"))&gt;0,1,0))</f>
        <v/>
      </c>
    </row>
    <row r="2555">
      <c r="A2555">
        <f>IF(INDEX(L_ID,ROW()-4)="","",IF(COUNTIF(P_ID,INDEX(L_ID,ROW()-4))&gt;0,1,0))</f>
        <v/>
      </c>
      <c r="B2555">
        <f>IF(INDEX(P_Type,ROW()-4)="","",TRIM(UPPER(INDEX(P_Type,ROW()-4))))</f>
        <v/>
      </c>
      <c r="D2555">
        <f>IF(INDEX(L_Type,ROW()-4)="","",TRIM(UPPER(INDEX(L_Type,ROW()-4))))</f>
        <v/>
      </c>
      <c r="E2555">
        <f>IF(INDEX(P_Status,ROW()-4)="","",TRIM(UPPER(INDEX(P_Status,ROW()-4))))</f>
        <v/>
      </c>
      <c r="G2555">
        <f>IF(INDEX(L_Status,ROW()-4)="","",TRIM(UPPER(INDEX(L_Status,ROW()-4))))</f>
        <v/>
      </c>
      <c r="J2555">
        <f>IF(INDEX(L_ID,ROW()-4)="","",IF(SUMPRODUCT((P_ID=INDEX(L_ID,ROW()-4))*(P_StatusN="INACTIVE"))&gt;0,1,0))</f>
        <v/>
      </c>
    </row>
    <row r="2556">
      <c r="A2556">
        <f>IF(INDEX(L_ID,ROW()-4)="","",IF(COUNTIF(P_ID,INDEX(L_ID,ROW()-4))&gt;0,1,0))</f>
        <v/>
      </c>
      <c r="B2556">
        <f>IF(INDEX(P_Type,ROW()-4)="","",TRIM(UPPER(INDEX(P_Type,ROW()-4))))</f>
        <v/>
      </c>
      <c r="D2556">
        <f>IF(INDEX(L_Type,ROW()-4)="","",TRIM(UPPER(INDEX(L_Type,ROW()-4))))</f>
        <v/>
      </c>
      <c r="E2556">
        <f>IF(INDEX(P_Status,ROW()-4)="","",TRIM(UPPER(INDEX(P_Status,ROW()-4))))</f>
        <v/>
      </c>
      <c r="G2556">
        <f>IF(INDEX(L_Status,ROW()-4)="","",TRIM(UPPER(INDEX(L_Status,ROW()-4))))</f>
        <v/>
      </c>
      <c r="J2556">
        <f>IF(INDEX(L_ID,ROW()-4)="","",IF(SUMPRODUCT((P_ID=INDEX(L_ID,ROW()-4))*(P_StatusN="INACTIVE"))&gt;0,1,0))</f>
        <v/>
      </c>
    </row>
    <row r="2557">
      <c r="A2557">
        <f>IF(INDEX(L_ID,ROW()-4)="","",IF(COUNTIF(P_ID,INDEX(L_ID,ROW()-4))&gt;0,1,0))</f>
        <v/>
      </c>
      <c r="B2557">
        <f>IF(INDEX(P_Type,ROW()-4)="","",TRIM(UPPER(INDEX(P_Type,ROW()-4))))</f>
        <v/>
      </c>
      <c r="D2557">
        <f>IF(INDEX(L_Type,ROW()-4)="","",TRIM(UPPER(INDEX(L_Type,ROW()-4))))</f>
        <v/>
      </c>
      <c r="E2557">
        <f>IF(INDEX(P_Status,ROW()-4)="","",TRIM(UPPER(INDEX(P_Status,ROW()-4))))</f>
        <v/>
      </c>
      <c r="G2557">
        <f>IF(INDEX(L_Status,ROW()-4)="","",TRIM(UPPER(INDEX(L_Status,ROW()-4))))</f>
        <v/>
      </c>
      <c r="J2557">
        <f>IF(INDEX(L_ID,ROW()-4)="","",IF(SUMPRODUCT((P_ID=INDEX(L_ID,ROW()-4))*(P_StatusN="INACTIVE"))&gt;0,1,0))</f>
        <v/>
      </c>
    </row>
    <row r="2558">
      <c r="A2558">
        <f>IF(INDEX(L_ID,ROW()-4)="","",IF(COUNTIF(P_ID,INDEX(L_ID,ROW()-4))&gt;0,1,0))</f>
        <v/>
      </c>
      <c r="B2558">
        <f>IF(INDEX(P_Type,ROW()-4)="","",TRIM(UPPER(INDEX(P_Type,ROW()-4))))</f>
        <v/>
      </c>
      <c r="D2558">
        <f>IF(INDEX(L_Type,ROW()-4)="","",TRIM(UPPER(INDEX(L_Type,ROW()-4))))</f>
        <v/>
      </c>
      <c r="E2558">
        <f>IF(INDEX(P_Status,ROW()-4)="","",TRIM(UPPER(INDEX(P_Status,ROW()-4))))</f>
        <v/>
      </c>
      <c r="G2558">
        <f>IF(INDEX(L_Status,ROW()-4)="","",TRIM(UPPER(INDEX(L_Status,ROW()-4))))</f>
        <v/>
      </c>
      <c r="J2558">
        <f>IF(INDEX(L_ID,ROW()-4)="","",IF(SUMPRODUCT((P_ID=INDEX(L_ID,ROW()-4))*(P_StatusN="INACTIVE"))&gt;0,1,0))</f>
        <v/>
      </c>
    </row>
    <row r="2559">
      <c r="A2559">
        <f>IF(INDEX(L_ID,ROW()-4)="","",IF(COUNTIF(P_ID,INDEX(L_ID,ROW()-4))&gt;0,1,0))</f>
        <v/>
      </c>
      <c r="B2559">
        <f>IF(INDEX(P_Type,ROW()-4)="","",TRIM(UPPER(INDEX(P_Type,ROW()-4))))</f>
        <v/>
      </c>
      <c r="D2559">
        <f>IF(INDEX(L_Type,ROW()-4)="","",TRIM(UPPER(INDEX(L_Type,ROW()-4))))</f>
        <v/>
      </c>
      <c r="E2559">
        <f>IF(INDEX(P_Status,ROW()-4)="","",TRIM(UPPER(INDEX(P_Status,ROW()-4))))</f>
        <v/>
      </c>
      <c r="G2559">
        <f>IF(INDEX(L_Status,ROW()-4)="","",TRIM(UPPER(INDEX(L_Status,ROW()-4))))</f>
        <v/>
      </c>
      <c r="J2559">
        <f>IF(INDEX(L_ID,ROW()-4)="","",IF(SUMPRODUCT((P_ID=INDEX(L_ID,ROW()-4))*(P_StatusN="INACTIVE"))&gt;0,1,0))</f>
        <v/>
      </c>
    </row>
    <row r="2560">
      <c r="A2560">
        <f>IF(INDEX(L_ID,ROW()-4)="","",IF(COUNTIF(P_ID,INDEX(L_ID,ROW()-4))&gt;0,1,0))</f>
        <v/>
      </c>
      <c r="B2560">
        <f>IF(INDEX(P_Type,ROW()-4)="","",TRIM(UPPER(INDEX(P_Type,ROW()-4))))</f>
        <v/>
      </c>
      <c r="D2560">
        <f>IF(INDEX(L_Type,ROW()-4)="","",TRIM(UPPER(INDEX(L_Type,ROW()-4))))</f>
        <v/>
      </c>
      <c r="E2560">
        <f>IF(INDEX(P_Status,ROW()-4)="","",TRIM(UPPER(INDEX(P_Status,ROW()-4))))</f>
        <v/>
      </c>
      <c r="G2560">
        <f>IF(INDEX(L_Status,ROW()-4)="","",TRIM(UPPER(INDEX(L_Status,ROW()-4))))</f>
        <v/>
      </c>
      <c r="J2560">
        <f>IF(INDEX(L_ID,ROW()-4)="","",IF(SUMPRODUCT((P_ID=INDEX(L_ID,ROW()-4))*(P_StatusN="INACTIVE"))&gt;0,1,0))</f>
        <v/>
      </c>
    </row>
    <row r="2561">
      <c r="A2561">
        <f>IF(INDEX(L_ID,ROW()-4)="","",IF(COUNTIF(P_ID,INDEX(L_ID,ROW()-4))&gt;0,1,0))</f>
        <v/>
      </c>
      <c r="B2561">
        <f>IF(INDEX(P_Type,ROW()-4)="","",TRIM(UPPER(INDEX(P_Type,ROW()-4))))</f>
        <v/>
      </c>
      <c r="D2561">
        <f>IF(INDEX(L_Type,ROW()-4)="","",TRIM(UPPER(INDEX(L_Type,ROW()-4))))</f>
        <v/>
      </c>
      <c r="E2561">
        <f>IF(INDEX(P_Status,ROW()-4)="","",TRIM(UPPER(INDEX(P_Status,ROW()-4))))</f>
        <v/>
      </c>
      <c r="G2561">
        <f>IF(INDEX(L_Status,ROW()-4)="","",TRIM(UPPER(INDEX(L_Status,ROW()-4))))</f>
        <v/>
      </c>
      <c r="J2561">
        <f>IF(INDEX(L_ID,ROW()-4)="","",IF(SUMPRODUCT((P_ID=INDEX(L_ID,ROW()-4))*(P_StatusN="INACTIVE"))&gt;0,1,0))</f>
        <v/>
      </c>
    </row>
    <row r="2562">
      <c r="A2562">
        <f>IF(INDEX(L_ID,ROW()-4)="","",IF(COUNTIF(P_ID,INDEX(L_ID,ROW()-4))&gt;0,1,0))</f>
        <v/>
      </c>
      <c r="B2562">
        <f>IF(INDEX(P_Type,ROW()-4)="","",TRIM(UPPER(INDEX(P_Type,ROW()-4))))</f>
        <v/>
      </c>
      <c r="D2562">
        <f>IF(INDEX(L_Type,ROW()-4)="","",TRIM(UPPER(INDEX(L_Type,ROW()-4))))</f>
        <v/>
      </c>
      <c r="E2562">
        <f>IF(INDEX(P_Status,ROW()-4)="","",TRIM(UPPER(INDEX(P_Status,ROW()-4))))</f>
        <v/>
      </c>
      <c r="G2562">
        <f>IF(INDEX(L_Status,ROW()-4)="","",TRIM(UPPER(INDEX(L_Status,ROW()-4))))</f>
        <v/>
      </c>
      <c r="J2562">
        <f>IF(INDEX(L_ID,ROW()-4)="","",IF(SUMPRODUCT((P_ID=INDEX(L_ID,ROW()-4))*(P_StatusN="INACTIVE"))&gt;0,1,0))</f>
        <v/>
      </c>
    </row>
    <row r="2563">
      <c r="A2563">
        <f>IF(INDEX(L_ID,ROW()-4)="","",IF(COUNTIF(P_ID,INDEX(L_ID,ROW()-4))&gt;0,1,0))</f>
        <v/>
      </c>
      <c r="B2563">
        <f>IF(INDEX(P_Type,ROW()-4)="","",TRIM(UPPER(INDEX(P_Type,ROW()-4))))</f>
        <v/>
      </c>
      <c r="D2563">
        <f>IF(INDEX(L_Type,ROW()-4)="","",TRIM(UPPER(INDEX(L_Type,ROW()-4))))</f>
        <v/>
      </c>
      <c r="E2563">
        <f>IF(INDEX(P_Status,ROW()-4)="","",TRIM(UPPER(INDEX(P_Status,ROW()-4))))</f>
        <v/>
      </c>
      <c r="G2563">
        <f>IF(INDEX(L_Status,ROW()-4)="","",TRIM(UPPER(INDEX(L_Status,ROW()-4))))</f>
        <v/>
      </c>
      <c r="J2563">
        <f>IF(INDEX(L_ID,ROW()-4)="","",IF(SUMPRODUCT((P_ID=INDEX(L_ID,ROW()-4))*(P_StatusN="INACTIVE"))&gt;0,1,0))</f>
        <v/>
      </c>
    </row>
    <row r="2564">
      <c r="A2564">
        <f>IF(INDEX(L_ID,ROW()-4)="","",IF(COUNTIF(P_ID,INDEX(L_ID,ROW()-4))&gt;0,1,0))</f>
        <v/>
      </c>
      <c r="B2564">
        <f>IF(INDEX(P_Type,ROW()-4)="","",TRIM(UPPER(INDEX(P_Type,ROW()-4))))</f>
        <v/>
      </c>
      <c r="D2564">
        <f>IF(INDEX(L_Type,ROW()-4)="","",TRIM(UPPER(INDEX(L_Type,ROW()-4))))</f>
        <v/>
      </c>
      <c r="E2564">
        <f>IF(INDEX(P_Status,ROW()-4)="","",TRIM(UPPER(INDEX(P_Status,ROW()-4))))</f>
        <v/>
      </c>
      <c r="G2564">
        <f>IF(INDEX(L_Status,ROW()-4)="","",TRIM(UPPER(INDEX(L_Status,ROW()-4))))</f>
        <v/>
      </c>
      <c r="J2564">
        <f>IF(INDEX(L_ID,ROW()-4)="","",IF(SUMPRODUCT((P_ID=INDEX(L_ID,ROW()-4))*(P_StatusN="INACTIVE"))&gt;0,1,0))</f>
        <v/>
      </c>
    </row>
    <row r="2565">
      <c r="A2565">
        <f>IF(INDEX(L_ID,ROW()-4)="","",IF(COUNTIF(P_ID,INDEX(L_ID,ROW()-4))&gt;0,1,0))</f>
        <v/>
      </c>
      <c r="B2565">
        <f>IF(INDEX(P_Type,ROW()-4)="","",TRIM(UPPER(INDEX(P_Type,ROW()-4))))</f>
        <v/>
      </c>
      <c r="D2565">
        <f>IF(INDEX(L_Type,ROW()-4)="","",TRIM(UPPER(INDEX(L_Type,ROW()-4))))</f>
        <v/>
      </c>
      <c r="E2565">
        <f>IF(INDEX(P_Status,ROW()-4)="","",TRIM(UPPER(INDEX(P_Status,ROW()-4))))</f>
        <v/>
      </c>
      <c r="G2565">
        <f>IF(INDEX(L_Status,ROW()-4)="","",TRIM(UPPER(INDEX(L_Status,ROW()-4))))</f>
        <v/>
      </c>
      <c r="J2565">
        <f>IF(INDEX(L_ID,ROW()-4)="","",IF(SUMPRODUCT((P_ID=INDEX(L_ID,ROW()-4))*(P_StatusN="INACTIVE"))&gt;0,1,0))</f>
        <v/>
      </c>
    </row>
    <row r="2566">
      <c r="A2566">
        <f>IF(INDEX(L_ID,ROW()-4)="","",IF(COUNTIF(P_ID,INDEX(L_ID,ROW()-4))&gt;0,1,0))</f>
        <v/>
      </c>
      <c r="B2566">
        <f>IF(INDEX(P_Type,ROW()-4)="","",TRIM(UPPER(INDEX(P_Type,ROW()-4))))</f>
        <v/>
      </c>
      <c r="D2566">
        <f>IF(INDEX(L_Type,ROW()-4)="","",TRIM(UPPER(INDEX(L_Type,ROW()-4))))</f>
        <v/>
      </c>
      <c r="E2566">
        <f>IF(INDEX(P_Status,ROW()-4)="","",TRIM(UPPER(INDEX(P_Status,ROW()-4))))</f>
        <v/>
      </c>
      <c r="G2566">
        <f>IF(INDEX(L_Status,ROW()-4)="","",TRIM(UPPER(INDEX(L_Status,ROW()-4))))</f>
        <v/>
      </c>
      <c r="J2566">
        <f>IF(INDEX(L_ID,ROW()-4)="","",IF(SUMPRODUCT((P_ID=INDEX(L_ID,ROW()-4))*(P_StatusN="INACTIVE"))&gt;0,1,0))</f>
        <v/>
      </c>
    </row>
    <row r="2567">
      <c r="A2567">
        <f>IF(INDEX(L_ID,ROW()-4)="","",IF(COUNTIF(P_ID,INDEX(L_ID,ROW()-4))&gt;0,1,0))</f>
        <v/>
      </c>
      <c r="B2567">
        <f>IF(INDEX(P_Type,ROW()-4)="","",TRIM(UPPER(INDEX(P_Type,ROW()-4))))</f>
        <v/>
      </c>
      <c r="D2567">
        <f>IF(INDEX(L_Type,ROW()-4)="","",TRIM(UPPER(INDEX(L_Type,ROW()-4))))</f>
        <v/>
      </c>
      <c r="E2567">
        <f>IF(INDEX(P_Status,ROW()-4)="","",TRIM(UPPER(INDEX(P_Status,ROW()-4))))</f>
        <v/>
      </c>
      <c r="G2567">
        <f>IF(INDEX(L_Status,ROW()-4)="","",TRIM(UPPER(INDEX(L_Status,ROW()-4))))</f>
        <v/>
      </c>
      <c r="J2567">
        <f>IF(INDEX(L_ID,ROW()-4)="","",IF(SUMPRODUCT((P_ID=INDEX(L_ID,ROW()-4))*(P_StatusN="INACTIVE"))&gt;0,1,0))</f>
        <v/>
      </c>
    </row>
    <row r="2568">
      <c r="A2568">
        <f>IF(INDEX(L_ID,ROW()-4)="","",IF(COUNTIF(P_ID,INDEX(L_ID,ROW()-4))&gt;0,1,0))</f>
        <v/>
      </c>
      <c r="B2568">
        <f>IF(INDEX(P_Type,ROW()-4)="","",TRIM(UPPER(INDEX(P_Type,ROW()-4))))</f>
        <v/>
      </c>
      <c r="D2568">
        <f>IF(INDEX(L_Type,ROW()-4)="","",TRIM(UPPER(INDEX(L_Type,ROW()-4))))</f>
        <v/>
      </c>
      <c r="E2568">
        <f>IF(INDEX(P_Status,ROW()-4)="","",TRIM(UPPER(INDEX(P_Status,ROW()-4))))</f>
        <v/>
      </c>
      <c r="G2568">
        <f>IF(INDEX(L_Status,ROW()-4)="","",TRIM(UPPER(INDEX(L_Status,ROW()-4))))</f>
        <v/>
      </c>
      <c r="J2568">
        <f>IF(INDEX(L_ID,ROW()-4)="","",IF(SUMPRODUCT((P_ID=INDEX(L_ID,ROW()-4))*(P_StatusN="INACTIVE"))&gt;0,1,0))</f>
        <v/>
      </c>
    </row>
    <row r="2569">
      <c r="A2569">
        <f>IF(INDEX(L_ID,ROW()-4)="","",IF(COUNTIF(P_ID,INDEX(L_ID,ROW()-4))&gt;0,1,0))</f>
        <v/>
      </c>
      <c r="B2569">
        <f>IF(INDEX(P_Type,ROW()-4)="","",TRIM(UPPER(INDEX(P_Type,ROW()-4))))</f>
        <v/>
      </c>
      <c r="D2569">
        <f>IF(INDEX(L_Type,ROW()-4)="","",TRIM(UPPER(INDEX(L_Type,ROW()-4))))</f>
        <v/>
      </c>
      <c r="E2569">
        <f>IF(INDEX(P_Status,ROW()-4)="","",TRIM(UPPER(INDEX(P_Status,ROW()-4))))</f>
        <v/>
      </c>
      <c r="G2569">
        <f>IF(INDEX(L_Status,ROW()-4)="","",TRIM(UPPER(INDEX(L_Status,ROW()-4))))</f>
        <v/>
      </c>
      <c r="J2569">
        <f>IF(INDEX(L_ID,ROW()-4)="","",IF(SUMPRODUCT((P_ID=INDEX(L_ID,ROW()-4))*(P_StatusN="INACTIVE"))&gt;0,1,0))</f>
        <v/>
      </c>
    </row>
    <row r="2570">
      <c r="A2570">
        <f>IF(INDEX(L_ID,ROW()-4)="","",IF(COUNTIF(P_ID,INDEX(L_ID,ROW()-4))&gt;0,1,0))</f>
        <v/>
      </c>
      <c r="B2570">
        <f>IF(INDEX(P_Type,ROW()-4)="","",TRIM(UPPER(INDEX(P_Type,ROW()-4))))</f>
        <v/>
      </c>
      <c r="D2570">
        <f>IF(INDEX(L_Type,ROW()-4)="","",TRIM(UPPER(INDEX(L_Type,ROW()-4))))</f>
        <v/>
      </c>
      <c r="E2570">
        <f>IF(INDEX(P_Status,ROW()-4)="","",TRIM(UPPER(INDEX(P_Status,ROW()-4))))</f>
        <v/>
      </c>
      <c r="G2570">
        <f>IF(INDEX(L_Status,ROW()-4)="","",TRIM(UPPER(INDEX(L_Status,ROW()-4))))</f>
        <v/>
      </c>
      <c r="J2570">
        <f>IF(INDEX(L_ID,ROW()-4)="","",IF(SUMPRODUCT((P_ID=INDEX(L_ID,ROW()-4))*(P_StatusN="INACTIVE"))&gt;0,1,0))</f>
        <v/>
      </c>
    </row>
    <row r="2571">
      <c r="A2571">
        <f>IF(INDEX(L_ID,ROW()-4)="","",IF(COUNTIF(P_ID,INDEX(L_ID,ROW()-4))&gt;0,1,0))</f>
        <v/>
      </c>
      <c r="B2571">
        <f>IF(INDEX(P_Type,ROW()-4)="","",TRIM(UPPER(INDEX(P_Type,ROW()-4))))</f>
        <v/>
      </c>
      <c r="D2571">
        <f>IF(INDEX(L_Type,ROW()-4)="","",TRIM(UPPER(INDEX(L_Type,ROW()-4))))</f>
        <v/>
      </c>
      <c r="E2571">
        <f>IF(INDEX(P_Status,ROW()-4)="","",TRIM(UPPER(INDEX(P_Status,ROW()-4))))</f>
        <v/>
      </c>
      <c r="G2571">
        <f>IF(INDEX(L_Status,ROW()-4)="","",TRIM(UPPER(INDEX(L_Status,ROW()-4))))</f>
        <v/>
      </c>
      <c r="J2571">
        <f>IF(INDEX(L_ID,ROW()-4)="","",IF(SUMPRODUCT((P_ID=INDEX(L_ID,ROW()-4))*(P_StatusN="INACTIVE"))&gt;0,1,0))</f>
        <v/>
      </c>
    </row>
    <row r="2572">
      <c r="A2572">
        <f>IF(INDEX(L_ID,ROW()-4)="","",IF(COUNTIF(P_ID,INDEX(L_ID,ROW()-4))&gt;0,1,0))</f>
        <v/>
      </c>
      <c r="B2572">
        <f>IF(INDEX(P_Type,ROW()-4)="","",TRIM(UPPER(INDEX(P_Type,ROW()-4))))</f>
        <v/>
      </c>
      <c r="D2572">
        <f>IF(INDEX(L_Type,ROW()-4)="","",TRIM(UPPER(INDEX(L_Type,ROW()-4))))</f>
        <v/>
      </c>
      <c r="E2572">
        <f>IF(INDEX(P_Status,ROW()-4)="","",TRIM(UPPER(INDEX(P_Status,ROW()-4))))</f>
        <v/>
      </c>
      <c r="G2572">
        <f>IF(INDEX(L_Status,ROW()-4)="","",TRIM(UPPER(INDEX(L_Status,ROW()-4))))</f>
        <v/>
      </c>
      <c r="J2572">
        <f>IF(INDEX(L_ID,ROW()-4)="","",IF(SUMPRODUCT((P_ID=INDEX(L_ID,ROW()-4))*(P_StatusN="INACTIVE"))&gt;0,1,0))</f>
        <v/>
      </c>
    </row>
    <row r="2573">
      <c r="A2573">
        <f>IF(INDEX(L_ID,ROW()-4)="","",IF(COUNTIF(P_ID,INDEX(L_ID,ROW()-4))&gt;0,1,0))</f>
        <v/>
      </c>
      <c r="B2573">
        <f>IF(INDEX(P_Type,ROW()-4)="","",TRIM(UPPER(INDEX(P_Type,ROW()-4))))</f>
        <v/>
      </c>
      <c r="D2573">
        <f>IF(INDEX(L_Type,ROW()-4)="","",TRIM(UPPER(INDEX(L_Type,ROW()-4))))</f>
        <v/>
      </c>
      <c r="E2573">
        <f>IF(INDEX(P_Status,ROW()-4)="","",TRIM(UPPER(INDEX(P_Status,ROW()-4))))</f>
        <v/>
      </c>
      <c r="G2573">
        <f>IF(INDEX(L_Status,ROW()-4)="","",TRIM(UPPER(INDEX(L_Status,ROW()-4))))</f>
        <v/>
      </c>
      <c r="J2573">
        <f>IF(INDEX(L_ID,ROW()-4)="","",IF(SUMPRODUCT((P_ID=INDEX(L_ID,ROW()-4))*(P_StatusN="INACTIVE"))&gt;0,1,0))</f>
        <v/>
      </c>
    </row>
    <row r="2574">
      <c r="A2574">
        <f>IF(INDEX(L_ID,ROW()-4)="","",IF(COUNTIF(P_ID,INDEX(L_ID,ROW()-4))&gt;0,1,0))</f>
        <v/>
      </c>
      <c r="B2574">
        <f>IF(INDEX(P_Type,ROW()-4)="","",TRIM(UPPER(INDEX(P_Type,ROW()-4))))</f>
        <v/>
      </c>
      <c r="D2574">
        <f>IF(INDEX(L_Type,ROW()-4)="","",TRIM(UPPER(INDEX(L_Type,ROW()-4))))</f>
        <v/>
      </c>
      <c r="E2574">
        <f>IF(INDEX(P_Status,ROW()-4)="","",TRIM(UPPER(INDEX(P_Status,ROW()-4))))</f>
        <v/>
      </c>
      <c r="G2574">
        <f>IF(INDEX(L_Status,ROW()-4)="","",TRIM(UPPER(INDEX(L_Status,ROW()-4))))</f>
        <v/>
      </c>
      <c r="J2574">
        <f>IF(INDEX(L_ID,ROW()-4)="","",IF(SUMPRODUCT((P_ID=INDEX(L_ID,ROW()-4))*(P_StatusN="INACTIVE"))&gt;0,1,0))</f>
        <v/>
      </c>
    </row>
    <row r="2575">
      <c r="A2575">
        <f>IF(INDEX(L_ID,ROW()-4)="","",IF(COUNTIF(P_ID,INDEX(L_ID,ROW()-4))&gt;0,1,0))</f>
        <v/>
      </c>
      <c r="B2575">
        <f>IF(INDEX(P_Type,ROW()-4)="","",TRIM(UPPER(INDEX(P_Type,ROW()-4))))</f>
        <v/>
      </c>
      <c r="D2575">
        <f>IF(INDEX(L_Type,ROW()-4)="","",TRIM(UPPER(INDEX(L_Type,ROW()-4))))</f>
        <v/>
      </c>
      <c r="E2575">
        <f>IF(INDEX(P_Status,ROW()-4)="","",TRIM(UPPER(INDEX(P_Status,ROW()-4))))</f>
        <v/>
      </c>
      <c r="G2575">
        <f>IF(INDEX(L_Status,ROW()-4)="","",TRIM(UPPER(INDEX(L_Status,ROW()-4))))</f>
        <v/>
      </c>
      <c r="J2575">
        <f>IF(INDEX(L_ID,ROW()-4)="","",IF(SUMPRODUCT((P_ID=INDEX(L_ID,ROW()-4))*(P_StatusN="INACTIVE"))&gt;0,1,0))</f>
        <v/>
      </c>
    </row>
    <row r="2576">
      <c r="A2576">
        <f>IF(INDEX(L_ID,ROW()-4)="","",IF(COUNTIF(P_ID,INDEX(L_ID,ROW()-4))&gt;0,1,0))</f>
        <v/>
      </c>
      <c r="B2576">
        <f>IF(INDEX(P_Type,ROW()-4)="","",TRIM(UPPER(INDEX(P_Type,ROW()-4))))</f>
        <v/>
      </c>
      <c r="D2576">
        <f>IF(INDEX(L_Type,ROW()-4)="","",TRIM(UPPER(INDEX(L_Type,ROW()-4))))</f>
        <v/>
      </c>
      <c r="E2576">
        <f>IF(INDEX(P_Status,ROW()-4)="","",TRIM(UPPER(INDEX(P_Status,ROW()-4))))</f>
        <v/>
      </c>
      <c r="G2576">
        <f>IF(INDEX(L_Status,ROW()-4)="","",TRIM(UPPER(INDEX(L_Status,ROW()-4))))</f>
        <v/>
      </c>
      <c r="J2576">
        <f>IF(INDEX(L_ID,ROW()-4)="","",IF(SUMPRODUCT((P_ID=INDEX(L_ID,ROW()-4))*(P_StatusN="INACTIVE"))&gt;0,1,0))</f>
        <v/>
      </c>
    </row>
    <row r="2577">
      <c r="A2577">
        <f>IF(INDEX(L_ID,ROW()-4)="","",IF(COUNTIF(P_ID,INDEX(L_ID,ROW()-4))&gt;0,1,0))</f>
        <v/>
      </c>
      <c r="B2577">
        <f>IF(INDEX(P_Type,ROW()-4)="","",TRIM(UPPER(INDEX(P_Type,ROW()-4))))</f>
        <v/>
      </c>
      <c r="D2577">
        <f>IF(INDEX(L_Type,ROW()-4)="","",TRIM(UPPER(INDEX(L_Type,ROW()-4))))</f>
        <v/>
      </c>
      <c r="E2577">
        <f>IF(INDEX(P_Status,ROW()-4)="","",TRIM(UPPER(INDEX(P_Status,ROW()-4))))</f>
        <v/>
      </c>
      <c r="G2577">
        <f>IF(INDEX(L_Status,ROW()-4)="","",TRIM(UPPER(INDEX(L_Status,ROW()-4))))</f>
        <v/>
      </c>
      <c r="J2577">
        <f>IF(INDEX(L_ID,ROW()-4)="","",IF(SUMPRODUCT((P_ID=INDEX(L_ID,ROW()-4))*(P_StatusN="INACTIVE"))&gt;0,1,0))</f>
        <v/>
      </c>
    </row>
    <row r="2578">
      <c r="A2578">
        <f>IF(INDEX(L_ID,ROW()-4)="","",IF(COUNTIF(P_ID,INDEX(L_ID,ROW()-4))&gt;0,1,0))</f>
        <v/>
      </c>
      <c r="B2578">
        <f>IF(INDEX(P_Type,ROW()-4)="","",TRIM(UPPER(INDEX(P_Type,ROW()-4))))</f>
        <v/>
      </c>
      <c r="D2578">
        <f>IF(INDEX(L_Type,ROW()-4)="","",TRIM(UPPER(INDEX(L_Type,ROW()-4))))</f>
        <v/>
      </c>
      <c r="E2578">
        <f>IF(INDEX(P_Status,ROW()-4)="","",TRIM(UPPER(INDEX(P_Status,ROW()-4))))</f>
        <v/>
      </c>
      <c r="G2578">
        <f>IF(INDEX(L_Status,ROW()-4)="","",TRIM(UPPER(INDEX(L_Status,ROW()-4))))</f>
        <v/>
      </c>
      <c r="J2578">
        <f>IF(INDEX(L_ID,ROW()-4)="","",IF(SUMPRODUCT((P_ID=INDEX(L_ID,ROW()-4))*(P_StatusN="INACTIVE"))&gt;0,1,0))</f>
        <v/>
      </c>
    </row>
    <row r="2579">
      <c r="A2579">
        <f>IF(INDEX(L_ID,ROW()-4)="","",IF(COUNTIF(P_ID,INDEX(L_ID,ROW()-4))&gt;0,1,0))</f>
        <v/>
      </c>
      <c r="B2579">
        <f>IF(INDEX(P_Type,ROW()-4)="","",TRIM(UPPER(INDEX(P_Type,ROW()-4))))</f>
        <v/>
      </c>
      <c r="D2579">
        <f>IF(INDEX(L_Type,ROW()-4)="","",TRIM(UPPER(INDEX(L_Type,ROW()-4))))</f>
        <v/>
      </c>
      <c r="E2579">
        <f>IF(INDEX(P_Status,ROW()-4)="","",TRIM(UPPER(INDEX(P_Status,ROW()-4))))</f>
        <v/>
      </c>
      <c r="G2579">
        <f>IF(INDEX(L_Status,ROW()-4)="","",TRIM(UPPER(INDEX(L_Status,ROW()-4))))</f>
        <v/>
      </c>
      <c r="J2579">
        <f>IF(INDEX(L_ID,ROW()-4)="","",IF(SUMPRODUCT((P_ID=INDEX(L_ID,ROW()-4))*(P_StatusN="INACTIVE"))&gt;0,1,0))</f>
        <v/>
      </c>
    </row>
    <row r="2580">
      <c r="A2580">
        <f>IF(INDEX(L_ID,ROW()-4)="","",IF(COUNTIF(P_ID,INDEX(L_ID,ROW()-4))&gt;0,1,0))</f>
        <v/>
      </c>
      <c r="B2580">
        <f>IF(INDEX(P_Type,ROW()-4)="","",TRIM(UPPER(INDEX(P_Type,ROW()-4))))</f>
        <v/>
      </c>
      <c r="D2580">
        <f>IF(INDEX(L_Type,ROW()-4)="","",TRIM(UPPER(INDEX(L_Type,ROW()-4))))</f>
        <v/>
      </c>
      <c r="E2580">
        <f>IF(INDEX(P_Status,ROW()-4)="","",TRIM(UPPER(INDEX(P_Status,ROW()-4))))</f>
        <v/>
      </c>
      <c r="G2580">
        <f>IF(INDEX(L_Status,ROW()-4)="","",TRIM(UPPER(INDEX(L_Status,ROW()-4))))</f>
        <v/>
      </c>
      <c r="J2580">
        <f>IF(INDEX(L_ID,ROW()-4)="","",IF(SUMPRODUCT((P_ID=INDEX(L_ID,ROW()-4))*(P_StatusN="INACTIVE"))&gt;0,1,0))</f>
        <v/>
      </c>
    </row>
    <row r="2581">
      <c r="A2581">
        <f>IF(INDEX(L_ID,ROW()-4)="","",IF(COUNTIF(P_ID,INDEX(L_ID,ROW()-4))&gt;0,1,0))</f>
        <v/>
      </c>
      <c r="B2581">
        <f>IF(INDEX(P_Type,ROW()-4)="","",TRIM(UPPER(INDEX(P_Type,ROW()-4))))</f>
        <v/>
      </c>
      <c r="D2581">
        <f>IF(INDEX(L_Type,ROW()-4)="","",TRIM(UPPER(INDEX(L_Type,ROW()-4))))</f>
        <v/>
      </c>
      <c r="E2581">
        <f>IF(INDEX(P_Status,ROW()-4)="","",TRIM(UPPER(INDEX(P_Status,ROW()-4))))</f>
        <v/>
      </c>
      <c r="G2581">
        <f>IF(INDEX(L_Status,ROW()-4)="","",TRIM(UPPER(INDEX(L_Status,ROW()-4))))</f>
        <v/>
      </c>
      <c r="J2581">
        <f>IF(INDEX(L_ID,ROW()-4)="","",IF(SUMPRODUCT((P_ID=INDEX(L_ID,ROW()-4))*(P_StatusN="INACTIVE"))&gt;0,1,0))</f>
        <v/>
      </c>
    </row>
    <row r="2582">
      <c r="A2582">
        <f>IF(INDEX(L_ID,ROW()-4)="","",IF(COUNTIF(P_ID,INDEX(L_ID,ROW()-4))&gt;0,1,0))</f>
        <v/>
      </c>
      <c r="B2582">
        <f>IF(INDEX(P_Type,ROW()-4)="","",TRIM(UPPER(INDEX(P_Type,ROW()-4))))</f>
        <v/>
      </c>
      <c r="D2582">
        <f>IF(INDEX(L_Type,ROW()-4)="","",TRIM(UPPER(INDEX(L_Type,ROW()-4))))</f>
        <v/>
      </c>
      <c r="E2582">
        <f>IF(INDEX(P_Status,ROW()-4)="","",TRIM(UPPER(INDEX(P_Status,ROW()-4))))</f>
        <v/>
      </c>
      <c r="G2582">
        <f>IF(INDEX(L_Status,ROW()-4)="","",TRIM(UPPER(INDEX(L_Status,ROW()-4))))</f>
        <v/>
      </c>
      <c r="J2582">
        <f>IF(INDEX(L_ID,ROW()-4)="","",IF(SUMPRODUCT((P_ID=INDEX(L_ID,ROW()-4))*(P_StatusN="INACTIVE"))&gt;0,1,0))</f>
        <v/>
      </c>
    </row>
    <row r="2583">
      <c r="A2583">
        <f>IF(INDEX(L_ID,ROW()-4)="","",IF(COUNTIF(P_ID,INDEX(L_ID,ROW()-4))&gt;0,1,0))</f>
        <v/>
      </c>
      <c r="B2583">
        <f>IF(INDEX(P_Type,ROW()-4)="","",TRIM(UPPER(INDEX(P_Type,ROW()-4))))</f>
        <v/>
      </c>
      <c r="D2583">
        <f>IF(INDEX(L_Type,ROW()-4)="","",TRIM(UPPER(INDEX(L_Type,ROW()-4))))</f>
        <v/>
      </c>
      <c r="E2583">
        <f>IF(INDEX(P_Status,ROW()-4)="","",TRIM(UPPER(INDEX(P_Status,ROW()-4))))</f>
        <v/>
      </c>
      <c r="G2583">
        <f>IF(INDEX(L_Status,ROW()-4)="","",TRIM(UPPER(INDEX(L_Status,ROW()-4))))</f>
        <v/>
      </c>
      <c r="J2583">
        <f>IF(INDEX(L_ID,ROW()-4)="","",IF(SUMPRODUCT((P_ID=INDEX(L_ID,ROW()-4))*(P_StatusN="INACTIVE"))&gt;0,1,0))</f>
        <v/>
      </c>
    </row>
    <row r="2584">
      <c r="A2584">
        <f>IF(INDEX(L_ID,ROW()-4)="","",IF(COUNTIF(P_ID,INDEX(L_ID,ROW()-4))&gt;0,1,0))</f>
        <v/>
      </c>
      <c r="B2584">
        <f>IF(INDEX(P_Type,ROW()-4)="","",TRIM(UPPER(INDEX(P_Type,ROW()-4))))</f>
        <v/>
      </c>
      <c r="D2584">
        <f>IF(INDEX(L_Type,ROW()-4)="","",TRIM(UPPER(INDEX(L_Type,ROW()-4))))</f>
        <v/>
      </c>
      <c r="E2584">
        <f>IF(INDEX(P_Status,ROW()-4)="","",TRIM(UPPER(INDEX(P_Status,ROW()-4))))</f>
        <v/>
      </c>
      <c r="G2584">
        <f>IF(INDEX(L_Status,ROW()-4)="","",TRIM(UPPER(INDEX(L_Status,ROW()-4))))</f>
        <v/>
      </c>
      <c r="J2584">
        <f>IF(INDEX(L_ID,ROW()-4)="","",IF(SUMPRODUCT((P_ID=INDEX(L_ID,ROW()-4))*(P_StatusN="INACTIVE"))&gt;0,1,0))</f>
        <v/>
      </c>
    </row>
    <row r="2585">
      <c r="A2585">
        <f>IF(INDEX(L_ID,ROW()-4)="","",IF(COUNTIF(P_ID,INDEX(L_ID,ROW()-4))&gt;0,1,0))</f>
        <v/>
      </c>
      <c r="B2585">
        <f>IF(INDEX(P_Type,ROW()-4)="","",TRIM(UPPER(INDEX(P_Type,ROW()-4))))</f>
        <v/>
      </c>
      <c r="D2585">
        <f>IF(INDEX(L_Type,ROW()-4)="","",TRIM(UPPER(INDEX(L_Type,ROW()-4))))</f>
        <v/>
      </c>
      <c r="E2585">
        <f>IF(INDEX(P_Status,ROW()-4)="","",TRIM(UPPER(INDEX(P_Status,ROW()-4))))</f>
        <v/>
      </c>
      <c r="G2585">
        <f>IF(INDEX(L_Status,ROW()-4)="","",TRIM(UPPER(INDEX(L_Status,ROW()-4))))</f>
        <v/>
      </c>
      <c r="J2585">
        <f>IF(INDEX(L_ID,ROW()-4)="","",IF(SUMPRODUCT((P_ID=INDEX(L_ID,ROW()-4))*(P_StatusN="INACTIVE"))&gt;0,1,0))</f>
        <v/>
      </c>
    </row>
    <row r="2586">
      <c r="A2586">
        <f>IF(INDEX(L_ID,ROW()-4)="","",IF(COUNTIF(P_ID,INDEX(L_ID,ROW()-4))&gt;0,1,0))</f>
        <v/>
      </c>
      <c r="B2586">
        <f>IF(INDEX(P_Type,ROW()-4)="","",TRIM(UPPER(INDEX(P_Type,ROW()-4))))</f>
        <v/>
      </c>
      <c r="D2586">
        <f>IF(INDEX(L_Type,ROW()-4)="","",TRIM(UPPER(INDEX(L_Type,ROW()-4))))</f>
        <v/>
      </c>
      <c r="E2586">
        <f>IF(INDEX(P_Status,ROW()-4)="","",TRIM(UPPER(INDEX(P_Status,ROW()-4))))</f>
        <v/>
      </c>
      <c r="G2586">
        <f>IF(INDEX(L_Status,ROW()-4)="","",TRIM(UPPER(INDEX(L_Status,ROW()-4))))</f>
        <v/>
      </c>
      <c r="J2586">
        <f>IF(INDEX(L_ID,ROW()-4)="","",IF(SUMPRODUCT((P_ID=INDEX(L_ID,ROW()-4))*(P_StatusN="INACTIVE"))&gt;0,1,0))</f>
        <v/>
      </c>
    </row>
    <row r="2587">
      <c r="A2587">
        <f>IF(INDEX(L_ID,ROW()-4)="","",IF(COUNTIF(P_ID,INDEX(L_ID,ROW()-4))&gt;0,1,0))</f>
        <v/>
      </c>
      <c r="B2587">
        <f>IF(INDEX(P_Type,ROW()-4)="","",TRIM(UPPER(INDEX(P_Type,ROW()-4))))</f>
        <v/>
      </c>
      <c r="D2587">
        <f>IF(INDEX(L_Type,ROW()-4)="","",TRIM(UPPER(INDEX(L_Type,ROW()-4))))</f>
        <v/>
      </c>
      <c r="E2587">
        <f>IF(INDEX(P_Status,ROW()-4)="","",TRIM(UPPER(INDEX(P_Status,ROW()-4))))</f>
        <v/>
      </c>
      <c r="G2587">
        <f>IF(INDEX(L_Status,ROW()-4)="","",TRIM(UPPER(INDEX(L_Status,ROW()-4))))</f>
        <v/>
      </c>
      <c r="J2587">
        <f>IF(INDEX(L_ID,ROW()-4)="","",IF(SUMPRODUCT((P_ID=INDEX(L_ID,ROW()-4))*(P_StatusN="INACTIVE"))&gt;0,1,0))</f>
        <v/>
      </c>
    </row>
    <row r="2588">
      <c r="A2588">
        <f>IF(INDEX(L_ID,ROW()-4)="","",IF(COUNTIF(P_ID,INDEX(L_ID,ROW()-4))&gt;0,1,0))</f>
        <v/>
      </c>
      <c r="B2588">
        <f>IF(INDEX(P_Type,ROW()-4)="","",TRIM(UPPER(INDEX(P_Type,ROW()-4))))</f>
        <v/>
      </c>
      <c r="D2588">
        <f>IF(INDEX(L_Type,ROW()-4)="","",TRIM(UPPER(INDEX(L_Type,ROW()-4))))</f>
        <v/>
      </c>
      <c r="E2588">
        <f>IF(INDEX(P_Status,ROW()-4)="","",TRIM(UPPER(INDEX(P_Status,ROW()-4))))</f>
        <v/>
      </c>
      <c r="G2588">
        <f>IF(INDEX(L_Status,ROW()-4)="","",TRIM(UPPER(INDEX(L_Status,ROW()-4))))</f>
        <v/>
      </c>
      <c r="J2588">
        <f>IF(INDEX(L_ID,ROW()-4)="","",IF(SUMPRODUCT((P_ID=INDEX(L_ID,ROW()-4))*(P_StatusN="INACTIVE"))&gt;0,1,0))</f>
        <v/>
      </c>
    </row>
    <row r="2589">
      <c r="A2589">
        <f>IF(INDEX(L_ID,ROW()-4)="","",IF(COUNTIF(P_ID,INDEX(L_ID,ROW()-4))&gt;0,1,0))</f>
        <v/>
      </c>
      <c r="B2589">
        <f>IF(INDEX(P_Type,ROW()-4)="","",TRIM(UPPER(INDEX(P_Type,ROW()-4))))</f>
        <v/>
      </c>
      <c r="D2589">
        <f>IF(INDEX(L_Type,ROW()-4)="","",TRIM(UPPER(INDEX(L_Type,ROW()-4))))</f>
        <v/>
      </c>
      <c r="E2589">
        <f>IF(INDEX(P_Status,ROW()-4)="","",TRIM(UPPER(INDEX(P_Status,ROW()-4))))</f>
        <v/>
      </c>
      <c r="G2589">
        <f>IF(INDEX(L_Status,ROW()-4)="","",TRIM(UPPER(INDEX(L_Status,ROW()-4))))</f>
        <v/>
      </c>
      <c r="J2589">
        <f>IF(INDEX(L_ID,ROW()-4)="","",IF(SUMPRODUCT((P_ID=INDEX(L_ID,ROW()-4))*(P_StatusN="INACTIVE"))&gt;0,1,0))</f>
        <v/>
      </c>
    </row>
    <row r="2590">
      <c r="A2590">
        <f>IF(INDEX(L_ID,ROW()-4)="","",IF(COUNTIF(P_ID,INDEX(L_ID,ROW()-4))&gt;0,1,0))</f>
        <v/>
      </c>
      <c r="B2590">
        <f>IF(INDEX(P_Type,ROW()-4)="","",TRIM(UPPER(INDEX(P_Type,ROW()-4))))</f>
        <v/>
      </c>
      <c r="D2590">
        <f>IF(INDEX(L_Type,ROW()-4)="","",TRIM(UPPER(INDEX(L_Type,ROW()-4))))</f>
        <v/>
      </c>
      <c r="E2590">
        <f>IF(INDEX(P_Status,ROW()-4)="","",TRIM(UPPER(INDEX(P_Status,ROW()-4))))</f>
        <v/>
      </c>
      <c r="G2590">
        <f>IF(INDEX(L_Status,ROW()-4)="","",TRIM(UPPER(INDEX(L_Status,ROW()-4))))</f>
        <v/>
      </c>
      <c r="J2590">
        <f>IF(INDEX(L_ID,ROW()-4)="","",IF(SUMPRODUCT((P_ID=INDEX(L_ID,ROW()-4))*(P_StatusN="INACTIVE"))&gt;0,1,0))</f>
        <v/>
      </c>
    </row>
    <row r="2591">
      <c r="A2591">
        <f>IF(INDEX(L_ID,ROW()-4)="","",IF(COUNTIF(P_ID,INDEX(L_ID,ROW()-4))&gt;0,1,0))</f>
        <v/>
      </c>
      <c r="B2591">
        <f>IF(INDEX(P_Type,ROW()-4)="","",TRIM(UPPER(INDEX(P_Type,ROW()-4))))</f>
        <v/>
      </c>
      <c r="D2591">
        <f>IF(INDEX(L_Type,ROW()-4)="","",TRIM(UPPER(INDEX(L_Type,ROW()-4))))</f>
        <v/>
      </c>
      <c r="E2591">
        <f>IF(INDEX(P_Status,ROW()-4)="","",TRIM(UPPER(INDEX(P_Status,ROW()-4))))</f>
        <v/>
      </c>
      <c r="G2591">
        <f>IF(INDEX(L_Status,ROW()-4)="","",TRIM(UPPER(INDEX(L_Status,ROW()-4))))</f>
        <v/>
      </c>
      <c r="J2591">
        <f>IF(INDEX(L_ID,ROW()-4)="","",IF(SUMPRODUCT((P_ID=INDEX(L_ID,ROW()-4))*(P_StatusN="INACTIVE"))&gt;0,1,0))</f>
        <v/>
      </c>
    </row>
    <row r="2592">
      <c r="A2592">
        <f>IF(INDEX(L_ID,ROW()-4)="","",IF(COUNTIF(P_ID,INDEX(L_ID,ROW()-4))&gt;0,1,0))</f>
        <v/>
      </c>
      <c r="B2592">
        <f>IF(INDEX(P_Type,ROW()-4)="","",TRIM(UPPER(INDEX(P_Type,ROW()-4))))</f>
        <v/>
      </c>
      <c r="D2592">
        <f>IF(INDEX(L_Type,ROW()-4)="","",TRIM(UPPER(INDEX(L_Type,ROW()-4))))</f>
        <v/>
      </c>
      <c r="E2592">
        <f>IF(INDEX(P_Status,ROW()-4)="","",TRIM(UPPER(INDEX(P_Status,ROW()-4))))</f>
        <v/>
      </c>
      <c r="G2592">
        <f>IF(INDEX(L_Status,ROW()-4)="","",TRIM(UPPER(INDEX(L_Status,ROW()-4))))</f>
        <v/>
      </c>
      <c r="J2592">
        <f>IF(INDEX(L_ID,ROW()-4)="","",IF(SUMPRODUCT((P_ID=INDEX(L_ID,ROW()-4))*(P_StatusN="INACTIVE"))&gt;0,1,0))</f>
        <v/>
      </c>
    </row>
    <row r="2593">
      <c r="A2593">
        <f>IF(INDEX(L_ID,ROW()-4)="","",IF(COUNTIF(P_ID,INDEX(L_ID,ROW()-4))&gt;0,1,0))</f>
        <v/>
      </c>
      <c r="B2593">
        <f>IF(INDEX(P_Type,ROW()-4)="","",TRIM(UPPER(INDEX(P_Type,ROW()-4))))</f>
        <v/>
      </c>
      <c r="D2593">
        <f>IF(INDEX(L_Type,ROW()-4)="","",TRIM(UPPER(INDEX(L_Type,ROW()-4))))</f>
        <v/>
      </c>
      <c r="E2593">
        <f>IF(INDEX(P_Status,ROW()-4)="","",TRIM(UPPER(INDEX(P_Status,ROW()-4))))</f>
        <v/>
      </c>
      <c r="G2593">
        <f>IF(INDEX(L_Status,ROW()-4)="","",TRIM(UPPER(INDEX(L_Status,ROW()-4))))</f>
        <v/>
      </c>
      <c r="J2593">
        <f>IF(INDEX(L_ID,ROW()-4)="","",IF(SUMPRODUCT((P_ID=INDEX(L_ID,ROW()-4))*(P_StatusN="INACTIVE"))&gt;0,1,0))</f>
        <v/>
      </c>
    </row>
    <row r="2594">
      <c r="A2594">
        <f>IF(INDEX(L_ID,ROW()-4)="","",IF(COUNTIF(P_ID,INDEX(L_ID,ROW()-4))&gt;0,1,0))</f>
        <v/>
      </c>
      <c r="B2594">
        <f>IF(INDEX(P_Type,ROW()-4)="","",TRIM(UPPER(INDEX(P_Type,ROW()-4))))</f>
        <v/>
      </c>
      <c r="D2594">
        <f>IF(INDEX(L_Type,ROW()-4)="","",TRIM(UPPER(INDEX(L_Type,ROW()-4))))</f>
        <v/>
      </c>
      <c r="E2594">
        <f>IF(INDEX(P_Status,ROW()-4)="","",TRIM(UPPER(INDEX(P_Status,ROW()-4))))</f>
        <v/>
      </c>
      <c r="G2594">
        <f>IF(INDEX(L_Status,ROW()-4)="","",TRIM(UPPER(INDEX(L_Status,ROW()-4))))</f>
        <v/>
      </c>
      <c r="J2594">
        <f>IF(INDEX(L_ID,ROW()-4)="","",IF(SUMPRODUCT((P_ID=INDEX(L_ID,ROW()-4))*(P_StatusN="INACTIVE"))&gt;0,1,0))</f>
        <v/>
      </c>
    </row>
    <row r="2595">
      <c r="A2595">
        <f>IF(INDEX(L_ID,ROW()-4)="","",IF(COUNTIF(P_ID,INDEX(L_ID,ROW()-4))&gt;0,1,0))</f>
        <v/>
      </c>
      <c r="B2595">
        <f>IF(INDEX(P_Type,ROW()-4)="","",TRIM(UPPER(INDEX(P_Type,ROW()-4))))</f>
        <v/>
      </c>
      <c r="D2595">
        <f>IF(INDEX(L_Type,ROW()-4)="","",TRIM(UPPER(INDEX(L_Type,ROW()-4))))</f>
        <v/>
      </c>
      <c r="E2595">
        <f>IF(INDEX(P_Status,ROW()-4)="","",TRIM(UPPER(INDEX(P_Status,ROW()-4))))</f>
        <v/>
      </c>
      <c r="G2595">
        <f>IF(INDEX(L_Status,ROW()-4)="","",TRIM(UPPER(INDEX(L_Status,ROW()-4))))</f>
        <v/>
      </c>
      <c r="J2595">
        <f>IF(INDEX(L_ID,ROW()-4)="","",IF(SUMPRODUCT((P_ID=INDEX(L_ID,ROW()-4))*(P_StatusN="INACTIVE"))&gt;0,1,0))</f>
        <v/>
      </c>
    </row>
    <row r="2596">
      <c r="A2596">
        <f>IF(INDEX(L_ID,ROW()-4)="","",IF(COUNTIF(P_ID,INDEX(L_ID,ROW()-4))&gt;0,1,0))</f>
        <v/>
      </c>
      <c r="B2596">
        <f>IF(INDEX(P_Type,ROW()-4)="","",TRIM(UPPER(INDEX(P_Type,ROW()-4))))</f>
        <v/>
      </c>
      <c r="D2596">
        <f>IF(INDEX(L_Type,ROW()-4)="","",TRIM(UPPER(INDEX(L_Type,ROW()-4))))</f>
        <v/>
      </c>
      <c r="E2596">
        <f>IF(INDEX(P_Status,ROW()-4)="","",TRIM(UPPER(INDEX(P_Status,ROW()-4))))</f>
        <v/>
      </c>
      <c r="G2596">
        <f>IF(INDEX(L_Status,ROW()-4)="","",TRIM(UPPER(INDEX(L_Status,ROW()-4))))</f>
        <v/>
      </c>
      <c r="J2596">
        <f>IF(INDEX(L_ID,ROW()-4)="","",IF(SUMPRODUCT((P_ID=INDEX(L_ID,ROW()-4))*(P_StatusN="INACTIVE"))&gt;0,1,0))</f>
        <v/>
      </c>
    </row>
    <row r="2597">
      <c r="A2597">
        <f>IF(INDEX(L_ID,ROW()-4)="","",IF(COUNTIF(P_ID,INDEX(L_ID,ROW()-4))&gt;0,1,0))</f>
        <v/>
      </c>
      <c r="B2597">
        <f>IF(INDEX(P_Type,ROW()-4)="","",TRIM(UPPER(INDEX(P_Type,ROW()-4))))</f>
        <v/>
      </c>
      <c r="D2597">
        <f>IF(INDEX(L_Type,ROW()-4)="","",TRIM(UPPER(INDEX(L_Type,ROW()-4))))</f>
        <v/>
      </c>
      <c r="E2597">
        <f>IF(INDEX(P_Status,ROW()-4)="","",TRIM(UPPER(INDEX(P_Status,ROW()-4))))</f>
        <v/>
      </c>
      <c r="G2597">
        <f>IF(INDEX(L_Status,ROW()-4)="","",TRIM(UPPER(INDEX(L_Status,ROW()-4))))</f>
        <v/>
      </c>
      <c r="J2597">
        <f>IF(INDEX(L_ID,ROW()-4)="","",IF(SUMPRODUCT((P_ID=INDEX(L_ID,ROW()-4))*(P_StatusN="INACTIVE"))&gt;0,1,0))</f>
        <v/>
      </c>
    </row>
    <row r="2598">
      <c r="A2598">
        <f>IF(INDEX(L_ID,ROW()-4)="","",IF(COUNTIF(P_ID,INDEX(L_ID,ROW()-4))&gt;0,1,0))</f>
        <v/>
      </c>
      <c r="B2598">
        <f>IF(INDEX(P_Type,ROW()-4)="","",TRIM(UPPER(INDEX(P_Type,ROW()-4))))</f>
        <v/>
      </c>
      <c r="D2598">
        <f>IF(INDEX(L_Type,ROW()-4)="","",TRIM(UPPER(INDEX(L_Type,ROW()-4))))</f>
        <v/>
      </c>
      <c r="E2598">
        <f>IF(INDEX(P_Status,ROW()-4)="","",TRIM(UPPER(INDEX(P_Status,ROW()-4))))</f>
        <v/>
      </c>
      <c r="G2598">
        <f>IF(INDEX(L_Status,ROW()-4)="","",TRIM(UPPER(INDEX(L_Status,ROW()-4))))</f>
        <v/>
      </c>
      <c r="J2598">
        <f>IF(INDEX(L_ID,ROW()-4)="","",IF(SUMPRODUCT((P_ID=INDEX(L_ID,ROW()-4))*(P_StatusN="INACTIVE"))&gt;0,1,0))</f>
        <v/>
      </c>
    </row>
    <row r="2599">
      <c r="A2599">
        <f>IF(INDEX(L_ID,ROW()-4)="","",IF(COUNTIF(P_ID,INDEX(L_ID,ROW()-4))&gt;0,1,0))</f>
        <v/>
      </c>
      <c r="B2599">
        <f>IF(INDEX(P_Type,ROW()-4)="","",TRIM(UPPER(INDEX(P_Type,ROW()-4))))</f>
        <v/>
      </c>
      <c r="D2599">
        <f>IF(INDEX(L_Type,ROW()-4)="","",TRIM(UPPER(INDEX(L_Type,ROW()-4))))</f>
        <v/>
      </c>
      <c r="E2599">
        <f>IF(INDEX(P_Status,ROW()-4)="","",TRIM(UPPER(INDEX(P_Status,ROW()-4))))</f>
        <v/>
      </c>
      <c r="G2599">
        <f>IF(INDEX(L_Status,ROW()-4)="","",TRIM(UPPER(INDEX(L_Status,ROW()-4))))</f>
        <v/>
      </c>
      <c r="J2599">
        <f>IF(INDEX(L_ID,ROW()-4)="","",IF(SUMPRODUCT((P_ID=INDEX(L_ID,ROW()-4))*(P_StatusN="INACTIVE"))&gt;0,1,0))</f>
        <v/>
      </c>
    </row>
    <row r="2600">
      <c r="A2600">
        <f>IF(INDEX(L_ID,ROW()-4)="","",IF(COUNTIF(P_ID,INDEX(L_ID,ROW()-4))&gt;0,1,0))</f>
        <v/>
      </c>
      <c r="B2600">
        <f>IF(INDEX(P_Type,ROW()-4)="","",TRIM(UPPER(INDEX(P_Type,ROW()-4))))</f>
        <v/>
      </c>
      <c r="D2600">
        <f>IF(INDEX(L_Type,ROW()-4)="","",TRIM(UPPER(INDEX(L_Type,ROW()-4))))</f>
        <v/>
      </c>
      <c r="E2600">
        <f>IF(INDEX(P_Status,ROW()-4)="","",TRIM(UPPER(INDEX(P_Status,ROW()-4))))</f>
        <v/>
      </c>
      <c r="G2600">
        <f>IF(INDEX(L_Status,ROW()-4)="","",TRIM(UPPER(INDEX(L_Status,ROW()-4))))</f>
        <v/>
      </c>
      <c r="J2600">
        <f>IF(INDEX(L_ID,ROW()-4)="","",IF(SUMPRODUCT((P_ID=INDEX(L_ID,ROW()-4))*(P_StatusN="INACTIVE"))&gt;0,1,0))</f>
        <v/>
      </c>
    </row>
    <row r="2601">
      <c r="A2601">
        <f>IF(INDEX(L_ID,ROW()-4)="","",IF(COUNTIF(P_ID,INDEX(L_ID,ROW()-4))&gt;0,1,0))</f>
        <v/>
      </c>
      <c r="B2601">
        <f>IF(INDEX(P_Type,ROW()-4)="","",TRIM(UPPER(INDEX(P_Type,ROW()-4))))</f>
        <v/>
      </c>
      <c r="D2601">
        <f>IF(INDEX(L_Type,ROW()-4)="","",TRIM(UPPER(INDEX(L_Type,ROW()-4))))</f>
        <v/>
      </c>
      <c r="E2601">
        <f>IF(INDEX(P_Status,ROW()-4)="","",TRIM(UPPER(INDEX(P_Status,ROW()-4))))</f>
        <v/>
      </c>
      <c r="G2601">
        <f>IF(INDEX(L_Status,ROW()-4)="","",TRIM(UPPER(INDEX(L_Status,ROW()-4))))</f>
        <v/>
      </c>
      <c r="J2601">
        <f>IF(INDEX(L_ID,ROW()-4)="","",IF(SUMPRODUCT((P_ID=INDEX(L_ID,ROW()-4))*(P_StatusN="INACTIVE"))&gt;0,1,0))</f>
        <v/>
      </c>
    </row>
    <row r="2602">
      <c r="A2602">
        <f>IF(INDEX(L_ID,ROW()-4)="","",IF(COUNTIF(P_ID,INDEX(L_ID,ROW()-4))&gt;0,1,0))</f>
        <v/>
      </c>
      <c r="B2602">
        <f>IF(INDEX(P_Type,ROW()-4)="","",TRIM(UPPER(INDEX(P_Type,ROW()-4))))</f>
        <v/>
      </c>
      <c r="D2602">
        <f>IF(INDEX(L_Type,ROW()-4)="","",TRIM(UPPER(INDEX(L_Type,ROW()-4))))</f>
        <v/>
      </c>
      <c r="E2602">
        <f>IF(INDEX(P_Status,ROW()-4)="","",TRIM(UPPER(INDEX(P_Status,ROW()-4))))</f>
        <v/>
      </c>
      <c r="G2602">
        <f>IF(INDEX(L_Status,ROW()-4)="","",TRIM(UPPER(INDEX(L_Status,ROW()-4))))</f>
        <v/>
      </c>
      <c r="J2602">
        <f>IF(INDEX(L_ID,ROW()-4)="","",IF(SUMPRODUCT((P_ID=INDEX(L_ID,ROW()-4))*(P_StatusN="INACTIVE"))&gt;0,1,0))</f>
        <v/>
      </c>
    </row>
    <row r="2603">
      <c r="A2603">
        <f>IF(INDEX(L_ID,ROW()-4)="","",IF(COUNTIF(P_ID,INDEX(L_ID,ROW()-4))&gt;0,1,0))</f>
        <v/>
      </c>
      <c r="B2603">
        <f>IF(INDEX(P_Type,ROW()-4)="","",TRIM(UPPER(INDEX(P_Type,ROW()-4))))</f>
        <v/>
      </c>
      <c r="D2603">
        <f>IF(INDEX(L_Type,ROW()-4)="","",TRIM(UPPER(INDEX(L_Type,ROW()-4))))</f>
        <v/>
      </c>
      <c r="E2603">
        <f>IF(INDEX(P_Status,ROW()-4)="","",TRIM(UPPER(INDEX(P_Status,ROW()-4))))</f>
        <v/>
      </c>
      <c r="G2603">
        <f>IF(INDEX(L_Status,ROW()-4)="","",TRIM(UPPER(INDEX(L_Status,ROW()-4))))</f>
        <v/>
      </c>
      <c r="J2603">
        <f>IF(INDEX(L_ID,ROW()-4)="","",IF(SUMPRODUCT((P_ID=INDEX(L_ID,ROW()-4))*(P_StatusN="INACTIVE"))&gt;0,1,0))</f>
        <v/>
      </c>
    </row>
    <row r="2604">
      <c r="A2604">
        <f>IF(INDEX(L_ID,ROW()-4)="","",IF(COUNTIF(P_ID,INDEX(L_ID,ROW()-4))&gt;0,1,0))</f>
        <v/>
      </c>
      <c r="B2604">
        <f>IF(INDEX(P_Type,ROW()-4)="","",TRIM(UPPER(INDEX(P_Type,ROW()-4))))</f>
        <v/>
      </c>
      <c r="D2604">
        <f>IF(INDEX(L_Type,ROW()-4)="","",TRIM(UPPER(INDEX(L_Type,ROW()-4))))</f>
        <v/>
      </c>
      <c r="E2604">
        <f>IF(INDEX(P_Status,ROW()-4)="","",TRIM(UPPER(INDEX(P_Status,ROW()-4))))</f>
        <v/>
      </c>
      <c r="G2604">
        <f>IF(INDEX(L_Status,ROW()-4)="","",TRIM(UPPER(INDEX(L_Status,ROW()-4))))</f>
        <v/>
      </c>
      <c r="J2604">
        <f>IF(INDEX(L_ID,ROW()-4)="","",IF(SUMPRODUCT((P_ID=INDEX(L_ID,ROW()-4))*(P_StatusN="INACTIVE"))&gt;0,1,0))</f>
        <v/>
      </c>
    </row>
    <row r="2605">
      <c r="A2605">
        <f>IF(INDEX(L_ID,ROW()-4)="","",IF(COUNTIF(P_ID,INDEX(L_ID,ROW()-4))&gt;0,1,0))</f>
        <v/>
      </c>
      <c r="B2605">
        <f>IF(INDEX(P_Type,ROW()-4)="","",TRIM(UPPER(INDEX(P_Type,ROW()-4))))</f>
        <v/>
      </c>
      <c r="D2605">
        <f>IF(INDEX(L_Type,ROW()-4)="","",TRIM(UPPER(INDEX(L_Type,ROW()-4))))</f>
        <v/>
      </c>
      <c r="E2605">
        <f>IF(INDEX(P_Status,ROW()-4)="","",TRIM(UPPER(INDEX(P_Status,ROW()-4))))</f>
        <v/>
      </c>
      <c r="G2605">
        <f>IF(INDEX(L_Status,ROW()-4)="","",TRIM(UPPER(INDEX(L_Status,ROW()-4))))</f>
        <v/>
      </c>
      <c r="J2605">
        <f>IF(INDEX(L_ID,ROW()-4)="","",IF(SUMPRODUCT((P_ID=INDEX(L_ID,ROW()-4))*(P_StatusN="INACTIVE"))&gt;0,1,0))</f>
        <v/>
      </c>
    </row>
    <row r="2606">
      <c r="A2606">
        <f>IF(INDEX(L_ID,ROW()-4)="","",IF(COUNTIF(P_ID,INDEX(L_ID,ROW()-4))&gt;0,1,0))</f>
        <v/>
      </c>
      <c r="B2606">
        <f>IF(INDEX(P_Type,ROW()-4)="","",TRIM(UPPER(INDEX(P_Type,ROW()-4))))</f>
        <v/>
      </c>
      <c r="D2606">
        <f>IF(INDEX(L_Type,ROW()-4)="","",TRIM(UPPER(INDEX(L_Type,ROW()-4))))</f>
        <v/>
      </c>
      <c r="E2606">
        <f>IF(INDEX(P_Status,ROW()-4)="","",TRIM(UPPER(INDEX(P_Status,ROW()-4))))</f>
        <v/>
      </c>
      <c r="G2606">
        <f>IF(INDEX(L_Status,ROW()-4)="","",TRIM(UPPER(INDEX(L_Status,ROW()-4))))</f>
        <v/>
      </c>
      <c r="J2606">
        <f>IF(INDEX(L_ID,ROW()-4)="","",IF(SUMPRODUCT((P_ID=INDEX(L_ID,ROW()-4))*(P_StatusN="INACTIVE"))&gt;0,1,0))</f>
        <v/>
      </c>
    </row>
    <row r="2607">
      <c r="A2607">
        <f>IF(INDEX(L_ID,ROW()-4)="","",IF(COUNTIF(P_ID,INDEX(L_ID,ROW()-4))&gt;0,1,0))</f>
        <v/>
      </c>
      <c r="B2607">
        <f>IF(INDEX(P_Type,ROW()-4)="","",TRIM(UPPER(INDEX(P_Type,ROW()-4))))</f>
        <v/>
      </c>
      <c r="D2607">
        <f>IF(INDEX(L_Type,ROW()-4)="","",TRIM(UPPER(INDEX(L_Type,ROW()-4))))</f>
        <v/>
      </c>
      <c r="E2607">
        <f>IF(INDEX(P_Status,ROW()-4)="","",TRIM(UPPER(INDEX(P_Status,ROW()-4))))</f>
        <v/>
      </c>
      <c r="G2607">
        <f>IF(INDEX(L_Status,ROW()-4)="","",TRIM(UPPER(INDEX(L_Status,ROW()-4))))</f>
        <v/>
      </c>
      <c r="J2607">
        <f>IF(INDEX(L_ID,ROW()-4)="","",IF(SUMPRODUCT((P_ID=INDEX(L_ID,ROW()-4))*(P_StatusN="INACTIVE"))&gt;0,1,0))</f>
        <v/>
      </c>
    </row>
    <row r="2608">
      <c r="A2608">
        <f>IF(INDEX(L_ID,ROW()-4)="","",IF(COUNTIF(P_ID,INDEX(L_ID,ROW()-4))&gt;0,1,0))</f>
        <v/>
      </c>
      <c r="B2608">
        <f>IF(INDEX(P_Type,ROW()-4)="","",TRIM(UPPER(INDEX(P_Type,ROW()-4))))</f>
        <v/>
      </c>
      <c r="D2608">
        <f>IF(INDEX(L_Type,ROW()-4)="","",TRIM(UPPER(INDEX(L_Type,ROW()-4))))</f>
        <v/>
      </c>
      <c r="E2608">
        <f>IF(INDEX(P_Status,ROW()-4)="","",TRIM(UPPER(INDEX(P_Status,ROW()-4))))</f>
        <v/>
      </c>
      <c r="G2608">
        <f>IF(INDEX(L_Status,ROW()-4)="","",TRIM(UPPER(INDEX(L_Status,ROW()-4))))</f>
        <v/>
      </c>
      <c r="J2608">
        <f>IF(INDEX(L_ID,ROW()-4)="","",IF(SUMPRODUCT((P_ID=INDEX(L_ID,ROW()-4))*(P_StatusN="INACTIVE"))&gt;0,1,0))</f>
        <v/>
      </c>
    </row>
    <row r="2609">
      <c r="A2609">
        <f>IF(INDEX(L_ID,ROW()-4)="","",IF(COUNTIF(P_ID,INDEX(L_ID,ROW()-4))&gt;0,1,0))</f>
        <v/>
      </c>
      <c r="B2609">
        <f>IF(INDEX(P_Type,ROW()-4)="","",TRIM(UPPER(INDEX(P_Type,ROW()-4))))</f>
        <v/>
      </c>
      <c r="D2609">
        <f>IF(INDEX(L_Type,ROW()-4)="","",TRIM(UPPER(INDEX(L_Type,ROW()-4))))</f>
        <v/>
      </c>
      <c r="E2609">
        <f>IF(INDEX(P_Status,ROW()-4)="","",TRIM(UPPER(INDEX(P_Status,ROW()-4))))</f>
        <v/>
      </c>
      <c r="G2609">
        <f>IF(INDEX(L_Status,ROW()-4)="","",TRIM(UPPER(INDEX(L_Status,ROW()-4))))</f>
        <v/>
      </c>
      <c r="J2609">
        <f>IF(INDEX(L_ID,ROW()-4)="","",IF(SUMPRODUCT((P_ID=INDEX(L_ID,ROW()-4))*(P_StatusN="INACTIVE"))&gt;0,1,0))</f>
        <v/>
      </c>
    </row>
    <row r="2610">
      <c r="A2610">
        <f>IF(INDEX(L_ID,ROW()-4)="","",IF(COUNTIF(P_ID,INDEX(L_ID,ROW()-4))&gt;0,1,0))</f>
        <v/>
      </c>
      <c r="B2610">
        <f>IF(INDEX(P_Type,ROW()-4)="","",TRIM(UPPER(INDEX(P_Type,ROW()-4))))</f>
        <v/>
      </c>
      <c r="D2610">
        <f>IF(INDEX(L_Type,ROW()-4)="","",TRIM(UPPER(INDEX(L_Type,ROW()-4))))</f>
        <v/>
      </c>
      <c r="E2610">
        <f>IF(INDEX(P_Status,ROW()-4)="","",TRIM(UPPER(INDEX(P_Status,ROW()-4))))</f>
        <v/>
      </c>
      <c r="G2610">
        <f>IF(INDEX(L_Status,ROW()-4)="","",TRIM(UPPER(INDEX(L_Status,ROW()-4))))</f>
        <v/>
      </c>
      <c r="J2610">
        <f>IF(INDEX(L_ID,ROW()-4)="","",IF(SUMPRODUCT((P_ID=INDEX(L_ID,ROW()-4))*(P_StatusN="INACTIVE"))&gt;0,1,0))</f>
        <v/>
      </c>
    </row>
    <row r="2611">
      <c r="A2611">
        <f>IF(INDEX(L_ID,ROW()-4)="","",IF(COUNTIF(P_ID,INDEX(L_ID,ROW()-4))&gt;0,1,0))</f>
        <v/>
      </c>
      <c r="B2611">
        <f>IF(INDEX(P_Type,ROW()-4)="","",TRIM(UPPER(INDEX(P_Type,ROW()-4))))</f>
        <v/>
      </c>
      <c r="D2611">
        <f>IF(INDEX(L_Type,ROW()-4)="","",TRIM(UPPER(INDEX(L_Type,ROW()-4))))</f>
        <v/>
      </c>
      <c r="E2611">
        <f>IF(INDEX(P_Status,ROW()-4)="","",TRIM(UPPER(INDEX(P_Status,ROW()-4))))</f>
        <v/>
      </c>
      <c r="G2611">
        <f>IF(INDEX(L_Status,ROW()-4)="","",TRIM(UPPER(INDEX(L_Status,ROW()-4))))</f>
        <v/>
      </c>
      <c r="J2611">
        <f>IF(INDEX(L_ID,ROW()-4)="","",IF(SUMPRODUCT((P_ID=INDEX(L_ID,ROW()-4))*(P_StatusN="INACTIVE"))&gt;0,1,0))</f>
        <v/>
      </c>
    </row>
    <row r="2612">
      <c r="A2612">
        <f>IF(INDEX(L_ID,ROW()-4)="","",IF(COUNTIF(P_ID,INDEX(L_ID,ROW()-4))&gt;0,1,0))</f>
        <v/>
      </c>
      <c r="B2612">
        <f>IF(INDEX(P_Type,ROW()-4)="","",TRIM(UPPER(INDEX(P_Type,ROW()-4))))</f>
        <v/>
      </c>
      <c r="D2612">
        <f>IF(INDEX(L_Type,ROW()-4)="","",TRIM(UPPER(INDEX(L_Type,ROW()-4))))</f>
        <v/>
      </c>
      <c r="E2612">
        <f>IF(INDEX(P_Status,ROW()-4)="","",TRIM(UPPER(INDEX(P_Status,ROW()-4))))</f>
        <v/>
      </c>
      <c r="G2612">
        <f>IF(INDEX(L_Status,ROW()-4)="","",TRIM(UPPER(INDEX(L_Status,ROW()-4))))</f>
        <v/>
      </c>
      <c r="J2612">
        <f>IF(INDEX(L_ID,ROW()-4)="","",IF(SUMPRODUCT((P_ID=INDEX(L_ID,ROW()-4))*(P_StatusN="INACTIVE"))&gt;0,1,0))</f>
        <v/>
      </c>
    </row>
    <row r="2613">
      <c r="A2613">
        <f>IF(INDEX(L_ID,ROW()-4)="","",IF(COUNTIF(P_ID,INDEX(L_ID,ROW()-4))&gt;0,1,0))</f>
        <v/>
      </c>
      <c r="B2613">
        <f>IF(INDEX(P_Type,ROW()-4)="","",TRIM(UPPER(INDEX(P_Type,ROW()-4))))</f>
        <v/>
      </c>
      <c r="D2613">
        <f>IF(INDEX(L_Type,ROW()-4)="","",TRIM(UPPER(INDEX(L_Type,ROW()-4))))</f>
        <v/>
      </c>
      <c r="E2613">
        <f>IF(INDEX(P_Status,ROW()-4)="","",TRIM(UPPER(INDEX(P_Status,ROW()-4))))</f>
        <v/>
      </c>
      <c r="G2613">
        <f>IF(INDEX(L_Status,ROW()-4)="","",TRIM(UPPER(INDEX(L_Status,ROW()-4))))</f>
        <v/>
      </c>
      <c r="J2613">
        <f>IF(INDEX(L_ID,ROW()-4)="","",IF(SUMPRODUCT((P_ID=INDEX(L_ID,ROW()-4))*(P_StatusN="INACTIVE"))&gt;0,1,0))</f>
        <v/>
      </c>
    </row>
    <row r="2614">
      <c r="A2614">
        <f>IF(INDEX(L_ID,ROW()-4)="","",IF(COUNTIF(P_ID,INDEX(L_ID,ROW()-4))&gt;0,1,0))</f>
        <v/>
      </c>
      <c r="B2614">
        <f>IF(INDEX(P_Type,ROW()-4)="","",TRIM(UPPER(INDEX(P_Type,ROW()-4))))</f>
        <v/>
      </c>
      <c r="D2614">
        <f>IF(INDEX(L_Type,ROW()-4)="","",TRIM(UPPER(INDEX(L_Type,ROW()-4))))</f>
        <v/>
      </c>
      <c r="E2614">
        <f>IF(INDEX(P_Status,ROW()-4)="","",TRIM(UPPER(INDEX(P_Status,ROW()-4))))</f>
        <v/>
      </c>
      <c r="G2614">
        <f>IF(INDEX(L_Status,ROW()-4)="","",TRIM(UPPER(INDEX(L_Status,ROW()-4))))</f>
        <v/>
      </c>
      <c r="J2614">
        <f>IF(INDEX(L_ID,ROW()-4)="","",IF(SUMPRODUCT((P_ID=INDEX(L_ID,ROW()-4))*(P_StatusN="INACTIVE"))&gt;0,1,0))</f>
        <v/>
      </c>
    </row>
    <row r="2615">
      <c r="A2615">
        <f>IF(INDEX(L_ID,ROW()-4)="","",IF(COUNTIF(P_ID,INDEX(L_ID,ROW()-4))&gt;0,1,0))</f>
        <v/>
      </c>
      <c r="B2615">
        <f>IF(INDEX(P_Type,ROW()-4)="","",TRIM(UPPER(INDEX(P_Type,ROW()-4))))</f>
        <v/>
      </c>
      <c r="D2615">
        <f>IF(INDEX(L_Type,ROW()-4)="","",TRIM(UPPER(INDEX(L_Type,ROW()-4))))</f>
        <v/>
      </c>
      <c r="E2615">
        <f>IF(INDEX(P_Status,ROW()-4)="","",TRIM(UPPER(INDEX(P_Status,ROW()-4))))</f>
        <v/>
      </c>
      <c r="G2615">
        <f>IF(INDEX(L_Status,ROW()-4)="","",TRIM(UPPER(INDEX(L_Status,ROW()-4))))</f>
        <v/>
      </c>
      <c r="J2615">
        <f>IF(INDEX(L_ID,ROW()-4)="","",IF(SUMPRODUCT((P_ID=INDEX(L_ID,ROW()-4))*(P_StatusN="INACTIVE"))&gt;0,1,0))</f>
        <v/>
      </c>
    </row>
    <row r="2616">
      <c r="A2616">
        <f>IF(INDEX(L_ID,ROW()-4)="","",IF(COUNTIF(P_ID,INDEX(L_ID,ROW()-4))&gt;0,1,0))</f>
        <v/>
      </c>
      <c r="B2616">
        <f>IF(INDEX(P_Type,ROW()-4)="","",TRIM(UPPER(INDEX(P_Type,ROW()-4))))</f>
        <v/>
      </c>
      <c r="D2616">
        <f>IF(INDEX(L_Type,ROW()-4)="","",TRIM(UPPER(INDEX(L_Type,ROW()-4))))</f>
        <v/>
      </c>
      <c r="E2616">
        <f>IF(INDEX(P_Status,ROW()-4)="","",TRIM(UPPER(INDEX(P_Status,ROW()-4))))</f>
        <v/>
      </c>
      <c r="G2616">
        <f>IF(INDEX(L_Status,ROW()-4)="","",TRIM(UPPER(INDEX(L_Status,ROW()-4))))</f>
        <v/>
      </c>
      <c r="J2616">
        <f>IF(INDEX(L_ID,ROW()-4)="","",IF(SUMPRODUCT((P_ID=INDEX(L_ID,ROW()-4))*(P_StatusN="INACTIVE"))&gt;0,1,0))</f>
        <v/>
      </c>
    </row>
    <row r="2617">
      <c r="A2617">
        <f>IF(INDEX(L_ID,ROW()-4)="","",IF(COUNTIF(P_ID,INDEX(L_ID,ROW()-4))&gt;0,1,0))</f>
        <v/>
      </c>
      <c r="B2617">
        <f>IF(INDEX(P_Type,ROW()-4)="","",TRIM(UPPER(INDEX(P_Type,ROW()-4))))</f>
        <v/>
      </c>
      <c r="D2617">
        <f>IF(INDEX(L_Type,ROW()-4)="","",TRIM(UPPER(INDEX(L_Type,ROW()-4))))</f>
        <v/>
      </c>
      <c r="E2617">
        <f>IF(INDEX(P_Status,ROW()-4)="","",TRIM(UPPER(INDEX(P_Status,ROW()-4))))</f>
        <v/>
      </c>
      <c r="G2617">
        <f>IF(INDEX(L_Status,ROW()-4)="","",TRIM(UPPER(INDEX(L_Status,ROW()-4))))</f>
        <v/>
      </c>
      <c r="J2617">
        <f>IF(INDEX(L_ID,ROW()-4)="","",IF(SUMPRODUCT((P_ID=INDEX(L_ID,ROW()-4))*(P_StatusN="INACTIVE"))&gt;0,1,0))</f>
        <v/>
      </c>
    </row>
    <row r="2618">
      <c r="A2618">
        <f>IF(INDEX(L_ID,ROW()-4)="","",IF(COUNTIF(P_ID,INDEX(L_ID,ROW()-4))&gt;0,1,0))</f>
        <v/>
      </c>
      <c r="B2618">
        <f>IF(INDEX(P_Type,ROW()-4)="","",TRIM(UPPER(INDEX(P_Type,ROW()-4))))</f>
        <v/>
      </c>
      <c r="D2618">
        <f>IF(INDEX(L_Type,ROW()-4)="","",TRIM(UPPER(INDEX(L_Type,ROW()-4))))</f>
        <v/>
      </c>
      <c r="E2618">
        <f>IF(INDEX(P_Status,ROW()-4)="","",TRIM(UPPER(INDEX(P_Status,ROW()-4))))</f>
        <v/>
      </c>
      <c r="G2618">
        <f>IF(INDEX(L_Status,ROW()-4)="","",TRIM(UPPER(INDEX(L_Status,ROW()-4))))</f>
        <v/>
      </c>
      <c r="J2618">
        <f>IF(INDEX(L_ID,ROW()-4)="","",IF(SUMPRODUCT((P_ID=INDEX(L_ID,ROW()-4))*(P_StatusN="INACTIVE"))&gt;0,1,0))</f>
        <v/>
      </c>
    </row>
    <row r="2619">
      <c r="A2619">
        <f>IF(INDEX(L_ID,ROW()-4)="","",IF(COUNTIF(P_ID,INDEX(L_ID,ROW()-4))&gt;0,1,0))</f>
        <v/>
      </c>
      <c r="B2619">
        <f>IF(INDEX(P_Type,ROW()-4)="","",TRIM(UPPER(INDEX(P_Type,ROW()-4))))</f>
        <v/>
      </c>
      <c r="D2619">
        <f>IF(INDEX(L_Type,ROW()-4)="","",TRIM(UPPER(INDEX(L_Type,ROW()-4))))</f>
        <v/>
      </c>
      <c r="E2619">
        <f>IF(INDEX(P_Status,ROW()-4)="","",TRIM(UPPER(INDEX(P_Status,ROW()-4))))</f>
        <v/>
      </c>
      <c r="G2619">
        <f>IF(INDEX(L_Status,ROW()-4)="","",TRIM(UPPER(INDEX(L_Status,ROW()-4))))</f>
        <v/>
      </c>
      <c r="J2619">
        <f>IF(INDEX(L_ID,ROW()-4)="","",IF(SUMPRODUCT((P_ID=INDEX(L_ID,ROW()-4))*(P_StatusN="INACTIVE"))&gt;0,1,0))</f>
        <v/>
      </c>
    </row>
    <row r="2620">
      <c r="A2620">
        <f>IF(INDEX(L_ID,ROW()-4)="","",IF(COUNTIF(P_ID,INDEX(L_ID,ROW()-4))&gt;0,1,0))</f>
        <v/>
      </c>
      <c r="B2620">
        <f>IF(INDEX(P_Type,ROW()-4)="","",TRIM(UPPER(INDEX(P_Type,ROW()-4))))</f>
        <v/>
      </c>
      <c r="D2620">
        <f>IF(INDEX(L_Type,ROW()-4)="","",TRIM(UPPER(INDEX(L_Type,ROW()-4))))</f>
        <v/>
      </c>
      <c r="E2620">
        <f>IF(INDEX(P_Status,ROW()-4)="","",TRIM(UPPER(INDEX(P_Status,ROW()-4))))</f>
        <v/>
      </c>
      <c r="G2620">
        <f>IF(INDEX(L_Status,ROW()-4)="","",TRIM(UPPER(INDEX(L_Status,ROW()-4))))</f>
        <v/>
      </c>
      <c r="J2620">
        <f>IF(INDEX(L_ID,ROW()-4)="","",IF(SUMPRODUCT((P_ID=INDEX(L_ID,ROW()-4))*(P_StatusN="INACTIVE"))&gt;0,1,0))</f>
        <v/>
      </c>
    </row>
    <row r="2621">
      <c r="A2621">
        <f>IF(INDEX(L_ID,ROW()-4)="","",IF(COUNTIF(P_ID,INDEX(L_ID,ROW()-4))&gt;0,1,0))</f>
        <v/>
      </c>
      <c r="B2621">
        <f>IF(INDEX(P_Type,ROW()-4)="","",TRIM(UPPER(INDEX(P_Type,ROW()-4))))</f>
        <v/>
      </c>
      <c r="D2621">
        <f>IF(INDEX(L_Type,ROW()-4)="","",TRIM(UPPER(INDEX(L_Type,ROW()-4))))</f>
        <v/>
      </c>
      <c r="E2621">
        <f>IF(INDEX(P_Status,ROW()-4)="","",TRIM(UPPER(INDEX(P_Status,ROW()-4))))</f>
        <v/>
      </c>
      <c r="G2621">
        <f>IF(INDEX(L_Status,ROW()-4)="","",TRIM(UPPER(INDEX(L_Status,ROW()-4))))</f>
        <v/>
      </c>
      <c r="J2621">
        <f>IF(INDEX(L_ID,ROW()-4)="","",IF(SUMPRODUCT((P_ID=INDEX(L_ID,ROW()-4))*(P_StatusN="INACTIVE"))&gt;0,1,0))</f>
        <v/>
      </c>
    </row>
    <row r="2622">
      <c r="A2622">
        <f>IF(INDEX(L_ID,ROW()-4)="","",IF(COUNTIF(P_ID,INDEX(L_ID,ROW()-4))&gt;0,1,0))</f>
        <v/>
      </c>
      <c r="B2622">
        <f>IF(INDEX(P_Type,ROW()-4)="","",TRIM(UPPER(INDEX(P_Type,ROW()-4))))</f>
        <v/>
      </c>
      <c r="D2622">
        <f>IF(INDEX(L_Type,ROW()-4)="","",TRIM(UPPER(INDEX(L_Type,ROW()-4))))</f>
        <v/>
      </c>
      <c r="E2622">
        <f>IF(INDEX(P_Status,ROW()-4)="","",TRIM(UPPER(INDEX(P_Status,ROW()-4))))</f>
        <v/>
      </c>
      <c r="G2622">
        <f>IF(INDEX(L_Status,ROW()-4)="","",TRIM(UPPER(INDEX(L_Status,ROW()-4))))</f>
        <v/>
      </c>
      <c r="J2622">
        <f>IF(INDEX(L_ID,ROW()-4)="","",IF(SUMPRODUCT((P_ID=INDEX(L_ID,ROW()-4))*(P_StatusN="INACTIVE"))&gt;0,1,0))</f>
        <v/>
      </c>
    </row>
    <row r="2623">
      <c r="A2623">
        <f>IF(INDEX(L_ID,ROW()-4)="","",IF(COUNTIF(P_ID,INDEX(L_ID,ROW()-4))&gt;0,1,0))</f>
        <v/>
      </c>
      <c r="B2623">
        <f>IF(INDEX(P_Type,ROW()-4)="","",TRIM(UPPER(INDEX(P_Type,ROW()-4))))</f>
        <v/>
      </c>
      <c r="D2623">
        <f>IF(INDEX(L_Type,ROW()-4)="","",TRIM(UPPER(INDEX(L_Type,ROW()-4))))</f>
        <v/>
      </c>
      <c r="E2623">
        <f>IF(INDEX(P_Status,ROW()-4)="","",TRIM(UPPER(INDEX(P_Status,ROW()-4))))</f>
        <v/>
      </c>
      <c r="G2623">
        <f>IF(INDEX(L_Status,ROW()-4)="","",TRIM(UPPER(INDEX(L_Status,ROW()-4))))</f>
        <v/>
      </c>
      <c r="J2623">
        <f>IF(INDEX(L_ID,ROW()-4)="","",IF(SUMPRODUCT((P_ID=INDEX(L_ID,ROW()-4))*(P_StatusN="INACTIVE"))&gt;0,1,0))</f>
        <v/>
      </c>
    </row>
    <row r="2624">
      <c r="A2624">
        <f>IF(INDEX(L_ID,ROW()-4)="","",IF(COUNTIF(P_ID,INDEX(L_ID,ROW()-4))&gt;0,1,0))</f>
        <v/>
      </c>
      <c r="B2624">
        <f>IF(INDEX(P_Type,ROW()-4)="","",TRIM(UPPER(INDEX(P_Type,ROW()-4))))</f>
        <v/>
      </c>
      <c r="D2624">
        <f>IF(INDEX(L_Type,ROW()-4)="","",TRIM(UPPER(INDEX(L_Type,ROW()-4))))</f>
        <v/>
      </c>
      <c r="E2624">
        <f>IF(INDEX(P_Status,ROW()-4)="","",TRIM(UPPER(INDEX(P_Status,ROW()-4))))</f>
        <v/>
      </c>
      <c r="G2624">
        <f>IF(INDEX(L_Status,ROW()-4)="","",TRIM(UPPER(INDEX(L_Status,ROW()-4))))</f>
        <v/>
      </c>
      <c r="J2624">
        <f>IF(INDEX(L_ID,ROW()-4)="","",IF(SUMPRODUCT((P_ID=INDEX(L_ID,ROW()-4))*(P_StatusN="INACTIVE"))&gt;0,1,0))</f>
        <v/>
      </c>
    </row>
    <row r="2625">
      <c r="A2625">
        <f>IF(INDEX(L_ID,ROW()-4)="","",IF(COUNTIF(P_ID,INDEX(L_ID,ROW()-4))&gt;0,1,0))</f>
        <v/>
      </c>
      <c r="B2625">
        <f>IF(INDEX(P_Type,ROW()-4)="","",TRIM(UPPER(INDEX(P_Type,ROW()-4))))</f>
        <v/>
      </c>
      <c r="D2625">
        <f>IF(INDEX(L_Type,ROW()-4)="","",TRIM(UPPER(INDEX(L_Type,ROW()-4))))</f>
        <v/>
      </c>
      <c r="E2625">
        <f>IF(INDEX(P_Status,ROW()-4)="","",TRIM(UPPER(INDEX(P_Status,ROW()-4))))</f>
        <v/>
      </c>
      <c r="G2625">
        <f>IF(INDEX(L_Status,ROW()-4)="","",TRIM(UPPER(INDEX(L_Status,ROW()-4))))</f>
        <v/>
      </c>
      <c r="J2625">
        <f>IF(INDEX(L_ID,ROW()-4)="","",IF(SUMPRODUCT((P_ID=INDEX(L_ID,ROW()-4))*(P_StatusN="INACTIVE"))&gt;0,1,0))</f>
        <v/>
      </c>
    </row>
    <row r="2626">
      <c r="A2626">
        <f>IF(INDEX(L_ID,ROW()-4)="","",IF(COUNTIF(P_ID,INDEX(L_ID,ROW()-4))&gt;0,1,0))</f>
        <v/>
      </c>
      <c r="B2626">
        <f>IF(INDEX(P_Type,ROW()-4)="","",TRIM(UPPER(INDEX(P_Type,ROW()-4))))</f>
        <v/>
      </c>
      <c r="D2626">
        <f>IF(INDEX(L_Type,ROW()-4)="","",TRIM(UPPER(INDEX(L_Type,ROW()-4))))</f>
        <v/>
      </c>
      <c r="E2626">
        <f>IF(INDEX(P_Status,ROW()-4)="","",TRIM(UPPER(INDEX(P_Status,ROW()-4))))</f>
        <v/>
      </c>
      <c r="G2626">
        <f>IF(INDEX(L_Status,ROW()-4)="","",TRIM(UPPER(INDEX(L_Status,ROW()-4))))</f>
        <v/>
      </c>
      <c r="J2626">
        <f>IF(INDEX(L_ID,ROW()-4)="","",IF(SUMPRODUCT((P_ID=INDEX(L_ID,ROW()-4))*(P_StatusN="INACTIVE"))&gt;0,1,0))</f>
        <v/>
      </c>
    </row>
    <row r="2627">
      <c r="A2627">
        <f>IF(INDEX(L_ID,ROW()-4)="","",IF(COUNTIF(P_ID,INDEX(L_ID,ROW()-4))&gt;0,1,0))</f>
        <v/>
      </c>
      <c r="B2627">
        <f>IF(INDEX(P_Type,ROW()-4)="","",TRIM(UPPER(INDEX(P_Type,ROW()-4))))</f>
        <v/>
      </c>
      <c r="D2627">
        <f>IF(INDEX(L_Type,ROW()-4)="","",TRIM(UPPER(INDEX(L_Type,ROW()-4))))</f>
        <v/>
      </c>
      <c r="E2627">
        <f>IF(INDEX(P_Status,ROW()-4)="","",TRIM(UPPER(INDEX(P_Status,ROW()-4))))</f>
        <v/>
      </c>
      <c r="G2627">
        <f>IF(INDEX(L_Status,ROW()-4)="","",TRIM(UPPER(INDEX(L_Status,ROW()-4))))</f>
        <v/>
      </c>
      <c r="J2627">
        <f>IF(INDEX(L_ID,ROW()-4)="","",IF(SUMPRODUCT((P_ID=INDEX(L_ID,ROW()-4))*(P_StatusN="INACTIVE"))&gt;0,1,0))</f>
        <v/>
      </c>
    </row>
    <row r="2628">
      <c r="A2628">
        <f>IF(INDEX(L_ID,ROW()-4)="","",IF(COUNTIF(P_ID,INDEX(L_ID,ROW()-4))&gt;0,1,0))</f>
        <v/>
      </c>
      <c r="B2628">
        <f>IF(INDEX(P_Type,ROW()-4)="","",TRIM(UPPER(INDEX(P_Type,ROW()-4))))</f>
        <v/>
      </c>
      <c r="D2628">
        <f>IF(INDEX(L_Type,ROW()-4)="","",TRIM(UPPER(INDEX(L_Type,ROW()-4))))</f>
        <v/>
      </c>
      <c r="E2628">
        <f>IF(INDEX(P_Status,ROW()-4)="","",TRIM(UPPER(INDEX(P_Status,ROW()-4))))</f>
        <v/>
      </c>
      <c r="G2628">
        <f>IF(INDEX(L_Status,ROW()-4)="","",TRIM(UPPER(INDEX(L_Status,ROW()-4))))</f>
        <v/>
      </c>
      <c r="J2628">
        <f>IF(INDEX(L_ID,ROW()-4)="","",IF(SUMPRODUCT((P_ID=INDEX(L_ID,ROW()-4))*(P_StatusN="INACTIVE"))&gt;0,1,0))</f>
        <v/>
      </c>
    </row>
    <row r="2629">
      <c r="A2629">
        <f>IF(INDEX(L_ID,ROW()-4)="","",IF(COUNTIF(P_ID,INDEX(L_ID,ROW()-4))&gt;0,1,0))</f>
        <v/>
      </c>
      <c r="B2629">
        <f>IF(INDEX(P_Type,ROW()-4)="","",TRIM(UPPER(INDEX(P_Type,ROW()-4))))</f>
        <v/>
      </c>
      <c r="D2629">
        <f>IF(INDEX(L_Type,ROW()-4)="","",TRIM(UPPER(INDEX(L_Type,ROW()-4))))</f>
        <v/>
      </c>
      <c r="E2629">
        <f>IF(INDEX(P_Status,ROW()-4)="","",TRIM(UPPER(INDEX(P_Status,ROW()-4))))</f>
        <v/>
      </c>
      <c r="G2629">
        <f>IF(INDEX(L_Status,ROW()-4)="","",TRIM(UPPER(INDEX(L_Status,ROW()-4))))</f>
        <v/>
      </c>
      <c r="J2629">
        <f>IF(INDEX(L_ID,ROW()-4)="","",IF(SUMPRODUCT((P_ID=INDEX(L_ID,ROW()-4))*(P_StatusN="INACTIVE"))&gt;0,1,0))</f>
        <v/>
      </c>
    </row>
    <row r="2630">
      <c r="A2630">
        <f>IF(INDEX(L_ID,ROW()-4)="","",IF(COUNTIF(P_ID,INDEX(L_ID,ROW()-4))&gt;0,1,0))</f>
        <v/>
      </c>
      <c r="B2630">
        <f>IF(INDEX(P_Type,ROW()-4)="","",TRIM(UPPER(INDEX(P_Type,ROW()-4))))</f>
        <v/>
      </c>
      <c r="D2630">
        <f>IF(INDEX(L_Type,ROW()-4)="","",TRIM(UPPER(INDEX(L_Type,ROW()-4))))</f>
        <v/>
      </c>
      <c r="E2630">
        <f>IF(INDEX(P_Status,ROW()-4)="","",TRIM(UPPER(INDEX(P_Status,ROW()-4))))</f>
        <v/>
      </c>
      <c r="G2630">
        <f>IF(INDEX(L_Status,ROW()-4)="","",TRIM(UPPER(INDEX(L_Status,ROW()-4))))</f>
        <v/>
      </c>
      <c r="J2630">
        <f>IF(INDEX(L_ID,ROW()-4)="","",IF(SUMPRODUCT((P_ID=INDEX(L_ID,ROW()-4))*(P_StatusN="INACTIVE"))&gt;0,1,0))</f>
        <v/>
      </c>
    </row>
    <row r="2631">
      <c r="A2631">
        <f>IF(INDEX(L_ID,ROW()-4)="","",IF(COUNTIF(P_ID,INDEX(L_ID,ROW()-4))&gt;0,1,0))</f>
        <v/>
      </c>
      <c r="B2631">
        <f>IF(INDEX(P_Type,ROW()-4)="","",TRIM(UPPER(INDEX(P_Type,ROW()-4))))</f>
        <v/>
      </c>
      <c r="D2631">
        <f>IF(INDEX(L_Type,ROW()-4)="","",TRIM(UPPER(INDEX(L_Type,ROW()-4))))</f>
        <v/>
      </c>
      <c r="E2631">
        <f>IF(INDEX(P_Status,ROW()-4)="","",TRIM(UPPER(INDEX(P_Status,ROW()-4))))</f>
        <v/>
      </c>
      <c r="G2631">
        <f>IF(INDEX(L_Status,ROW()-4)="","",TRIM(UPPER(INDEX(L_Status,ROW()-4))))</f>
        <v/>
      </c>
      <c r="J2631">
        <f>IF(INDEX(L_ID,ROW()-4)="","",IF(SUMPRODUCT((P_ID=INDEX(L_ID,ROW()-4))*(P_StatusN="INACTIVE"))&gt;0,1,0))</f>
        <v/>
      </c>
    </row>
    <row r="2632">
      <c r="A2632">
        <f>IF(INDEX(L_ID,ROW()-4)="","",IF(COUNTIF(P_ID,INDEX(L_ID,ROW()-4))&gt;0,1,0))</f>
        <v/>
      </c>
      <c r="B2632">
        <f>IF(INDEX(P_Type,ROW()-4)="","",TRIM(UPPER(INDEX(P_Type,ROW()-4))))</f>
        <v/>
      </c>
      <c r="D2632">
        <f>IF(INDEX(L_Type,ROW()-4)="","",TRIM(UPPER(INDEX(L_Type,ROW()-4))))</f>
        <v/>
      </c>
      <c r="E2632">
        <f>IF(INDEX(P_Status,ROW()-4)="","",TRIM(UPPER(INDEX(P_Status,ROW()-4))))</f>
        <v/>
      </c>
      <c r="G2632">
        <f>IF(INDEX(L_Status,ROW()-4)="","",TRIM(UPPER(INDEX(L_Status,ROW()-4))))</f>
        <v/>
      </c>
      <c r="J2632">
        <f>IF(INDEX(L_ID,ROW()-4)="","",IF(SUMPRODUCT((P_ID=INDEX(L_ID,ROW()-4))*(P_StatusN="INACTIVE"))&gt;0,1,0))</f>
        <v/>
      </c>
    </row>
    <row r="2633">
      <c r="A2633">
        <f>IF(INDEX(L_ID,ROW()-4)="","",IF(COUNTIF(P_ID,INDEX(L_ID,ROW()-4))&gt;0,1,0))</f>
        <v/>
      </c>
      <c r="B2633">
        <f>IF(INDEX(P_Type,ROW()-4)="","",TRIM(UPPER(INDEX(P_Type,ROW()-4))))</f>
        <v/>
      </c>
      <c r="D2633">
        <f>IF(INDEX(L_Type,ROW()-4)="","",TRIM(UPPER(INDEX(L_Type,ROW()-4))))</f>
        <v/>
      </c>
      <c r="E2633">
        <f>IF(INDEX(P_Status,ROW()-4)="","",TRIM(UPPER(INDEX(P_Status,ROW()-4))))</f>
        <v/>
      </c>
      <c r="G2633">
        <f>IF(INDEX(L_Status,ROW()-4)="","",TRIM(UPPER(INDEX(L_Status,ROW()-4))))</f>
        <v/>
      </c>
      <c r="J2633">
        <f>IF(INDEX(L_ID,ROW()-4)="","",IF(SUMPRODUCT((P_ID=INDEX(L_ID,ROW()-4))*(P_StatusN="INACTIVE"))&gt;0,1,0))</f>
        <v/>
      </c>
    </row>
    <row r="2634">
      <c r="A2634">
        <f>IF(INDEX(L_ID,ROW()-4)="","",IF(COUNTIF(P_ID,INDEX(L_ID,ROW()-4))&gt;0,1,0))</f>
        <v/>
      </c>
      <c r="B2634">
        <f>IF(INDEX(P_Type,ROW()-4)="","",TRIM(UPPER(INDEX(P_Type,ROW()-4))))</f>
        <v/>
      </c>
      <c r="D2634">
        <f>IF(INDEX(L_Type,ROW()-4)="","",TRIM(UPPER(INDEX(L_Type,ROW()-4))))</f>
        <v/>
      </c>
      <c r="E2634">
        <f>IF(INDEX(P_Status,ROW()-4)="","",TRIM(UPPER(INDEX(P_Status,ROW()-4))))</f>
        <v/>
      </c>
      <c r="G2634">
        <f>IF(INDEX(L_Status,ROW()-4)="","",TRIM(UPPER(INDEX(L_Status,ROW()-4))))</f>
        <v/>
      </c>
      <c r="J2634">
        <f>IF(INDEX(L_ID,ROW()-4)="","",IF(SUMPRODUCT((P_ID=INDEX(L_ID,ROW()-4))*(P_StatusN="INACTIVE"))&gt;0,1,0))</f>
        <v/>
      </c>
    </row>
    <row r="2635">
      <c r="A2635">
        <f>IF(INDEX(L_ID,ROW()-4)="","",IF(COUNTIF(P_ID,INDEX(L_ID,ROW()-4))&gt;0,1,0))</f>
        <v/>
      </c>
      <c r="B2635">
        <f>IF(INDEX(P_Type,ROW()-4)="","",TRIM(UPPER(INDEX(P_Type,ROW()-4))))</f>
        <v/>
      </c>
      <c r="D2635">
        <f>IF(INDEX(L_Type,ROW()-4)="","",TRIM(UPPER(INDEX(L_Type,ROW()-4))))</f>
        <v/>
      </c>
      <c r="E2635">
        <f>IF(INDEX(P_Status,ROW()-4)="","",TRIM(UPPER(INDEX(P_Status,ROW()-4))))</f>
        <v/>
      </c>
      <c r="G2635">
        <f>IF(INDEX(L_Status,ROW()-4)="","",TRIM(UPPER(INDEX(L_Status,ROW()-4))))</f>
        <v/>
      </c>
      <c r="J2635">
        <f>IF(INDEX(L_ID,ROW()-4)="","",IF(SUMPRODUCT((P_ID=INDEX(L_ID,ROW()-4))*(P_StatusN="INACTIVE"))&gt;0,1,0))</f>
        <v/>
      </c>
    </row>
    <row r="2636">
      <c r="A2636">
        <f>IF(INDEX(L_ID,ROW()-4)="","",IF(COUNTIF(P_ID,INDEX(L_ID,ROW()-4))&gt;0,1,0))</f>
        <v/>
      </c>
      <c r="B2636">
        <f>IF(INDEX(P_Type,ROW()-4)="","",TRIM(UPPER(INDEX(P_Type,ROW()-4))))</f>
        <v/>
      </c>
      <c r="D2636">
        <f>IF(INDEX(L_Type,ROW()-4)="","",TRIM(UPPER(INDEX(L_Type,ROW()-4))))</f>
        <v/>
      </c>
      <c r="E2636">
        <f>IF(INDEX(P_Status,ROW()-4)="","",TRIM(UPPER(INDEX(P_Status,ROW()-4))))</f>
        <v/>
      </c>
      <c r="G2636">
        <f>IF(INDEX(L_Status,ROW()-4)="","",TRIM(UPPER(INDEX(L_Status,ROW()-4))))</f>
        <v/>
      </c>
      <c r="J2636">
        <f>IF(INDEX(L_ID,ROW()-4)="","",IF(SUMPRODUCT((P_ID=INDEX(L_ID,ROW()-4))*(P_StatusN="INACTIVE"))&gt;0,1,0))</f>
        <v/>
      </c>
    </row>
    <row r="2637">
      <c r="A2637">
        <f>IF(INDEX(L_ID,ROW()-4)="","",IF(COUNTIF(P_ID,INDEX(L_ID,ROW()-4))&gt;0,1,0))</f>
        <v/>
      </c>
      <c r="B2637">
        <f>IF(INDEX(P_Type,ROW()-4)="","",TRIM(UPPER(INDEX(P_Type,ROW()-4))))</f>
        <v/>
      </c>
      <c r="D2637">
        <f>IF(INDEX(L_Type,ROW()-4)="","",TRIM(UPPER(INDEX(L_Type,ROW()-4))))</f>
        <v/>
      </c>
      <c r="E2637">
        <f>IF(INDEX(P_Status,ROW()-4)="","",TRIM(UPPER(INDEX(P_Status,ROW()-4))))</f>
        <v/>
      </c>
      <c r="G2637">
        <f>IF(INDEX(L_Status,ROW()-4)="","",TRIM(UPPER(INDEX(L_Status,ROW()-4))))</f>
        <v/>
      </c>
      <c r="J2637">
        <f>IF(INDEX(L_ID,ROW()-4)="","",IF(SUMPRODUCT((P_ID=INDEX(L_ID,ROW()-4))*(P_StatusN="INACTIVE"))&gt;0,1,0))</f>
        <v/>
      </c>
    </row>
    <row r="2638">
      <c r="A2638">
        <f>IF(INDEX(L_ID,ROW()-4)="","",IF(COUNTIF(P_ID,INDEX(L_ID,ROW()-4))&gt;0,1,0))</f>
        <v/>
      </c>
      <c r="B2638">
        <f>IF(INDEX(P_Type,ROW()-4)="","",TRIM(UPPER(INDEX(P_Type,ROW()-4))))</f>
        <v/>
      </c>
      <c r="D2638">
        <f>IF(INDEX(L_Type,ROW()-4)="","",TRIM(UPPER(INDEX(L_Type,ROW()-4))))</f>
        <v/>
      </c>
      <c r="E2638">
        <f>IF(INDEX(P_Status,ROW()-4)="","",TRIM(UPPER(INDEX(P_Status,ROW()-4))))</f>
        <v/>
      </c>
      <c r="G2638">
        <f>IF(INDEX(L_Status,ROW()-4)="","",TRIM(UPPER(INDEX(L_Status,ROW()-4))))</f>
        <v/>
      </c>
      <c r="J2638">
        <f>IF(INDEX(L_ID,ROW()-4)="","",IF(SUMPRODUCT((P_ID=INDEX(L_ID,ROW()-4))*(P_StatusN="INACTIVE"))&gt;0,1,0))</f>
        <v/>
      </c>
    </row>
    <row r="2639">
      <c r="A2639">
        <f>IF(INDEX(L_ID,ROW()-4)="","",IF(COUNTIF(P_ID,INDEX(L_ID,ROW()-4))&gt;0,1,0))</f>
        <v/>
      </c>
      <c r="B2639">
        <f>IF(INDEX(P_Type,ROW()-4)="","",TRIM(UPPER(INDEX(P_Type,ROW()-4))))</f>
        <v/>
      </c>
      <c r="D2639">
        <f>IF(INDEX(L_Type,ROW()-4)="","",TRIM(UPPER(INDEX(L_Type,ROW()-4))))</f>
        <v/>
      </c>
      <c r="E2639">
        <f>IF(INDEX(P_Status,ROW()-4)="","",TRIM(UPPER(INDEX(P_Status,ROW()-4))))</f>
        <v/>
      </c>
      <c r="G2639">
        <f>IF(INDEX(L_Status,ROW()-4)="","",TRIM(UPPER(INDEX(L_Status,ROW()-4))))</f>
        <v/>
      </c>
      <c r="J2639">
        <f>IF(INDEX(L_ID,ROW()-4)="","",IF(SUMPRODUCT((P_ID=INDEX(L_ID,ROW()-4))*(P_StatusN="INACTIVE"))&gt;0,1,0))</f>
        <v/>
      </c>
    </row>
    <row r="2640">
      <c r="A2640">
        <f>IF(INDEX(L_ID,ROW()-4)="","",IF(COUNTIF(P_ID,INDEX(L_ID,ROW()-4))&gt;0,1,0))</f>
        <v/>
      </c>
      <c r="B2640">
        <f>IF(INDEX(P_Type,ROW()-4)="","",TRIM(UPPER(INDEX(P_Type,ROW()-4))))</f>
        <v/>
      </c>
      <c r="D2640">
        <f>IF(INDEX(L_Type,ROW()-4)="","",TRIM(UPPER(INDEX(L_Type,ROW()-4))))</f>
        <v/>
      </c>
      <c r="E2640">
        <f>IF(INDEX(P_Status,ROW()-4)="","",TRIM(UPPER(INDEX(P_Status,ROW()-4))))</f>
        <v/>
      </c>
      <c r="G2640">
        <f>IF(INDEX(L_Status,ROW()-4)="","",TRIM(UPPER(INDEX(L_Status,ROW()-4))))</f>
        <v/>
      </c>
      <c r="J2640">
        <f>IF(INDEX(L_ID,ROW()-4)="","",IF(SUMPRODUCT((P_ID=INDEX(L_ID,ROW()-4))*(P_StatusN="INACTIVE"))&gt;0,1,0))</f>
        <v/>
      </c>
    </row>
    <row r="2641">
      <c r="A2641">
        <f>IF(INDEX(L_ID,ROW()-4)="","",IF(COUNTIF(P_ID,INDEX(L_ID,ROW()-4))&gt;0,1,0))</f>
        <v/>
      </c>
      <c r="B2641">
        <f>IF(INDEX(P_Type,ROW()-4)="","",TRIM(UPPER(INDEX(P_Type,ROW()-4))))</f>
        <v/>
      </c>
      <c r="D2641">
        <f>IF(INDEX(L_Type,ROW()-4)="","",TRIM(UPPER(INDEX(L_Type,ROW()-4))))</f>
        <v/>
      </c>
      <c r="E2641">
        <f>IF(INDEX(P_Status,ROW()-4)="","",TRIM(UPPER(INDEX(P_Status,ROW()-4))))</f>
        <v/>
      </c>
      <c r="G2641">
        <f>IF(INDEX(L_Status,ROW()-4)="","",TRIM(UPPER(INDEX(L_Status,ROW()-4))))</f>
        <v/>
      </c>
      <c r="J2641">
        <f>IF(INDEX(L_ID,ROW()-4)="","",IF(SUMPRODUCT((P_ID=INDEX(L_ID,ROW()-4))*(P_StatusN="INACTIVE"))&gt;0,1,0))</f>
        <v/>
      </c>
    </row>
    <row r="2642">
      <c r="A2642">
        <f>IF(INDEX(L_ID,ROW()-4)="","",IF(COUNTIF(P_ID,INDEX(L_ID,ROW()-4))&gt;0,1,0))</f>
        <v/>
      </c>
      <c r="B2642">
        <f>IF(INDEX(P_Type,ROW()-4)="","",TRIM(UPPER(INDEX(P_Type,ROW()-4))))</f>
        <v/>
      </c>
      <c r="D2642">
        <f>IF(INDEX(L_Type,ROW()-4)="","",TRIM(UPPER(INDEX(L_Type,ROW()-4))))</f>
        <v/>
      </c>
      <c r="E2642">
        <f>IF(INDEX(P_Status,ROW()-4)="","",TRIM(UPPER(INDEX(P_Status,ROW()-4))))</f>
        <v/>
      </c>
      <c r="G2642">
        <f>IF(INDEX(L_Status,ROW()-4)="","",TRIM(UPPER(INDEX(L_Status,ROW()-4))))</f>
        <v/>
      </c>
      <c r="J2642">
        <f>IF(INDEX(L_ID,ROW()-4)="","",IF(SUMPRODUCT((P_ID=INDEX(L_ID,ROW()-4))*(P_StatusN="INACTIVE"))&gt;0,1,0))</f>
        <v/>
      </c>
    </row>
    <row r="2643">
      <c r="A2643">
        <f>IF(INDEX(L_ID,ROW()-4)="","",IF(COUNTIF(P_ID,INDEX(L_ID,ROW()-4))&gt;0,1,0))</f>
        <v/>
      </c>
      <c r="B2643">
        <f>IF(INDEX(P_Type,ROW()-4)="","",TRIM(UPPER(INDEX(P_Type,ROW()-4))))</f>
        <v/>
      </c>
      <c r="D2643">
        <f>IF(INDEX(L_Type,ROW()-4)="","",TRIM(UPPER(INDEX(L_Type,ROW()-4))))</f>
        <v/>
      </c>
      <c r="E2643">
        <f>IF(INDEX(P_Status,ROW()-4)="","",TRIM(UPPER(INDEX(P_Status,ROW()-4))))</f>
        <v/>
      </c>
      <c r="G2643">
        <f>IF(INDEX(L_Status,ROW()-4)="","",TRIM(UPPER(INDEX(L_Status,ROW()-4))))</f>
        <v/>
      </c>
      <c r="J2643">
        <f>IF(INDEX(L_ID,ROW()-4)="","",IF(SUMPRODUCT((P_ID=INDEX(L_ID,ROW()-4))*(P_StatusN="INACTIVE"))&gt;0,1,0))</f>
        <v/>
      </c>
    </row>
    <row r="2644">
      <c r="A2644">
        <f>IF(INDEX(L_ID,ROW()-4)="","",IF(COUNTIF(P_ID,INDEX(L_ID,ROW()-4))&gt;0,1,0))</f>
        <v/>
      </c>
      <c r="B2644">
        <f>IF(INDEX(P_Type,ROW()-4)="","",TRIM(UPPER(INDEX(P_Type,ROW()-4))))</f>
        <v/>
      </c>
      <c r="D2644">
        <f>IF(INDEX(L_Type,ROW()-4)="","",TRIM(UPPER(INDEX(L_Type,ROW()-4))))</f>
        <v/>
      </c>
      <c r="E2644">
        <f>IF(INDEX(P_Status,ROW()-4)="","",TRIM(UPPER(INDEX(P_Status,ROW()-4))))</f>
        <v/>
      </c>
      <c r="G2644">
        <f>IF(INDEX(L_Status,ROW()-4)="","",TRIM(UPPER(INDEX(L_Status,ROW()-4))))</f>
        <v/>
      </c>
      <c r="J2644">
        <f>IF(INDEX(L_ID,ROW()-4)="","",IF(SUMPRODUCT((P_ID=INDEX(L_ID,ROW()-4))*(P_StatusN="INACTIVE"))&gt;0,1,0))</f>
        <v/>
      </c>
    </row>
    <row r="2645">
      <c r="A2645">
        <f>IF(INDEX(L_ID,ROW()-4)="","",IF(COUNTIF(P_ID,INDEX(L_ID,ROW()-4))&gt;0,1,0))</f>
        <v/>
      </c>
      <c r="B2645">
        <f>IF(INDEX(P_Type,ROW()-4)="","",TRIM(UPPER(INDEX(P_Type,ROW()-4))))</f>
        <v/>
      </c>
      <c r="D2645">
        <f>IF(INDEX(L_Type,ROW()-4)="","",TRIM(UPPER(INDEX(L_Type,ROW()-4))))</f>
        <v/>
      </c>
      <c r="E2645">
        <f>IF(INDEX(P_Status,ROW()-4)="","",TRIM(UPPER(INDEX(P_Status,ROW()-4))))</f>
        <v/>
      </c>
      <c r="G2645">
        <f>IF(INDEX(L_Status,ROW()-4)="","",TRIM(UPPER(INDEX(L_Status,ROW()-4))))</f>
        <v/>
      </c>
      <c r="J2645">
        <f>IF(INDEX(L_ID,ROW()-4)="","",IF(SUMPRODUCT((P_ID=INDEX(L_ID,ROW()-4))*(P_StatusN="INACTIVE"))&gt;0,1,0))</f>
        <v/>
      </c>
    </row>
    <row r="2646">
      <c r="A2646">
        <f>IF(INDEX(L_ID,ROW()-4)="","",IF(COUNTIF(P_ID,INDEX(L_ID,ROW()-4))&gt;0,1,0))</f>
        <v/>
      </c>
      <c r="B2646">
        <f>IF(INDEX(P_Type,ROW()-4)="","",TRIM(UPPER(INDEX(P_Type,ROW()-4))))</f>
        <v/>
      </c>
      <c r="D2646">
        <f>IF(INDEX(L_Type,ROW()-4)="","",TRIM(UPPER(INDEX(L_Type,ROW()-4))))</f>
        <v/>
      </c>
      <c r="E2646">
        <f>IF(INDEX(P_Status,ROW()-4)="","",TRIM(UPPER(INDEX(P_Status,ROW()-4))))</f>
        <v/>
      </c>
      <c r="G2646">
        <f>IF(INDEX(L_Status,ROW()-4)="","",TRIM(UPPER(INDEX(L_Status,ROW()-4))))</f>
        <v/>
      </c>
      <c r="J2646">
        <f>IF(INDEX(L_ID,ROW()-4)="","",IF(SUMPRODUCT((P_ID=INDEX(L_ID,ROW()-4))*(P_StatusN="INACTIVE"))&gt;0,1,0))</f>
        <v/>
      </c>
    </row>
    <row r="2647">
      <c r="A2647">
        <f>IF(INDEX(L_ID,ROW()-4)="","",IF(COUNTIF(P_ID,INDEX(L_ID,ROW()-4))&gt;0,1,0))</f>
        <v/>
      </c>
      <c r="B2647">
        <f>IF(INDEX(P_Type,ROW()-4)="","",TRIM(UPPER(INDEX(P_Type,ROW()-4))))</f>
        <v/>
      </c>
      <c r="D2647">
        <f>IF(INDEX(L_Type,ROW()-4)="","",TRIM(UPPER(INDEX(L_Type,ROW()-4))))</f>
        <v/>
      </c>
      <c r="E2647">
        <f>IF(INDEX(P_Status,ROW()-4)="","",TRIM(UPPER(INDEX(P_Status,ROW()-4))))</f>
        <v/>
      </c>
      <c r="G2647">
        <f>IF(INDEX(L_Status,ROW()-4)="","",TRIM(UPPER(INDEX(L_Status,ROW()-4))))</f>
        <v/>
      </c>
      <c r="J2647">
        <f>IF(INDEX(L_ID,ROW()-4)="","",IF(SUMPRODUCT((P_ID=INDEX(L_ID,ROW()-4))*(P_StatusN="INACTIVE"))&gt;0,1,0))</f>
        <v/>
      </c>
    </row>
    <row r="2648">
      <c r="A2648">
        <f>IF(INDEX(L_ID,ROW()-4)="","",IF(COUNTIF(P_ID,INDEX(L_ID,ROW()-4))&gt;0,1,0))</f>
        <v/>
      </c>
      <c r="B2648">
        <f>IF(INDEX(P_Type,ROW()-4)="","",TRIM(UPPER(INDEX(P_Type,ROW()-4))))</f>
        <v/>
      </c>
      <c r="D2648">
        <f>IF(INDEX(L_Type,ROW()-4)="","",TRIM(UPPER(INDEX(L_Type,ROW()-4))))</f>
        <v/>
      </c>
      <c r="E2648">
        <f>IF(INDEX(P_Status,ROW()-4)="","",TRIM(UPPER(INDEX(P_Status,ROW()-4))))</f>
        <v/>
      </c>
      <c r="G2648">
        <f>IF(INDEX(L_Status,ROW()-4)="","",TRIM(UPPER(INDEX(L_Status,ROW()-4))))</f>
        <v/>
      </c>
      <c r="J2648">
        <f>IF(INDEX(L_ID,ROW()-4)="","",IF(SUMPRODUCT((P_ID=INDEX(L_ID,ROW()-4))*(P_StatusN="INACTIVE"))&gt;0,1,0))</f>
        <v/>
      </c>
    </row>
    <row r="2649">
      <c r="A2649">
        <f>IF(INDEX(L_ID,ROW()-4)="","",IF(COUNTIF(P_ID,INDEX(L_ID,ROW()-4))&gt;0,1,0))</f>
        <v/>
      </c>
      <c r="B2649">
        <f>IF(INDEX(P_Type,ROW()-4)="","",TRIM(UPPER(INDEX(P_Type,ROW()-4))))</f>
        <v/>
      </c>
      <c r="D2649">
        <f>IF(INDEX(L_Type,ROW()-4)="","",TRIM(UPPER(INDEX(L_Type,ROW()-4))))</f>
        <v/>
      </c>
      <c r="E2649">
        <f>IF(INDEX(P_Status,ROW()-4)="","",TRIM(UPPER(INDEX(P_Status,ROW()-4))))</f>
        <v/>
      </c>
      <c r="G2649">
        <f>IF(INDEX(L_Status,ROW()-4)="","",TRIM(UPPER(INDEX(L_Status,ROW()-4))))</f>
        <v/>
      </c>
      <c r="J2649">
        <f>IF(INDEX(L_ID,ROW()-4)="","",IF(SUMPRODUCT((P_ID=INDEX(L_ID,ROW()-4))*(P_StatusN="INACTIVE"))&gt;0,1,0))</f>
        <v/>
      </c>
    </row>
    <row r="2650">
      <c r="A2650">
        <f>IF(INDEX(L_ID,ROW()-4)="","",IF(COUNTIF(P_ID,INDEX(L_ID,ROW()-4))&gt;0,1,0))</f>
        <v/>
      </c>
      <c r="B2650">
        <f>IF(INDEX(P_Type,ROW()-4)="","",TRIM(UPPER(INDEX(P_Type,ROW()-4))))</f>
        <v/>
      </c>
      <c r="D2650">
        <f>IF(INDEX(L_Type,ROW()-4)="","",TRIM(UPPER(INDEX(L_Type,ROW()-4))))</f>
        <v/>
      </c>
      <c r="E2650">
        <f>IF(INDEX(P_Status,ROW()-4)="","",TRIM(UPPER(INDEX(P_Status,ROW()-4))))</f>
        <v/>
      </c>
      <c r="G2650">
        <f>IF(INDEX(L_Status,ROW()-4)="","",TRIM(UPPER(INDEX(L_Status,ROW()-4))))</f>
        <v/>
      </c>
      <c r="J2650">
        <f>IF(INDEX(L_ID,ROW()-4)="","",IF(SUMPRODUCT((P_ID=INDEX(L_ID,ROW()-4))*(P_StatusN="INACTIVE"))&gt;0,1,0))</f>
        <v/>
      </c>
    </row>
    <row r="2651">
      <c r="A2651">
        <f>IF(INDEX(L_ID,ROW()-4)="","",IF(COUNTIF(P_ID,INDEX(L_ID,ROW()-4))&gt;0,1,0))</f>
        <v/>
      </c>
      <c r="B2651">
        <f>IF(INDEX(P_Type,ROW()-4)="","",TRIM(UPPER(INDEX(P_Type,ROW()-4))))</f>
        <v/>
      </c>
      <c r="D2651">
        <f>IF(INDEX(L_Type,ROW()-4)="","",TRIM(UPPER(INDEX(L_Type,ROW()-4))))</f>
        <v/>
      </c>
      <c r="E2651">
        <f>IF(INDEX(P_Status,ROW()-4)="","",TRIM(UPPER(INDEX(P_Status,ROW()-4))))</f>
        <v/>
      </c>
      <c r="G2651">
        <f>IF(INDEX(L_Status,ROW()-4)="","",TRIM(UPPER(INDEX(L_Status,ROW()-4))))</f>
        <v/>
      </c>
      <c r="J2651">
        <f>IF(INDEX(L_ID,ROW()-4)="","",IF(SUMPRODUCT((P_ID=INDEX(L_ID,ROW()-4))*(P_StatusN="INACTIVE"))&gt;0,1,0))</f>
        <v/>
      </c>
    </row>
    <row r="2652">
      <c r="A2652">
        <f>IF(INDEX(L_ID,ROW()-4)="","",IF(COUNTIF(P_ID,INDEX(L_ID,ROW()-4))&gt;0,1,0))</f>
        <v/>
      </c>
      <c r="B2652">
        <f>IF(INDEX(P_Type,ROW()-4)="","",TRIM(UPPER(INDEX(P_Type,ROW()-4))))</f>
        <v/>
      </c>
      <c r="D2652">
        <f>IF(INDEX(L_Type,ROW()-4)="","",TRIM(UPPER(INDEX(L_Type,ROW()-4))))</f>
        <v/>
      </c>
      <c r="E2652">
        <f>IF(INDEX(P_Status,ROW()-4)="","",TRIM(UPPER(INDEX(P_Status,ROW()-4))))</f>
        <v/>
      </c>
      <c r="G2652">
        <f>IF(INDEX(L_Status,ROW()-4)="","",TRIM(UPPER(INDEX(L_Status,ROW()-4))))</f>
        <v/>
      </c>
      <c r="J2652">
        <f>IF(INDEX(L_ID,ROW()-4)="","",IF(SUMPRODUCT((P_ID=INDEX(L_ID,ROW()-4))*(P_StatusN="INACTIVE"))&gt;0,1,0))</f>
        <v/>
      </c>
    </row>
    <row r="2653">
      <c r="A2653">
        <f>IF(INDEX(L_ID,ROW()-4)="","",IF(COUNTIF(P_ID,INDEX(L_ID,ROW()-4))&gt;0,1,0))</f>
        <v/>
      </c>
      <c r="B2653">
        <f>IF(INDEX(P_Type,ROW()-4)="","",TRIM(UPPER(INDEX(P_Type,ROW()-4))))</f>
        <v/>
      </c>
      <c r="D2653">
        <f>IF(INDEX(L_Type,ROW()-4)="","",TRIM(UPPER(INDEX(L_Type,ROW()-4))))</f>
        <v/>
      </c>
      <c r="E2653">
        <f>IF(INDEX(P_Status,ROW()-4)="","",TRIM(UPPER(INDEX(P_Status,ROW()-4))))</f>
        <v/>
      </c>
      <c r="G2653">
        <f>IF(INDEX(L_Status,ROW()-4)="","",TRIM(UPPER(INDEX(L_Status,ROW()-4))))</f>
        <v/>
      </c>
      <c r="J2653">
        <f>IF(INDEX(L_ID,ROW()-4)="","",IF(SUMPRODUCT((P_ID=INDEX(L_ID,ROW()-4))*(P_StatusN="INACTIVE"))&gt;0,1,0))</f>
        <v/>
      </c>
    </row>
    <row r="2654">
      <c r="A2654">
        <f>IF(INDEX(L_ID,ROW()-4)="","",IF(COUNTIF(P_ID,INDEX(L_ID,ROW()-4))&gt;0,1,0))</f>
        <v/>
      </c>
      <c r="B2654">
        <f>IF(INDEX(P_Type,ROW()-4)="","",TRIM(UPPER(INDEX(P_Type,ROW()-4))))</f>
        <v/>
      </c>
      <c r="D2654">
        <f>IF(INDEX(L_Type,ROW()-4)="","",TRIM(UPPER(INDEX(L_Type,ROW()-4))))</f>
        <v/>
      </c>
      <c r="E2654">
        <f>IF(INDEX(P_Status,ROW()-4)="","",TRIM(UPPER(INDEX(P_Status,ROW()-4))))</f>
        <v/>
      </c>
      <c r="G2654">
        <f>IF(INDEX(L_Status,ROW()-4)="","",TRIM(UPPER(INDEX(L_Status,ROW()-4))))</f>
        <v/>
      </c>
      <c r="J2654">
        <f>IF(INDEX(L_ID,ROW()-4)="","",IF(SUMPRODUCT((P_ID=INDEX(L_ID,ROW()-4))*(P_StatusN="INACTIVE"))&gt;0,1,0))</f>
        <v/>
      </c>
    </row>
    <row r="2655">
      <c r="A2655">
        <f>IF(INDEX(L_ID,ROW()-4)="","",IF(COUNTIF(P_ID,INDEX(L_ID,ROW()-4))&gt;0,1,0))</f>
        <v/>
      </c>
      <c r="B2655">
        <f>IF(INDEX(P_Type,ROW()-4)="","",TRIM(UPPER(INDEX(P_Type,ROW()-4))))</f>
        <v/>
      </c>
      <c r="D2655">
        <f>IF(INDEX(L_Type,ROW()-4)="","",TRIM(UPPER(INDEX(L_Type,ROW()-4))))</f>
        <v/>
      </c>
      <c r="E2655">
        <f>IF(INDEX(P_Status,ROW()-4)="","",TRIM(UPPER(INDEX(P_Status,ROW()-4))))</f>
        <v/>
      </c>
      <c r="G2655">
        <f>IF(INDEX(L_Status,ROW()-4)="","",TRIM(UPPER(INDEX(L_Status,ROW()-4))))</f>
        <v/>
      </c>
      <c r="J2655">
        <f>IF(INDEX(L_ID,ROW()-4)="","",IF(SUMPRODUCT((P_ID=INDEX(L_ID,ROW()-4))*(P_StatusN="INACTIVE"))&gt;0,1,0))</f>
        <v/>
      </c>
    </row>
    <row r="2656">
      <c r="A2656">
        <f>IF(INDEX(L_ID,ROW()-4)="","",IF(COUNTIF(P_ID,INDEX(L_ID,ROW()-4))&gt;0,1,0))</f>
        <v/>
      </c>
      <c r="B2656">
        <f>IF(INDEX(P_Type,ROW()-4)="","",TRIM(UPPER(INDEX(P_Type,ROW()-4))))</f>
        <v/>
      </c>
      <c r="D2656">
        <f>IF(INDEX(L_Type,ROW()-4)="","",TRIM(UPPER(INDEX(L_Type,ROW()-4))))</f>
        <v/>
      </c>
      <c r="E2656">
        <f>IF(INDEX(P_Status,ROW()-4)="","",TRIM(UPPER(INDEX(P_Status,ROW()-4))))</f>
        <v/>
      </c>
      <c r="G2656">
        <f>IF(INDEX(L_Status,ROW()-4)="","",TRIM(UPPER(INDEX(L_Status,ROW()-4))))</f>
        <v/>
      </c>
      <c r="J2656">
        <f>IF(INDEX(L_ID,ROW()-4)="","",IF(SUMPRODUCT((P_ID=INDEX(L_ID,ROW()-4))*(P_StatusN="INACTIVE"))&gt;0,1,0))</f>
        <v/>
      </c>
    </row>
    <row r="2657">
      <c r="A2657">
        <f>IF(INDEX(L_ID,ROW()-4)="","",IF(COUNTIF(P_ID,INDEX(L_ID,ROW()-4))&gt;0,1,0))</f>
        <v/>
      </c>
      <c r="B2657">
        <f>IF(INDEX(P_Type,ROW()-4)="","",TRIM(UPPER(INDEX(P_Type,ROW()-4))))</f>
        <v/>
      </c>
      <c r="D2657">
        <f>IF(INDEX(L_Type,ROW()-4)="","",TRIM(UPPER(INDEX(L_Type,ROW()-4))))</f>
        <v/>
      </c>
      <c r="E2657">
        <f>IF(INDEX(P_Status,ROW()-4)="","",TRIM(UPPER(INDEX(P_Status,ROW()-4))))</f>
        <v/>
      </c>
      <c r="G2657">
        <f>IF(INDEX(L_Status,ROW()-4)="","",TRIM(UPPER(INDEX(L_Status,ROW()-4))))</f>
        <v/>
      </c>
      <c r="J2657">
        <f>IF(INDEX(L_ID,ROW()-4)="","",IF(SUMPRODUCT((P_ID=INDEX(L_ID,ROW()-4))*(P_StatusN="INACTIVE"))&gt;0,1,0))</f>
        <v/>
      </c>
    </row>
    <row r="2658">
      <c r="A2658">
        <f>IF(INDEX(L_ID,ROW()-4)="","",IF(COUNTIF(P_ID,INDEX(L_ID,ROW()-4))&gt;0,1,0))</f>
        <v/>
      </c>
      <c r="B2658">
        <f>IF(INDEX(P_Type,ROW()-4)="","",TRIM(UPPER(INDEX(P_Type,ROW()-4))))</f>
        <v/>
      </c>
      <c r="D2658">
        <f>IF(INDEX(L_Type,ROW()-4)="","",TRIM(UPPER(INDEX(L_Type,ROW()-4))))</f>
        <v/>
      </c>
      <c r="E2658">
        <f>IF(INDEX(P_Status,ROW()-4)="","",TRIM(UPPER(INDEX(P_Status,ROW()-4))))</f>
        <v/>
      </c>
      <c r="G2658">
        <f>IF(INDEX(L_Status,ROW()-4)="","",TRIM(UPPER(INDEX(L_Status,ROW()-4))))</f>
        <v/>
      </c>
      <c r="J2658">
        <f>IF(INDEX(L_ID,ROW()-4)="","",IF(SUMPRODUCT((P_ID=INDEX(L_ID,ROW()-4))*(P_StatusN="INACTIVE"))&gt;0,1,0))</f>
        <v/>
      </c>
    </row>
    <row r="2659">
      <c r="A2659">
        <f>IF(INDEX(L_ID,ROW()-4)="","",IF(COUNTIF(P_ID,INDEX(L_ID,ROW()-4))&gt;0,1,0))</f>
        <v/>
      </c>
      <c r="B2659">
        <f>IF(INDEX(P_Type,ROW()-4)="","",TRIM(UPPER(INDEX(P_Type,ROW()-4))))</f>
        <v/>
      </c>
      <c r="D2659">
        <f>IF(INDEX(L_Type,ROW()-4)="","",TRIM(UPPER(INDEX(L_Type,ROW()-4))))</f>
        <v/>
      </c>
      <c r="E2659">
        <f>IF(INDEX(P_Status,ROW()-4)="","",TRIM(UPPER(INDEX(P_Status,ROW()-4))))</f>
        <v/>
      </c>
      <c r="G2659">
        <f>IF(INDEX(L_Status,ROW()-4)="","",TRIM(UPPER(INDEX(L_Status,ROW()-4))))</f>
        <v/>
      </c>
      <c r="J2659">
        <f>IF(INDEX(L_ID,ROW()-4)="","",IF(SUMPRODUCT((P_ID=INDEX(L_ID,ROW()-4))*(P_StatusN="INACTIVE"))&gt;0,1,0))</f>
        <v/>
      </c>
    </row>
    <row r="2660">
      <c r="A2660">
        <f>IF(INDEX(L_ID,ROW()-4)="","",IF(COUNTIF(P_ID,INDEX(L_ID,ROW()-4))&gt;0,1,0))</f>
        <v/>
      </c>
      <c r="B2660">
        <f>IF(INDEX(P_Type,ROW()-4)="","",TRIM(UPPER(INDEX(P_Type,ROW()-4))))</f>
        <v/>
      </c>
      <c r="D2660">
        <f>IF(INDEX(L_Type,ROW()-4)="","",TRIM(UPPER(INDEX(L_Type,ROW()-4))))</f>
        <v/>
      </c>
      <c r="E2660">
        <f>IF(INDEX(P_Status,ROW()-4)="","",TRIM(UPPER(INDEX(P_Status,ROW()-4))))</f>
        <v/>
      </c>
      <c r="G2660">
        <f>IF(INDEX(L_Status,ROW()-4)="","",TRIM(UPPER(INDEX(L_Status,ROW()-4))))</f>
        <v/>
      </c>
      <c r="J2660">
        <f>IF(INDEX(L_ID,ROW()-4)="","",IF(SUMPRODUCT((P_ID=INDEX(L_ID,ROW()-4))*(P_StatusN="INACTIVE"))&gt;0,1,0))</f>
        <v/>
      </c>
    </row>
    <row r="2661">
      <c r="A2661">
        <f>IF(INDEX(L_ID,ROW()-4)="","",IF(COUNTIF(P_ID,INDEX(L_ID,ROW()-4))&gt;0,1,0))</f>
        <v/>
      </c>
      <c r="B2661">
        <f>IF(INDEX(P_Type,ROW()-4)="","",TRIM(UPPER(INDEX(P_Type,ROW()-4))))</f>
        <v/>
      </c>
      <c r="D2661">
        <f>IF(INDEX(L_Type,ROW()-4)="","",TRIM(UPPER(INDEX(L_Type,ROW()-4))))</f>
        <v/>
      </c>
      <c r="E2661">
        <f>IF(INDEX(P_Status,ROW()-4)="","",TRIM(UPPER(INDEX(P_Status,ROW()-4))))</f>
        <v/>
      </c>
      <c r="G2661">
        <f>IF(INDEX(L_Status,ROW()-4)="","",TRIM(UPPER(INDEX(L_Status,ROW()-4))))</f>
        <v/>
      </c>
      <c r="J2661">
        <f>IF(INDEX(L_ID,ROW()-4)="","",IF(SUMPRODUCT((P_ID=INDEX(L_ID,ROW()-4))*(P_StatusN="INACTIVE"))&gt;0,1,0))</f>
        <v/>
      </c>
    </row>
    <row r="2662">
      <c r="A2662">
        <f>IF(INDEX(L_ID,ROW()-4)="","",IF(COUNTIF(P_ID,INDEX(L_ID,ROW()-4))&gt;0,1,0))</f>
        <v/>
      </c>
      <c r="B2662">
        <f>IF(INDEX(P_Type,ROW()-4)="","",TRIM(UPPER(INDEX(P_Type,ROW()-4))))</f>
        <v/>
      </c>
      <c r="D2662">
        <f>IF(INDEX(L_Type,ROW()-4)="","",TRIM(UPPER(INDEX(L_Type,ROW()-4))))</f>
        <v/>
      </c>
      <c r="E2662">
        <f>IF(INDEX(P_Status,ROW()-4)="","",TRIM(UPPER(INDEX(P_Status,ROW()-4))))</f>
        <v/>
      </c>
      <c r="G2662">
        <f>IF(INDEX(L_Status,ROW()-4)="","",TRIM(UPPER(INDEX(L_Status,ROW()-4))))</f>
        <v/>
      </c>
      <c r="J2662">
        <f>IF(INDEX(L_ID,ROW()-4)="","",IF(SUMPRODUCT((P_ID=INDEX(L_ID,ROW()-4))*(P_StatusN="INACTIVE"))&gt;0,1,0))</f>
        <v/>
      </c>
    </row>
    <row r="2663">
      <c r="A2663">
        <f>IF(INDEX(L_ID,ROW()-4)="","",IF(COUNTIF(P_ID,INDEX(L_ID,ROW()-4))&gt;0,1,0))</f>
        <v/>
      </c>
      <c r="B2663">
        <f>IF(INDEX(P_Type,ROW()-4)="","",TRIM(UPPER(INDEX(P_Type,ROW()-4))))</f>
        <v/>
      </c>
      <c r="D2663">
        <f>IF(INDEX(L_Type,ROW()-4)="","",TRIM(UPPER(INDEX(L_Type,ROW()-4))))</f>
        <v/>
      </c>
      <c r="E2663">
        <f>IF(INDEX(P_Status,ROW()-4)="","",TRIM(UPPER(INDEX(P_Status,ROW()-4))))</f>
        <v/>
      </c>
      <c r="G2663">
        <f>IF(INDEX(L_Status,ROW()-4)="","",TRIM(UPPER(INDEX(L_Status,ROW()-4))))</f>
        <v/>
      </c>
      <c r="J2663">
        <f>IF(INDEX(L_ID,ROW()-4)="","",IF(SUMPRODUCT((P_ID=INDEX(L_ID,ROW()-4))*(P_StatusN="INACTIVE"))&gt;0,1,0))</f>
        <v/>
      </c>
    </row>
    <row r="2664">
      <c r="A2664">
        <f>IF(INDEX(L_ID,ROW()-4)="","",IF(COUNTIF(P_ID,INDEX(L_ID,ROW()-4))&gt;0,1,0))</f>
        <v/>
      </c>
      <c r="B2664">
        <f>IF(INDEX(P_Type,ROW()-4)="","",TRIM(UPPER(INDEX(P_Type,ROW()-4))))</f>
        <v/>
      </c>
      <c r="D2664">
        <f>IF(INDEX(L_Type,ROW()-4)="","",TRIM(UPPER(INDEX(L_Type,ROW()-4))))</f>
        <v/>
      </c>
      <c r="E2664">
        <f>IF(INDEX(P_Status,ROW()-4)="","",TRIM(UPPER(INDEX(P_Status,ROW()-4))))</f>
        <v/>
      </c>
      <c r="G2664">
        <f>IF(INDEX(L_Status,ROW()-4)="","",TRIM(UPPER(INDEX(L_Status,ROW()-4))))</f>
        <v/>
      </c>
      <c r="J2664">
        <f>IF(INDEX(L_ID,ROW()-4)="","",IF(SUMPRODUCT((P_ID=INDEX(L_ID,ROW()-4))*(P_StatusN="INACTIVE"))&gt;0,1,0))</f>
        <v/>
      </c>
    </row>
    <row r="2665">
      <c r="A2665">
        <f>IF(INDEX(L_ID,ROW()-4)="","",IF(COUNTIF(P_ID,INDEX(L_ID,ROW()-4))&gt;0,1,0))</f>
        <v/>
      </c>
      <c r="B2665">
        <f>IF(INDEX(P_Type,ROW()-4)="","",TRIM(UPPER(INDEX(P_Type,ROW()-4))))</f>
        <v/>
      </c>
      <c r="D2665">
        <f>IF(INDEX(L_Type,ROW()-4)="","",TRIM(UPPER(INDEX(L_Type,ROW()-4))))</f>
        <v/>
      </c>
      <c r="E2665">
        <f>IF(INDEX(P_Status,ROW()-4)="","",TRIM(UPPER(INDEX(P_Status,ROW()-4))))</f>
        <v/>
      </c>
      <c r="G2665">
        <f>IF(INDEX(L_Status,ROW()-4)="","",TRIM(UPPER(INDEX(L_Status,ROW()-4))))</f>
        <v/>
      </c>
      <c r="J2665">
        <f>IF(INDEX(L_ID,ROW()-4)="","",IF(SUMPRODUCT((P_ID=INDEX(L_ID,ROW()-4))*(P_StatusN="INACTIVE"))&gt;0,1,0))</f>
        <v/>
      </c>
    </row>
    <row r="2666">
      <c r="A2666">
        <f>IF(INDEX(L_ID,ROW()-4)="","",IF(COUNTIF(P_ID,INDEX(L_ID,ROW()-4))&gt;0,1,0))</f>
        <v/>
      </c>
      <c r="B2666">
        <f>IF(INDEX(P_Type,ROW()-4)="","",TRIM(UPPER(INDEX(P_Type,ROW()-4))))</f>
        <v/>
      </c>
      <c r="D2666">
        <f>IF(INDEX(L_Type,ROW()-4)="","",TRIM(UPPER(INDEX(L_Type,ROW()-4))))</f>
        <v/>
      </c>
      <c r="E2666">
        <f>IF(INDEX(P_Status,ROW()-4)="","",TRIM(UPPER(INDEX(P_Status,ROW()-4))))</f>
        <v/>
      </c>
      <c r="G2666">
        <f>IF(INDEX(L_Status,ROW()-4)="","",TRIM(UPPER(INDEX(L_Status,ROW()-4))))</f>
        <v/>
      </c>
      <c r="J2666">
        <f>IF(INDEX(L_ID,ROW()-4)="","",IF(SUMPRODUCT((P_ID=INDEX(L_ID,ROW()-4))*(P_StatusN="INACTIVE"))&gt;0,1,0))</f>
        <v/>
      </c>
    </row>
    <row r="2667">
      <c r="A2667">
        <f>IF(INDEX(L_ID,ROW()-4)="","",IF(COUNTIF(P_ID,INDEX(L_ID,ROW()-4))&gt;0,1,0))</f>
        <v/>
      </c>
      <c r="B2667">
        <f>IF(INDEX(P_Type,ROW()-4)="","",TRIM(UPPER(INDEX(P_Type,ROW()-4))))</f>
        <v/>
      </c>
      <c r="D2667">
        <f>IF(INDEX(L_Type,ROW()-4)="","",TRIM(UPPER(INDEX(L_Type,ROW()-4))))</f>
        <v/>
      </c>
      <c r="E2667">
        <f>IF(INDEX(P_Status,ROW()-4)="","",TRIM(UPPER(INDEX(P_Status,ROW()-4))))</f>
        <v/>
      </c>
      <c r="G2667">
        <f>IF(INDEX(L_Status,ROW()-4)="","",TRIM(UPPER(INDEX(L_Status,ROW()-4))))</f>
        <v/>
      </c>
      <c r="J2667">
        <f>IF(INDEX(L_ID,ROW()-4)="","",IF(SUMPRODUCT((P_ID=INDEX(L_ID,ROW()-4))*(P_StatusN="INACTIVE"))&gt;0,1,0))</f>
        <v/>
      </c>
    </row>
    <row r="2668">
      <c r="A2668">
        <f>IF(INDEX(L_ID,ROW()-4)="","",IF(COUNTIF(P_ID,INDEX(L_ID,ROW()-4))&gt;0,1,0))</f>
        <v/>
      </c>
      <c r="B2668">
        <f>IF(INDEX(P_Type,ROW()-4)="","",TRIM(UPPER(INDEX(P_Type,ROW()-4))))</f>
        <v/>
      </c>
      <c r="D2668">
        <f>IF(INDEX(L_Type,ROW()-4)="","",TRIM(UPPER(INDEX(L_Type,ROW()-4))))</f>
        <v/>
      </c>
      <c r="E2668">
        <f>IF(INDEX(P_Status,ROW()-4)="","",TRIM(UPPER(INDEX(P_Status,ROW()-4))))</f>
        <v/>
      </c>
      <c r="G2668">
        <f>IF(INDEX(L_Status,ROW()-4)="","",TRIM(UPPER(INDEX(L_Status,ROW()-4))))</f>
        <v/>
      </c>
      <c r="J2668">
        <f>IF(INDEX(L_ID,ROW()-4)="","",IF(SUMPRODUCT((P_ID=INDEX(L_ID,ROW()-4))*(P_StatusN="INACTIVE"))&gt;0,1,0))</f>
        <v/>
      </c>
    </row>
    <row r="2669">
      <c r="A2669">
        <f>IF(INDEX(L_ID,ROW()-4)="","",IF(COUNTIF(P_ID,INDEX(L_ID,ROW()-4))&gt;0,1,0))</f>
        <v/>
      </c>
      <c r="B2669">
        <f>IF(INDEX(P_Type,ROW()-4)="","",TRIM(UPPER(INDEX(P_Type,ROW()-4))))</f>
        <v/>
      </c>
      <c r="D2669">
        <f>IF(INDEX(L_Type,ROW()-4)="","",TRIM(UPPER(INDEX(L_Type,ROW()-4))))</f>
        <v/>
      </c>
      <c r="E2669">
        <f>IF(INDEX(P_Status,ROW()-4)="","",TRIM(UPPER(INDEX(P_Status,ROW()-4))))</f>
        <v/>
      </c>
      <c r="G2669">
        <f>IF(INDEX(L_Status,ROW()-4)="","",TRIM(UPPER(INDEX(L_Status,ROW()-4))))</f>
        <v/>
      </c>
      <c r="J2669">
        <f>IF(INDEX(L_ID,ROW()-4)="","",IF(SUMPRODUCT((P_ID=INDEX(L_ID,ROW()-4))*(P_StatusN="INACTIVE"))&gt;0,1,0))</f>
        <v/>
      </c>
    </row>
    <row r="2670">
      <c r="A2670">
        <f>IF(INDEX(L_ID,ROW()-4)="","",IF(COUNTIF(P_ID,INDEX(L_ID,ROW()-4))&gt;0,1,0))</f>
        <v/>
      </c>
      <c r="B2670">
        <f>IF(INDEX(P_Type,ROW()-4)="","",TRIM(UPPER(INDEX(P_Type,ROW()-4))))</f>
        <v/>
      </c>
      <c r="D2670">
        <f>IF(INDEX(L_Type,ROW()-4)="","",TRIM(UPPER(INDEX(L_Type,ROW()-4))))</f>
        <v/>
      </c>
      <c r="E2670">
        <f>IF(INDEX(P_Status,ROW()-4)="","",TRIM(UPPER(INDEX(P_Status,ROW()-4))))</f>
        <v/>
      </c>
      <c r="G2670">
        <f>IF(INDEX(L_Status,ROW()-4)="","",TRIM(UPPER(INDEX(L_Status,ROW()-4))))</f>
        <v/>
      </c>
      <c r="J2670">
        <f>IF(INDEX(L_ID,ROW()-4)="","",IF(SUMPRODUCT((P_ID=INDEX(L_ID,ROW()-4))*(P_StatusN="INACTIVE"))&gt;0,1,0))</f>
        <v/>
      </c>
    </row>
    <row r="2671">
      <c r="A2671">
        <f>IF(INDEX(L_ID,ROW()-4)="","",IF(COUNTIF(P_ID,INDEX(L_ID,ROW()-4))&gt;0,1,0))</f>
        <v/>
      </c>
      <c r="B2671">
        <f>IF(INDEX(P_Type,ROW()-4)="","",TRIM(UPPER(INDEX(P_Type,ROW()-4))))</f>
        <v/>
      </c>
      <c r="D2671">
        <f>IF(INDEX(L_Type,ROW()-4)="","",TRIM(UPPER(INDEX(L_Type,ROW()-4))))</f>
        <v/>
      </c>
      <c r="E2671">
        <f>IF(INDEX(P_Status,ROW()-4)="","",TRIM(UPPER(INDEX(P_Status,ROW()-4))))</f>
        <v/>
      </c>
      <c r="G2671">
        <f>IF(INDEX(L_Status,ROW()-4)="","",TRIM(UPPER(INDEX(L_Status,ROW()-4))))</f>
        <v/>
      </c>
      <c r="J2671">
        <f>IF(INDEX(L_ID,ROW()-4)="","",IF(SUMPRODUCT((P_ID=INDEX(L_ID,ROW()-4))*(P_StatusN="INACTIVE"))&gt;0,1,0))</f>
        <v/>
      </c>
    </row>
    <row r="2672">
      <c r="A2672">
        <f>IF(INDEX(L_ID,ROW()-4)="","",IF(COUNTIF(P_ID,INDEX(L_ID,ROW()-4))&gt;0,1,0))</f>
        <v/>
      </c>
      <c r="B2672">
        <f>IF(INDEX(P_Type,ROW()-4)="","",TRIM(UPPER(INDEX(P_Type,ROW()-4))))</f>
        <v/>
      </c>
      <c r="D2672">
        <f>IF(INDEX(L_Type,ROW()-4)="","",TRIM(UPPER(INDEX(L_Type,ROW()-4))))</f>
        <v/>
      </c>
      <c r="E2672">
        <f>IF(INDEX(P_Status,ROW()-4)="","",TRIM(UPPER(INDEX(P_Status,ROW()-4))))</f>
        <v/>
      </c>
      <c r="G2672">
        <f>IF(INDEX(L_Status,ROW()-4)="","",TRIM(UPPER(INDEX(L_Status,ROW()-4))))</f>
        <v/>
      </c>
      <c r="J2672">
        <f>IF(INDEX(L_ID,ROW()-4)="","",IF(SUMPRODUCT((P_ID=INDEX(L_ID,ROW()-4))*(P_StatusN="INACTIVE"))&gt;0,1,0))</f>
        <v/>
      </c>
    </row>
    <row r="2673">
      <c r="A2673">
        <f>IF(INDEX(L_ID,ROW()-4)="","",IF(COUNTIF(P_ID,INDEX(L_ID,ROW()-4))&gt;0,1,0))</f>
        <v/>
      </c>
      <c r="B2673">
        <f>IF(INDEX(P_Type,ROW()-4)="","",TRIM(UPPER(INDEX(P_Type,ROW()-4))))</f>
        <v/>
      </c>
      <c r="D2673">
        <f>IF(INDEX(L_Type,ROW()-4)="","",TRIM(UPPER(INDEX(L_Type,ROW()-4))))</f>
        <v/>
      </c>
      <c r="E2673">
        <f>IF(INDEX(P_Status,ROW()-4)="","",TRIM(UPPER(INDEX(P_Status,ROW()-4))))</f>
        <v/>
      </c>
      <c r="G2673">
        <f>IF(INDEX(L_Status,ROW()-4)="","",TRIM(UPPER(INDEX(L_Status,ROW()-4))))</f>
        <v/>
      </c>
      <c r="J2673">
        <f>IF(INDEX(L_ID,ROW()-4)="","",IF(SUMPRODUCT((P_ID=INDEX(L_ID,ROW()-4))*(P_StatusN="INACTIVE"))&gt;0,1,0))</f>
        <v/>
      </c>
    </row>
    <row r="2674">
      <c r="A2674">
        <f>IF(INDEX(L_ID,ROW()-4)="","",IF(COUNTIF(P_ID,INDEX(L_ID,ROW()-4))&gt;0,1,0))</f>
        <v/>
      </c>
      <c r="B2674">
        <f>IF(INDEX(P_Type,ROW()-4)="","",TRIM(UPPER(INDEX(P_Type,ROW()-4))))</f>
        <v/>
      </c>
      <c r="D2674">
        <f>IF(INDEX(L_Type,ROW()-4)="","",TRIM(UPPER(INDEX(L_Type,ROW()-4))))</f>
        <v/>
      </c>
      <c r="E2674">
        <f>IF(INDEX(P_Status,ROW()-4)="","",TRIM(UPPER(INDEX(P_Status,ROW()-4))))</f>
        <v/>
      </c>
      <c r="G2674">
        <f>IF(INDEX(L_Status,ROW()-4)="","",TRIM(UPPER(INDEX(L_Status,ROW()-4))))</f>
        <v/>
      </c>
      <c r="J2674">
        <f>IF(INDEX(L_ID,ROW()-4)="","",IF(SUMPRODUCT((P_ID=INDEX(L_ID,ROW()-4))*(P_StatusN="INACTIVE"))&gt;0,1,0))</f>
        <v/>
      </c>
    </row>
    <row r="2675">
      <c r="A2675">
        <f>IF(INDEX(L_ID,ROW()-4)="","",IF(COUNTIF(P_ID,INDEX(L_ID,ROW()-4))&gt;0,1,0))</f>
        <v/>
      </c>
      <c r="B2675">
        <f>IF(INDEX(P_Type,ROW()-4)="","",TRIM(UPPER(INDEX(P_Type,ROW()-4))))</f>
        <v/>
      </c>
      <c r="D2675">
        <f>IF(INDEX(L_Type,ROW()-4)="","",TRIM(UPPER(INDEX(L_Type,ROW()-4))))</f>
        <v/>
      </c>
      <c r="E2675">
        <f>IF(INDEX(P_Status,ROW()-4)="","",TRIM(UPPER(INDEX(P_Status,ROW()-4))))</f>
        <v/>
      </c>
      <c r="G2675">
        <f>IF(INDEX(L_Status,ROW()-4)="","",TRIM(UPPER(INDEX(L_Status,ROW()-4))))</f>
        <v/>
      </c>
      <c r="J2675">
        <f>IF(INDEX(L_ID,ROW()-4)="","",IF(SUMPRODUCT((P_ID=INDEX(L_ID,ROW()-4))*(P_StatusN="INACTIVE"))&gt;0,1,0))</f>
        <v/>
      </c>
    </row>
    <row r="2676">
      <c r="A2676">
        <f>IF(INDEX(L_ID,ROW()-4)="","",IF(COUNTIF(P_ID,INDEX(L_ID,ROW()-4))&gt;0,1,0))</f>
        <v/>
      </c>
      <c r="B2676">
        <f>IF(INDEX(P_Type,ROW()-4)="","",TRIM(UPPER(INDEX(P_Type,ROW()-4))))</f>
        <v/>
      </c>
      <c r="D2676">
        <f>IF(INDEX(L_Type,ROW()-4)="","",TRIM(UPPER(INDEX(L_Type,ROW()-4))))</f>
        <v/>
      </c>
      <c r="E2676">
        <f>IF(INDEX(P_Status,ROW()-4)="","",TRIM(UPPER(INDEX(P_Status,ROW()-4))))</f>
        <v/>
      </c>
      <c r="G2676">
        <f>IF(INDEX(L_Status,ROW()-4)="","",TRIM(UPPER(INDEX(L_Status,ROW()-4))))</f>
        <v/>
      </c>
      <c r="J2676">
        <f>IF(INDEX(L_ID,ROW()-4)="","",IF(SUMPRODUCT((P_ID=INDEX(L_ID,ROW()-4))*(P_StatusN="INACTIVE"))&gt;0,1,0))</f>
        <v/>
      </c>
    </row>
    <row r="2677">
      <c r="A2677">
        <f>IF(INDEX(L_ID,ROW()-4)="","",IF(COUNTIF(P_ID,INDEX(L_ID,ROW()-4))&gt;0,1,0))</f>
        <v/>
      </c>
      <c r="B2677">
        <f>IF(INDEX(P_Type,ROW()-4)="","",TRIM(UPPER(INDEX(P_Type,ROW()-4))))</f>
        <v/>
      </c>
      <c r="D2677">
        <f>IF(INDEX(L_Type,ROW()-4)="","",TRIM(UPPER(INDEX(L_Type,ROW()-4))))</f>
        <v/>
      </c>
      <c r="E2677">
        <f>IF(INDEX(P_Status,ROW()-4)="","",TRIM(UPPER(INDEX(P_Status,ROW()-4))))</f>
        <v/>
      </c>
      <c r="G2677">
        <f>IF(INDEX(L_Status,ROW()-4)="","",TRIM(UPPER(INDEX(L_Status,ROW()-4))))</f>
        <v/>
      </c>
      <c r="J2677">
        <f>IF(INDEX(L_ID,ROW()-4)="","",IF(SUMPRODUCT((P_ID=INDEX(L_ID,ROW()-4))*(P_StatusN="INACTIVE"))&gt;0,1,0))</f>
        <v/>
      </c>
    </row>
    <row r="2678">
      <c r="A2678">
        <f>IF(INDEX(L_ID,ROW()-4)="","",IF(COUNTIF(P_ID,INDEX(L_ID,ROW()-4))&gt;0,1,0))</f>
        <v/>
      </c>
      <c r="B2678">
        <f>IF(INDEX(P_Type,ROW()-4)="","",TRIM(UPPER(INDEX(P_Type,ROW()-4))))</f>
        <v/>
      </c>
      <c r="D2678">
        <f>IF(INDEX(L_Type,ROW()-4)="","",TRIM(UPPER(INDEX(L_Type,ROW()-4))))</f>
        <v/>
      </c>
      <c r="E2678">
        <f>IF(INDEX(P_Status,ROW()-4)="","",TRIM(UPPER(INDEX(P_Status,ROW()-4))))</f>
        <v/>
      </c>
      <c r="G2678">
        <f>IF(INDEX(L_Status,ROW()-4)="","",TRIM(UPPER(INDEX(L_Status,ROW()-4))))</f>
        <v/>
      </c>
      <c r="J2678">
        <f>IF(INDEX(L_ID,ROW()-4)="","",IF(SUMPRODUCT((P_ID=INDEX(L_ID,ROW()-4))*(P_StatusN="INACTIVE"))&gt;0,1,0))</f>
        <v/>
      </c>
    </row>
    <row r="2679">
      <c r="A2679">
        <f>IF(INDEX(L_ID,ROW()-4)="","",IF(COUNTIF(P_ID,INDEX(L_ID,ROW()-4))&gt;0,1,0))</f>
        <v/>
      </c>
      <c r="B2679">
        <f>IF(INDEX(P_Type,ROW()-4)="","",TRIM(UPPER(INDEX(P_Type,ROW()-4))))</f>
        <v/>
      </c>
      <c r="D2679">
        <f>IF(INDEX(L_Type,ROW()-4)="","",TRIM(UPPER(INDEX(L_Type,ROW()-4))))</f>
        <v/>
      </c>
      <c r="E2679">
        <f>IF(INDEX(P_Status,ROW()-4)="","",TRIM(UPPER(INDEX(P_Status,ROW()-4))))</f>
        <v/>
      </c>
      <c r="G2679">
        <f>IF(INDEX(L_Status,ROW()-4)="","",TRIM(UPPER(INDEX(L_Status,ROW()-4))))</f>
        <v/>
      </c>
      <c r="J2679">
        <f>IF(INDEX(L_ID,ROW()-4)="","",IF(SUMPRODUCT((P_ID=INDEX(L_ID,ROW()-4))*(P_StatusN="INACTIVE"))&gt;0,1,0))</f>
        <v/>
      </c>
    </row>
    <row r="2680">
      <c r="A2680">
        <f>IF(INDEX(L_ID,ROW()-4)="","",IF(COUNTIF(P_ID,INDEX(L_ID,ROW()-4))&gt;0,1,0))</f>
        <v/>
      </c>
      <c r="B2680">
        <f>IF(INDEX(P_Type,ROW()-4)="","",TRIM(UPPER(INDEX(P_Type,ROW()-4))))</f>
        <v/>
      </c>
      <c r="D2680">
        <f>IF(INDEX(L_Type,ROW()-4)="","",TRIM(UPPER(INDEX(L_Type,ROW()-4))))</f>
        <v/>
      </c>
      <c r="E2680">
        <f>IF(INDEX(P_Status,ROW()-4)="","",TRIM(UPPER(INDEX(P_Status,ROW()-4))))</f>
        <v/>
      </c>
      <c r="G2680">
        <f>IF(INDEX(L_Status,ROW()-4)="","",TRIM(UPPER(INDEX(L_Status,ROW()-4))))</f>
        <v/>
      </c>
      <c r="J2680">
        <f>IF(INDEX(L_ID,ROW()-4)="","",IF(SUMPRODUCT((P_ID=INDEX(L_ID,ROW()-4))*(P_StatusN="INACTIVE"))&gt;0,1,0))</f>
        <v/>
      </c>
    </row>
    <row r="2681">
      <c r="A2681">
        <f>IF(INDEX(L_ID,ROW()-4)="","",IF(COUNTIF(P_ID,INDEX(L_ID,ROW()-4))&gt;0,1,0))</f>
        <v/>
      </c>
      <c r="B2681">
        <f>IF(INDEX(P_Type,ROW()-4)="","",TRIM(UPPER(INDEX(P_Type,ROW()-4))))</f>
        <v/>
      </c>
      <c r="D2681">
        <f>IF(INDEX(L_Type,ROW()-4)="","",TRIM(UPPER(INDEX(L_Type,ROW()-4))))</f>
        <v/>
      </c>
      <c r="E2681">
        <f>IF(INDEX(P_Status,ROW()-4)="","",TRIM(UPPER(INDEX(P_Status,ROW()-4))))</f>
        <v/>
      </c>
      <c r="G2681">
        <f>IF(INDEX(L_Status,ROW()-4)="","",TRIM(UPPER(INDEX(L_Status,ROW()-4))))</f>
        <v/>
      </c>
      <c r="J2681">
        <f>IF(INDEX(L_ID,ROW()-4)="","",IF(SUMPRODUCT((P_ID=INDEX(L_ID,ROW()-4))*(P_StatusN="INACTIVE"))&gt;0,1,0))</f>
        <v/>
      </c>
    </row>
    <row r="2682">
      <c r="A2682">
        <f>IF(INDEX(L_ID,ROW()-4)="","",IF(COUNTIF(P_ID,INDEX(L_ID,ROW()-4))&gt;0,1,0))</f>
        <v/>
      </c>
      <c r="B2682">
        <f>IF(INDEX(P_Type,ROW()-4)="","",TRIM(UPPER(INDEX(P_Type,ROW()-4))))</f>
        <v/>
      </c>
      <c r="D2682">
        <f>IF(INDEX(L_Type,ROW()-4)="","",TRIM(UPPER(INDEX(L_Type,ROW()-4))))</f>
        <v/>
      </c>
      <c r="E2682">
        <f>IF(INDEX(P_Status,ROW()-4)="","",TRIM(UPPER(INDEX(P_Status,ROW()-4))))</f>
        <v/>
      </c>
      <c r="G2682">
        <f>IF(INDEX(L_Status,ROW()-4)="","",TRIM(UPPER(INDEX(L_Status,ROW()-4))))</f>
        <v/>
      </c>
      <c r="J2682">
        <f>IF(INDEX(L_ID,ROW()-4)="","",IF(SUMPRODUCT((P_ID=INDEX(L_ID,ROW()-4))*(P_StatusN="INACTIVE"))&gt;0,1,0))</f>
        <v/>
      </c>
    </row>
    <row r="2683">
      <c r="A2683">
        <f>IF(INDEX(L_ID,ROW()-4)="","",IF(COUNTIF(P_ID,INDEX(L_ID,ROW()-4))&gt;0,1,0))</f>
        <v/>
      </c>
      <c r="B2683">
        <f>IF(INDEX(P_Type,ROW()-4)="","",TRIM(UPPER(INDEX(P_Type,ROW()-4))))</f>
        <v/>
      </c>
      <c r="D2683">
        <f>IF(INDEX(L_Type,ROW()-4)="","",TRIM(UPPER(INDEX(L_Type,ROW()-4))))</f>
        <v/>
      </c>
      <c r="E2683">
        <f>IF(INDEX(P_Status,ROW()-4)="","",TRIM(UPPER(INDEX(P_Status,ROW()-4))))</f>
        <v/>
      </c>
      <c r="G2683">
        <f>IF(INDEX(L_Status,ROW()-4)="","",TRIM(UPPER(INDEX(L_Status,ROW()-4))))</f>
        <v/>
      </c>
      <c r="J2683">
        <f>IF(INDEX(L_ID,ROW()-4)="","",IF(SUMPRODUCT((P_ID=INDEX(L_ID,ROW()-4))*(P_StatusN="INACTIVE"))&gt;0,1,0))</f>
        <v/>
      </c>
    </row>
    <row r="2684">
      <c r="A2684">
        <f>IF(INDEX(L_ID,ROW()-4)="","",IF(COUNTIF(P_ID,INDEX(L_ID,ROW()-4))&gt;0,1,0))</f>
        <v/>
      </c>
      <c r="B2684">
        <f>IF(INDEX(P_Type,ROW()-4)="","",TRIM(UPPER(INDEX(P_Type,ROW()-4))))</f>
        <v/>
      </c>
      <c r="D2684">
        <f>IF(INDEX(L_Type,ROW()-4)="","",TRIM(UPPER(INDEX(L_Type,ROW()-4))))</f>
        <v/>
      </c>
      <c r="E2684">
        <f>IF(INDEX(P_Status,ROW()-4)="","",TRIM(UPPER(INDEX(P_Status,ROW()-4))))</f>
        <v/>
      </c>
      <c r="G2684">
        <f>IF(INDEX(L_Status,ROW()-4)="","",TRIM(UPPER(INDEX(L_Status,ROW()-4))))</f>
        <v/>
      </c>
      <c r="J2684">
        <f>IF(INDEX(L_ID,ROW()-4)="","",IF(SUMPRODUCT((P_ID=INDEX(L_ID,ROW()-4))*(P_StatusN="INACTIVE"))&gt;0,1,0))</f>
        <v/>
      </c>
    </row>
    <row r="2685">
      <c r="A2685">
        <f>IF(INDEX(L_ID,ROW()-4)="","",IF(COUNTIF(P_ID,INDEX(L_ID,ROW()-4))&gt;0,1,0))</f>
        <v/>
      </c>
      <c r="B2685">
        <f>IF(INDEX(P_Type,ROW()-4)="","",TRIM(UPPER(INDEX(P_Type,ROW()-4))))</f>
        <v/>
      </c>
      <c r="D2685">
        <f>IF(INDEX(L_Type,ROW()-4)="","",TRIM(UPPER(INDEX(L_Type,ROW()-4))))</f>
        <v/>
      </c>
      <c r="E2685">
        <f>IF(INDEX(P_Status,ROW()-4)="","",TRIM(UPPER(INDEX(P_Status,ROW()-4))))</f>
        <v/>
      </c>
      <c r="G2685">
        <f>IF(INDEX(L_Status,ROW()-4)="","",TRIM(UPPER(INDEX(L_Status,ROW()-4))))</f>
        <v/>
      </c>
      <c r="J2685">
        <f>IF(INDEX(L_ID,ROW()-4)="","",IF(SUMPRODUCT((P_ID=INDEX(L_ID,ROW()-4))*(P_StatusN="INACTIVE"))&gt;0,1,0))</f>
        <v/>
      </c>
    </row>
    <row r="2686">
      <c r="A2686">
        <f>IF(INDEX(L_ID,ROW()-4)="","",IF(COUNTIF(P_ID,INDEX(L_ID,ROW()-4))&gt;0,1,0))</f>
        <v/>
      </c>
      <c r="B2686">
        <f>IF(INDEX(P_Type,ROW()-4)="","",TRIM(UPPER(INDEX(P_Type,ROW()-4))))</f>
        <v/>
      </c>
      <c r="D2686">
        <f>IF(INDEX(L_Type,ROW()-4)="","",TRIM(UPPER(INDEX(L_Type,ROW()-4))))</f>
        <v/>
      </c>
      <c r="E2686">
        <f>IF(INDEX(P_Status,ROW()-4)="","",TRIM(UPPER(INDEX(P_Status,ROW()-4))))</f>
        <v/>
      </c>
      <c r="G2686">
        <f>IF(INDEX(L_Status,ROW()-4)="","",TRIM(UPPER(INDEX(L_Status,ROW()-4))))</f>
        <v/>
      </c>
      <c r="J2686">
        <f>IF(INDEX(L_ID,ROW()-4)="","",IF(SUMPRODUCT((P_ID=INDEX(L_ID,ROW()-4))*(P_StatusN="INACTIVE"))&gt;0,1,0))</f>
        <v/>
      </c>
    </row>
    <row r="2687">
      <c r="A2687">
        <f>IF(INDEX(L_ID,ROW()-4)="","",IF(COUNTIF(P_ID,INDEX(L_ID,ROW()-4))&gt;0,1,0))</f>
        <v/>
      </c>
      <c r="B2687">
        <f>IF(INDEX(P_Type,ROW()-4)="","",TRIM(UPPER(INDEX(P_Type,ROW()-4))))</f>
        <v/>
      </c>
      <c r="D2687">
        <f>IF(INDEX(L_Type,ROW()-4)="","",TRIM(UPPER(INDEX(L_Type,ROW()-4))))</f>
        <v/>
      </c>
      <c r="E2687">
        <f>IF(INDEX(P_Status,ROW()-4)="","",TRIM(UPPER(INDEX(P_Status,ROW()-4))))</f>
        <v/>
      </c>
      <c r="G2687">
        <f>IF(INDEX(L_Status,ROW()-4)="","",TRIM(UPPER(INDEX(L_Status,ROW()-4))))</f>
        <v/>
      </c>
      <c r="J2687">
        <f>IF(INDEX(L_ID,ROW()-4)="","",IF(SUMPRODUCT((P_ID=INDEX(L_ID,ROW()-4))*(P_StatusN="INACTIVE"))&gt;0,1,0))</f>
        <v/>
      </c>
    </row>
    <row r="2688">
      <c r="A2688">
        <f>IF(INDEX(L_ID,ROW()-4)="","",IF(COUNTIF(P_ID,INDEX(L_ID,ROW()-4))&gt;0,1,0))</f>
        <v/>
      </c>
      <c r="B2688">
        <f>IF(INDEX(P_Type,ROW()-4)="","",TRIM(UPPER(INDEX(P_Type,ROW()-4))))</f>
        <v/>
      </c>
      <c r="D2688">
        <f>IF(INDEX(L_Type,ROW()-4)="","",TRIM(UPPER(INDEX(L_Type,ROW()-4))))</f>
        <v/>
      </c>
      <c r="E2688">
        <f>IF(INDEX(P_Status,ROW()-4)="","",TRIM(UPPER(INDEX(P_Status,ROW()-4))))</f>
        <v/>
      </c>
      <c r="G2688">
        <f>IF(INDEX(L_Status,ROW()-4)="","",TRIM(UPPER(INDEX(L_Status,ROW()-4))))</f>
        <v/>
      </c>
      <c r="J2688">
        <f>IF(INDEX(L_ID,ROW()-4)="","",IF(SUMPRODUCT((P_ID=INDEX(L_ID,ROW()-4))*(P_StatusN="INACTIVE"))&gt;0,1,0))</f>
        <v/>
      </c>
    </row>
    <row r="2689">
      <c r="A2689">
        <f>IF(INDEX(L_ID,ROW()-4)="","",IF(COUNTIF(P_ID,INDEX(L_ID,ROW()-4))&gt;0,1,0))</f>
        <v/>
      </c>
      <c r="B2689">
        <f>IF(INDEX(P_Type,ROW()-4)="","",TRIM(UPPER(INDEX(P_Type,ROW()-4))))</f>
        <v/>
      </c>
      <c r="D2689">
        <f>IF(INDEX(L_Type,ROW()-4)="","",TRIM(UPPER(INDEX(L_Type,ROW()-4))))</f>
        <v/>
      </c>
      <c r="E2689">
        <f>IF(INDEX(P_Status,ROW()-4)="","",TRIM(UPPER(INDEX(P_Status,ROW()-4))))</f>
        <v/>
      </c>
      <c r="G2689">
        <f>IF(INDEX(L_Status,ROW()-4)="","",TRIM(UPPER(INDEX(L_Status,ROW()-4))))</f>
        <v/>
      </c>
      <c r="J2689">
        <f>IF(INDEX(L_ID,ROW()-4)="","",IF(SUMPRODUCT((P_ID=INDEX(L_ID,ROW()-4))*(P_StatusN="INACTIVE"))&gt;0,1,0))</f>
        <v/>
      </c>
    </row>
    <row r="2690">
      <c r="A2690">
        <f>IF(INDEX(L_ID,ROW()-4)="","",IF(COUNTIF(P_ID,INDEX(L_ID,ROW()-4))&gt;0,1,0))</f>
        <v/>
      </c>
      <c r="B2690">
        <f>IF(INDEX(P_Type,ROW()-4)="","",TRIM(UPPER(INDEX(P_Type,ROW()-4))))</f>
        <v/>
      </c>
      <c r="D2690">
        <f>IF(INDEX(L_Type,ROW()-4)="","",TRIM(UPPER(INDEX(L_Type,ROW()-4))))</f>
        <v/>
      </c>
      <c r="E2690">
        <f>IF(INDEX(P_Status,ROW()-4)="","",TRIM(UPPER(INDEX(P_Status,ROW()-4))))</f>
        <v/>
      </c>
      <c r="G2690">
        <f>IF(INDEX(L_Status,ROW()-4)="","",TRIM(UPPER(INDEX(L_Status,ROW()-4))))</f>
        <v/>
      </c>
      <c r="J2690">
        <f>IF(INDEX(L_ID,ROW()-4)="","",IF(SUMPRODUCT((P_ID=INDEX(L_ID,ROW()-4))*(P_StatusN="INACTIVE"))&gt;0,1,0))</f>
        <v/>
      </c>
    </row>
    <row r="2691">
      <c r="A2691">
        <f>IF(INDEX(L_ID,ROW()-4)="","",IF(COUNTIF(P_ID,INDEX(L_ID,ROW()-4))&gt;0,1,0))</f>
        <v/>
      </c>
      <c r="B2691">
        <f>IF(INDEX(P_Type,ROW()-4)="","",TRIM(UPPER(INDEX(P_Type,ROW()-4))))</f>
        <v/>
      </c>
      <c r="D2691">
        <f>IF(INDEX(L_Type,ROW()-4)="","",TRIM(UPPER(INDEX(L_Type,ROW()-4))))</f>
        <v/>
      </c>
      <c r="E2691">
        <f>IF(INDEX(P_Status,ROW()-4)="","",TRIM(UPPER(INDEX(P_Status,ROW()-4))))</f>
        <v/>
      </c>
      <c r="G2691">
        <f>IF(INDEX(L_Status,ROW()-4)="","",TRIM(UPPER(INDEX(L_Status,ROW()-4))))</f>
        <v/>
      </c>
      <c r="J2691">
        <f>IF(INDEX(L_ID,ROW()-4)="","",IF(SUMPRODUCT((P_ID=INDEX(L_ID,ROW()-4))*(P_StatusN="INACTIVE"))&gt;0,1,0))</f>
        <v/>
      </c>
    </row>
    <row r="2692">
      <c r="A2692">
        <f>IF(INDEX(L_ID,ROW()-4)="","",IF(COUNTIF(P_ID,INDEX(L_ID,ROW()-4))&gt;0,1,0))</f>
        <v/>
      </c>
      <c r="B2692">
        <f>IF(INDEX(P_Type,ROW()-4)="","",TRIM(UPPER(INDEX(P_Type,ROW()-4))))</f>
        <v/>
      </c>
      <c r="D2692">
        <f>IF(INDEX(L_Type,ROW()-4)="","",TRIM(UPPER(INDEX(L_Type,ROW()-4))))</f>
        <v/>
      </c>
      <c r="E2692">
        <f>IF(INDEX(P_Status,ROW()-4)="","",TRIM(UPPER(INDEX(P_Status,ROW()-4))))</f>
        <v/>
      </c>
      <c r="G2692">
        <f>IF(INDEX(L_Status,ROW()-4)="","",TRIM(UPPER(INDEX(L_Status,ROW()-4))))</f>
        <v/>
      </c>
      <c r="J2692">
        <f>IF(INDEX(L_ID,ROW()-4)="","",IF(SUMPRODUCT((P_ID=INDEX(L_ID,ROW()-4))*(P_StatusN="INACTIVE"))&gt;0,1,0))</f>
        <v/>
      </c>
    </row>
    <row r="2693">
      <c r="A2693">
        <f>IF(INDEX(L_ID,ROW()-4)="","",IF(COUNTIF(P_ID,INDEX(L_ID,ROW()-4))&gt;0,1,0))</f>
        <v/>
      </c>
      <c r="B2693">
        <f>IF(INDEX(P_Type,ROW()-4)="","",TRIM(UPPER(INDEX(P_Type,ROW()-4))))</f>
        <v/>
      </c>
      <c r="D2693">
        <f>IF(INDEX(L_Type,ROW()-4)="","",TRIM(UPPER(INDEX(L_Type,ROW()-4))))</f>
        <v/>
      </c>
      <c r="E2693">
        <f>IF(INDEX(P_Status,ROW()-4)="","",TRIM(UPPER(INDEX(P_Status,ROW()-4))))</f>
        <v/>
      </c>
      <c r="G2693">
        <f>IF(INDEX(L_Status,ROW()-4)="","",TRIM(UPPER(INDEX(L_Status,ROW()-4))))</f>
        <v/>
      </c>
      <c r="J2693">
        <f>IF(INDEX(L_ID,ROW()-4)="","",IF(SUMPRODUCT((P_ID=INDEX(L_ID,ROW()-4))*(P_StatusN="INACTIVE"))&gt;0,1,0))</f>
        <v/>
      </c>
    </row>
    <row r="2694">
      <c r="A2694">
        <f>IF(INDEX(L_ID,ROW()-4)="","",IF(COUNTIF(P_ID,INDEX(L_ID,ROW()-4))&gt;0,1,0))</f>
        <v/>
      </c>
      <c r="B2694">
        <f>IF(INDEX(P_Type,ROW()-4)="","",TRIM(UPPER(INDEX(P_Type,ROW()-4))))</f>
        <v/>
      </c>
      <c r="D2694">
        <f>IF(INDEX(L_Type,ROW()-4)="","",TRIM(UPPER(INDEX(L_Type,ROW()-4))))</f>
        <v/>
      </c>
      <c r="E2694">
        <f>IF(INDEX(P_Status,ROW()-4)="","",TRIM(UPPER(INDEX(P_Status,ROW()-4))))</f>
        <v/>
      </c>
      <c r="G2694">
        <f>IF(INDEX(L_Status,ROW()-4)="","",TRIM(UPPER(INDEX(L_Status,ROW()-4))))</f>
        <v/>
      </c>
      <c r="J2694">
        <f>IF(INDEX(L_ID,ROW()-4)="","",IF(SUMPRODUCT((P_ID=INDEX(L_ID,ROW()-4))*(P_StatusN="INACTIVE"))&gt;0,1,0))</f>
        <v/>
      </c>
    </row>
    <row r="2695">
      <c r="A2695">
        <f>IF(INDEX(L_ID,ROW()-4)="","",IF(COUNTIF(P_ID,INDEX(L_ID,ROW()-4))&gt;0,1,0))</f>
        <v/>
      </c>
      <c r="B2695">
        <f>IF(INDEX(P_Type,ROW()-4)="","",TRIM(UPPER(INDEX(P_Type,ROW()-4))))</f>
        <v/>
      </c>
      <c r="D2695">
        <f>IF(INDEX(L_Type,ROW()-4)="","",TRIM(UPPER(INDEX(L_Type,ROW()-4))))</f>
        <v/>
      </c>
      <c r="E2695">
        <f>IF(INDEX(P_Status,ROW()-4)="","",TRIM(UPPER(INDEX(P_Status,ROW()-4))))</f>
        <v/>
      </c>
      <c r="G2695">
        <f>IF(INDEX(L_Status,ROW()-4)="","",TRIM(UPPER(INDEX(L_Status,ROW()-4))))</f>
        <v/>
      </c>
      <c r="J2695">
        <f>IF(INDEX(L_ID,ROW()-4)="","",IF(SUMPRODUCT((P_ID=INDEX(L_ID,ROW()-4))*(P_StatusN="INACTIVE"))&gt;0,1,0))</f>
        <v/>
      </c>
    </row>
    <row r="2696">
      <c r="A2696">
        <f>IF(INDEX(L_ID,ROW()-4)="","",IF(COUNTIF(P_ID,INDEX(L_ID,ROW()-4))&gt;0,1,0))</f>
        <v/>
      </c>
      <c r="B2696">
        <f>IF(INDEX(P_Type,ROW()-4)="","",TRIM(UPPER(INDEX(P_Type,ROW()-4))))</f>
        <v/>
      </c>
      <c r="D2696">
        <f>IF(INDEX(L_Type,ROW()-4)="","",TRIM(UPPER(INDEX(L_Type,ROW()-4))))</f>
        <v/>
      </c>
      <c r="E2696">
        <f>IF(INDEX(P_Status,ROW()-4)="","",TRIM(UPPER(INDEX(P_Status,ROW()-4))))</f>
        <v/>
      </c>
      <c r="G2696">
        <f>IF(INDEX(L_Status,ROW()-4)="","",TRIM(UPPER(INDEX(L_Status,ROW()-4))))</f>
        <v/>
      </c>
      <c r="J2696">
        <f>IF(INDEX(L_ID,ROW()-4)="","",IF(SUMPRODUCT((P_ID=INDEX(L_ID,ROW()-4))*(P_StatusN="INACTIVE"))&gt;0,1,0))</f>
        <v/>
      </c>
    </row>
    <row r="2697">
      <c r="A2697">
        <f>IF(INDEX(L_ID,ROW()-4)="","",IF(COUNTIF(P_ID,INDEX(L_ID,ROW()-4))&gt;0,1,0))</f>
        <v/>
      </c>
      <c r="B2697">
        <f>IF(INDEX(P_Type,ROW()-4)="","",TRIM(UPPER(INDEX(P_Type,ROW()-4))))</f>
        <v/>
      </c>
      <c r="D2697">
        <f>IF(INDEX(L_Type,ROW()-4)="","",TRIM(UPPER(INDEX(L_Type,ROW()-4))))</f>
        <v/>
      </c>
      <c r="E2697">
        <f>IF(INDEX(P_Status,ROW()-4)="","",TRIM(UPPER(INDEX(P_Status,ROW()-4))))</f>
        <v/>
      </c>
      <c r="G2697">
        <f>IF(INDEX(L_Status,ROW()-4)="","",TRIM(UPPER(INDEX(L_Status,ROW()-4))))</f>
        <v/>
      </c>
      <c r="J2697">
        <f>IF(INDEX(L_ID,ROW()-4)="","",IF(SUMPRODUCT((P_ID=INDEX(L_ID,ROW()-4))*(P_StatusN="INACTIVE"))&gt;0,1,0))</f>
        <v/>
      </c>
    </row>
    <row r="2698">
      <c r="A2698">
        <f>IF(INDEX(L_ID,ROW()-4)="","",IF(COUNTIF(P_ID,INDEX(L_ID,ROW()-4))&gt;0,1,0))</f>
        <v/>
      </c>
      <c r="B2698">
        <f>IF(INDEX(P_Type,ROW()-4)="","",TRIM(UPPER(INDEX(P_Type,ROW()-4))))</f>
        <v/>
      </c>
      <c r="D2698">
        <f>IF(INDEX(L_Type,ROW()-4)="","",TRIM(UPPER(INDEX(L_Type,ROW()-4))))</f>
        <v/>
      </c>
      <c r="E2698">
        <f>IF(INDEX(P_Status,ROW()-4)="","",TRIM(UPPER(INDEX(P_Status,ROW()-4))))</f>
        <v/>
      </c>
      <c r="G2698">
        <f>IF(INDEX(L_Status,ROW()-4)="","",TRIM(UPPER(INDEX(L_Status,ROW()-4))))</f>
        <v/>
      </c>
      <c r="J2698">
        <f>IF(INDEX(L_ID,ROW()-4)="","",IF(SUMPRODUCT((P_ID=INDEX(L_ID,ROW()-4))*(P_StatusN="INACTIVE"))&gt;0,1,0))</f>
        <v/>
      </c>
    </row>
    <row r="2699">
      <c r="A2699">
        <f>IF(INDEX(L_ID,ROW()-4)="","",IF(COUNTIF(P_ID,INDEX(L_ID,ROW()-4))&gt;0,1,0))</f>
        <v/>
      </c>
      <c r="B2699">
        <f>IF(INDEX(P_Type,ROW()-4)="","",TRIM(UPPER(INDEX(P_Type,ROW()-4))))</f>
        <v/>
      </c>
      <c r="D2699">
        <f>IF(INDEX(L_Type,ROW()-4)="","",TRIM(UPPER(INDEX(L_Type,ROW()-4))))</f>
        <v/>
      </c>
      <c r="E2699">
        <f>IF(INDEX(P_Status,ROW()-4)="","",TRIM(UPPER(INDEX(P_Status,ROW()-4))))</f>
        <v/>
      </c>
      <c r="G2699">
        <f>IF(INDEX(L_Status,ROW()-4)="","",TRIM(UPPER(INDEX(L_Status,ROW()-4))))</f>
        <v/>
      </c>
      <c r="J2699">
        <f>IF(INDEX(L_ID,ROW()-4)="","",IF(SUMPRODUCT((P_ID=INDEX(L_ID,ROW()-4))*(P_StatusN="INACTIVE"))&gt;0,1,0))</f>
        <v/>
      </c>
    </row>
    <row r="2700">
      <c r="A2700">
        <f>IF(INDEX(L_ID,ROW()-4)="","",IF(COUNTIF(P_ID,INDEX(L_ID,ROW()-4))&gt;0,1,0))</f>
        <v/>
      </c>
      <c r="B2700">
        <f>IF(INDEX(P_Type,ROW()-4)="","",TRIM(UPPER(INDEX(P_Type,ROW()-4))))</f>
        <v/>
      </c>
      <c r="D2700">
        <f>IF(INDEX(L_Type,ROW()-4)="","",TRIM(UPPER(INDEX(L_Type,ROW()-4))))</f>
        <v/>
      </c>
      <c r="E2700">
        <f>IF(INDEX(P_Status,ROW()-4)="","",TRIM(UPPER(INDEX(P_Status,ROW()-4))))</f>
        <v/>
      </c>
      <c r="G2700">
        <f>IF(INDEX(L_Status,ROW()-4)="","",TRIM(UPPER(INDEX(L_Status,ROW()-4))))</f>
        <v/>
      </c>
      <c r="J2700">
        <f>IF(INDEX(L_ID,ROW()-4)="","",IF(SUMPRODUCT((P_ID=INDEX(L_ID,ROW()-4))*(P_StatusN="INACTIVE"))&gt;0,1,0))</f>
        <v/>
      </c>
    </row>
    <row r="2701">
      <c r="A2701">
        <f>IF(INDEX(L_ID,ROW()-4)="","",IF(COUNTIF(P_ID,INDEX(L_ID,ROW()-4))&gt;0,1,0))</f>
        <v/>
      </c>
      <c r="B2701">
        <f>IF(INDEX(P_Type,ROW()-4)="","",TRIM(UPPER(INDEX(P_Type,ROW()-4))))</f>
        <v/>
      </c>
      <c r="D2701">
        <f>IF(INDEX(L_Type,ROW()-4)="","",TRIM(UPPER(INDEX(L_Type,ROW()-4))))</f>
        <v/>
      </c>
      <c r="E2701">
        <f>IF(INDEX(P_Status,ROW()-4)="","",TRIM(UPPER(INDEX(P_Status,ROW()-4))))</f>
        <v/>
      </c>
      <c r="G2701">
        <f>IF(INDEX(L_Status,ROW()-4)="","",TRIM(UPPER(INDEX(L_Status,ROW()-4))))</f>
        <v/>
      </c>
      <c r="J2701">
        <f>IF(INDEX(L_ID,ROW()-4)="","",IF(SUMPRODUCT((P_ID=INDEX(L_ID,ROW()-4))*(P_StatusN="INACTIVE"))&gt;0,1,0))</f>
        <v/>
      </c>
    </row>
    <row r="2702">
      <c r="A2702">
        <f>IF(INDEX(L_ID,ROW()-4)="","",IF(COUNTIF(P_ID,INDEX(L_ID,ROW()-4))&gt;0,1,0))</f>
        <v/>
      </c>
      <c r="B2702">
        <f>IF(INDEX(P_Type,ROW()-4)="","",TRIM(UPPER(INDEX(P_Type,ROW()-4))))</f>
        <v/>
      </c>
      <c r="D2702">
        <f>IF(INDEX(L_Type,ROW()-4)="","",TRIM(UPPER(INDEX(L_Type,ROW()-4))))</f>
        <v/>
      </c>
      <c r="E2702">
        <f>IF(INDEX(P_Status,ROW()-4)="","",TRIM(UPPER(INDEX(P_Status,ROW()-4))))</f>
        <v/>
      </c>
      <c r="G2702">
        <f>IF(INDEX(L_Status,ROW()-4)="","",TRIM(UPPER(INDEX(L_Status,ROW()-4))))</f>
        <v/>
      </c>
      <c r="J2702">
        <f>IF(INDEX(L_ID,ROW()-4)="","",IF(SUMPRODUCT((P_ID=INDEX(L_ID,ROW()-4))*(P_StatusN="INACTIVE"))&gt;0,1,0))</f>
        <v/>
      </c>
    </row>
    <row r="2703">
      <c r="A2703">
        <f>IF(INDEX(L_ID,ROW()-4)="","",IF(COUNTIF(P_ID,INDEX(L_ID,ROW()-4))&gt;0,1,0))</f>
        <v/>
      </c>
      <c r="B2703">
        <f>IF(INDEX(P_Type,ROW()-4)="","",TRIM(UPPER(INDEX(P_Type,ROW()-4))))</f>
        <v/>
      </c>
      <c r="D2703">
        <f>IF(INDEX(L_Type,ROW()-4)="","",TRIM(UPPER(INDEX(L_Type,ROW()-4))))</f>
        <v/>
      </c>
      <c r="E2703">
        <f>IF(INDEX(P_Status,ROW()-4)="","",TRIM(UPPER(INDEX(P_Status,ROW()-4))))</f>
        <v/>
      </c>
      <c r="G2703">
        <f>IF(INDEX(L_Status,ROW()-4)="","",TRIM(UPPER(INDEX(L_Status,ROW()-4))))</f>
        <v/>
      </c>
      <c r="J2703">
        <f>IF(INDEX(L_ID,ROW()-4)="","",IF(SUMPRODUCT((P_ID=INDEX(L_ID,ROW()-4))*(P_StatusN="INACTIVE"))&gt;0,1,0))</f>
        <v/>
      </c>
    </row>
    <row r="2704">
      <c r="A2704">
        <f>IF(INDEX(L_ID,ROW()-4)="","",IF(COUNTIF(P_ID,INDEX(L_ID,ROW()-4))&gt;0,1,0))</f>
        <v/>
      </c>
      <c r="B2704">
        <f>IF(INDEX(P_Type,ROW()-4)="","",TRIM(UPPER(INDEX(P_Type,ROW()-4))))</f>
        <v/>
      </c>
      <c r="D2704">
        <f>IF(INDEX(L_Type,ROW()-4)="","",TRIM(UPPER(INDEX(L_Type,ROW()-4))))</f>
        <v/>
      </c>
      <c r="E2704">
        <f>IF(INDEX(P_Status,ROW()-4)="","",TRIM(UPPER(INDEX(P_Status,ROW()-4))))</f>
        <v/>
      </c>
      <c r="G2704">
        <f>IF(INDEX(L_Status,ROW()-4)="","",TRIM(UPPER(INDEX(L_Status,ROW()-4))))</f>
        <v/>
      </c>
      <c r="J2704">
        <f>IF(INDEX(L_ID,ROW()-4)="","",IF(SUMPRODUCT((P_ID=INDEX(L_ID,ROW()-4))*(P_StatusN="INACTIVE"))&gt;0,1,0))</f>
        <v/>
      </c>
    </row>
    <row r="2705">
      <c r="A2705">
        <f>IF(INDEX(L_ID,ROW()-4)="","",IF(COUNTIF(P_ID,INDEX(L_ID,ROW()-4))&gt;0,1,0))</f>
        <v/>
      </c>
      <c r="B2705">
        <f>IF(INDEX(P_Type,ROW()-4)="","",TRIM(UPPER(INDEX(P_Type,ROW()-4))))</f>
        <v/>
      </c>
      <c r="D2705">
        <f>IF(INDEX(L_Type,ROW()-4)="","",TRIM(UPPER(INDEX(L_Type,ROW()-4))))</f>
        <v/>
      </c>
      <c r="E2705">
        <f>IF(INDEX(P_Status,ROW()-4)="","",TRIM(UPPER(INDEX(P_Status,ROW()-4))))</f>
        <v/>
      </c>
      <c r="G2705">
        <f>IF(INDEX(L_Status,ROW()-4)="","",TRIM(UPPER(INDEX(L_Status,ROW()-4))))</f>
        <v/>
      </c>
      <c r="J2705">
        <f>IF(INDEX(L_ID,ROW()-4)="","",IF(SUMPRODUCT((P_ID=INDEX(L_ID,ROW()-4))*(P_StatusN="INACTIVE"))&gt;0,1,0))</f>
        <v/>
      </c>
    </row>
    <row r="2706">
      <c r="A2706">
        <f>IF(INDEX(L_ID,ROW()-4)="","",IF(COUNTIF(P_ID,INDEX(L_ID,ROW()-4))&gt;0,1,0))</f>
        <v/>
      </c>
      <c r="B2706">
        <f>IF(INDEX(P_Type,ROW()-4)="","",TRIM(UPPER(INDEX(P_Type,ROW()-4))))</f>
        <v/>
      </c>
      <c r="D2706">
        <f>IF(INDEX(L_Type,ROW()-4)="","",TRIM(UPPER(INDEX(L_Type,ROW()-4))))</f>
        <v/>
      </c>
      <c r="E2706">
        <f>IF(INDEX(P_Status,ROW()-4)="","",TRIM(UPPER(INDEX(P_Status,ROW()-4))))</f>
        <v/>
      </c>
      <c r="G2706">
        <f>IF(INDEX(L_Status,ROW()-4)="","",TRIM(UPPER(INDEX(L_Status,ROW()-4))))</f>
        <v/>
      </c>
      <c r="J2706">
        <f>IF(INDEX(L_ID,ROW()-4)="","",IF(SUMPRODUCT((P_ID=INDEX(L_ID,ROW()-4))*(P_StatusN="INACTIVE"))&gt;0,1,0))</f>
        <v/>
      </c>
    </row>
    <row r="2707">
      <c r="A2707">
        <f>IF(INDEX(L_ID,ROW()-4)="","",IF(COUNTIF(P_ID,INDEX(L_ID,ROW()-4))&gt;0,1,0))</f>
        <v/>
      </c>
      <c r="B2707">
        <f>IF(INDEX(P_Type,ROW()-4)="","",TRIM(UPPER(INDEX(P_Type,ROW()-4))))</f>
        <v/>
      </c>
      <c r="D2707">
        <f>IF(INDEX(L_Type,ROW()-4)="","",TRIM(UPPER(INDEX(L_Type,ROW()-4))))</f>
        <v/>
      </c>
      <c r="E2707">
        <f>IF(INDEX(P_Status,ROW()-4)="","",TRIM(UPPER(INDEX(P_Status,ROW()-4))))</f>
        <v/>
      </c>
      <c r="G2707">
        <f>IF(INDEX(L_Status,ROW()-4)="","",TRIM(UPPER(INDEX(L_Status,ROW()-4))))</f>
        <v/>
      </c>
      <c r="J2707">
        <f>IF(INDEX(L_ID,ROW()-4)="","",IF(SUMPRODUCT((P_ID=INDEX(L_ID,ROW()-4))*(P_StatusN="INACTIVE"))&gt;0,1,0))</f>
        <v/>
      </c>
    </row>
    <row r="2708">
      <c r="A2708">
        <f>IF(INDEX(L_ID,ROW()-4)="","",IF(COUNTIF(P_ID,INDEX(L_ID,ROW()-4))&gt;0,1,0))</f>
        <v/>
      </c>
      <c r="B2708">
        <f>IF(INDEX(P_Type,ROW()-4)="","",TRIM(UPPER(INDEX(P_Type,ROW()-4))))</f>
        <v/>
      </c>
      <c r="D2708">
        <f>IF(INDEX(L_Type,ROW()-4)="","",TRIM(UPPER(INDEX(L_Type,ROW()-4))))</f>
        <v/>
      </c>
      <c r="E2708">
        <f>IF(INDEX(P_Status,ROW()-4)="","",TRIM(UPPER(INDEX(P_Status,ROW()-4))))</f>
        <v/>
      </c>
      <c r="G2708">
        <f>IF(INDEX(L_Status,ROW()-4)="","",TRIM(UPPER(INDEX(L_Status,ROW()-4))))</f>
        <v/>
      </c>
      <c r="J2708">
        <f>IF(INDEX(L_ID,ROW()-4)="","",IF(SUMPRODUCT((P_ID=INDEX(L_ID,ROW()-4))*(P_StatusN="INACTIVE"))&gt;0,1,0))</f>
        <v/>
      </c>
    </row>
    <row r="2709">
      <c r="A2709">
        <f>IF(INDEX(L_ID,ROW()-4)="","",IF(COUNTIF(P_ID,INDEX(L_ID,ROW()-4))&gt;0,1,0))</f>
        <v/>
      </c>
      <c r="B2709">
        <f>IF(INDEX(P_Type,ROW()-4)="","",TRIM(UPPER(INDEX(P_Type,ROW()-4))))</f>
        <v/>
      </c>
      <c r="D2709">
        <f>IF(INDEX(L_Type,ROW()-4)="","",TRIM(UPPER(INDEX(L_Type,ROW()-4))))</f>
        <v/>
      </c>
      <c r="E2709">
        <f>IF(INDEX(P_Status,ROW()-4)="","",TRIM(UPPER(INDEX(P_Status,ROW()-4))))</f>
        <v/>
      </c>
      <c r="G2709">
        <f>IF(INDEX(L_Status,ROW()-4)="","",TRIM(UPPER(INDEX(L_Status,ROW()-4))))</f>
        <v/>
      </c>
      <c r="J2709">
        <f>IF(INDEX(L_ID,ROW()-4)="","",IF(SUMPRODUCT((P_ID=INDEX(L_ID,ROW()-4))*(P_StatusN="INACTIVE"))&gt;0,1,0))</f>
        <v/>
      </c>
    </row>
    <row r="2710">
      <c r="A2710">
        <f>IF(INDEX(L_ID,ROW()-4)="","",IF(COUNTIF(P_ID,INDEX(L_ID,ROW()-4))&gt;0,1,0))</f>
        <v/>
      </c>
      <c r="B2710">
        <f>IF(INDEX(P_Type,ROW()-4)="","",TRIM(UPPER(INDEX(P_Type,ROW()-4))))</f>
        <v/>
      </c>
      <c r="D2710">
        <f>IF(INDEX(L_Type,ROW()-4)="","",TRIM(UPPER(INDEX(L_Type,ROW()-4))))</f>
        <v/>
      </c>
      <c r="E2710">
        <f>IF(INDEX(P_Status,ROW()-4)="","",TRIM(UPPER(INDEX(P_Status,ROW()-4))))</f>
        <v/>
      </c>
      <c r="G2710">
        <f>IF(INDEX(L_Status,ROW()-4)="","",TRIM(UPPER(INDEX(L_Status,ROW()-4))))</f>
        <v/>
      </c>
      <c r="J2710">
        <f>IF(INDEX(L_ID,ROW()-4)="","",IF(SUMPRODUCT((P_ID=INDEX(L_ID,ROW()-4))*(P_StatusN="INACTIVE"))&gt;0,1,0))</f>
        <v/>
      </c>
    </row>
    <row r="2711">
      <c r="A2711">
        <f>IF(INDEX(L_ID,ROW()-4)="","",IF(COUNTIF(P_ID,INDEX(L_ID,ROW()-4))&gt;0,1,0))</f>
        <v/>
      </c>
      <c r="B2711">
        <f>IF(INDEX(P_Type,ROW()-4)="","",TRIM(UPPER(INDEX(P_Type,ROW()-4))))</f>
        <v/>
      </c>
      <c r="D2711">
        <f>IF(INDEX(L_Type,ROW()-4)="","",TRIM(UPPER(INDEX(L_Type,ROW()-4))))</f>
        <v/>
      </c>
      <c r="E2711">
        <f>IF(INDEX(P_Status,ROW()-4)="","",TRIM(UPPER(INDEX(P_Status,ROW()-4))))</f>
        <v/>
      </c>
      <c r="G2711">
        <f>IF(INDEX(L_Status,ROW()-4)="","",TRIM(UPPER(INDEX(L_Status,ROW()-4))))</f>
        <v/>
      </c>
      <c r="J2711">
        <f>IF(INDEX(L_ID,ROW()-4)="","",IF(SUMPRODUCT((P_ID=INDEX(L_ID,ROW()-4))*(P_StatusN="INACTIVE"))&gt;0,1,0))</f>
        <v/>
      </c>
    </row>
    <row r="2712">
      <c r="A2712">
        <f>IF(INDEX(L_ID,ROW()-4)="","",IF(COUNTIF(P_ID,INDEX(L_ID,ROW()-4))&gt;0,1,0))</f>
        <v/>
      </c>
      <c r="B2712">
        <f>IF(INDEX(P_Type,ROW()-4)="","",TRIM(UPPER(INDEX(P_Type,ROW()-4))))</f>
        <v/>
      </c>
      <c r="D2712">
        <f>IF(INDEX(L_Type,ROW()-4)="","",TRIM(UPPER(INDEX(L_Type,ROW()-4))))</f>
        <v/>
      </c>
      <c r="E2712">
        <f>IF(INDEX(P_Status,ROW()-4)="","",TRIM(UPPER(INDEX(P_Status,ROW()-4))))</f>
        <v/>
      </c>
      <c r="G2712">
        <f>IF(INDEX(L_Status,ROW()-4)="","",TRIM(UPPER(INDEX(L_Status,ROW()-4))))</f>
        <v/>
      </c>
      <c r="J2712">
        <f>IF(INDEX(L_ID,ROW()-4)="","",IF(SUMPRODUCT((P_ID=INDEX(L_ID,ROW()-4))*(P_StatusN="INACTIVE"))&gt;0,1,0))</f>
        <v/>
      </c>
    </row>
    <row r="2713">
      <c r="A2713">
        <f>IF(INDEX(L_ID,ROW()-4)="","",IF(COUNTIF(P_ID,INDEX(L_ID,ROW()-4))&gt;0,1,0))</f>
        <v/>
      </c>
      <c r="B2713">
        <f>IF(INDEX(P_Type,ROW()-4)="","",TRIM(UPPER(INDEX(P_Type,ROW()-4))))</f>
        <v/>
      </c>
      <c r="D2713">
        <f>IF(INDEX(L_Type,ROW()-4)="","",TRIM(UPPER(INDEX(L_Type,ROW()-4))))</f>
        <v/>
      </c>
      <c r="E2713">
        <f>IF(INDEX(P_Status,ROW()-4)="","",TRIM(UPPER(INDEX(P_Status,ROW()-4))))</f>
        <v/>
      </c>
      <c r="G2713">
        <f>IF(INDEX(L_Status,ROW()-4)="","",TRIM(UPPER(INDEX(L_Status,ROW()-4))))</f>
        <v/>
      </c>
      <c r="J2713">
        <f>IF(INDEX(L_ID,ROW()-4)="","",IF(SUMPRODUCT((P_ID=INDEX(L_ID,ROW()-4))*(P_StatusN="INACTIVE"))&gt;0,1,0))</f>
        <v/>
      </c>
    </row>
    <row r="2714">
      <c r="A2714">
        <f>IF(INDEX(L_ID,ROW()-4)="","",IF(COUNTIF(P_ID,INDEX(L_ID,ROW()-4))&gt;0,1,0))</f>
        <v/>
      </c>
      <c r="B2714">
        <f>IF(INDEX(P_Type,ROW()-4)="","",TRIM(UPPER(INDEX(P_Type,ROW()-4))))</f>
        <v/>
      </c>
      <c r="D2714">
        <f>IF(INDEX(L_Type,ROW()-4)="","",TRIM(UPPER(INDEX(L_Type,ROW()-4))))</f>
        <v/>
      </c>
      <c r="E2714">
        <f>IF(INDEX(P_Status,ROW()-4)="","",TRIM(UPPER(INDEX(P_Status,ROW()-4))))</f>
        <v/>
      </c>
      <c r="G2714">
        <f>IF(INDEX(L_Status,ROW()-4)="","",TRIM(UPPER(INDEX(L_Status,ROW()-4))))</f>
        <v/>
      </c>
      <c r="J2714">
        <f>IF(INDEX(L_ID,ROW()-4)="","",IF(SUMPRODUCT((P_ID=INDEX(L_ID,ROW()-4))*(P_StatusN="INACTIVE"))&gt;0,1,0))</f>
        <v/>
      </c>
    </row>
    <row r="2715">
      <c r="A2715">
        <f>IF(INDEX(L_ID,ROW()-4)="","",IF(COUNTIF(P_ID,INDEX(L_ID,ROW()-4))&gt;0,1,0))</f>
        <v/>
      </c>
      <c r="B2715">
        <f>IF(INDEX(P_Type,ROW()-4)="","",TRIM(UPPER(INDEX(P_Type,ROW()-4))))</f>
        <v/>
      </c>
      <c r="D2715">
        <f>IF(INDEX(L_Type,ROW()-4)="","",TRIM(UPPER(INDEX(L_Type,ROW()-4))))</f>
        <v/>
      </c>
      <c r="E2715">
        <f>IF(INDEX(P_Status,ROW()-4)="","",TRIM(UPPER(INDEX(P_Status,ROW()-4))))</f>
        <v/>
      </c>
      <c r="G2715">
        <f>IF(INDEX(L_Status,ROW()-4)="","",TRIM(UPPER(INDEX(L_Status,ROW()-4))))</f>
        <v/>
      </c>
      <c r="J2715">
        <f>IF(INDEX(L_ID,ROW()-4)="","",IF(SUMPRODUCT((P_ID=INDEX(L_ID,ROW()-4))*(P_StatusN="INACTIVE"))&gt;0,1,0))</f>
        <v/>
      </c>
    </row>
    <row r="2716">
      <c r="A2716">
        <f>IF(INDEX(L_ID,ROW()-4)="","",IF(COUNTIF(P_ID,INDEX(L_ID,ROW()-4))&gt;0,1,0))</f>
        <v/>
      </c>
      <c r="B2716">
        <f>IF(INDEX(P_Type,ROW()-4)="","",TRIM(UPPER(INDEX(P_Type,ROW()-4))))</f>
        <v/>
      </c>
      <c r="D2716">
        <f>IF(INDEX(L_Type,ROW()-4)="","",TRIM(UPPER(INDEX(L_Type,ROW()-4))))</f>
        <v/>
      </c>
      <c r="E2716">
        <f>IF(INDEX(P_Status,ROW()-4)="","",TRIM(UPPER(INDEX(P_Status,ROW()-4))))</f>
        <v/>
      </c>
      <c r="G2716">
        <f>IF(INDEX(L_Status,ROW()-4)="","",TRIM(UPPER(INDEX(L_Status,ROW()-4))))</f>
        <v/>
      </c>
      <c r="J2716">
        <f>IF(INDEX(L_ID,ROW()-4)="","",IF(SUMPRODUCT((P_ID=INDEX(L_ID,ROW()-4))*(P_StatusN="INACTIVE"))&gt;0,1,0))</f>
        <v/>
      </c>
    </row>
    <row r="2717">
      <c r="A2717">
        <f>IF(INDEX(L_ID,ROW()-4)="","",IF(COUNTIF(P_ID,INDEX(L_ID,ROW()-4))&gt;0,1,0))</f>
        <v/>
      </c>
      <c r="B2717">
        <f>IF(INDEX(P_Type,ROW()-4)="","",TRIM(UPPER(INDEX(P_Type,ROW()-4))))</f>
        <v/>
      </c>
      <c r="D2717">
        <f>IF(INDEX(L_Type,ROW()-4)="","",TRIM(UPPER(INDEX(L_Type,ROW()-4))))</f>
        <v/>
      </c>
      <c r="E2717">
        <f>IF(INDEX(P_Status,ROW()-4)="","",TRIM(UPPER(INDEX(P_Status,ROW()-4))))</f>
        <v/>
      </c>
      <c r="G2717">
        <f>IF(INDEX(L_Status,ROW()-4)="","",TRIM(UPPER(INDEX(L_Status,ROW()-4))))</f>
        <v/>
      </c>
      <c r="J2717">
        <f>IF(INDEX(L_ID,ROW()-4)="","",IF(SUMPRODUCT((P_ID=INDEX(L_ID,ROW()-4))*(P_StatusN="INACTIVE"))&gt;0,1,0))</f>
        <v/>
      </c>
    </row>
    <row r="2718">
      <c r="A2718">
        <f>IF(INDEX(L_ID,ROW()-4)="","",IF(COUNTIF(P_ID,INDEX(L_ID,ROW()-4))&gt;0,1,0))</f>
        <v/>
      </c>
      <c r="B2718">
        <f>IF(INDEX(P_Type,ROW()-4)="","",TRIM(UPPER(INDEX(P_Type,ROW()-4))))</f>
        <v/>
      </c>
      <c r="D2718">
        <f>IF(INDEX(L_Type,ROW()-4)="","",TRIM(UPPER(INDEX(L_Type,ROW()-4))))</f>
        <v/>
      </c>
      <c r="E2718">
        <f>IF(INDEX(P_Status,ROW()-4)="","",TRIM(UPPER(INDEX(P_Status,ROW()-4))))</f>
        <v/>
      </c>
      <c r="G2718">
        <f>IF(INDEX(L_Status,ROW()-4)="","",TRIM(UPPER(INDEX(L_Status,ROW()-4))))</f>
        <v/>
      </c>
      <c r="J2718">
        <f>IF(INDEX(L_ID,ROW()-4)="","",IF(SUMPRODUCT((P_ID=INDEX(L_ID,ROW()-4))*(P_StatusN="INACTIVE"))&gt;0,1,0))</f>
        <v/>
      </c>
    </row>
    <row r="2719">
      <c r="A2719">
        <f>IF(INDEX(L_ID,ROW()-4)="","",IF(COUNTIF(P_ID,INDEX(L_ID,ROW()-4))&gt;0,1,0))</f>
        <v/>
      </c>
      <c r="B2719">
        <f>IF(INDEX(P_Type,ROW()-4)="","",TRIM(UPPER(INDEX(P_Type,ROW()-4))))</f>
        <v/>
      </c>
      <c r="D2719">
        <f>IF(INDEX(L_Type,ROW()-4)="","",TRIM(UPPER(INDEX(L_Type,ROW()-4))))</f>
        <v/>
      </c>
      <c r="E2719">
        <f>IF(INDEX(P_Status,ROW()-4)="","",TRIM(UPPER(INDEX(P_Status,ROW()-4))))</f>
        <v/>
      </c>
      <c r="G2719">
        <f>IF(INDEX(L_Status,ROW()-4)="","",TRIM(UPPER(INDEX(L_Status,ROW()-4))))</f>
        <v/>
      </c>
      <c r="J2719">
        <f>IF(INDEX(L_ID,ROW()-4)="","",IF(SUMPRODUCT((P_ID=INDEX(L_ID,ROW()-4))*(P_StatusN="INACTIVE"))&gt;0,1,0))</f>
        <v/>
      </c>
    </row>
    <row r="2720">
      <c r="A2720">
        <f>IF(INDEX(L_ID,ROW()-4)="","",IF(COUNTIF(P_ID,INDEX(L_ID,ROW()-4))&gt;0,1,0))</f>
        <v/>
      </c>
      <c r="B2720">
        <f>IF(INDEX(P_Type,ROW()-4)="","",TRIM(UPPER(INDEX(P_Type,ROW()-4))))</f>
        <v/>
      </c>
      <c r="D2720">
        <f>IF(INDEX(L_Type,ROW()-4)="","",TRIM(UPPER(INDEX(L_Type,ROW()-4))))</f>
        <v/>
      </c>
      <c r="E2720">
        <f>IF(INDEX(P_Status,ROW()-4)="","",TRIM(UPPER(INDEX(P_Status,ROW()-4))))</f>
        <v/>
      </c>
      <c r="G2720">
        <f>IF(INDEX(L_Status,ROW()-4)="","",TRIM(UPPER(INDEX(L_Status,ROW()-4))))</f>
        <v/>
      </c>
      <c r="J2720">
        <f>IF(INDEX(L_ID,ROW()-4)="","",IF(SUMPRODUCT((P_ID=INDEX(L_ID,ROW()-4))*(P_StatusN="INACTIVE"))&gt;0,1,0))</f>
        <v/>
      </c>
    </row>
    <row r="2721">
      <c r="A2721">
        <f>IF(INDEX(L_ID,ROW()-4)="","",IF(COUNTIF(P_ID,INDEX(L_ID,ROW()-4))&gt;0,1,0))</f>
        <v/>
      </c>
      <c r="B2721">
        <f>IF(INDEX(P_Type,ROW()-4)="","",TRIM(UPPER(INDEX(P_Type,ROW()-4))))</f>
        <v/>
      </c>
      <c r="D2721">
        <f>IF(INDEX(L_Type,ROW()-4)="","",TRIM(UPPER(INDEX(L_Type,ROW()-4))))</f>
        <v/>
      </c>
      <c r="E2721">
        <f>IF(INDEX(P_Status,ROW()-4)="","",TRIM(UPPER(INDEX(P_Status,ROW()-4))))</f>
        <v/>
      </c>
      <c r="G2721">
        <f>IF(INDEX(L_Status,ROW()-4)="","",TRIM(UPPER(INDEX(L_Status,ROW()-4))))</f>
        <v/>
      </c>
      <c r="J2721">
        <f>IF(INDEX(L_ID,ROW()-4)="","",IF(SUMPRODUCT((P_ID=INDEX(L_ID,ROW()-4))*(P_StatusN="INACTIVE"))&gt;0,1,0))</f>
        <v/>
      </c>
    </row>
    <row r="2722">
      <c r="A2722">
        <f>IF(INDEX(L_ID,ROW()-4)="","",IF(COUNTIF(P_ID,INDEX(L_ID,ROW()-4))&gt;0,1,0))</f>
        <v/>
      </c>
      <c r="B2722">
        <f>IF(INDEX(P_Type,ROW()-4)="","",TRIM(UPPER(INDEX(P_Type,ROW()-4))))</f>
        <v/>
      </c>
      <c r="D2722">
        <f>IF(INDEX(L_Type,ROW()-4)="","",TRIM(UPPER(INDEX(L_Type,ROW()-4))))</f>
        <v/>
      </c>
      <c r="E2722">
        <f>IF(INDEX(P_Status,ROW()-4)="","",TRIM(UPPER(INDEX(P_Status,ROW()-4))))</f>
        <v/>
      </c>
      <c r="G2722">
        <f>IF(INDEX(L_Status,ROW()-4)="","",TRIM(UPPER(INDEX(L_Status,ROW()-4))))</f>
        <v/>
      </c>
      <c r="J2722">
        <f>IF(INDEX(L_ID,ROW()-4)="","",IF(SUMPRODUCT((P_ID=INDEX(L_ID,ROW()-4))*(P_StatusN="INACTIVE"))&gt;0,1,0))</f>
        <v/>
      </c>
    </row>
    <row r="2723">
      <c r="A2723">
        <f>IF(INDEX(L_ID,ROW()-4)="","",IF(COUNTIF(P_ID,INDEX(L_ID,ROW()-4))&gt;0,1,0))</f>
        <v/>
      </c>
      <c r="B2723">
        <f>IF(INDEX(P_Type,ROW()-4)="","",TRIM(UPPER(INDEX(P_Type,ROW()-4))))</f>
        <v/>
      </c>
      <c r="D2723">
        <f>IF(INDEX(L_Type,ROW()-4)="","",TRIM(UPPER(INDEX(L_Type,ROW()-4))))</f>
        <v/>
      </c>
      <c r="E2723">
        <f>IF(INDEX(P_Status,ROW()-4)="","",TRIM(UPPER(INDEX(P_Status,ROW()-4))))</f>
        <v/>
      </c>
      <c r="G2723">
        <f>IF(INDEX(L_Status,ROW()-4)="","",TRIM(UPPER(INDEX(L_Status,ROW()-4))))</f>
        <v/>
      </c>
      <c r="J2723">
        <f>IF(INDEX(L_ID,ROW()-4)="","",IF(SUMPRODUCT((P_ID=INDEX(L_ID,ROW()-4))*(P_StatusN="INACTIVE"))&gt;0,1,0))</f>
        <v/>
      </c>
    </row>
    <row r="2724">
      <c r="A2724">
        <f>IF(INDEX(L_ID,ROW()-4)="","",IF(COUNTIF(P_ID,INDEX(L_ID,ROW()-4))&gt;0,1,0))</f>
        <v/>
      </c>
      <c r="B2724">
        <f>IF(INDEX(P_Type,ROW()-4)="","",TRIM(UPPER(INDEX(P_Type,ROW()-4))))</f>
        <v/>
      </c>
      <c r="D2724">
        <f>IF(INDEX(L_Type,ROW()-4)="","",TRIM(UPPER(INDEX(L_Type,ROW()-4))))</f>
        <v/>
      </c>
      <c r="E2724">
        <f>IF(INDEX(P_Status,ROW()-4)="","",TRIM(UPPER(INDEX(P_Status,ROW()-4))))</f>
        <v/>
      </c>
      <c r="G2724">
        <f>IF(INDEX(L_Status,ROW()-4)="","",TRIM(UPPER(INDEX(L_Status,ROW()-4))))</f>
        <v/>
      </c>
      <c r="J2724">
        <f>IF(INDEX(L_ID,ROW()-4)="","",IF(SUMPRODUCT((P_ID=INDEX(L_ID,ROW()-4))*(P_StatusN="INACTIVE"))&gt;0,1,0))</f>
        <v/>
      </c>
    </row>
    <row r="2725">
      <c r="A2725">
        <f>IF(INDEX(L_ID,ROW()-4)="","",IF(COUNTIF(P_ID,INDEX(L_ID,ROW()-4))&gt;0,1,0))</f>
        <v/>
      </c>
      <c r="B2725">
        <f>IF(INDEX(P_Type,ROW()-4)="","",TRIM(UPPER(INDEX(P_Type,ROW()-4))))</f>
        <v/>
      </c>
      <c r="D2725">
        <f>IF(INDEX(L_Type,ROW()-4)="","",TRIM(UPPER(INDEX(L_Type,ROW()-4))))</f>
        <v/>
      </c>
      <c r="E2725">
        <f>IF(INDEX(P_Status,ROW()-4)="","",TRIM(UPPER(INDEX(P_Status,ROW()-4))))</f>
        <v/>
      </c>
      <c r="G2725">
        <f>IF(INDEX(L_Status,ROW()-4)="","",TRIM(UPPER(INDEX(L_Status,ROW()-4))))</f>
        <v/>
      </c>
      <c r="J2725">
        <f>IF(INDEX(L_ID,ROW()-4)="","",IF(SUMPRODUCT((P_ID=INDEX(L_ID,ROW()-4))*(P_StatusN="INACTIVE"))&gt;0,1,0))</f>
        <v/>
      </c>
    </row>
    <row r="2726">
      <c r="A2726">
        <f>IF(INDEX(L_ID,ROW()-4)="","",IF(COUNTIF(P_ID,INDEX(L_ID,ROW()-4))&gt;0,1,0))</f>
        <v/>
      </c>
      <c r="B2726">
        <f>IF(INDEX(P_Type,ROW()-4)="","",TRIM(UPPER(INDEX(P_Type,ROW()-4))))</f>
        <v/>
      </c>
      <c r="D2726">
        <f>IF(INDEX(L_Type,ROW()-4)="","",TRIM(UPPER(INDEX(L_Type,ROW()-4))))</f>
        <v/>
      </c>
      <c r="E2726">
        <f>IF(INDEX(P_Status,ROW()-4)="","",TRIM(UPPER(INDEX(P_Status,ROW()-4))))</f>
        <v/>
      </c>
      <c r="G2726">
        <f>IF(INDEX(L_Status,ROW()-4)="","",TRIM(UPPER(INDEX(L_Status,ROW()-4))))</f>
        <v/>
      </c>
      <c r="J2726">
        <f>IF(INDEX(L_ID,ROW()-4)="","",IF(SUMPRODUCT((P_ID=INDEX(L_ID,ROW()-4))*(P_StatusN="INACTIVE"))&gt;0,1,0))</f>
        <v/>
      </c>
    </row>
    <row r="2727">
      <c r="A2727">
        <f>IF(INDEX(L_ID,ROW()-4)="","",IF(COUNTIF(P_ID,INDEX(L_ID,ROW()-4))&gt;0,1,0))</f>
        <v/>
      </c>
      <c r="B2727">
        <f>IF(INDEX(P_Type,ROW()-4)="","",TRIM(UPPER(INDEX(P_Type,ROW()-4))))</f>
        <v/>
      </c>
      <c r="D2727">
        <f>IF(INDEX(L_Type,ROW()-4)="","",TRIM(UPPER(INDEX(L_Type,ROW()-4))))</f>
        <v/>
      </c>
      <c r="E2727">
        <f>IF(INDEX(P_Status,ROW()-4)="","",TRIM(UPPER(INDEX(P_Status,ROW()-4))))</f>
        <v/>
      </c>
      <c r="G2727">
        <f>IF(INDEX(L_Status,ROW()-4)="","",TRIM(UPPER(INDEX(L_Status,ROW()-4))))</f>
        <v/>
      </c>
      <c r="J2727">
        <f>IF(INDEX(L_ID,ROW()-4)="","",IF(SUMPRODUCT((P_ID=INDEX(L_ID,ROW()-4))*(P_StatusN="INACTIVE"))&gt;0,1,0))</f>
        <v/>
      </c>
    </row>
    <row r="2728">
      <c r="A2728">
        <f>IF(INDEX(L_ID,ROW()-4)="","",IF(COUNTIF(P_ID,INDEX(L_ID,ROW()-4))&gt;0,1,0))</f>
        <v/>
      </c>
      <c r="B2728">
        <f>IF(INDEX(P_Type,ROW()-4)="","",TRIM(UPPER(INDEX(P_Type,ROW()-4))))</f>
        <v/>
      </c>
      <c r="D2728">
        <f>IF(INDEX(L_Type,ROW()-4)="","",TRIM(UPPER(INDEX(L_Type,ROW()-4))))</f>
        <v/>
      </c>
      <c r="E2728">
        <f>IF(INDEX(P_Status,ROW()-4)="","",TRIM(UPPER(INDEX(P_Status,ROW()-4))))</f>
        <v/>
      </c>
      <c r="G2728">
        <f>IF(INDEX(L_Status,ROW()-4)="","",TRIM(UPPER(INDEX(L_Status,ROW()-4))))</f>
        <v/>
      </c>
      <c r="J2728">
        <f>IF(INDEX(L_ID,ROW()-4)="","",IF(SUMPRODUCT((P_ID=INDEX(L_ID,ROW()-4))*(P_StatusN="INACTIVE"))&gt;0,1,0))</f>
        <v/>
      </c>
    </row>
    <row r="2729">
      <c r="A2729">
        <f>IF(INDEX(L_ID,ROW()-4)="","",IF(COUNTIF(P_ID,INDEX(L_ID,ROW()-4))&gt;0,1,0))</f>
        <v/>
      </c>
      <c r="B2729">
        <f>IF(INDEX(P_Type,ROW()-4)="","",TRIM(UPPER(INDEX(P_Type,ROW()-4))))</f>
        <v/>
      </c>
      <c r="D2729">
        <f>IF(INDEX(L_Type,ROW()-4)="","",TRIM(UPPER(INDEX(L_Type,ROW()-4))))</f>
        <v/>
      </c>
      <c r="E2729">
        <f>IF(INDEX(P_Status,ROW()-4)="","",TRIM(UPPER(INDEX(P_Status,ROW()-4))))</f>
        <v/>
      </c>
      <c r="G2729">
        <f>IF(INDEX(L_Status,ROW()-4)="","",TRIM(UPPER(INDEX(L_Status,ROW()-4))))</f>
        <v/>
      </c>
      <c r="J2729">
        <f>IF(INDEX(L_ID,ROW()-4)="","",IF(SUMPRODUCT((P_ID=INDEX(L_ID,ROW()-4))*(P_StatusN="INACTIVE"))&gt;0,1,0))</f>
        <v/>
      </c>
    </row>
    <row r="2730">
      <c r="A2730">
        <f>IF(INDEX(L_ID,ROW()-4)="","",IF(COUNTIF(P_ID,INDEX(L_ID,ROW()-4))&gt;0,1,0))</f>
        <v/>
      </c>
      <c r="B2730">
        <f>IF(INDEX(P_Type,ROW()-4)="","",TRIM(UPPER(INDEX(P_Type,ROW()-4))))</f>
        <v/>
      </c>
      <c r="D2730">
        <f>IF(INDEX(L_Type,ROW()-4)="","",TRIM(UPPER(INDEX(L_Type,ROW()-4))))</f>
        <v/>
      </c>
      <c r="E2730">
        <f>IF(INDEX(P_Status,ROW()-4)="","",TRIM(UPPER(INDEX(P_Status,ROW()-4))))</f>
        <v/>
      </c>
      <c r="G2730">
        <f>IF(INDEX(L_Status,ROW()-4)="","",TRIM(UPPER(INDEX(L_Status,ROW()-4))))</f>
        <v/>
      </c>
      <c r="J2730">
        <f>IF(INDEX(L_ID,ROW()-4)="","",IF(SUMPRODUCT((P_ID=INDEX(L_ID,ROW()-4))*(P_StatusN="INACTIVE"))&gt;0,1,0))</f>
        <v/>
      </c>
    </row>
    <row r="2731">
      <c r="A2731">
        <f>IF(INDEX(L_ID,ROW()-4)="","",IF(COUNTIF(P_ID,INDEX(L_ID,ROW()-4))&gt;0,1,0))</f>
        <v/>
      </c>
      <c r="B2731">
        <f>IF(INDEX(P_Type,ROW()-4)="","",TRIM(UPPER(INDEX(P_Type,ROW()-4))))</f>
        <v/>
      </c>
      <c r="D2731">
        <f>IF(INDEX(L_Type,ROW()-4)="","",TRIM(UPPER(INDEX(L_Type,ROW()-4))))</f>
        <v/>
      </c>
      <c r="E2731">
        <f>IF(INDEX(P_Status,ROW()-4)="","",TRIM(UPPER(INDEX(P_Status,ROW()-4))))</f>
        <v/>
      </c>
      <c r="G2731">
        <f>IF(INDEX(L_Status,ROW()-4)="","",TRIM(UPPER(INDEX(L_Status,ROW()-4))))</f>
        <v/>
      </c>
      <c r="J2731">
        <f>IF(INDEX(L_ID,ROW()-4)="","",IF(SUMPRODUCT((P_ID=INDEX(L_ID,ROW()-4))*(P_StatusN="INACTIVE"))&gt;0,1,0))</f>
        <v/>
      </c>
    </row>
    <row r="2732">
      <c r="A2732">
        <f>IF(INDEX(L_ID,ROW()-4)="","",IF(COUNTIF(P_ID,INDEX(L_ID,ROW()-4))&gt;0,1,0))</f>
        <v/>
      </c>
      <c r="B2732">
        <f>IF(INDEX(P_Type,ROW()-4)="","",TRIM(UPPER(INDEX(P_Type,ROW()-4))))</f>
        <v/>
      </c>
      <c r="D2732">
        <f>IF(INDEX(L_Type,ROW()-4)="","",TRIM(UPPER(INDEX(L_Type,ROW()-4))))</f>
        <v/>
      </c>
      <c r="E2732">
        <f>IF(INDEX(P_Status,ROW()-4)="","",TRIM(UPPER(INDEX(P_Status,ROW()-4))))</f>
        <v/>
      </c>
      <c r="G2732">
        <f>IF(INDEX(L_Status,ROW()-4)="","",TRIM(UPPER(INDEX(L_Status,ROW()-4))))</f>
        <v/>
      </c>
      <c r="J2732">
        <f>IF(INDEX(L_ID,ROW()-4)="","",IF(SUMPRODUCT((P_ID=INDEX(L_ID,ROW()-4))*(P_StatusN="INACTIVE"))&gt;0,1,0))</f>
        <v/>
      </c>
    </row>
    <row r="2733">
      <c r="A2733">
        <f>IF(INDEX(L_ID,ROW()-4)="","",IF(COUNTIF(P_ID,INDEX(L_ID,ROW()-4))&gt;0,1,0))</f>
        <v/>
      </c>
      <c r="B2733">
        <f>IF(INDEX(P_Type,ROW()-4)="","",TRIM(UPPER(INDEX(P_Type,ROW()-4))))</f>
        <v/>
      </c>
      <c r="D2733">
        <f>IF(INDEX(L_Type,ROW()-4)="","",TRIM(UPPER(INDEX(L_Type,ROW()-4))))</f>
        <v/>
      </c>
      <c r="E2733">
        <f>IF(INDEX(P_Status,ROW()-4)="","",TRIM(UPPER(INDEX(P_Status,ROW()-4))))</f>
        <v/>
      </c>
      <c r="G2733">
        <f>IF(INDEX(L_Status,ROW()-4)="","",TRIM(UPPER(INDEX(L_Status,ROW()-4))))</f>
        <v/>
      </c>
      <c r="J2733">
        <f>IF(INDEX(L_ID,ROW()-4)="","",IF(SUMPRODUCT((P_ID=INDEX(L_ID,ROW()-4))*(P_StatusN="INACTIVE"))&gt;0,1,0))</f>
        <v/>
      </c>
    </row>
    <row r="2734">
      <c r="A2734">
        <f>IF(INDEX(L_ID,ROW()-4)="","",IF(COUNTIF(P_ID,INDEX(L_ID,ROW()-4))&gt;0,1,0))</f>
        <v/>
      </c>
      <c r="B2734">
        <f>IF(INDEX(P_Type,ROW()-4)="","",TRIM(UPPER(INDEX(P_Type,ROW()-4))))</f>
        <v/>
      </c>
      <c r="D2734">
        <f>IF(INDEX(L_Type,ROW()-4)="","",TRIM(UPPER(INDEX(L_Type,ROW()-4))))</f>
        <v/>
      </c>
      <c r="E2734">
        <f>IF(INDEX(P_Status,ROW()-4)="","",TRIM(UPPER(INDEX(P_Status,ROW()-4))))</f>
        <v/>
      </c>
      <c r="G2734">
        <f>IF(INDEX(L_Status,ROW()-4)="","",TRIM(UPPER(INDEX(L_Status,ROW()-4))))</f>
        <v/>
      </c>
      <c r="J2734">
        <f>IF(INDEX(L_ID,ROW()-4)="","",IF(SUMPRODUCT((P_ID=INDEX(L_ID,ROW()-4))*(P_StatusN="INACTIVE"))&gt;0,1,0))</f>
        <v/>
      </c>
    </row>
    <row r="2735">
      <c r="A2735">
        <f>IF(INDEX(L_ID,ROW()-4)="","",IF(COUNTIF(P_ID,INDEX(L_ID,ROW()-4))&gt;0,1,0))</f>
        <v/>
      </c>
      <c r="B2735">
        <f>IF(INDEX(P_Type,ROW()-4)="","",TRIM(UPPER(INDEX(P_Type,ROW()-4))))</f>
        <v/>
      </c>
      <c r="D2735">
        <f>IF(INDEX(L_Type,ROW()-4)="","",TRIM(UPPER(INDEX(L_Type,ROW()-4))))</f>
        <v/>
      </c>
      <c r="E2735">
        <f>IF(INDEX(P_Status,ROW()-4)="","",TRIM(UPPER(INDEX(P_Status,ROW()-4))))</f>
        <v/>
      </c>
      <c r="G2735">
        <f>IF(INDEX(L_Status,ROW()-4)="","",TRIM(UPPER(INDEX(L_Status,ROW()-4))))</f>
        <v/>
      </c>
      <c r="J2735">
        <f>IF(INDEX(L_ID,ROW()-4)="","",IF(SUMPRODUCT((P_ID=INDEX(L_ID,ROW()-4))*(P_StatusN="INACTIVE"))&gt;0,1,0))</f>
        <v/>
      </c>
    </row>
    <row r="2736">
      <c r="A2736">
        <f>IF(INDEX(L_ID,ROW()-4)="","",IF(COUNTIF(P_ID,INDEX(L_ID,ROW()-4))&gt;0,1,0))</f>
        <v/>
      </c>
      <c r="B2736">
        <f>IF(INDEX(P_Type,ROW()-4)="","",TRIM(UPPER(INDEX(P_Type,ROW()-4))))</f>
        <v/>
      </c>
      <c r="D2736">
        <f>IF(INDEX(L_Type,ROW()-4)="","",TRIM(UPPER(INDEX(L_Type,ROW()-4))))</f>
        <v/>
      </c>
      <c r="E2736">
        <f>IF(INDEX(P_Status,ROW()-4)="","",TRIM(UPPER(INDEX(P_Status,ROW()-4))))</f>
        <v/>
      </c>
      <c r="G2736">
        <f>IF(INDEX(L_Status,ROW()-4)="","",TRIM(UPPER(INDEX(L_Status,ROW()-4))))</f>
        <v/>
      </c>
      <c r="J2736">
        <f>IF(INDEX(L_ID,ROW()-4)="","",IF(SUMPRODUCT((P_ID=INDEX(L_ID,ROW()-4))*(P_StatusN="INACTIVE"))&gt;0,1,0))</f>
        <v/>
      </c>
    </row>
    <row r="2737">
      <c r="A2737">
        <f>IF(INDEX(L_ID,ROW()-4)="","",IF(COUNTIF(P_ID,INDEX(L_ID,ROW()-4))&gt;0,1,0))</f>
        <v/>
      </c>
      <c r="B2737">
        <f>IF(INDEX(P_Type,ROW()-4)="","",TRIM(UPPER(INDEX(P_Type,ROW()-4))))</f>
        <v/>
      </c>
      <c r="D2737">
        <f>IF(INDEX(L_Type,ROW()-4)="","",TRIM(UPPER(INDEX(L_Type,ROW()-4))))</f>
        <v/>
      </c>
      <c r="E2737">
        <f>IF(INDEX(P_Status,ROW()-4)="","",TRIM(UPPER(INDEX(P_Status,ROW()-4))))</f>
        <v/>
      </c>
      <c r="G2737">
        <f>IF(INDEX(L_Status,ROW()-4)="","",TRIM(UPPER(INDEX(L_Status,ROW()-4))))</f>
        <v/>
      </c>
      <c r="J2737">
        <f>IF(INDEX(L_ID,ROW()-4)="","",IF(SUMPRODUCT((P_ID=INDEX(L_ID,ROW()-4))*(P_StatusN="INACTIVE"))&gt;0,1,0))</f>
        <v/>
      </c>
    </row>
    <row r="2738">
      <c r="A2738">
        <f>IF(INDEX(L_ID,ROW()-4)="","",IF(COUNTIF(P_ID,INDEX(L_ID,ROW()-4))&gt;0,1,0))</f>
        <v/>
      </c>
      <c r="B2738">
        <f>IF(INDEX(P_Type,ROW()-4)="","",TRIM(UPPER(INDEX(P_Type,ROW()-4))))</f>
        <v/>
      </c>
      <c r="D2738">
        <f>IF(INDEX(L_Type,ROW()-4)="","",TRIM(UPPER(INDEX(L_Type,ROW()-4))))</f>
        <v/>
      </c>
      <c r="E2738">
        <f>IF(INDEX(P_Status,ROW()-4)="","",TRIM(UPPER(INDEX(P_Status,ROW()-4))))</f>
        <v/>
      </c>
      <c r="G2738">
        <f>IF(INDEX(L_Status,ROW()-4)="","",TRIM(UPPER(INDEX(L_Status,ROW()-4))))</f>
        <v/>
      </c>
      <c r="J2738">
        <f>IF(INDEX(L_ID,ROW()-4)="","",IF(SUMPRODUCT((P_ID=INDEX(L_ID,ROW()-4))*(P_StatusN="INACTIVE"))&gt;0,1,0))</f>
        <v/>
      </c>
    </row>
    <row r="2739">
      <c r="A2739">
        <f>IF(INDEX(L_ID,ROW()-4)="","",IF(COUNTIF(P_ID,INDEX(L_ID,ROW()-4))&gt;0,1,0))</f>
        <v/>
      </c>
      <c r="B2739">
        <f>IF(INDEX(P_Type,ROW()-4)="","",TRIM(UPPER(INDEX(P_Type,ROW()-4))))</f>
        <v/>
      </c>
      <c r="D2739">
        <f>IF(INDEX(L_Type,ROW()-4)="","",TRIM(UPPER(INDEX(L_Type,ROW()-4))))</f>
        <v/>
      </c>
      <c r="E2739">
        <f>IF(INDEX(P_Status,ROW()-4)="","",TRIM(UPPER(INDEX(P_Status,ROW()-4))))</f>
        <v/>
      </c>
      <c r="G2739">
        <f>IF(INDEX(L_Status,ROW()-4)="","",TRIM(UPPER(INDEX(L_Status,ROW()-4))))</f>
        <v/>
      </c>
      <c r="J2739">
        <f>IF(INDEX(L_ID,ROW()-4)="","",IF(SUMPRODUCT((P_ID=INDEX(L_ID,ROW()-4))*(P_StatusN="INACTIVE"))&gt;0,1,0))</f>
        <v/>
      </c>
    </row>
    <row r="2740">
      <c r="A2740">
        <f>IF(INDEX(L_ID,ROW()-4)="","",IF(COUNTIF(P_ID,INDEX(L_ID,ROW()-4))&gt;0,1,0))</f>
        <v/>
      </c>
      <c r="B2740">
        <f>IF(INDEX(P_Type,ROW()-4)="","",TRIM(UPPER(INDEX(P_Type,ROW()-4))))</f>
        <v/>
      </c>
      <c r="D2740">
        <f>IF(INDEX(L_Type,ROW()-4)="","",TRIM(UPPER(INDEX(L_Type,ROW()-4))))</f>
        <v/>
      </c>
      <c r="E2740">
        <f>IF(INDEX(P_Status,ROW()-4)="","",TRIM(UPPER(INDEX(P_Status,ROW()-4))))</f>
        <v/>
      </c>
      <c r="G2740">
        <f>IF(INDEX(L_Status,ROW()-4)="","",TRIM(UPPER(INDEX(L_Status,ROW()-4))))</f>
        <v/>
      </c>
      <c r="J2740">
        <f>IF(INDEX(L_ID,ROW()-4)="","",IF(SUMPRODUCT((P_ID=INDEX(L_ID,ROW()-4))*(P_StatusN="INACTIVE"))&gt;0,1,0))</f>
        <v/>
      </c>
    </row>
    <row r="2741">
      <c r="A2741">
        <f>IF(INDEX(L_ID,ROW()-4)="","",IF(COUNTIF(P_ID,INDEX(L_ID,ROW()-4))&gt;0,1,0))</f>
        <v/>
      </c>
      <c r="B2741">
        <f>IF(INDEX(P_Type,ROW()-4)="","",TRIM(UPPER(INDEX(P_Type,ROW()-4))))</f>
        <v/>
      </c>
      <c r="D2741">
        <f>IF(INDEX(L_Type,ROW()-4)="","",TRIM(UPPER(INDEX(L_Type,ROW()-4))))</f>
        <v/>
      </c>
      <c r="E2741">
        <f>IF(INDEX(P_Status,ROW()-4)="","",TRIM(UPPER(INDEX(P_Status,ROW()-4))))</f>
        <v/>
      </c>
      <c r="G2741">
        <f>IF(INDEX(L_Status,ROW()-4)="","",TRIM(UPPER(INDEX(L_Status,ROW()-4))))</f>
        <v/>
      </c>
      <c r="J2741">
        <f>IF(INDEX(L_ID,ROW()-4)="","",IF(SUMPRODUCT((P_ID=INDEX(L_ID,ROW()-4))*(P_StatusN="INACTIVE"))&gt;0,1,0))</f>
        <v/>
      </c>
    </row>
    <row r="2742">
      <c r="A2742">
        <f>IF(INDEX(L_ID,ROW()-4)="","",IF(COUNTIF(P_ID,INDEX(L_ID,ROW()-4))&gt;0,1,0))</f>
        <v/>
      </c>
      <c r="B2742">
        <f>IF(INDEX(P_Type,ROW()-4)="","",TRIM(UPPER(INDEX(P_Type,ROW()-4))))</f>
        <v/>
      </c>
      <c r="D2742">
        <f>IF(INDEX(L_Type,ROW()-4)="","",TRIM(UPPER(INDEX(L_Type,ROW()-4))))</f>
        <v/>
      </c>
      <c r="E2742">
        <f>IF(INDEX(P_Status,ROW()-4)="","",TRIM(UPPER(INDEX(P_Status,ROW()-4))))</f>
        <v/>
      </c>
      <c r="G2742">
        <f>IF(INDEX(L_Status,ROW()-4)="","",TRIM(UPPER(INDEX(L_Status,ROW()-4))))</f>
        <v/>
      </c>
      <c r="J2742">
        <f>IF(INDEX(L_ID,ROW()-4)="","",IF(SUMPRODUCT((P_ID=INDEX(L_ID,ROW()-4))*(P_StatusN="INACTIVE"))&gt;0,1,0))</f>
        <v/>
      </c>
    </row>
    <row r="2743">
      <c r="A2743">
        <f>IF(INDEX(L_ID,ROW()-4)="","",IF(COUNTIF(P_ID,INDEX(L_ID,ROW()-4))&gt;0,1,0))</f>
        <v/>
      </c>
      <c r="B2743">
        <f>IF(INDEX(P_Type,ROW()-4)="","",TRIM(UPPER(INDEX(P_Type,ROW()-4))))</f>
        <v/>
      </c>
      <c r="D2743">
        <f>IF(INDEX(L_Type,ROW()-4)="","",TRIM(UPPER(INDEX(L_Type,ROW()-4))))</f>
        <v/>
      </c>
      <c r="E2743">
        <f>IF(INDEX(P_Status,ROW()-4)="","",TRIM(UPPER(INDEX(P_Status,ROW()-4))))</f>
        <v/>
      </c>
      <c r="G2743">
        <f>IF(INDEX(L_Status,ROW()-4)="","",TRIM(UPPER(INDEX(L_Status,ROW()-4))))</f>
        <v/>
      </c>
      <c r="J2743">
        <f>IF(INDEX(L_ID,ROW()-4)="","",IF(SUMPRODUCT((P_ID=INDEX(L_ID,ROW()-4))*(P_StatusN="INACTIVE"))&gt;0,1,0))</f>
        <v/>
      </c>
    </row>
    <row r="2744">
      <c r="A2744">
        <f>IF(INDEX(L_ID,ROW()-4)="","",IF(COUNTIF(P_ID,INDEX(L_ID,ROW()-4))&gt;0,1,0))</f>
        <v/>
      </c>
      <c r="B2744">
        <f>IF(INDEX(P_Type,ROW()-4)="","",TRIM(UPPER(INDEX(P_Type,ROW()-4))))</f>
        <v/>
      </c>
      <c r="D2744">
        <f>IF(INDEX(L_Type,ROW()-4)="","",TRIM(UPPER(INDEX(L_Type,ROW()-4))))</f>
        <v/>
      </c>
      <c r="E2744">
        <f>IF(INDEX(P_Status,ROW()-4)="","",TRIM(UPPER(INDEX(P_Status,ROW()-4))))</f>
        <v/>
      </c>
      <c r="G2744">
        <f>IF(INDEX(L_Status,ROW()-4)="","",TRIM(UPPER(INDEX(L_Status,ROW()-4))))</f>
        <v/>
      </c>
      <c r="J2744">
        <f>IF(INDEX(L_ID,ROW()-4)="","",IF(SUMPRODUCT((P_ID=INDEX(L_ID,ROW()-4))*(P_StatusN="INACTIVE"))&gt;0,1,0))</f>
        <v/>
      </c>
    </row>
    <row r="2745">
      <c r="A2745">
        <f>IF(INDEX(L_ID,ROW()-4)="","",IF(COUNTIF(P_ID,INDEX(L_ID,ROW()-4))&gt;0,1,0))</f>
        <v/>
      </c>
      <c r="B2745">
        <f>IF(INDEX(P_Type,ROW()-4)="","",TRIM(UPPER(INDEX(P_Type,ROW()-4))))</f>
        <v/>
      </c>
      <c r="D2745">
        <f>IF(INDEX(L_Type,ROW()-4)="","",TRIM(UPPER(INDEX(L_Type,ROW()-4))))</f>
        <v/>
      </c>
      <c r="E2745">
        <f>IF(INDEX(P_Status,ROW()-4)="","",TRIM(UPPER(INDEX(P_Status,ROW()-4))))</f>
        <v/>
      </c>
      <c r="G2745">
        <f>IF(INDEX(L_Status,ROW()-4)="","",TRIM(UPPER(INDEX(L_Status,ROW()-4))))</f>
        <v/>
      </c>
      <c r="J2745">
        <f>IF(INDEX(L_ID,ROW()-4)="","",IF(SUMPRODUCT((P_ID=INDEX(L_ID,ROW()-4))*(P_StatusN="INACTIVE"))&gt;0,1,0))</f>
        <v/>
      </c>
    </row>
    <row r="2746">
      <c r="A2746">
        <f>IF(INDEX(L_ID,ROW()-4)="","",IF(COUNTIF(P_ID,INDEX(L_ID,ROW()-4))&gt;0,1,0))</f>
        <v/>
      </c>
      <c r="B2746">
        <f>IF(INDEX(P_Type,ROW()-4)="","",TRIM(UPPER(INDEX(P_Type,ROW()-4))))</f>
        <v/>
      </c>
      <c r="D2746">
        <f>IF(INDEX(L_Type,ROW()-4)="","",TRIM(UPPER(INDEX(L_Type,ROW()-4))))</f>
        <v/>
      </c>
      <c r="E2746">
        <f>IF(INDEX(P_Status,ROW()-4)="","",TRIM(UPPER(INDEX(P_Status,ROW()-4))))</f>
        <v/>
      </c>
      <c r="G2746">
        <f>IF(INDEX(L_Status,ROW()-4)="","",TRIM(UPPER(INDEX(L_Status,ROW()-4))))</f>
        <v/>
      </c>
      <c r="J2746">
        <f>IF(INDEX(L_ID,ROW()-4)="","",IF(SUMPRODUCT((P_ID=INDEX(L_ID,ROW()-4))*(P_StatusN="INACTIVE"))&gt;0,1,0))</f>
        <v/>
      </c>
    </row>
    <row r="2747">
      <c r="A2747">
        <f>IF(INDEX(L_ID,ROW()-4)="","",IF(COUNTIF(P_ID,INDEX(L_ID,ROW()-4))&gt;0,1,0))</f>
        <v/>
      </c>
      <c r="B2747">
        <f>IF(INDEX(P_Type,ROW()-4)="","",TRIM(UPPER(INDEX(P_Type,ROW()-4))))</f>
        <v/>
      </c>
      <c r="D2747">
        <f>IF(INDEX(L_Type,ROW()-4)="","",TRIM(UPPER(INDEX(L_Type,ROW()-4))))</f>
        <v/>
      </c>
      <c r="E2747">
        <f>IF(INDEX(P_Status,ROW()-4)="","",TRIM(UPPER(INDEX(P_Status,ROW()-4))))</f>
        <v/>
      </c>
      <c r="G2747">
        <f>IF(INDEX(L_Status,ROW()-4)="","",TRIM(UPPER(INDEX(L_Status,ROW()-4))))</f>
        <v/>
      </c>
      <c r="J2747">
        <f>IF(INDEX(L_ID,ROW()-4)="","",IF(SUMPRODUCT((P_ID=INDEX(L_ID,ROW()-4))*(P_StatusN="INACTIVE"))&gt;0,1,0))</f>
        <v/>
      </c>
    </row>
    <row r="2748">
      <c r="A2748">
        <f>IF(INDEX(L_ID,ROW()-4)="","",IF(COUNTIF(P_ID,INDEX(L_ID,ROW()-4))&gt;0,1,0))</f>
        <v/>
      </c>
      <c r="B2748">
        <f>IF(INDEX(P_Type,ROW()-4)="","",TRIM(UPPER(INDEX(P_Type,ROW()-4))))</f>
        <v/>
      </c>
      <c r="D2748">
        <f>IF(INDEX(L_Type,ROW()-4)="","",TRIM(UPPER(INDEX(L_Type,ROW()-4))))</f>
        <v/>
      </c>
      <c r="E2748">
        <f>IF(INDEX(P_Status,ROW()-4)="","",TRIM(UPPER(INDEX(P_Status,ROW()-4))))</f>
        <v/>
      </c>
      <c r="G2748">
        <f>IF(INDEX(L_Status,ROW()-4)="","",TRIM(UPPER(INDEX(L_Status,ROW()-4))))</f>
        <v/>
      </c>
      <c r="J2748">
        <f>IF(INDEX(L_ID,ROW()-4)="","",IF(SUMPRODUCT((P_ID=INDEX(L_ID,ROW()-4))*(P_StatusN="INACTIVE"))&gt;0,1,0))</f>
        <v/>
      </c>
    </row>
    <row r="2749">
      <c r="A2749">
        <f>IF(INDEX(L_ID,ROW()-4)="","",IF(COUNTIF(P_ID,INDEX(L_ID,ROW()-4))&gt;0,1,0))</f>
        <v/>
      </c>
      <c r="B2749">
        <f>IF(INDEX(P_Type,ROW()-4)="","",TRIM(UPPER(INDEX(P_Type,ROW()-4))))</f>
        <v/>
      </c>
      <c r="D2749">
        <f>IF(INDEX(L_Type,ROW()-4)="","",TRIM(UPPER(INDEX(L_Type,ROW()-4))))</f>
        <v/>
      </c>
      <c r="E2749">
        <f>IF(INDEX(P_Status,ROW()-4)="","",TRIM(UPPER(INDEX(P_Status,ROW()-4))))</f>
        <v/>
      </c>
      <c r="G2749">
        <f>IF(INDEX(L_Status,ROW()-4)="","",TRIM(UPPER(INDEX(L_Status,ROW()-4))))</f>
        <v/>
      </c>
      <c r="J2749">
        <f>IF(INDEX(L_ID,ROW()-4)="","",IF(SUMPRODUCT((P_ID=INDEX(L_ID,ROW()-4))*(P_StatusN="INACTIVE"))&gt;0,1,0))</f>
        <v/>
      </c>
    </row>
    <row r="2750">
      <c r="A2750">
        <f>IF(INDEX(L_ID,ROW()-4)="","",IF(COUNTIF(P_ID,INDEX(L_ID,ROW()-4))&gt;0,1,0))</f>
        <v/>
      </c>
      <c r="B2750">
        <f>IF(INDEX(P_Type,ROW()-4)="","",TRIM(UPPER(INDEX(P_Type,ROW()-4))))</f>
        <v/>
      </c>
      <c r="D2750">
        <f>IF(INDEX(L_Type,ROW()-4)="","",TRIM(UPPER(INDEX(L_Type,ROW()-4))))</f>
        <v/>
      </c>
      <c r="E2750">
        <f>IF(INDEX(P_Status,ROW()-4)="","",TRIM(UPPER(INDEX(P_Status,ROW()-4))))</f>
        <v/>
      </c>
      <c r="G2750">
        <f>IF(INDEX(L_Status,ROW()-4)="","",TRIM(UPPER(INDEX(L_Status,ROW()-4))))</f>
        <v/>
      </c>
      <c r="J2750">
        <f>IF(INDEX(L_ID,ROW()-4)="","",IF(SUMPRODUCT((P_ID=INDEX(L_ID,ROW()-4))*(P_StatusN="INACTIVE"))&gt;0,1,0))</f>
        <v/>
      </c>
    </row>
    <row r="2751">
      <c r="A2751">
        <f>IF(INDEX(L_ID,ROW()-4)="","",IF(COUNTIF(P_ID,INDEX(L_ID,ROW()-4))&gt;0,1,0))</f>
        <v/>
      </c>
      <c r="B2751">
        <f>IF(INDEX(P_Type,ROW()-4)="","",TRIM(UPPER(INDEX(P_Type,ROW()-4))))</f>
        <v/>
      </c>
      <c r="D2751">
        <f>IF(INDEX(L_Type,ROW()-4)="","",TRIM(UPPER(INDEX(L_Type,ROW()-4))))</f>
        <v/>
      </c>
      <c r="E2751">
        <f>IF(INDEX(P_Status,ROW()-4)="","",TRIM(UPPER(INDEX(P_Status,ROW()-4))))</f>
        <v/>
      </c>
      <c r="G2751">
        <f>IF(INDEX(L_Status,ROW()-4)="","",TRIM(UPPER(INDEX(L_Status,ROW()-4))))</f>
        <v/>
      </c>
      <c r="J2751">
        <f>IF(INDEX(L_ID,ROW()-4)="","",IF(SUMPRODUCT((P_ID=INDEX(L_ID,ROW()-4))*(P_StatusN="INACTIVE"))&gt;0,1,0))</f>
        <v/>
      </c>
    </row>
    <row r="2752">
      <c r="A2752">
        <f>IF(INDEX(L_ID,ROW()-4)="","",IF(COUNTIF(P_ID,INDEX(L_ID,ROW()-4))&gt;0,1,0))</f>
        <v/>
      </c>
      <c r="B2752">
        <f>IF(INDEX(P_Type,ROW()-4)="","",TRIM(UPPER(INDEX(P_Type,ROW()-4))))</f>
        <v/>
      </c>
      <c r="D2752">
        <f>IF(INDEX(L_Type,ROW()-4)="","",TRIM(UPPER(INDEX(L_Type,ROW()-4))))</f>
        <v/>
      </c>
      <c r="E2752">
        <f>IF(INDEX(P_Status,ROW()-4)="","",TRIM(UPPER(INDEX(P_Status,ROW()-4))))</f>
        <v/>
      </c>
      <c r="G2752">
        <f>IF(INDEX(L_Status,ROW()-4)="","",TRIM(UPPER(INDEX(L_Status,ROW()-4))))</f>
        <v/>
      </c>
      <c r="J2752">
        <f>IF(INDEX(L_ID,ROW()-4)="","",IF(SUMPRODUCT((P_ID=INDEX(L_ID,ROW()-4))*(P_StatusN="INACTIVE"))&gt;0,1,0))</f>
        <v/>
      </c>
    </row>
    <row r="2753">
      <c r="A2753">
        <f>IF(INDEX(L_ID,ROW()-4)="","",IF(COUNTIF(P_ID,INDEX(L_ID,ROW()-4))&gt;0,1,0))</f>
        <v/>
      </c>
      <c r="B2753">
        <f>IF(INDEX(P_Type,ROW()-4)="","",TRIM(UPPER(INDEX(P_Type,ROW()-4))))</f>
        <v/>
      </c>
      <c r="D2753">
        <f>IF(INDEX(L_Type,ROW()-4)="","",TRIM(UPPER(INDEX(L_Type,ROW()-4))))</f>
        <v/>
      </c>
      <c r="E2753">
        <f>IF(INDEX(P_Status,ROW()-4)="","",TRIM(UPPER(INDEX(P_Status,ROW()-4))))</f>
        <v/>
      </c>
      <c r="G2753">
        <f>IF(INDEX(L_Status,ROW()-4)="","",TRIM(UPPER(INDEX(L_Status,ROW()-4))))</f>
        <v/>
      </c>
      <c r="J2753">
        <f>IF(INDEX(L_ID,ROW()-4)="","",IF(SUMPRODUCT((P_ID=INDEX(L_ID,ROW()-4))*(P_StatusN="INACTIVE"))&gt;0,1,0))</f>
        <v/>
      </c>
    </row>
    <row r="2754">
      <c r="A2754">
        <f>IF(INDEX(L_ID,ROW()-4)="","",IF(COUNTIF(P_ID,INDEX(L_ID,ROW()-4))&gt;0,1,0))</f>
        <v/>
      </c>
      <c r="B2754">
        <f>IF(INDEX(P_Type,ROW()-4)="","",TRIM(UPPER(INDEX(P_Type,ROW()-4))))</f>
        <v/>
      </c>
      <c r="D2754">
        <f>IF(INDEX(L_Type,ROW()-4)="","",TRIM(UPPER(INDEX(L_Type,ROW()-4))))</f>
        <v/>
      </c>
      <c r="E2754">
        <f>IF(INDEX(P_Status,ROW()-4)="","",TRIM(UPPER(INDEX(P_Status,ROW()-4))))</f>
        <v/>
      </c>
      <c r="G2754">
        <f>IF(INDEX(L_Status,ROW()-4)="","",TRIM(UPPER(INDEX(L_Status,ROW()-4))))</f>
        <v/>
      </c>
      <c r="J2754">
        <f>IF(INDEX(L_ID,ROW()-4)="","",IF(SUMPRODUCT((P_ID=INDEX(L_ID,ROW()-4))*(P_StatusN="INACTIVE"))&gt;0,1,0))</f>
        <v/>
      </c>
    </row>
    <row r="2755">
      <c r="A2755">
        <f>IF(INDEX(L_ID,ROW()-4)="","",IF(COUNTIF(P_ID,INDEX(L_ID,ROW()-4))&gt;0,1,0))</f>
        <v/>
      </c>
      <c r="B2755">
        <f>IF(INDEX(P_Type,ROW()-4)="","",TRIM(UPPER(INDEX(P_Type,ROW()-4))))</f>
        <v/>
      </c>
      <c r="D2755">
        <f>IF(INDEX(L_Type,ROW()-4)="","",TRIM(UPPER(INDEX(L_Type,ROW()-4))))</f>
        <v/>
      </c>
      <c r="E2755">
        <f>IF(INDEX(P_Status,ROW()-4)="","",TRIM(UPPER(INDEX(P_Status,ROW()-4))))</f>
        <v/>
      </c>
      <c r="G2755">
        <f>IF(INDEX(L_Status,ROW()-4)="","",TRIM(UPPER(INDEX(L_Status,ROW()-4))))</f>
        <v/>
      </c>
      <c r="J2755">
        <f>IF(INDEX(L_ID,ROW()-4)="","",IF(SUMPRODUCT((P_ID=INDEX(L_ID,ROW()-4))*(P_StatusN="INACTIVE"))&gt;0,1,0))</f>
        <v/>
      </c>
    </row>
    <row r="2756">
      <c r="A2756">
        <f>IF(INDEX(L_ID,ROW()-4)="","",IF(COUNTIF(P_ID,INDEX(L_ID,ROW()-4))&gt;0,1,0))</f>
        <v/>
      </c>
      <c r="B2756">
        <f>IF(INDEX(P_Type,ROW()-4)="","",TRIM(UPPER(INDEX(P_Type,ROW()-4))))</f>
        <v/>
      </c>
      <c r="D2756">
        <f>IF(INDEX(L_Type,ROW()-4)="","",TRIM(UPPER(INDEX(L_Type,ROW()-4))))</f>
        <v/>
      </c>
      <c r="E2756">
        <f>IF(INDEX(P_Status,ROW()-4)="","",TRIM(UPPER(INDEX(P_Status,ROW()-4))))</f>
        <v/>
      </c>
      <c r="G2756">
        <f>IF(INDEX(L_Status,ROW()-4)="","",TRIM(UPPER(INDEX(L_Status,ROW()-4))))</f>
        <v/>
      </c>
      <c r="J2756">
        <f>IF(INDEX(L_ID,ROW()-4)="","",IF(SUMPRODUCT((P_ID=INDEX(L_ID,ROW()-4))*(P_StatusN="INACTIVE"))&gt;0,1,0))</f>
        <v/>
      </c>
    </row>
    <row r="2757">
      <c r="A2757">
        <f>IF(INDEX(L_ID,ROW()-4)="","",IF(COUNTIF(P_ID,INDEX(L_ID,ROW()-4))&gt;0,1,0))</f>
        <v/>
      </c>
      <c r="B2757">
        <f>IF(INDEX(P_Type,ROW()-4)="","",TRIM(UPPER(INDEX(P_Type,ROW()-4))))</f>
        <v/>
      </c>
      <c r="D2757">
        <f>IF(INDEX(L_Type,ROW()-4)="","",TRIM(UPPER(INDEX(L_Type,ROW()-4))))</f>
        <v/>
      </c>
      <c r="E2757">
        <f>IF(INDEX(P_Status,ROW()-4)="","",TRIM(UPPER(INDEX(P_Status,ROW()-4))))</f>
        <v/>
      </c>
      <c r="G2757">
        <f>IF(INDEX(L_Status,ROW()-4)="","",TRIM(UPPER(INDEX(L_Status,ROW()-4))))</f>
        <v/>
      </c>
      <c r="J2757">
        <f>IF(INDEX(L_ID,ROW()-4)="","",IF(SUMPRODUCT((P_ID=INDEX(L_ID,ROW()-4))*(P_StatusN="INACTIVE"))&gt;0,1,0))</f>
        <v/>
      </c>
    </row>
    <row r="2758">
      <c r="A2758">
        <f>IF(INDEX(L_ID,ROW()-4)="","",IF(COUNTIF(P_ID,INDEX(L_ID,ROW()-4))&gt;0,1,0))</f>
        <v/>
      </c>
      <c r="B2758">
        <f>IF(INDEX(P_Type,ROW()-4)="","",TRIM(UPPER(INDEX(P_Type,ROW()-4))))</f>
        <v/>
      </c>
      <c r="D2758">
        <f>IF(INDEX(L_Type,ROW()-4)="","",TRIM(UPPER(INDEX(L_Type,ROW()-4))))</f>
        <v/>
      </c>
      <c r="E2758">
        <f>IF(INDEX(P_Status,ROW()-4)="","",TRIM(UPPER(INDEX(P_Status,ROW()-4))))</f>
        <v/>
      </c>
      <c r="G2758">
        <f>IF(INDEX(L_Status,ROW()-4)="","",TRIM(UPPER(INDEX(L_Status,ROW()-4))))</f>
        <v/>
      </c>
      <c r="J2758">
        <f>IF(INDEX(L_ID,ROW()-4)="","",IF(SUMPRODUCT((P_ID=INDEX(L_ID,ROW()-4))*(P_StatusN="INACTIVE"))&gt;0,1,0))</f>
        <v/>
      </c>
    </row>
    <row r="2759">
      <c r="A2759">
        <f>IF(INDEX(L_ID,ROW()-4)="","",IF(COUNTIF(P_ID,INDEX(L_ID,ROW()-4))&gt;0,1,0))</f>
        <v/>
      </c>
      <c r="B2759">
        <f>IF(INDEX(P_Type,ROW()-4)="","",TRIM(UPPER(INDEX(P_Type,ROW()-4))))</f>
        <v/>
      </c>
      <c r="D2759">
        <f>IF(INDEX(L_Type,ROW()-4)="","",TRIM(UPPER(INDEX(L_Type,ROW()-4))))</f>
        <v/>
      </c>
      <c r="E2759">
        <f>IF(INDEX(P_Status,ROW()-4)="","",TRIM(UPPER(INDEX(P_Status,ROW()-4))))</f>
        <v/>
      </c>
      <c r="G2759">
        <f>IF(INDEX(L_Status,ROW()-4)="","",TRIM(UPPER(INDEX(L_Status,ROW()-4))))</f>
        <v/>
      </c>
      <c r="J2759">
        <f>IF(INDEX(L_ID,ROW()-4)="","",IF(SUMPRODUCT((P_ID=INDEX(L_ID,ROW()-4))*(P_StatusN="INACTIVE"))&gt;0,1,0))</f>
        <v/>
      </c>
    </row>
    <row r="2760">
      <c r="A2760">
        <f>IF(INDEX(L_ID,ROW()-4)="","",IF(COUNTIF(P_ID,INDEX(L_ID,ROW()-4))&gt;0,1,0))</f>
        <v/>
      </c>
      <c r="B2760">
        <f>IF(INDEX(P_Type,ROW()-4)="","",TRIM(UPPER(INDEX(P_Type,ROW()-4))))</f>
        <v/>
      </c>
      <c r="D2760">
        <f>IF(INDEX(L_Type,ROW()-4)="","",TRIM(UPPER(INDEX(L_Type,ROW()-4))))</f>
        <v/>
      </c>
      <c r="E2760">
        <f>IF(INDEX(P_Status,ROW()-4)="","",TRIM(UPPER(INDEX(P_Status,ROW()-4))))</f>
        <v/>
      </c>
      <c r="G2760">
        <f>IF(INDEX(L_Status,ROW()-4)="","",TRIM(UPPER(INDEX(L_Status,ROW()-4))))</f>
        <v/>
      </c>
      <c r="J2760">
        <f>IF(INDEX(L_ID,ROW()-4)="","",IF(SUMPRODUCT((P_ID=INDEX(L_ID,ROW()-4))*(P_StatusN="INACTIVE"))&gt;0,1,0))</f>
        <v/>
      </c>
    </row>
    <row r="2761">
      <c r="A2761">
        <f>IF(INDEX(L_ID,ROW()-4)="","",IF(COUNTIF(P_ID,INDEX(L_ID,ROW()-4))&gt;0,1,0))</f>
        <v/>
      </c>
      <c r="B2761">
        <f>IF(INDEX(P_Type,ROW()-4)="","",TRIM(UPPER(INDEX(P_Type,ROW()-4))))</f>
        <v/>
      </c>
      <c r="D2761">
        <f>IF(INDEX(L_Type,ROW()-4)="","",TRIM(UPPER(INDEX(L_Type,ROW()-4))))</f>
        <v/>
      </c>
      <c r="E2761">
        <f>IF(INDEX(P_Status,ROW()-4)="","",TRIM(UPPER(INDEX(P_Status,ROW()-4))))</f>
        <v/>
      </c>
      <c r="G2761">
        <f>IF(INDEX(L_Status,ROW()-4)="","",TRIM(UPPER(INDEX(L_Status,ROW()-4))))</f>
        <v/>
      </c>
      <c r="J2761">
        <f>IF(INDEX(L_ID,ROW()-4)="","",IF(SUMPRODUCT((P_ID=INDEX(L_ID,ROW()-4))*(P_StatusN="INACTIVE"))&gt;0,1,0))</f>
        <v/>
      </c>
    </row>
    <row r="2762">
      <c r="A2762">
        <f>IF(INDEX(L_ID,ROW()-4)="","",IF(COUNTIF(P_ID,INDEX(L_ID,ROW()-4))&gt;0,1,0))</f>
        <v/>
      </c>
      <c r="B2762">
        <f>IF(INDEX(P_Type,ROW()-4)="","",TRIM(UPPER(INDEX(P_Type,ROW()-4))))</f>
        <v/>
      </c>
      <c r="D2762">
        <f>IF(INDEX(L_Type,ROW()-4)="","",TRIM(UPPER(INDEX(L_Type,ROW()-4))))</f>
        <v/>
      </c>
      <c r="E2762">
        <f>IF(INDEX(P_Status,ROW()-4)="","",TRIM(UPPER(INDEX(P_Status,ROW()-4))))</f>
        <v/>
      </c>
      <c r="G2762">
        <f>IF(INDEX(L_Status,ROW()-4)="","",TRIM(UPPER(INDEX(L_Status,ROW()-4))))</f>
        <v/>
      </c>
      <c r="J2762">
        <f>IF(INDEX(L_ID,ROW()-4)="","",IF(SUMPRODUCT((P_ID=INDEX(L_ID,ROW()-4))*(P_StatusN="INACTIVE"))&gt;0,1,0))</f>
        <v/>
      </c>
    </row>
    <row r="2763">
      <c r="A2763">
        <f>IF(INDEX(L_ID,ROW()-4)="","",IF(COUNTIF(P_ID,INDEX(L_ID,ROW()-4))&gt;0,1,0))</f>
        <v/>
      </c>
      <c r="B2763">
        <f>IF(INDEX(P_Type,ROW()-4)="","",TRIM(UPPER(INDEX(P_Type,ROW()-4))))</f>
        <v/>
      </c>
      <c r="D2763">
        <f>IF(INDEX(L_Type,ROW()-4)="","",TRIM(UPPER(INDEX(L_Type,ROW()-4))))</f>
        <v/>
      </c>
      <c r="E2763">
        <f>IF(INDEX(P_Status,ROW()-4)="","",TRIM(UPPER(INDEX(P_Status,ROW()-4))))</f>
        <v/>
      </c>
      <c r="G2763">
        <f>IF(INDEX(L_Status,ROW()-4)="","",TRIM(UPPER(INDEX(L_Status,ROW()-4))))</f>
        <v/>
      </c>
      <c r="J2763">
        <f>IF(INDEX(L_ID,ROW()-4)="","",IF(SUMPRODUCT((P_ID=INDEX(L_ID,ROW()-4))*(P_StatusN="INACTIVE"))&gt;0,1,0))</f>
        <v/>
      </c>
    </row>
    <row r="2764">
      <c r="A2764">
        <f>IF(INDEX(L_ID,ROW()-4)="","",IF(COUNTIF(P_ID,INDEX(L_ID,ROW()-4))&gt;0,1,0))</f>
        <v/>
      </c>
      <c r="B2764">
        <f>IF(INDEX(P_Type,ROW()-4)="","",TRIM(UPPER(INDEX(P_Type,ROW()-4))))</f>
        <v/>
      </c>
      <c r="D2764">
        <f>IF(INDEX(L_Type,ROW()-4)="","",TRIM(UPPER(INDEX(L_Type,ROW()-4))))</f>
        <v/>
      </c>
      <c r="E2764">
        <f>IF(INDEX(P_Status,ROW()-4)="","",TRIM(UPPER(INDEX(P_Status,ROW()-4))))</f>
        <v/>
      </c>
      <c r="G2764">
        <f>IF(INDEX(L_Status,ROW()-4)="","",TRIM(UPPER(INDEX(L_Status,ROW()-4))))</f>
        <v/>
      </c>
      <c r="J2764">
        <f>IF(INDEX(L_ID,ROW()-4)="","",IF(SUMPRODUCT((P_ID=INDEX(L_ID,ROW()-4))*(P_StatusN="INACTIVE"))&gt;0,1,0))</f>
        <v/>
      </c>
    </row>
    <row r="2765">
      <c r="A2765">
        <f>IF(INDEX(L_ID,ROW()-4)="","",IF(COUNTIF(P_ID,INDEX(L_ID,ROW()-4))&gt;0,1,0))</f>
        <v/>
      </c>
      <c r="B2765">
        <f>IF(INDEX(P_Type,ROW()-4)="","",TRIM(UPPER(INDEX(P_Type,ROW()-4))))</f>
        <v/>
      </c>
      <c r="D2765">
        <f>IF(INDEX(L_Type,ROW()-4)="","",TRIM(UPPER(INDEX(L_Type,ROW()-4))))</f>
        <v/>
      </c>
      <c r="E2765">
        <f>IF(INDEX(P_Status,ROW()-4)="","",TRIM(UPPER(INDEX(P_Status,ROW()-4))))</f>
        <v/>
      </c>
      <c r="G2765">
        <f>IF(INDEX(L_Status,ROW()-4)="","",TRIM(UPPER(INDEX(L_Status,ROW()-4))))</f>
        <v/>
      </c>
      <c r="J2765">
        <f>IF(INDEX(L_ID,ROW()-4)="","",IF(SUMPRODUCT((P_ID=INDEX(L_ID,ROW()-4))*(P_StatusN="INACTIVE"))&gt;0,1,0))</f>
        <v/>
      </c>
    </row>
    <row r="2766">
      <c r="A2766">
        <f>IF(INDEX(L_ID,ROW()-4)="","",IF(COUNTIF(P_ID,INDEX(L_ID,ROW()-4))&gt;0,1,0))</f>
        <v/>
      </c>
      <c r="B2766">
        <f>IF(INDEX(P_Type,ROW()-4)="","",TRIM(UPPER(INDEX(P_Type,ROW()-4))))</f>
        <v/>
      </c>
      <c r="D2766">
        <f>IF(INDEX(L_Type,ROW()-4)="","",TRIM(UPPER(INDEX(L_Type,ROW()-4))))</f>
        <v/>
      </c>
      <c r="E2766">
        <f>IF(INDEX(P_Status,ROW()-4)="","",TRIM(UPPER(INDEX(P_Status,ROW()-4))))</f>
        <v/>
      </c>
      <c r="G2766">
        <f>IF(INDEX(L_Status,ROW()-4)="","",TRIM(UPPER(INDEX(L_Status,ROW()-4))))</f>
        <v/>
      </c>
      <c r="J2766">
        <f>IF(INDEX(L_ID,ROW()-4)="","",IF(SUMPRODUCT((P_ID=INDEX(L_ID,ROW()-4))*(P_StatusN="INACTIVE"))&gt;0,1,0))</f>
        <v/>
      </c>
    </row>
    <row r="2767">
      <c r="A2767">
        <f>IF(INDEX(L_ID,ROW()-4)="","",IF(COUNTIF(P_ID,INDEX(L_ID,ROW()-4))&gt;0,1,0))</f>
        <v/>
      </c>
      <c r="B2767">
        <f>IF(INDEX(P_Type,ROW()-4)="","",TRIM(UPPER(INDEX(P_Type,ROW()-4))))</f>
        <v/>
      </c>
      <c r="D2767">
        <f>IF(INDEX(L_Type,ROW()-4)="","",TRIM(UPPER(INDEX(L_Type,ROW()-4))))</f>
        <v/>
      </c>
      <c r="E2767">
        <f>IF(INDEX(P_Status,ROW()-4)="","",TRIM(UPPER(INDEX(P_Status,ROW()-4))))</f>
        <v/>
      </c>
      <c r="G2767">
        <f>IF(INDEX(L_Status,ROW()-4)="","",TRIM(UPPER(INDEX(L_Status,ROW()-4))))</f>
        <v/>
      </c>
      <c r="J2767">
        <f>IF(INDEX(L_ID,ROW()-4)="","",IF(SUMPRODUCT((P_ID=INDEX(L_ID,ROW()-4))*(P_StatusN="INACTIVE"))&gt;0,1,0))</f>
        <v/>
      </c>
    </row>
    <row r="2768">
      <c r="A2768">
        <f>IF(INDEX(L_ID,ROW()-4)="","",IF(COUNTIF(P_ID,INDEX(L_ID,ROW()-4))&gt;0,1,0))</f>
        <v/>
      </c>
      <c r="B2768">
        <f>IF(INDEX(P_Type,ROW()-4)="","",TRIM(UPPER(INDEX(P_Type,ROW()-4))))</f>
        <v/>
      </c>
      <c r="D2768">
        <f>IF(INDEX(L_Type,ROW()-4)="","",TRIM(UPPER(INDEX(L_Type,ROW()-4))))</f>
        <v/>
      </c>
      <c r="E2768">
        <f>IF(INDEX(P_Status,ROW()-4)="","",TRIM(UPPER(INDEX(P_Status,ROW()-4))))</f>
        <v/>
      </c>
      <c r="G2768">
        <f>IF(INDEX(L_Status,ROW()-4)="","",TRIM(UPPER(INDEX(L_Status,ROW()-4))))</f>
        <v/>
      </c>
      <c r="J2768">
        <f>IF(INDEX(L_ID,ROW()-4)="","",IF(SUMPRODUCT((P_ID=INDEX(L_ID,ROW()-4))*(P_StatusN="INACTIVE"))&gt;0,1,0))</f>
        <v/>
      </c>
    </row>
    <row r="2769">
      <c r="A2769">
        <f>IF(INDEX(L_ID,ROW()-4)="","",IF(COUNTIF(P_ID,INDEX(L_ID,ROW()-4))&gt;0,1,0))</f>
        <v/>
      </c>
      <c r="B2769">
        <f>IF(INDEX(P_Type,ROW()-4)="","",TRIM(UPPER(INDEX(P_Type,ROW()-4))))</f>
        <v/>
      </c>
      <c r="D2769">
        <f>IF(INDEX(L_Type,ROW()-4)="","",TRIM(UPPER(INDEX(L_Type,ROW()-4))))</f>
        <v/>
      </c>
      <c r="E2769">
        <f>IF(INDEX(P_Status,ROW()-4)="","",TRIM(UPPER(INDEX(P_Status,ROW()-4))))</f>
        <v/>
      </c>
      <c r="G2769">
        <f>IF(INDEX(L_Status,ROW()-4)="","",TRIM(UPPER(INDEX(L_Status,ROW()-4))))</f>
        <v/>
      </c>
      <c r="J2769">
        <f>IF(INDEX(L_ID,ROW()-4)="","",IF(SUMPRODUCT((P_ID=INDEX(L_ID,ROW()-4))*(P_StatusN="INACTIVE"))&gt;0,1,0))</f>
        <v/>
      </c>
    </row>
    <row r="2770">
      <c r="A2770">
        <f>IF(INDEX(L_ID,ROW()-4)="","",IF(COUNTIF(P_ID,INDEX(L_ID,ROW()-4))&gt;0,1,0))</f>
        <v/>
      </c>
      <c r="B2770">
        <f>IF(INDEX(P_Type,ROW()-4)="","",TRIM(UPPER(INDEX(P_Type,ROW()-4))))</f>
        <v/>
      </c>
      <c r="D2770">
        <f>IF(INDEX(L_Type,ROW()-4)="","",TRIM(UPPER(INDEX(L_Type,ROW()-4))))</f>
        <v/>
      </c>
      <c r="E2770">
        <f>IF(INDEX(P_Status,ROW()-4)="","",TRIM(UPPER(INDEX(P_Status,ROW()-4))))</f>
        <v/>
      </c>
      <c r="G2770">
        <f>IF(INDEX(L_Status,ROW()-4)="","",TRIM(UPPER(INDEX(L_Status,ROW()-4))))</f>
        <v/>
      </c>
      <c r="J2770">
        <f>IF(INDEX(L_ID,ROW()-4)="","",IF(SUMPRODUCT((P_ID=INDEX(L_ID,ROW()-4))*(P_StatusN="INACTIVE"))&gt;0,1,0))</f>
        <v/>
      </c>
    </row>
    <row r="2771">
      <c r="A2771">
        <f>IF(INDEX(L_ID,ROW()-4)="","",IF(COUNTIF(P_ID,INDEX(L_ID,ROW()-4))&gt;0,1,0))</f>
        <v/>
      </c>
      <c r="B2771">
        <f>IF(INDEX(P_Type,ROW()-4)="","",TRIM(UPPER(INDEX(P_Type,ROW()-4))))</f>
        <v/>
      </c>
      <c r="D2771">
        <f>IF(INDEX(L_Type,ROW()-4)="","",TRIM(UPPER(INDEX(L_Type,ROW()-4))))</f>
        <v/>
      </c>
      <c r="E2771">
        <f>IF(INDEX(P_Status,ROW()-4)="","",TRIM(UPPER(INDEX(P_Status,ROW()-4))))</f>
        <v/>
      </c>
      <c r="G2771">
        <f>IF(INDEX(L_Status,ROW()-4)="","",TRIM(UPPER(INDEX(L_Status,ROW()-4))))</f>
        <v/>
      </c>
      <c r="J2771">
        <f>IF(INDEX(L_ID,ROW()-4)="","",IF(SUMPRODUCT((P_ID=INDEX(L_ID,ROW()-4))*(P_StatusN="INACTIVE"))&gt;0,1,0))</f>
        <v/>
      </c>
    </row>
    <row r="2772">
      <c r="A2772">
        <f>IF(INDEX(L_ID,ROW()-4)="","",IF(COUNTIF(P_ID,INDEX(L_ID,ROW()-4))&gt;0,1,0))</f>
        <v/>
      </c>
      <c r="B2772">
        <f>IF(INDEX(P_Type,ROW()-4)="","",TRIM(UPPER(INDEX(P_Type,ROW()-4))))</f>
        <v/>
      </c>
      <c r="D2772">
        <f>IF(INDEX(L_Type,ROW()-4)="","",TRIM(UPPER(INDEX(L_Type,ROW()-4))))</f>
        <v/>
      </c>
      <c r="E2772">
        <f>IF(INDEX(P_Status,ROW()-4)="","",TRIM(UPPER(INDEX(P_Status,ROW()-4))))</f>
        <v/>
      </c>
      <c r="G2772">
        <f>IF(INDEX(L_Status,ROW()-4)="","",TRIM(UPPER(INDEX(L_Status,ROW()-4))))</f>
        <v/>
      </c>
      <c r="J2772">
        <f>IF(INDEX(L_ID,ROW()-4)="","",IF(SUMPRODUCT((P_ID=INDEX(L_ID,ROW()-4))*(P_StatusN="INACTIVE"))&gt;0,1,0))</f>
        <v/>
      </c>
    </row>
    <row r="2773">
      <c r="A2773">
        <f>IF(INDEX(L_ID,ROW()-4)="","",IF(COUNTIF(P_ID,INDEX(L_ID,ROW()-4))&gt;0,1,0))</f>
        <v/>
      </c>
      <c r="B2773">
        <f>IF(INDEX(P_Type,ROW()-4)="","",TRIM(UPPER(INDEX(P_Type,ROW()-4))))</f>
        <v/>
      </c>
      <c r="D2773">
        <f>IF(INDEX(L_Type,ROW()-4)="","",TRIM(UPPER(INDEX(L_Type,ROW()-4))))</f>
        <v/>
      </c>
      <c r="E2773">
        <f>IF(INDEX(P_Status,ROW()-4)="","",TRIM(UPPER(INDEX(P_Status,ROW()-4))))</f>
        <v/>
      </c>
      <c r="G2773">
        <f>IF(INDEX(L_Status,ROW()-4)="","",TRIM(UPPER(INDEX(L_Status,ROW()-4))))</f>
        <v/>
      </c>
      <c r="J2773">
        <f>IF(INDEX(L_ID,ROW()-4)="","",IF(SUMPRODUCT((P_ID=INDEX(L_ID,ROW()-4))*(P_StatusN="INACTIVE"))&gt;0,1,0))</f>
        <v/>
      </c>
    </row>
    <row r="2774">
      <c r="A2774">
        <f>IF(INDEX(L_ID,ROW()-4)="","",IF(COUNTIF(P_ID,INDEX(L_ID,ROW()-4))&gt;0,1,0))</f>
        <v/>
      </c>
      <c r="B2774">
        <f>IF(INDEX(P_Type,ROW()-4)="","",TRIM(UPPER(INDEX(P_Type,ROW()-4))))</f>
        <v/>
      </c>
      <c r="D2774">
        <f>IF(INDEX(L_Type,ROW()-4)="","",TRIM(UPPER(INDEX(L_Type,ROW()-4))))</f>
        <v/>
      </c>
      <c r="E2774">
        <f>IF(INDEX(P_Status,ROW()-4)="","",TRIM(UPPER(INDEX(P_Status,ROW()-4))))</f>
        <v/>
      </c>
      <c r="G2774">
        <f>IF(INDEX(L_Status,ROW()-4)="","",TRIM(UPPER(INDEX(L_Status,ROW()-4))))</f>
        <v/>
      </c>
      <c r="J2774">
        <f>IF(INDEX(L_ID,ROW()-4)="","",IF(SUMPRODUCT((P_ID=INDEX(L_ID,ROW()-4))*(P_StatusN="INACTIVE"))&gt;0,1,0))</f>
        <v/>
      </c>
    </row>
    <row r="2775">
      <c r="A2775">
        <f>IF(INDEX(L_ID,ROW()-4)="","",IF(COUNTIF(P_ID,INDEX(L_ID,ROW()-4))&gt;0,1,0))</f>
        <v/>
      </c>
      <c r="B2775">
        <f>IF(INDEX(P_Type,ROW()-4)="","",TRIM(UPPER(INDEX(P_Type,ROW()-4))))</f>
        <v/>
      </c>
      <c r="D2775">
        <f>IF(INDEX(L_Type,ROW()-4)="","",TRIM(UPPER(INDEX(L_Type,ROW()-4))))</f>
        <v/>
      </c>
      <c r="E2775">
        <f>IF(INDEX(P_Status,ROW()-4)="","",TRIM(UPPER(INDEX(P_Status,ROW()-4))))</f>
        <v/>
      </c>
      <c r="G2775">
        <f>IF(INDEX(L_Status,ROW()-4)="","",TRIM(UPPER(INDEX(L_Status,ROW()-4))))</f>
        <v/>
      </c>
      <c r="J2775">
        <f>IF(INDEX(L_ID,ROW()-4)="","",IF(SUMPRODUCT((P_ID=INDEX(L_ID,ROW()-4))*(P_StatusN="INACTIVE"))&gt;0,1,0))</f>
        <v/>
      </c>
    </row>
    <row r="2776">
      <c r="A2776">
        <f>IF(INDEX(L_ID,ROW()-4)="","",IF(COUNTIF(P_ID,INDEX(L_ID,ROW()-4))&gt;0,1,0))</f>
        <v/>
      </c>
      <c r="B2776">
        <f>IF(INDEX(P_Type,ROW()-4)="","",TRIM(UPPER(INDEX(P_Type,ROW()-4))))</f>
        <v/>
      </c>
      <c r="D2776">
        <f>IF(INDEX(L_Type,ROW()-4)="","",TRIM(UPPER(INDEX(L_Type,ROW()-4))))</f>
        <v/>
      </c>
      <c r="E2776">
        <f>IF(INDEX(P_Status,ROW()-4)="","",TRIM(UPPER(INDEX(P_Status,ROW()-4))))</f>
        <v/>
      </c>
      <c r="G2776">
        <f>IF(INDEX(L_Status,ROW()-4)="","",TRIM(UPPER(INDEX(L_Status,ROW()-4))))</f>
        <v/>
      </c>
      <c r="J2776">
        <f>IF(INDEX(L_ID,ROW()-4)="","",IF(SUMPRODUCT((P_ID=INDEX(L_ID,ROW()-4))*(P_StatusN="INACTIVE"))&gt;0,1,0))</f>
        <v/>
      </c>
    </row>
    <row r="2777">
      <c r="A2777">
        <f>IF(INDEX(L_ID,ROW()-4)="","",IF(COUNTIF(P_ID,INDEX(L_ID,ROW()-4))&gt;0,1,0))</f>
        <v/>
      </c>
      <c r="B2777">
        <f>IF(INDEX(P_Type,ROW()-4)="","",TRIM(UPPER(INDEX(P_Type,ROW()-4))))</f>
        <v/>
      </c>
      <c r="D2777">
        <f>IF(INDEX(L_Type,ROW()-4)="","",TRIM(UPPER(INDEX(L_Type,ROW()-4))))</f>
        <v/>
      </c>
      <c r="E2777">
        <f>IF(INDEX(P_Status,ROW()-4)="","",TRIM(UPPER(INDEX(P_Status,ROW()-4))))</f>
        <v/>
      </c>
      <c r="G2777">
        <f>IF(INDEX(L_Status,ROW()-4)="","",TRIM(UPPER(INDEX(L_Status,ROW()-4))))</f>
        <v/>
      </c>
      <c r="J2777">
        <f>IF(INDEX(L_ID,ROW()-4)="","",IF(SUMPRODUCT((P_ID=INDEX(L_ID,ROW()-4))*(P_StatusN="INACTIVE"))&gt;0,1,0))</f>
        <v/>
      </c>
    </row>
    <row r="2778">
      <c r="A2778">
        <f>IF(INDEX(L_ID,ROW()-4)="","",IF(COUNTIF(P_ID,INDEX(L_ID,ROW()-4))&gt;0,1,0))</f>
        <v/>
      </c>
      <c r="B2778">
        <f>IF(INDEX(P_Type,ROW()-4)="","",TRIM(UPPER(INDEX(P_Type,ROW()-4))))</f>
        <v/>
      </c>
      <c r="D2778">
        <f>IF(INDEX(L_Type,ROW()-4)="","",TRIM(UPPER(INDEX(L_Type,ROW()-4))))</f>
        <v/>
      </c>
      <c r="E2778">
        <f>IF(INDEX(P_Status,ROW()-4)="","",TRIM(UPPER(INDEX(P_Status,ROW()-4))))</f>
        <v/>
      </c>
      <c r="G2778">
        <f>IF(INDEX(L_Status,ROW()-4)="","",TRIM(UPPER(INDEX(L_Status,ROW()-4))))</f>
        <v/>
      </c>
      <c r="J2778">
        <f>IF(INDEX(L_ID,ROW()-4)="","",IF(SUMPRODUCT((P_ID=INDEX(L_ID,ROW()-4))*(P_StatusN="INACTIVE"))&gt;0,1,0))</f>
        <v/>
      </c>
    </row>
    <row r="2779">
      <c r="A2779">
        <f>IF(INDEX(L_ID,ROW()-4)="","",IF(COUNTIF(P_ID,INDEX(L_ID,ROW()-4))&gt;0,1,0))</f>
        <v/>
      </c>
      <c r="B2779">
        <f>IF(INDEX(P_Type,ROW()-4)="","",TRIM(UPPER(INDEX(P_Type,ROW()-4))))</f>
        <v/>
      </c>
      <c r="D2779">
        <f>IF(INDEX(L_Type,ROW()-4)="","",TRIM(UPPER(INDEX(L_Type,ROW()-4))))</f>
        <v/>
      </c>
      <c r="E2779">
        <f>IF(INDEX(P_Status,ROW()-4)="","",TRIM(UPPER(INDEX(P_Status,ROW()-4))))</f>
        <v/>
      </c>
      <c r="G2779">
        <f>IF(INDEX(L_Status,ROW()-4)="","",TRIM(UPPER(INDEX(L_Status,ROW()-4))))</f>
        <v/>
      </c>
      <c r="J2779">
        <f>IF(INDEX(L_ID,ROW()-4)="","",IF(SUMPRODUCT((P_ID=INDEX(L_ID,ROW()-4))*(P_StatusN="INACTIVE"))&gt;0,1,0))</f>
        <v/>
      </c>
    </row>
    <row r="2780">
      <c r="A2780">
        <f>IF(INDEX(L_ID,ROW()-4)="","",IF(COUNTIF(P_ID,INDEX(L_ID,ROW()-4))&gt;0,1,0))</f>
        <v/>
      </c>
      <c r="B2780">
        <f>IF(INDEX(P_Type,ROW()-4)="","",TRIM(UPPER(INDEX(P_Type,ROW()-4))))</f>
        <v/>
      </c>
      <c r="D2780">
        <f>IF(INDEX(L_Type,ROW()-4)="","",TRIM(UPPER(INDEX(L_Type,ROW()-4))))</f>
        <v/>
      </c>
      <c r="E2780">
        <f>IF(INDEX(P_Status,ROW()-4)="","",TRIM(UPPER(INDEX(P_Status,ROW()-4))))</f>
        <v/>
      </c>
      <c r="G2780">
        <f>IF(INDEX(L_Status,ROW()-4)="","",TRIM(UPPER(INDEX(L_Status,ROW()-4))))</f>
        <v/>
      </c>
      <c r="J2780">
        <f>IF(INDEX(L_ID,ROW()-4)="","",IF(SUMPRODUCT((P_ID=INDEX(L_ID,ROW()-4))*(P_StatusN="INACTIVE"))&gt;0,1,0))</f>
        <v/>
      </c>
    </row>
    <row r="2781">
      <c r="A2781">
        <f>IF(INDEX(L_ID,ROW()-4)="","",IF(COUNTIF(P_ID,INDEX(L_ID,ROW()-4))&gt;0,1,0))</f>
        <v/>
      </c>
      <c r="B2781">
        <f>IF(INDEX(P_Type,ROW()-4)="","",TRIM(UPPER(INDEX(P_Type,ROW()-4))))</f>
        <v/>
      </c>
      <c r="D2781">
        <f>IF(INDEX(L_Type,ROW()-4)="","",TRIM(UPPER(INDEX(L_Type,ROW()-4))))</f>
        <v/>
      </c>
      <c r="E2781">
        <f>IF(INDEX(P_Status,ROW()-4)="","",TRIM(UPPER(INDEX(P_Status,ROW()-4))))</f>
        <v/>
      </c>
      <c r="G2781">
        <f>IF(INDEX(L_Status,ROW()-4)="","",TRIM(UPPER(INDEX(L_Status,ROW()-4))))</f>
        <v/>
      </c>
      <c r="J2781">
        <f>IF(INDEX(L_ID,ROW()-4)="","",IF(SUMPRODUCT((P_ID=INDEX(L_ID,ROW()-4))*(P_StatusN="INACTIVE"))&gt;0,1,0))</f>
        <v/>
      </c>
    </row>
    <row r="2782">
      <c r="A2782">
        <f>IF(INDEX(L_ID,ROW()-4)="","",IF(COUNTIF(P_ID,INDEX(L_ID,ROW()-4))&gt;0,1,0))</f>
        <v/>
      </c>
      <c r="B2782">
        <f>IF(INDEX(P_Type,ROW()-4)="","",TRIM(UPPER(INDEX(P_Type,ROW()-4))))</f>
        <v/>
      </c>
      <c r="D2782">
        <f>IF(INDEX(L_Type,ROW()-4)="","",TRIM(UPPER(INDEX(L_Type,ROW()-4))))</f>
        <v/>
      </c>
      <c r="E2782">
        <f>IF(INDEX(P_Status,ROW()-4)="","",TRIM(UPPER(INDEX(P_Status,ROW()-4))))</f>
        <v/>
      </c>
      <c r="G2782">
        <f>IF(INDEX(L_Status,ROW()-4)="","",TRIM(UPPER(INDEX(L_Status,ROW()-4))))</f>
        <v/>
      </c>
      <c r="J2782">
        <f>IF(INDEX(L_ID,ROW()-4)="","",IF(SUMPRODUCT((P_ID=INDEX(L_ID,ROW()-4))*(P_StatusN="INACTIVE"))&gt;0,1,0))</f>
        <v/>
      </c>
    </row>
    <row r="2783">
      <c r="A2783">
        <f>IF(INDEX(L_ID,ROW()-4)="","",IF(COUNTIF(P_ID,INDEX(L_ID,ROW()-4))&gt;0,1,0))</f>
        <v/>
      </c>
      <c r="B2783">
        <f>IF(INDEX(P_Type,ROW()-4)="","",TRIM(UPPER(INDEX(P_Type,ROW()-4))))</f>
        <v/>
      </c>
      <c r="D2783">
        <f>IF(INDEX(L_Type,ROW()-4)="","",TRIM(UPPER(INDEX(L_Type,ROW()-4))))</f>
        <v/>
      </c>
      <c r="E2783">
        <f>IF(INDEX(P_Status,ROW()-4)="","",TRIM(UPPER(INDEX(P_Status,ROW()-4))))</f>
        <v/>
      </c>
      <c r="G2783">
        <f>IF(INDEX(L_Status,ROW()-4)="","",TRIM(UPPER(INDEX(L_Status,ROW()-4))))</f>
        <v/>
      </c>
      <c r="J2783">
        <f>IF(INDEX(L_ID,ROW()-4)="","",IF(SUMPRODUCT((P_ID=INDEX(L_ID,ROW()-4))*(P_StatusN="INACTIVE"))&gt;0,1,0))</f>
        <v/>
      </c>
    </row>
    <row r="2784">
      <c r="A2784">
        <f>IF(INDEX(L_ID,ROW()-4)="","",IF(COUNTIF(P_ID,INDEX(L_ID,ROW()-4))&gt;0,1,0))</f>
        <v/>
      </c>
      <c r="B2784">
        <f>IF(INDEX(P_Type,ROW()-4)="","",TRIM(UPPER(INDEX(P_Type,ROW()-4))))</f>
        <v/>
      </c>
      <c r="D2784">
        <f>IF(INDEX(L_Type,ROW()-4)="","",TRIM(UPPER(INDEX(L_Type,ROW()-4))))</f>
        <v/>
      </c>
      <c r="E2784">
        <f>IF(INDEX(P_Status,ROW()-4)="","",TRIM(UPPER(INDEX(P_Status,ROW()-4))))</f>
        <v/>
      </c>
      <c r="G2784">
        <f>IF(INDEX(L_Status,ROW()-4)="","",TRIM(UPPER(INDEX(L_Status,ROW()-4))))</f>
        <v/>
      </c>
      <c r="J2784">
        <f>IF(INDEX(L_ID,ROW()-4)="","",IF(SUMPRODUCT((P_ID=INDEX(L_ID,ROW()-4))*(P_StatusN="INACTIVE"))&gt;0,1,0))</f>
        <v/>
      </c>
    </row>
    <row r="2785">
      <c r="A2785">
        <f>IF(INDEX(L_ID,ROW()-4)="","",IF(COUNTIF(P_ID,INDEX(L_ID,ROW()-4))&gt;0,1,0))</f>
        <v/>
      </c>
      <c r="B2785">
        <f>IF(INDEX(P_Type,ROW()-4)="","",TRIM(UPPER(INDEX(P_Type,ROW()-4))))</f>
        <v/>
      </c>
      <c r="D2785">
        <f>IF(INDEX(L_Type,ROW()-4)="","",TRIM(UPPER(INDEX(L_Type,ROW()-4))))</f>
        <v/>
      </c>
      <c r="E2785">
        <f>IF(INDEX(P_Status,ROW()-4)="","",TRIM(UPPER(INDEX(P_Status,ROW()-4))))</f>
        <v/>
      </c>
      <c r="G2785">
        <f>IF(INDEX(L_Status,ROW()-4)="","",TRIM(UPPER(INDEX(L_Status,ROW()-4))))</f>
        <v/>
      </c>
      <c r="J2785">
        <f>IF(INDEX(L_ID,ROW()-4)="","",IF(SUMPRODUCT((P_ID=INDEX(L_ID,ROW()-4))*(P_StatusN="INACTIVE"))&gt;0,1,0))</f>
        <v/>
      </c>
    </row>
    <row r="2786">
      <c r="A2786">
        <f>IF(INDEX(L_ID,ROW()-4)="","",IF(COUNTIF(P_ID,INDEX(L_ID,ROW()-4))&gt;0,1,0))</f>
        <v/>
      </c>
      <c r="B2786">
        <f>IF(INDEX(P_Type,ROW()-4)="","",TRIM(UPPER(INDEX(P_Type,ROW()-4))))</f>
        <v/>
      </c>
      <c r="D2786">
        <f>IF(INDEX(L_Type,ROW()-4)="","",TRIM(UPPER(INDEX(L_Type,ROW()-4))))</f>
        <v/>
      </c>
      <c r="E2786">
        <f>IF(INDEX(P_Status,ROW()-4)="","",TRIM(UPPER(INDEX(P_Status,ROW()-4))))</f>
        <v/>
      </c>
      <c r="G2786">
        <f>IF(INDEX(L_Status,ROW()-4)="","",TRIM(UPPER(INDEX(L_Status,ROW()-4))))</f>
        <v/>
      </c>
      <c r="J2786">
        <f>IF(INDEX(L_ID,ROW()-4)="","",IF(SUMPRODUCT((P_ID=INDEX(L_ID,ROW()-4))*(P_StatusN="INACTIVE"))&gt;0,1,0))</f>
        <v/>
      </c>
    </row>
    <row r="2787">
      <c r="A2787">
        <f>IF(INDEX(L_ID,ROW()-4)="","",IF(COUNTIF(P_ID,INDEX(L_ID,ROW()-4))&gt;0,1,0))</f>
        <v/>
      </c>
      <c r="B2787">
        <f>IF(INDEX(P_Type,ROW()-4)="","",TRIM(UPPER(INDEX(P_Type,ROW()-4))))</f>
        <v/>
      </c>
      <c r="D2787">
        <f>IF(INDEX(L_Type,ROW()-4)="","",TRIM(UPPER(INDEX(L_Type,ROW()-4))))</f>
        <v/>
      </c>
      <c r="E2787">
        <f>IF(INDEX(P_Status,ROW()-4)="","",TRIM(UPPER(INDEX(P_Status,ROW()-4))))</f>
        <v/>
      </c>
      <c r="G2787">
        <f>IF(INDEX(L_Status,ROW()-4)="","",TRIM(UPPER(INDEX(L_Status,ROW()-4))))</f>
        <v/>
      </c>
      <c r="J2787">
        <f>IF(INDEX(L_ID,ROW()-4)="","",IF(SUMPRODUCT((P_ID=INDEX(L_ID,ROW()-4))*(P_StatusN="INACTIVE"))&gt;0,1,0))</f>
        <v/>
      </c>
    </row>
    <row r="2788">
      <c r="A2788">
        <f>IF(INDEX(L_ID,ROW()-4)="","",IF(COUNTIF(P_ID,INDEX(L_ID,ROW()-4))&gt;0,1,0))</f>
        <v/>
      </c>
      <c r="B2788">
        <f>IF(INDEX(P_Type,ROW()-4)="","",TRIM(UPPER(INDEX(P_Type,ROW()-4))))</f>
        <v/>
      </c>
      <c r="D2788">
        <f>IF(INDEX(L_Type,ROW()-4)="","",TRIM(UPPER(INDEX(L_Type,ROW()-4))))</f>
        <v/>
      </c>
      <c r="E2788">
        <f>IF(INDEX(P_Status,ROW()-4)="","",TRIM(UPPER(INDEX(P_Status,ROW()-4))))</f>
        <v/>
      </c>
      <c r="G2788">
        <f>IF(INDEX(L_Status,ROW()-4)="","",TRIM(UPPER(INDEX(L_Status,ROW()-4))))</f>
        <v/>
      </c>
      <c r="J2788">
        <f>IF(INDEX(L_ID,ROW()-4)="","",IF(SUMPRODUCT((P_ID=INDEX(L_ID,ROW()-4))*(P_StatusN="INACTIVE"))&gt;0,1,0))</f>
        <v/>
      </c>
    </row>
    <row r="2789">
      <c r="A2789">
        <f>IF(INDEX(L_ID,ROW()-4)="","",IF(COUNTIF(P_ID,INDEX(L_ID,ROW()-4))&gt;0,1,0))</f>
        <v/>
      </c>
      <c r="B2789">
        <f>IF(INDEX(P_Type,ROW()-4)="","",TRIM(UPPER(INDEX(P_Type,ROW()-4))))</f>
        <v/>
      </c>
      <c r="D2789">
        <f>IF(INDEX(L_Type,ROW()-4)="","",TRIM(UPPER(INDEX(L_Type,ROW()-4))))</f>
        <v/>
      </c>
      <c r="E2789">
        <f>IF(INDEX(P_Status,ROW()-4)="","",TRIM(UPPER(INDEX(P_Status,ROW()-4))))</f>
        <v/>
      </c>
      <c r="G2789">
        <f>IF(INDEX(L_Status,ROW()-4)="","",TRIM(UPPER(INDEX(L_Status,ROW()-4))))</f>
        <v/>
      </c>
      <c r="J2789">
        <f>IF(INDEX(L_ID,ROW()-4)="","",IF(SUMPRODUCT((P_ID=INDEX(L_ID,ROW()-4))*(P_StatusN="INACTIVE"))&gt;0,1,0))</f>
        <v/>
      </c>
    </row>
    <row r="2790">
      <c r="A2790">
        <f>IF(INDEX(L_ID,ROW()-4)="","",IF(COUNTIF(P_ID,INDEX(L_ID,ROW()-4))&gt;0,1,0))</f>
        <v/>
      </c>
      <c r="B2790">
        <f>IF(INDEX(P_Type,ROW()-4)="","",TRIM(UPPER(INDEX(P_Type,ROW()-4))))</f>
        <v/>
      </c>
      <c r="D2790">
        <f>IF(INDEX(L_Type,ROW()-4)="","",TRIM(UPPER(INDEX(L_Type,ROW()-4))))</f>
        <v/>
      </c>
      <c r="E2790">
        <f>IF(INDEX(P_Status,ROW()-4)="","",TRIM(UPPER(INDEX(P_Status,ROW()-4))))</f>
        <v/>
      </c>
      <c r="G2790">
        <f>IF(INDEX(L_Status,ROW()-4)="","",TRIM(UPPER(INDEX(L_Status,ROW()-4))))</f>
        <v/>
      </c>
      <c r="J2790">
        <f>IF(INDEX(L_ID,ROW()-4)="","",IF(SUMPRODUCT((P_ID=INDEX(L_ID,ROW()-4))*(P_StatusN="INACTIVE"))&gt;0,1,0))</f>
        <v/>
      </c>
    </row>
    <row r="2791">
      <c r="A2791">
        <f>IF(INDEX(L_ID,ROW()-4)="","",IF(COUNTIF(P_ID,INDEX(L_ID,ROW()-4))&gt;0,1,0))</f>
        <v/>
      </c>
      <c r="B2791">
        <f>IF(INDEX(P_Type,ROW()-4)="","",TRIM(UPPER(INDEX(P_Type,ROW()-4))))</f>
        <v/>
      </c>
      <c r="D2791">
        <f>IF(INDEX(L_Type,ROW()-4)="","",TRIM(UPPER(INDEX(L_Type,ROW()-4))))</f>
        <v/>
      </c>
      <c r="E2791">
        <f>IF(INDEX(P_Status,ROW()-4)="","",TRIM(UPPER(INDEX(P_Status,ROW()-4))))</f>
        <v/>
      </c>
      <c r="G2791">
        <f>IF(INDEX(L_Status,ROW()-4)="","",TRIM(UPPER(INDEX(L_Status,ROW()-4))))</f>
        <v/>
      </c>
      <c r="J2791">
        <f>IF(INDEX(L_ID,ROW()-4)="","",IF(SUMPRODUCT((P_ID=INDEX(L_ID,ROW()-4))*(P_StatusN="INACTIVE"))&gt;0,1,0))</f>
        <v/>
      </c>
    </row>
    <row r="2792">
      <c r="A2792">
        <f>IF(INDEX(L_ID,ROW()-4)="","",IF(COUNTIF(P_ID,INDEX(L_ID,ROW()-4))&gt;0,1,0))</f>
        <v/>
      </c>
      <c r="B2792">
        <f>IF(INDEX(P_Type,ROW()-4)="","",TRIM(UPPER(INDEX(P_Type,ROW()-4))))</f>
        <v/>
      </c>
      <c r="D2792">
        <f>IF(INDEX(L_Type,ROW()-4)="","",TRIM(UPPER(INDEX(L_Type,ROW()-4))))</f>
        <v/>
      </c>
      <c r="E2792">
        <f>IF(INDEX(P_Status,ROW()-4)="","",TRIM(UPPER(INDEX(P_Status,ROW()-4))))</f>
        <v/>
      </c>
      <c r="G2792">
        <f>IF(INDEX(L_Status,ROW()-4)="","",TRIM(UPPER(INDEX(L_Status,ROW()-4))))</f>
        <v/>
      </c>
      <c r="J2792">
        <f>IF(INDEX(L_ID,ROW()-4)="","",IF(SUMPRODUCT((P_ID=INDEX(L_ID,ROW()-4))*(P_StatusN="INACTIVE"))&gt;0,1,0))</f>
        <v/>
      </c>
    </row>
    <row r="2793">
      <c r="A2793">
        <f>IF(INDEX(L_ID,ROW()-4)="","",IF(COUNTIF(P_ID,INDEX(L_ID,ROW()-4))&gt;0,1,0))</f>
        <v/>
      </c>
      <c r="B2793">
        <f>IF(INDEX(P_Type,ROW()-4)="","",TRIM(UPPER(INDEX(P_Type,ROW()-4))))</f>
        <v/>
      </c>
      <c r="D2793">
        <f>IF(INDEX(L_Type,ROW()-4)="","",TRIM(UPPER(INDEX(L_Type,ROW()-4))))</f>
        <v/>
      </c>
      <c r="E2793">
        <f>IF(INDEX(P_Status,ROW()-4)="","",TRIM(UPPER(INDEX(P_Status,ROW()-4))))</f>
        <v/>
      </c>
      <c r="G2793">
        <f>IF(INDEX(L_Status,ROW()-4)="","",TRIM(UPPER(INDEX(L_Status,ROW()-4))))</f>
        <v/>
      </c>
      <c r="J2793">
        <f>IF(INDEX(L_ID,ROW()-4)="","",IF(SUMPRODUCT((P_ID=INDEX(L_ID,ROW()-4))*(P_StatusN="INACTIVE"))&gt;0,1,0))</f>
        <v/>
      </c>
    </row>
    <row r="2794">
      <c r="A2794">
        <f>IF(INDEX(L_ID,ROW()-4)="","",IF(COUNTIF(P_ID,INDEX(L_ID,ROW()-4))&gt;0,1,0))</f>
        <v/>
      </c>
      <c r="B2794">
        <f>IF(INDEX(P_Type,ROW()-4)="","",TRIM(UPPER(INDEX(P_Type,ROW()-4))))</f>
        <v/>
      </c>
      <c r="D2794">
        <f>IF(INDEX(L_Type,ROW()-4)="","",TRIM(UPPER(INDEX(L_Type,ROW()-4))))</f>
        <v/>
      </c>
      <c r="E2794">
        <f>IF(INDEX(P_Status,ROW()-4)="","",TRIM(UPPER(INDEX(P_Status,ROW()-4))))</f>
        <v/>
      </c>
      <c r="G2794">
        <f>IF(INDEX(L_Status,ROW()-4)="","",TRIM(UPPER(INDEX(L_Status,ROW()-4))))</f>
        <v/>
      </c>
      <c r="J2794">
        <f>IF(INDEX(L_ID,ROW()-4)="","",IF(SUMPRODUCT((P_ID=INDEX(L_ID,ROW()-4))*(P_StatusN="INACTIVE"))&gt;0,1,0))</f>
        <v/>
      </c>
    </row>
    <row r="2795">
      <c r="A2795">
        <f>IF(INDEX(L_ID,ROW()-4)="","",IF(COUNTIF(P_ID,INDEX(L_ID,ROW()-4))&gt;0,1,0))</f>
        <v/>
      </c>
      <c r="B2795">
        <f>IF(INDEX(P_Type,ROW()-4)="","",TRIM(UPPER(INDEX(P_Type,ROW()-4))))</f>
        <v/>
      </c>
      <c r="D2795">
        <f>IF(INDEX(L_Type,ROW()-4)="","",TRIM(UPPER(INDEX(L_Type,ROW()-4))))</f>
        <v/>
      </c>
      <c r="E2795">
        <f>IF(INDEX(P_Status,ROW()-4)="","",TRIM(UPPER(INDEX(P_Status,ROW()-4))))</f>
        <v/>
      </c>
      <c r="G2795">
        <f>IF(INDEX(L_Status,ROW()-4)="","",TRIM(UPPER(INDEX(L_Status,ROW()-4))))</f>
        <v/>
      </c>
      <c r="J2795">
        <f>IF(INDEX(L_ID,ROW()-4)="","",IF(SUMPRODUCT((P_ID=INDEX(L_ID,ROW()-4))*(P_StatusN="INACTIVE"))&gt;0,1,0))</f>
        <v/>
      </c>
    </row>
    <row r="2796">
      <c r="A2796">
        <f>IF(INDEX(L_ID,ROW()-4)="","",IF(COUNTIF(P_ID,INDEX(L_ID,ROW()-4))&gt;0,1,0))</f>
        <v/>
      </c>
      <c r="B2796">
        <f>IF(INDEX(P_Type,ROW()-4)="","",TRIM(UPPER(INDEX(P_Type,ROW()-4))))</f>
        <v/>
      </c>
      <c r="D2796">
        <f>IF(INDEX(L_Type,ROW()-4)="","",TRIM(UPPER(INDEX(L_Type,ROW()-4))))</f>
        <v/>
      </c>
      <c r="E2796">
        <f>IF(INDEX(P_Status,ROW()-4)="","",TRIM(UPPER(INDEX(P_Status,ROW()-4))))</f>
        <v/>
      </c>
      <c r="G2796">
        <f>IF(INDEX(L_Status,ROW()-4)="","",TRIM(UPPER(INDEX(L_Status,ROW()-4))))</f>
        <v/>
      </c>
      <c r="J2796">
        <f>IF(INDEX(L_ID,ROW()-4)="","",IF(SUMPRODUCT((P_ID=INDEX(L_ID,ROW()-4))*(P_StatusN="INACTIVE"))&gt;0,1,0))</f>
        <v/>
      </c>
    </row>
    <row r="2797">
      <c r="A2797">
        <f>IF(INDEX(L_ID,ROW()-4)="","",IF(COUNTIF(P_ID,INDEX(L_ID,ROW()-4))&gt;0,1,0))</f>
        <v/>
      </c>
      <c r="B2797">
        <f>IF(INDEX(P_Type,ROW()-4)="","",TRIM(UPPER(INDEX(P_Type,ROW()-4))))</f>
        <v/>
      </c>
      <c r="D2797">
        <f>IF(INDEX(L_Type,ROW()-4)="","",TRIM(UPPER(INDEX(L_Type,ROW()-4))))</f>
        <v/>
      </c>
      <c r="E2797">
        <f>IF(INDEX(P_Status,ROW()-4)="","",TRIM(UPPER(INDEX(P_Status,ROW()-4))))</f>
        <v/>
      </c>
      <c r="G2797">
        <f>IF(INDEX(L_Status,ROW()-4)="","",TRIM(UPPER(INDEX(L_Status,ROW()-4))))</f>
        <v/>
      </c>
      <c r="J2797">
        <f>IF(INDEX(L_ID,ROW()-4)="","",IF(SUMPRODUCT((P_ID=INDEX(L_ID,ROW()-4))*(P_StatusN="INACTIVE"))&gt;0,1,0))</f>
        <v/>
      </c>
    </row>
    <row r="2798">
      <c r="A2798">
        <f>IF(INDEX(L_ID,ROW()-4)="","",IF(COUNTIF(P_ID,INDEX(L_ID,ROW()-4))&gt;0,1,0))</f>
        <v/>
      </c>
      <c r="B2798">
        <f>IF(INDEX(P_Type,ROW()-4)="","",TRIM(UPPER(INDEX(P_Type,ROW()-4))))</f>
        <v/>
      </c>
      <c r="D2798">
        <f>IF(INDEX(L_Type,ROW()-4)="","",TRIM(UPPER(INDEX(L_Type,ROW()-4))))</f>
        <v/>
      </c>
      <c r="E2798">
        <f>IF(INDEX(P_Status,ROW()-4)="","",TRIM(UPPER(INDEX(P_Status,ROW()-4))))</f>
        <v/>
      </c>
      <c r="G2798">
        <f>IF(INDEX(L_Status,ROW()-4)="","",TRIM(UPPER(INDEX(L_Status,ROW()-4))))</f>
        <v/>
      </c>
      <c r="J2798">
        <f>IF(INDEX(L_ID,ROW()-4)="","",IF(SUMPRODUCT((P_ID=INDEX(L_ID,ROW()-4))*(P_StatusN="INACTIVE"))&gt;0,1,0))</f>
        <v/>
      </c>
    </row>
    <row r="2799">
      <c r="A2799">
        <f>IF(INDEX(L_ID,ROW()-4)="","",IF(COUNTIF(P_ID,INDEX(L_ID,ROW()-4))&gt;0,1,0))</f>
        <v/>
      </c>
      <c r="B2799">
        <f>IF(INDEX(P_Type,ROW()-4)="","",TRIM(UPPER(INDEX(P_Type,ROW()-4))))</f>
        <v/>
      </c>
      <c r="D2799">
        <f>IF(INDEX(L_Type,ROW()-4)="","",TRIM(UPPER(INDEX(L_Type,ROW()-4))))</f>
        <v/>
      </c>
      <c r="E2799">
        <f>IF(INDEX(P_Status,ROW()-4)="","",TRIM(UPPER(INDEX(P_Status,ROW()-4))))</f>
        <v/>
      </c>
      <c r="G2799">
        <f>IF(INDEX(L_Status,ROW()-4)="","",TRIM(UPPER(INDEX(L_Status,ROW()-4))))</f>
        <v/>
      </c>
      <c r="J2799">
        <f>IF(INDEX(L_ID,ROW()-4)="","",IF(SUMPRODUCT((P_ID=INDEX(L_ID,ROW()-4))*(P_StatusN="INACTIVE"))&gt;0,1,0))</f>
        <v/>
      </c>
    </row>
    <row r="2800">
      <c r="A2800">
        <f>IF(INDEX(L_ID,ROW()-4)="","",IF(COUNTIF(P_ID,INDEX(L_ID,ROW()-4))&gt;0,1,0))</f>
        <v/>
      </c>
      <c r="B2800">
        <f>IF(INDEX(P_Type,ROW()-4)="","",TRIM(UPPER(INDEX(P_Type,ROW()-4))))</f>
        <v/>
      </c>
      <c r="D2800">
        <f>IF(INDEX(L_Type,ROW()-4)="","",TRIM(UPPER(INDEX(L_Type,ROW()-4))))</f>
        <v/>
      </c>
      <c r="E2800">
        <f>IF(INDEX(P_Status,ROW()-4)="","",TRIM(UPPER(INDEX(P_Status,ROW()-4))))</f>
        <v/>
      </c>
      <c r="G2800">
        <f>IF(INDEX(L_Status,ROW()-4)="","",TRIM(UPPER(INDEX(L_Status,ROW()-4))))</f>
        <v/>
      </c>
      <c r="J2800">
        <f>IF(INDEX(L_ID,ROW()-4)="","",IF(SUMPRODUCT((P_ID=INDEX(L_ID,ROW()-4))*(P_StatusN="INACTIVE"))&gt;0,1,0))</f>
        <v/>
      </c>
    </row>
    <row r="2801">
      <c r="A2801">
        <f>IF(INDEX(L_ID,ROW()-4)="","",IF(COUNTIF(P_ID,INDEX(L_ID,ROW()-4))&gt;0,1,0))</f>
        <v/>
      </c>
      <c r="B2801">
        <f>IF(INDEX(P_Type,ROW()-4)="","",TRIM(UPPER(INDEX(P_Type,ROW()-4))))</f>
        <v/>
      </c>
      <c r="D2801">
        <f>IF(INDEX(L_Type,ROW()-4)="","",TRIM(UPPER(INDEX(L_Type,ROW()-4))))</f>
        <v/>
      </c>
      <c r="E2801">
        <f>IF(INDEX(P_Status,ROW()-4)="","",TRIM(UPPER(INDEX(P_Status,ROW()-4))))</f>
        <v/>
      </c>
      <c r="G2801">
        <f>IF(INDEX(L_Status,ROW()-4)="","",TRIM(UPPER(INDEX(L_Status,ROW()-4))))</f>
        <v/>
      </c>
      <c r="J2801">
        <f>IF(INDEX(L_ID,ROW()-4)="","",IF(SUMPRODUCT((P_ID=INDEX(L_ID,ROW()-4))*(P_StatusN="INACTIVE"))&gt;0,1,0))</f>
        <v/>
      </c>
    </row>
    <row r="2802">
      <c r="A2802">
        <f>IF(INDEX(L_ID,ROW()-4)="","",IF(COUNTIF(P_ID,INDEX(L_ID,ROW()-4))&gt;0,1,0))</f>
        <v/>
      </c>
      <c r="B2802">
        <f>IF(INDEX(P_Type,ROW()-4)="","",TRIM(UPPER(INDEX(P_Type,ROW()-4))))</f>
        <v/>
      </c>
      <c r="D2802">
        <f>IF(INDEX(L_Type,ROW()-4)="","",TRIM(UPPER(INDEX(L_Type,ROW()-4))))</f>
        <v/>
      </c>
      <c r="E2802">
        <f>IF(INDEX(P_Status,ROW()-4)="","",TRIM(UPPER(INDEX(P_Status,ROW()-4))))</f>
        <v/>
      </c>
      <c r="G2802">
        <f>IF(INDEX(L_Status,ROW()-4)="","",TRIM(UPPER(INDEX(L_Status,ROW()-4))))</f>
        <v/>
      </c>
      <c r="J2802">
        <f>IF(INDEX(L_ID,ROW()-4)="","",IF(SUMPRODUCT((P_ID=INDEX(L_ID,ROW()-4))*(P_StatusN="INACTIVE"))&gt;0,1,0))</f>
        <v/>
      </c>
    </row>
    <row r="2803">
      <c r="A2803">
        <f>IF(INDEX(L_ID,ROW()-4)="","",IF(COUNTIF(P_ID,INDEX(L_ID,ROW()-4))&gt;0,1,0))</f>
        <v/>
      </c>
      <c r="B2803">
        <f>IF(INDEX(P_Type,ROW()-4)="","",TRIM(UPPER(INDEX(P_Type,ROW()-4))))</f>
        <v/>
      </c>
      <c r="D2803">
        <f>IF(INDEX(L_Type,ROW()-4)="","",TRIM(UPPER(INDEX(L_Type,ROW()-4))))</f>
        <v/>
      </c>
      <c r="E2803">
        <f>IF(INDEX(P_Status,ROW()-4)="","",TRIM(UPPER(INDEX(P_Status,ROW()-4))))</f>
        <v/>
      </c>
      <c r="G2803">
        <f>IF(INDEX(L_Status,ROW()-4)="","",TRIM(UPPER(INDEX(L_Status,ROW()-4))))</f>
        <v/>
      </c>
      <c r="J2803">
        <f>IF(INDEX(L_ID,ROW()-4)="","",IF(SUMPRODUCT((P_ID=INDEX(L_ID,ROW()-4))*(P_StatusN="INACTIVE"))&gt;0,1,0))</f>
        <v/>
      </c>
    </row>
    <row r="2804">
      <c r="A2804">
        <f>IF(INDEX(L_ID,ROW()-4)="","",IF(COUNTIF(P_ID,INDEX(L_ID,ROW()-4))&gt;0,1,0))</f>
        <v/>
      </c>
      <c r="B2804">
        <f>IF(INDEX(P_Type,ROW()-4)="","",TRIM(UPPER(INDEX(P_Type,ROW()-4))))</f>
        <v/>
      </c>
      <c r="D2804">
        <f>IF(INDEX(L_Type,ROW()-4)="","",TRIM(UPPER(INDEX(L_Type,ROW()-4))))</f>
        <v/>
      </c>
      <c r="E2804">
        <f>IF(INDEX(P_Status,ROW()-4)="","",TRIM(UPPER(INDEX(P_Status,ROW()-4))))</f>
        <v/>
      </c>
      <c r="G2804">
        <f>IF(INDEX(L_Status,ROW()-4)="","",TRIM(UPPER(INDEX(L_Status,ROW()-4))))</f>
        <v/>
      </c>
      <c r="J2804">
        <f>IF(INDEX(L_ID,ROW()-4)="","",IF(SUMPRODUCT((P_ID=INDEX(L_ID,ROW()-4))*(P_StatusN="INACTIVE"))&gt;0,1,0))</f>
        <v/>
      </c>
    </row>
    <row r="2805">
      <c r="A2805">
        <f>IF(INDEX(L_ID,ROW()-4)="","",IF(COUNTIF(P_ID,INDEX(L_ID,ROW()-4))&gt;0,1,0))</f>
        <v/>
      </c>
      <c r="B2805">
        <f>IF(INDEX(P_Type,ROW()-4)="","",TRIM(UPPER(INDEX(P_Type,ROW()-4))))</f>
        <v/>
      </c>
      <c r="D2805">
        <f>IF(INDEX(L_Type,ROW()-4)="","",TRIM(UPPER(INDEX(L_Type,ROW()-4))))</f>
        <v/>
      </c>
      <c r="E2805">
        <f>IF(INDEX(P_Status,ROW()-4)="","",TRIM(UPPER(INDEX(P_Status,ROW()-4))))</f>
        <v/>
      </c>
      <c r="G2805">
        <f>IF(INDEX(L_Status,ROW()-4)="","",TRIM(UPPER(INDEX(L_Status,ROW()-4))))</f>
        <v/>
      </c>
      <c r="J2805">
        <f>IF(INDEX(L_ID,ROW()-4)="","",IF(SUMPRODUCT((P_ID=INDEX(L_ID,ROW()-4))*(P_StatusN="INACTIVE"))&gt;0,1,0))</f>
        <v/>
      </c>
    </row>
    <row r="2806">
      <c r="A2806">
        <f>IF(INDEX(L_ID,ROW()-4)="","",IF(COUNTIF(P_ID,INDEX(L_ID,ROW()-4))&gt;0,1,0))</f>
        <v/>
      </c>
      <c r="B2806">
        <f>IF(INDEX(P_Type,ROW()-4)="","",TRIM(UPPER(INDEX(P_Type,ROW()-4))))</f>
        <v/>
      </c>
      <c r="D2806">
        <f>IF(INDEX(L_Type,ROW()-4)="","",TRIM(UPPER(INDEX(L_Type,ROW()-4))))</f>
        <v/>
      </c>
      <c r="E2806">
        <f>IF(INDEX(P_Status,ROW()-4)="","",TRIM(UPPER(INDEX(P_Status,ROW()-4))))</f>
        <v/>
      </c>
      <c r="G2806">
        <f>IF(INDEX(L_Status,ROW()-4)="","",TRIM(UPPER(INDEX(L_Status,ROW()-4))))</f>
        <v/>
      </c>
      <c r="J2806">
        <f>IF(INDEX(L_ID,ROW()-4)="","",IF(SUMPRODUCT((P_ID=INDEX(L_ID,ROW()-4))*(P_StatusN="INACTIVE"))&gt;0,1,0))</f>
        <v/>
      </c>
    </row>
    <row r="2807">
      <c r="A2807">
        <f>IF(INDEX(L_ID,ROW()-4)="","",IF(COUNTIF(P_ID,INDEX(L_ID,ROW()-4))&gt;0,1,0))</f>
        <v/>
      </c>
      <c r="B2807">
        <f>IF(INDEX(P_Type,ROW()-4)="","",TRIM(UPPER(INDEX(P_Type,ROW()-4))))</f>
        <v/>
      </c>
      <c r="D2807">
        <f>IF(INDEX(L_Type,ROW()-4)="","",TRIM(UPPER(INDEX(L_Type,ROW()-4))))</f>
        <v/>
      </c>
      <c r="E2807">
        <f>IF(INDEX(P_Status,ROW()-4)="","",TRIM(UPPER(INDEX(P_Status,ROW()-4))))</f>
        <v/>
      </c>
      <c r="G2807">
        <f>IF(INDEX(L_Status,ROW()-4)="","",TRIM(UPPER(INDEX(L_Status,ROW()-4))))</f>
        <v/>
      </c>
      <c r="J2807">
        <f>IF(INDEX(L_ID,ROW()-4)="","",IF(SUMPRODUCT((P_ID=INDEX(L_ID,ROW()-4))*(P_StatusN="INACTIVE"))&gt;0,1,0))</f>
        <v/>
      </c>
    </row>
    <row r="2808">
      <c r="A2808">
        <f>IF(INDEX(L_ID,ROW()-4)="","",IF(COUNTIF(P_ID,INDEX(L_ID,ROW()-4))&gt;0,1,0))</f>
        <v/>
      </c>
      <c r="B2808">
        <f>IF(INDEX(P_Type,ROW()-4)="","",TRIM(UPPER(INDEX(P_Type,ROW()-4))))</f>
        <v/>
      </c>
      <c r="D2808">
        <f>IF(INDEX(L_Type,ROW()-4)="","",TRIM(UPPER(INDEX(L_Type,ROW()-4))))</f>
        <v/>
      </c>
      <c r="E2808">
        <f>IF(INDEX(P_Status,ROW()-4)="","",TRIM(UPPER(INDEX(P_Status,ROW()-4))))</f>
        <v/>
      </c>
      <c r="G2808">
        <f>IF(INDEX(L_Status,ROW()-4)="","",TRIM(UPPER(INDEX(L_Status,ROW()-4))))</f>
        <v/>
      </c>
      <c r="J2808">
        <f>IF(INDEX(L_ID,ROW()-4)="","",IF(SUMPRODUCT((P_ID=INDEX(L_ID,ROW()-4))*(P_StatusN="INACTIVE"))&gt;0,1,0))</f>
        <v/>
      </c>
    </row>
    <row r="2809">
      <c r="A2809">
        <f>IF(INDEX(L_ID,ROW()-4)="","",IF(COUNTIF(P_ID,INDEX(L_ID,ROW()-4))&gt;0,1,0))</f>
        <v/>
      </c>
      <c r="B2809">
        <f>IF(INDEX(P_Type,ROW()-4)="","",TRIM(UPPER(INDEX(P_Type,ROW()-4))))</f>
        <v/>
      </c>
      <c r="D2809">
        <f>IF(INDEX(L_Type,ROW()-4)="","",TRIM(UPPER(INDEX(L_Type,ROW()-4))))</f>
        <v/>
      </c>
      <c r="E2809">
        <f>IF(INDEX(P_Status,ROW()-4)="","",TRIM(UPPER(INDEX(P_Status,ROW()-4))))</f>
        <v/>
      </c>
      <c r="G2809">
        <f>IF(INDEX(L_Status,ROW()-4)="","",TRIM(UPPER(INDEX(L_Status,ROW()-4))))</f>
        <v/>
      </c>
      <c r="J2809">
        <f>IF(INDEX(L_ID,ROW()-4)="","",IF(SUMPRODUCT((P_ID=INDEX(L_ID,ROW()-4))*(P_StatusN="INACTIVE"))&gt;0,1,0))</f>
        <v/>
      </c>
    </row>
    <row r="2810">
      <c r="A2810">
        <f>IF(INDEX(L_ID,ROW()-4)="","",IF(COUNTIF(P_ID,INDEX(L_ID,ROW()-4))&gt;0,1,0))</f>
        <v/>
      </c>
      <c r="B2810">
        <f>IF(INDEX(P_Type,ROW()-4)="","",TRIM(UPPER(INDEX(P_Type,ROW()-4))))</f>
        <v/>
      </c>
      <c r="D2810">
        <f>IF(INDEX(L_Type,ROW()-4)="","",TRIM(UPPER(INDEX(L_Type,ROW()-4))))</f>
        <v/>
      </c>
      <c r="E2810">
        <f>IF(INDEX(P_Status,ROW()-4)="","",TRIM(UPPER(INDEX(P_Status,ROW()-4))))</f>
        <v/>
      </c>
      <c r="G2810">
        <f>IF(INDEX(L_Status,ROW()-4)="","",TRIM(UPPER(INDEX(L_Status,ROW()-4))))</f>
        <v/>
      </c>
      <c r="J2810">
        <f>IF(INDEX(L_ID,ROW()-4)="","",IF(SUMPRODUCT((P_ID=INDEX(L_ID,ROW()-4))*(P_StatusN="INACTIVE"))&gt;0,1,0))</f>
        <v/>
      </c>
    </row>
    <row r="2811">
      <c r="A2811">
        <f>IF(INDEX(L_ID,ROW()-4)="","",IF(COUNTIF(P_ID,INDEX(L_ID,ROW()-4))&gt;0,1,0))</f>
        <v/>
      </c>
      <c r="B2811">
        <f>IF(INDEX(P_Type,ROW()-4)="","",TRIM(UPPER(INDEX(P_Type,ROW()-4))))</f>
        <v/>
      </c>
      <c r="D2811">
        <f>IF(INDEX(L_Type,ROW()-4)="","",TRIM(UPPER(INDEX(L_Type,ROW()-4))))</f>
        <v/>
      </c>
      <c r="E2811">
        <f>IF(INDEX(P_Status,ROW()-4)="","",TRIM(UPPER(INDEX(P_Status,ROW()-4))))</f>
        <v/>
      </c>
      <c r="G2811">
        <f>IF(INDEX(L_Status,ROW()-4)="","",TRIM(UPPER(INDEX(L_Status,ROW()-4))))</f>
        <v/>
      </c>
      <c r="J2811">
        <f>IF(INDEX(L_ID,ROW()-4)="","",IF(SUMPRODUCT((P_ID=INDEX(L_ID,ROW()-4))*(P_StatusN="INACTIVE"))&gt;0,1,0))</f>
        <v/>
      </c>
    </row>
    <row r="2812">
      <c r="A2812">
        <f>IF(INDEX(L_ID,ROW()-4)="","",IF(COUNTIF(P_ID,INDEX(L_ID,ROW()-4))&gt;0,1,0))</f>
        <v/>
      </c>
      <c r="B2812">
        <f>IF(INDEX(P_Type,ROW()-4)="","",TRIM(UPPER(INDEX(P_Type,ROW()-4))))</f>
        <v/>
      </c>
      <c r="D2812">
        <f>IF(INDEX(L_Type,ROW()-4)="","",TRIM(UPPER(INDEX(L_Type,ROW()-4))))</f>
        <v/>
      </c>
      <c r="E2812">
        <f>IF(INDEX(P_Status,ROW()-4)="","",TRIM(UPPER(INDEX(P_Status,ROW()-4))))</f>
        <v/>
      </c>
      <c r="G2812">
        <f>IF(INDEX(L_Status,ROW()-4)="","",TRIM(UPPER(INDEX(L_Status,ROW()-4))))</f>
        <v/>
      </c>
      <c r="J2812">
        <f>IF(INDEX(L_ID,ROW()-4)="","",IF(SUMPRODUCT((P_ID=INDEX(L_ID,ROW()-4))*(P_StatusN="INACTIVE"))&gt;0,1,0))</f>
        <v/>
      </c>
    </row>
    <row r="2813">
      <c r="A2813">
        <f>IF(INDEX(L_ID,ROW()-4)="","",IF(COUNTIF(P_ID,INDEX(L_ID,ROW()-4))&gt;0,1,0))</f>
        <v/>
      </c>
      <c r="B2813">
        <f>IF(INDEX(P_Type,ROW()-4)="","",TRIM(UPPER(INDEX(P_Type,ROW()-4))))</f>
        <v/>
      </c>
      <c r="D2813">
        <f>IF(INDEX(L_Type,ROW()-4)="","",TRIM(UPPER(INDEX(L_Type,ROW()-4))))</f>
        <v/>
      </c>
      <c r="E2813">
        <f>IF(INDEX(P_Status,ROW()-4)="","",TRIM(UPPER(INDEX(P_Status,ROW()-4))))</f>
        <v/>
      </c>
      <c r="G2813">
        <f>IF(INDEX(L_Status,ROW()-4)="","",TRIM(UPPER(INDEX(L_Status,ROW()-4))))</f>
        <v/>
      </c>
      <c r="J2813">
        <f>IF(INDEX(L_ID,ROW()-4)="","",IF(SUMPRODUCT((P_ID=INDEX(L_ID,ROW()-4))*(P_StatusN="INACTIVE"))&gt;0,1,0))</f>
        <v/>
      </c>
    </row>
    <row r="2814">
      <c r="A2814">
        <f>IF(INDEX(L_ID,ROW()-4)="","",IF(COUNTIF(P_ID,INDEX(L_ID,ROW()-4))&gt;0,1,0))</f>
        <v/>
      </c>
      <c r="B2814">
        <f>IF(INDEX(P_Type,ROW()-4)="","",TRIM(UPPER(INDEX(P_Type,ROW()-4))))</f>
        <v/>
      </c>
      <c r="D2814">
        <f>IF(INDEX(L_Type,ROW()-4)="","",TRIM(UPPER(INDEX(L_Type,ROW()-4))))</f>
        <v/>
      </c>
      <c r="E2814">
        <f>IF(INDEX(P_Status,ROW()-4)="","",TRIM(UPPER(INDEX(P_Status,ROW()-4))))</f>
        <v/>
      </c>
      <c r="G2814">
        <f>IF(INDEX(L_Status,ROW()-4)="","",TRIM(UPPER(INDEX(L_Status,ROW()-4))))</f>
        <v/>
      </c>
      <c r="J2814">
        <f>IF(INDEX(L_ID,ROW()-4)="","",IF(SUMPRODUCT((P_ID=INDEX(L_ID,ROW()-4))*(P_StatusN="INACTIVE"))&gt;0,1,0))</f>
        <v/>
      </c>
    </row>
    <row r="2815">
      <c r="A2815">
        <f>IF(INDEX(L_ID,ROW()-4)="","",IF(COUNTIF(P_ID,INDEX(L_ID,ROW()-4))&gt;0,1,0))</f>
        <v/>
      </c>
      <c r="B2815">
        <f>IF(INDEX(P_Type,ROW()-4)="","",TRIM(UPPER(INDEX(P_Type,ROW()-4))))</f>
        <v/>
      </c>
      <c r="D2815">
        <f>IF(INDEX(L_Type,ROW()-4)="","",TRIM(UPPER(INDEX(L_Type,ROW()-4))))</f>
        <v/>
      </c>
      <c r="E2815">
        <f>IF(INDEX(P_Status,ROW()-4)="","",TRIM(UPPER(INDEX(P_Status,ROW()-4))))</f>
        <v/>
      </c>
      <c r="G2815">
        <f>IF(INDEX(L_Status,ROW()-4)="","",TRIM(UPPER(INDEX(L_Status,ROW()-4))))</f>
        <v/>
      </c>
      <c r="J2815">
        <f>IF(INDEX(L_ID,ROW()-4)="","",IF(SUMPRODUCT((P_ID=INDEX(L_ID,ROW()-4))*(P_StatusN="INACTIVE"))&gt;0,1,0))</f>
        <v/>
      </c>
    </row>
    <row r="2816">
      <c r="A2816">
        <f>IF(INDEX(L_ID,ROW()-4)="","",IF(COUNTIF(P_ID,INDEX(L_ID,ROW()-4))&gt;0,1,0))</f>
        <v/>
      </c>
      <c r="B2816">
        <f>IF(INDEX(P_Type,ROW()-4)="","",TRIM(UPPER(INDEX(P_Type,ROW()-4))))</f>
        <v/>
      </c>
      <c r="D2816">
        <f>IF(INDEX(L_Type,ROW()-4)="","",TRIM(UPPER(INDEX(L_Type,ROW()-4))))</f>
        <v/>
      </c>
      <c r="E2816">
        <f>IF(INDEX(P_Status,ROW()-4)="","",TRIM(UPPER(INDEX(P_Status,ROW()-4))))</f>
        <v/>
      </c>
      <c r="G2816">
        <f>IF(INDEX(L_Status,ROW()-4)="","",TRIM(UPPER(INDEX(L_Status,ROW()-4))))</f>
        <v/>
      </c>
      <c r="J2816">
        <f>IF(INDEX(L_ID,ROW()-4)="","",IF(SUMPRODUCT((P_ID=INDEX(L_ID,ROW()-4))*(P_StatusN="INACTIVE"))&gt;0,1,0))</f>
        <v/>
      </c>
    </row>
    <row r="2817">
      <c r="A2817">
        <f>IF(INDEX(L_ID,ROW()-4)="","",IF(COUNTIF(P_ID,INDEX(L_ID,ROW()-4))&gt;0,1,0))</f>
        <v/>
      </c>
      <c r="B2817">
        <f>IF(INDEX(P_Type,ROW()-4)="","",TRIM(UPPER(INDEX(P_Type,ROW()-4))))</f>
        <v/>
      </c>
      <c r="D2817">
        <f>IF(INDEX(L_Type,ROW()-4)="","",TRIM(UPPER(INDEX(L_Type,ROW()-4))))</f>
        <v/>
      </c>
      <c r="E2817">
        <f>IF(INDEX(P_Status,ROW()-4)="","",TRIM(UPPER(INDEX(P_Status,ROW()-4))))</f>
        <v/>
      </c>
      <c r="G2817">
        <f>IF(INDEX(L_Status,ROW()-4)="","",TRIM(UPPER(INDEX(L_Status,ROW()-4))))</f>
        <v/>
      </c>
      <c r="J2817">
        <f>IF(INDEX(L_ID,ROW()-4)="","",IF(SUMPRODUCT((P_ID=INDEX(L_ID,ROW()-4))*(P_StatusN="INACTIVE"))&gt;0,1,0))</f>
        <v/>
      </c>
    </row>
    <row r="2818">
      <c r="A2818">
        <f>IF(INDEX(L_ID,ROW()-4)="","",IF(COUNTIF(P_ID,INDEX(L_ID,ROW()-4))&gt;0,1,0))</f>
        <v/>
      </c>
      <c r="B2818">
        <f>IF(INDEX(P_Type,ROW()-4)="","",TRIM(UPPER(INDEX(P_Type,ROW()-4))))</f>
        <v/>
      </c>
      <c r="D2818">
        <f>IF(INDEX(L_Type,ROW()-4)="","",TRIM(UPPER(INDEX(L_Type,ROW()-4))))</f>
        <v/>
      </c>
      <c r="E2818">
        <f>IF(INDEX(P_Status,ROW()-4)="","",TRIM(UPPER(INDEX(P_Status,ROW()-4))))</f>
        <v/>
      </c>
      <c r="G2818">
        <f>IF(INDEX(L_Status,ROW()-4)="","",TRIM(UPPER(INDEX(L_Status,ROW()-4))))</f>
        <v/>
      </c>
      <c r="J2818">
        <f>IF(INDEX(L_ID,ROW()-4)="","",IF(SUMPRODUCT((P_ID=INDEX(L_ID,ROW()-4))*(P_StatusN="INACTIVE"))&gt;0,1,0))</f>
        <v/>
      </c>
    </row>
    <row r="2819">
      <c r="A2819">
        <f>IF(INDEX(L_ID,ROW()-4)="","",IF(COUNTIF(P_ID,INDEX(L_ID,ROW()-4))&gt;0,1,0))</f>
        <v/>
      </c>
      <c r="B2819">
        <f>IF(INDEX(P_Type,ROW()-4)="","",TRIM(UPPER(INDEX(P_Type,ROW()-4))))</f>
        <v/>
      </c>
      <c r="D2819">
        <f>IF(INDEX(L_Type,ROW()-4)="","",TRIM(UPPER(INDEX(L_Type,ROW()-4))))</f>
        <v/>
      </c>
      <c r="E2819">
        <f>IF(INDEX(P_Status,ROW()-4)="","",TRIM(UPPER(INDEX(P_Status,ROW()-4))))</f>
        <v/>
      </c>
      <c r="G2819">
        <f>IF(INDEX(L_Status,ROW()-4)="","",TRIM(UPPER(INDEX(L_Status,ROW()-4))))</f>
        <v/>
      </c>
      <c r="J2819">
        <f>IF(INDEX(L_ID,ROW()-4)="","",IF(SUMPRODUCT((P_ID=INDEX(L_ID,ROW()-4))*(P_StatusN="INACTIVE"))&gt;0,1,0))</f>
        <v/>
      </c>
    </row>
    <row r="2820">
      <c r="A2820">
        <f>IF(INDEX(L_ID,ROW()-4)="","",IF(COUNTIF(P_ID,INDEX(L_ID,ROW()-4))&gt;0,1,0))</f>
        <v/>
      </c>
      <c r="B2820">
        <f>IF(INDEX(P_Type,ROW()-4)="","",TRIM(UPPER(INDEX(P_Type,ROW()-4))))</f>
        <v/>
      </c>
      <c r="D2820">
        <f>IF(INDEX(L_Type,ROW()-4)="","",TRIM(UPPER(INDEX(L_Type,ROW()-4))))</f>
        <v/>
      </c>
      <c r="E2820">
        <f>IF(INDEX(P_Status,ROW()-4)="","",TRIM(UPPER(INDEX(P_Status,ROW()-4))))</f>
        <v/>
      </c>
      <c r="G2820">
        <f>IF(INDEX(L_Status,ROW()-4)="","",TRIM(UPPER(INDEX(L_Status,ROW()-4))))</f>
        <v/>
      </c>
      <c r="J2820">
        <f>IF(INDEX(L_ID,ROW()-4)="","",IF(SUMPRODUCT((P_ID=INDEX(L_ID,ROW()-4))*(P_StatusN="INACTIVE"))&gt;0,1,0))</f>
        <v/>
      </c>
    </row>
    <row r="2821">
      <c r="A2821">
        <f>IF(INDEX(L_ID,ROW()-4)="","",IF(COUNTIF(P_ID,INDEX(L_ID,ROW()-4))&gt;0,1,0))</f>
        <v/>
      </c>
      <c r="B2821">
        <f>IF(INDEX(P_Type,ROW()-4)="","",TRIM(UPPER(INDEX(P_Type,ROW()-4))))</f>
        <v/>
      </c>
      <c r="D2821">
        <f>IF(INDEX(L_Type,ROW()-4)="","",TRIM(UPPER(INDEX(L_Type,ROW()-4))))</f>
        <v/>
      </c>
      <c r="E2821">
        <f>IF(INDEX(P_Status,ROW()-4)="","",TRIM(UPPER(INDEX(P_Status,ROW()-4))))</f>
        <v/>
      </c>
      <c r="G2821">
        <f>IF(INDEX(L_Status,ROW()-4)="","",TRIM(UPPER(INDEX(L_Status,ROW()-4))))</f>
        <v/>
      </c>
      <c r="J2821">
        <f>IF(INDEX(L_ID,ROW()-4)="","",IF(SUMPRODUCT((P_ID=INDEX(L_ID,ROW()-4))*(P_StatusN="INACTIVE"))&gt;0,1,0))</f>
        <v/>
      </c>
    </row>
    <row r="2822">
      <c r="A2822">
        <f>IF(INDEX(L_ID,ROW()-4)="","",IF(COUNTIF(P_ID,INDEX(L_ID,ROW()-4))&gt;0,1,0))</f>
        <v/>
      </c>
      <c r="B2822">
        <f>IF(INDEX(P_Type,ROW()-4)="","",TRIM(UPPER(INDEX(P_Type,ROW()-4))))</f>
        <v/>
      </c>
      <c r="D2822">
        <f>IF(INDEX(L_Type,ROW()-4)="","",TRIM(UPPER(INDEX(L_Type,ROW()-4))))</f>
        <v/>
      </c>
      <c r="E2822">
        <f>IF(INDEX(P_Status,ROW()-4)="","",TRIM(UPPER(INDEX(P_Status,ROW()-4))))</f>
        <v/>
      </c>
      <c r="G2822">
        <f>IF(INDEX(L_Status,ROW()-4)="","",TRIM(UPPER(INDEX(L_Status,ROW()-4))))</f>
        <v/>
      </c>
      <c r="J2822">
        <f>IF(INDEX(L_ID,ROW()-4)="","",IF(SUMPRODUCT((P_ID=INDEX(L_ID,ROW()-4))*(P_StatusN="INACTIVE"))&gt;0,1,0))</f>
        <v/>
      </c>
    </row>
    <row r="2823">
      <c r="A2823">
        <f>IF(INDEX(L_ID,ROW()-4)="","",IF(COUNTIF(P_ID,INDEX(L_ID,ROW()-4))&gt;0,1,0))</f>
        <v/>
      </c>
      <c r="B2823">
        <f>IF(INDEX(P_Type,ROW()-4)="","",TRIM(UPPER(INDEX(P_Type,ROW()-4))))</f>
        <v/>
      </c>
      <c r="D2823">
        <f>IF(INDEX(L_Type,ROW()-4)="","",TRIM(UPPER(INDEX(L_Type,ROW()-4))))</f>
        <v/>
      </c>
      <c r="E2823">
        <f>IF(INDEX(P_Status,ROW()-4)="","",TRIM(UPPER(INDEX(P_Status,ROW()-4))))</f>
        <v/>
      </c>
      <c r="G2823">
        <f>IF(INDEX(L_Status,ROW()-4)="","",TRIM(UPPER(INDEX(L_Status,ROW()-4))))</f>
        <v/>
      </c>
      <c r="J2823">
        <f>IF(INDEX(L_ID,ROW()-4)="","",IF(SUMPRODUCT((P_ID=INDEX(L_ID,ROW()-4))*(P_StatusN="INACTIVE"))&gt;0,1,0))</f>
        <v/>
      </c>
    </row>
    <row r="2824">
      <c r="A2824">
        <f>IF(INDEX(L_ID,ROW()-4)="","",IF(COUNTIF(P_ID,INDEX(L_ID,ROW()-4))&gt;0,1,0))</f>
        <v/>
      </c>
      <c r="B2824">
        <f>IF(INDEX(P_Type,ROW()-4)="","",TRIM(UPPER(INDEX(P_Type,ROW()-4))))</f>
        <v/>
      </c>
      <c r="D2824">
        <f>IF(INDEX(L_Type,ROW()-4)="","",TRIM(UPPER(INDEX(L_Type,ROW()-4))))</f>
        <v/>
      </c>
      <c r="E2824">
        <f>IF(INDEX(P_Status,ROW()-4)="","",TRIM(UPPER(INDEX(P_Status,ROW()-4))))</f>
        <v/>
      </c>
      <c r="G2824">
        <f>IF(INDEX(L_Status,ROW()-4)="","",TRIM(UPPER(INDEX(L_Status,ROW()-4))))</f>
        <v/>
      </c>
      <c r="J2824">
        <f>IF(INDEX(L_ID,ROW()-4)="","",IF(SUMPRODUCT((P_ID=INDEX(L_ID,ROW()-4))*(P_StatusN="INACTIVE"))&gt;0,1,0))</f>
        <v/>
      </c>
    </row>
    <row r="2825">
      <c r="A2825">
        <f>IF(INDEX(L_ID,ROW()-4)="","",IF(COUNTIF(P_ID,INDEX(L_ID,ROW()-4))&gt;0,1,0))</f>
        <v/>
      </c>
      <c r="B2825">
        <f>IF(INDEX(P_Type,ROW()-4)="","",TRIM(UPPER(INDEX(P_Type,ROW()-4))))</f>
        <v/>
      </c>
      <c r="D2825">
        <f>IF(INDEX(L_Type,ROW()-4)="","",TRIM(UPPER(INDEX(L_Type,ROW()-4))))</f>
        <v/>
      </c>
      <c r="E2825">
        <f>IF(INDEX(P_Status,ROW()-4)="","",TRIM(UPPER(INDEX(P_Status,ROW()-4))))</f>
        <v/>
      </c>
      <c r="G2825">
        <f>IF(INDEX(L_Status,ROW()-4)="","",TRIM(UPPER(INDEX(L_Status,ROW()-4))))</f>
        <v/>
      </c>
      <c r="J2825">
        <f>IF(INDEX(L_ID,ROW()-4)="","",IF(SUMPRODUCT((P_ID=INDEX(L_ID,ROW()-4))*(P_StatusN="INACTIVE"))&gt;0,1,0))</f>
        <v/>
      </c>
    </row>
    <row r="2826">
      <c r="A2826">
        <f>IF(INDEX(L_ID,ROW()-4)="","",IF(COUNTIF(P_ID,INDEX(L_ID,ROW()-4))&gt;0,1,0))</f>
        <v/>
      </c>
      <c r="B2826">
        <f>IF(INDEX(P_Type,ROW()-4)="","",TRIM(UPPER(INDEX(P_Type,ROW()-4))))</f>
        <v/>
      </c>
      <c r="D2826">
        <f>IF(INDEX(L_Type,ROW()-4)="","",TRIM(UPPER(INDEX(L_Type,ROW()-4))))</f>
        <v/>
      </c>
      <c r="E2826">
        <f>IF(INDEX(P_Status,ROW()-4)="","",TRIM(UPPER(INDEX(P_Status,ROW()-4))))</f>
        <v/>
      </c>
      <c r="G2826">
        <f>IF(INDEX(L_Status,ROW()-4)="","",TRIM(UPPER(INDEX(L_Status,ROW()-4))))</f>
        <v/>
      </c>
      <c r="J2826">
        <f>IF(INDEX(L_ID,ROW()-4)="","",IF(SUMPRODUCT((P_ID=INDEX(L_ID,ROW()-4))*(P_StatusN="INACTIVE"))&gt;0,1,0))</f>
        <v/>
      </c>
    </row>
    <row r="2827">
      <c r="A2827">
        <f>IF(INDEX(L_ID,ROW()-4)="","",IF(COUNTIF(P_ID,INDEX(L_ID,ROW()-4))&gt;0,1,0))</f>
        <v/>
      </c>
      <c r="B2827">
        <f>IF(INDEX(P_Type,ROW()-4)="","",TRIM(UPPER(INDEX(P_Type,ROW()-4))))</f>
        <v/>
      </c>
      <c r="D2827">
        <f>IF(INDEX(L_Type,ROW()-4)="","",TRIM(UPPER(INDEX(L_Type,ROW()-4))))</f>
        <v/>
      </c>
      <c r="E2827">
        <f>IF(INDEX(P_Status,ROW()-4)="","",TRIM(UPPER(INDEX(P_Status,ROW()-4))))</f>
        <v/>
      </c>
      <c r="G2827">
        <f>IF(INDEX(L_Status,ROW()-4)="","",TRIM(UPPER(INDEX(L_Status,ROW()-4))))</f>
        <v/>
      </c>
      <c r="J2827">
        <f>IF(INDEX(L_ID,ROW()-4)="","",IF(SUMPRODUCT((P_ID=INDEX(L_ID,ROW()-4))*(P_StatusN="INACTIVE"))&gt;0,1,0))</f>
        <v/>
      </c>
    </row>
    <row r="2828">
      <c r="A2828">
        <f>IF(INDEX(L_ID,ROW()-4)="","",IF(COUNTIF(P_ID,INDEX(L_ID,ROW()-4))&gt;0,1,0))</f>
        <v/>
      </c>
      <c r="B2828">
        <f>IF(INDEX(P_Type,ROW()-4)="","",TRIM(UPPER(INDEX(P_Type,ROW()-4))))</f>
        <v/>
      </c>
      <c r="D2828">
        <f>IF(INDEX(L_Type,ROW()-4)="","",TRIM(UPPER(INDEX(L_Type,ROW()-4))))</f>
        <v/>
      </c>
      <c r="E2828">
        <f>IF(INDEX(P_Status,ROW()-4)="","",TRIM(UPPER(INDEX(P_Status,ROW()-4))))</f>
        <v/>
      </c>
      <c r="G2828">
        <f>IF(INDEX(L_Status,ROW()-4)="","",TRIM(UPPER(INDEX(L_Status,ROW()-4))))</f>
        <v/>
      </c>
      <c r="J2828">
        <f>IF(INDEX(L_ID,ROW()-4)="","",IF(SUMPRODUCT((P_ID=INDEX(L_ID,ROW()-4))*(P_StatusN="INACTIVE"))&gt;0,1,0))</f>
        <v/>
      </c>
    </row>
    <row r="2829">
      <c r="A2829">
        <f>IF(INDEX(L_ID,ROW()-4)="","",IF(COUNTIF(P_ID,INDEX(L_ID,ROW()-4))&gt;0,1,0))</f>
        <v/>
      </c>
      <c r="B2829">
        <f>IF(INDEX(P_Type,ROW()-4)="","",TRIM(UPPER(INDEX(P_Type,ROW()-4))))</f>
        <v/>
      </c>
      <c r="D2829">
        <f>IF(INDEX(L_Type,ROW()-4)="","",TRIM(UPPER(INDEX(L_Type,ROW()-4))))</f>
        <v/>
      </c>
      <c r="E2829">
        <f>IF(INDEX(P_Status,ROW()-4)="","",TRIM(UPPER(INDEX(P_Status,ROW()-4))))</f>
        <v/>
      </c>
      <c r="G2829">
        <f>IF(INDEX(L_Status,ROW()-4)="","",TRIM(UPPER(INDEX(L_Status,ROW()-4))))</f>
        <v/>
      </c>
      <c r="J2829">
        <f>IF(INDEX(L_ID,ROW()-4)="","",IF(SUMPRODUCT((P_ID=INDEX(L_ID,ROW()-4))*(P_StatusN="INACTIVE"))&gt;0,1,0))</f>
        <v/>
      </c>
    </row>
    <row r="2830">
      <c r="A2830">
        <f>IF(INDEX(L_ID,ROW()-4)="","",IF(COUNTIF(P_ID,INDEX(L_ID,ROW()-4))&gt;0,1,0))</f>
        <v/>
      </c>
      <c r="B2830">
        <f>IF(INDEX(P_Type,ROW()-4)="","",TRIM(UPPER(INDEX(P_Type,ROW()-4))))</f>
        <v/>
      </c>
      <c r="D2830">
        <f>IF(INDEX(L_Type,ROW()-4)="","",TRIM(UPPER(INDEX(L_Type,ROW()-4))))</f>
        <v/>
      </c>
      <c r="E2830">
        <f>IF(INDEX(P_Status,ROW()-4)="","",TRIM(UPPER(INDEX(P_Status,ROW()-4))))</f>
        <v/>
      </c>
      <c r="G2830">
        <f>IF(INDEX(L_Status,ROW()-4)="","",TRIM(UPPER(INDEX(L_Status,ROW()-4))))</f>
        <v/>
      </c>
      <c r="J2830">
        <f>IF(INDEX(L_ID,ROW()-4)="","",IF(SUMPRODUCT((P_ID=INDEX(L_ID,ROW()-4))*(P_StatusN="INACTIVE"))&gt;0,1,0))</f>
        <v/>
      </c>
    </row>
    <row r="2831">
      <c r="A2831">
        <f>IF(INDEX(L_ID,ROW()-4)="","",IF(COUNTIF(P_ID,INDEX(L_ID,ROW()-4))&gt;0,1,0))</f>
        <v/>
      </c>
      <c r="B2831">
        <f>IF(INDEX(P_Type,ROW()-4)="","",TRIM(UPPER(INDEX(P_Type,ROW()-4))))</f>
        <v/>
      </c>
      <c r="D2831">
        <f>IF(INDEX(L_Type,ROW()-4)="","",TRIM(UPPER(INDEX(L_Type,ROW()-4))))</f>
        <v/>
      </c>
      <c r="E2831">
        <f>IF(INDEX(P_Status,ROW()-4)="","",TRIM(UPPER(INDEX(P_Status,ROW()-4))))</f>
        <v/>
      </c>
      <c r="G2831">
        <f>IF(INDEX(L_Status,ROW()-4)="","",TRIM(UPPER(INDEX(L_Status,ROW()-4))))</f>
        <v/>
      </c>
      <c r="J2831">
        <f>IF(INDEX(L_ID,ROW()-4)="","",IF(SUMPRODUCT((P_ID=INDEX(L_ID,ROW()-4))*(P_StatusN="INACTIVE"))&gt;0,1,0))</f>
        <v/>
      </c>
    </row>
    <row r="2832">
      <c r="A2832">
        <f>IF(INDEX(L_ID,ROW()-4)="","",IF(COUNTIF(P_ID,INDEX(L_ID,ROW()-4))&gt;0,1,0))</f>
        <v/>
      </c>
      <c r="B2832">
        <f>IF(INDEX(P_Type,ROW()-4)="","",TRIM(UPPER(INDEX(P_Type,ROW()-4))))</f>
        <v/>
      </c>
      <c r="D2832">
        <f>IF(INDEX(L_Type,ROW()-4)="","",TRIM(UPPER(INDEX(L_Type,ROW()-4))))</f>
        <v/>
      </c>
      <c r="E2832">
        <f>IF(INDEX(P_Status,ROW()-4)="","",TRIM(UPPER(INDEX(P_Status,ROW()-4))))</f>
        <v/>
      </c>
      <c r="G2832">
        <f>IF(INDEX(L_Status,ROW()-4)="","",TRIM(UPPER(INDEX(L_Status,ROW()-4))))</f>
        <v/>
      </c>
      <c r="J2832">
        <f>IF(INDEX(L_ID,ROW()-4)="","",IF(SUMPRODUCT((P_ID=INDEX(L_ID,ROW()-4))*(P_StatusN="INACTIVE"))&gt;0,1,0))</f>
        <v/>
      </c>
    </row>
    <row r="2833">
      <c r="A2833">
        <f>IF(INDEX(L_ID,ROW()-4)="","",IF(COUNTIF(P_ID,INDEX(L_ID,ROW()-4))&gt;0,1,0))</f>
        <v/>
      </c>
      <c r="B2833">
        <f>IF(INDEX(P_Type,ROW()-4)="","",TRIM(UPPER(INDEX(P_Type,ROW()-4))))</f>
        <v/>
      </c>
      <c r="D2833">
        <f>IF(INDEX(L_Type,ROW()-4)="","",TRIM(UPPER(INDEX(L_Type,ROW()-4))))</f>
        <v/>
      </c>
      <c r="E2833">
        <f>IF(INDEX(P_Status,ROW()-4)="","",TRIM(UPPER(INDEX(P_Status,ROW()-4))))</f>
        <v/>
      </c>
      <c r="G2833">
        <f>IF(INDEX(L_Status,ROW()-4)="","",TRIM(UPPER(INDEX(L_Status,ROW()-4))))</f>
        <v/>
      </c>
      <c r="J2833">
        <f>IF(INDEX(L_ID,ROW()-4)="","",IF(SUMPRODUCT((P_ID=INDEX(L_ID,ROW()-4))*(P_StatusN="INACTIVE"))&gt;0,1,0))</f>
        <v/>
      </c>
    </row>
    <row r="2834">
      <c r="A2834">
        <f>IF(INDEX(L_ID,ROW()-4)="","",IF(COUNTIF(P_ID,INDEX(L_ID,ROW()-4))&gt;0,1,0))</f>
        <v/>
      </c>
      <c r="B2834">
        <f>IF(INDEX(P_Type,ROW()-4)="","",TRIM(UPPER(INDEX(P_Type,ROW()-4))))</f>
        <v/>
      </c>
      <c r="D2834">
        <f>IF(INDEX(L_Type,ROW()-4)="","",TRIM(UPPER(INDEX(L_Type,ROW()-4))))</f>
        <v/>
      </c>
      <c r="E2834">
        <f>IF(INDEX(P_Status,ROW()-4)="","",TRIM(UPPER(INDEX(P_Status,ROW()-4))))</f>
        <v/>
      </c>
      <c r="G2834">
        <f>IF(INDEX(L_Status,ROW()-4)="","",TRIM(UPPER(INDEX(L_Status,ROW()-4))))</f>
        <v/>
      </c>
      <c r="J2834">
        <f>IF(INDEX(L_ID,ROW()-4)="","",IF(SUMPRODUCT((P_ID=INDEX(L_ID,ROW()-4))*(P_StatusN="INACTIVE"))&gt;0,1,0))</f>
        <v/>
      </c>
    </row>
    <row r="2835">
      <c r="A2835">
        <f>IF(INDEX(L_ID,ROW()-4)="","",IF(COUNTIF(P_ID,INDEX(L_ID,ROW()-4))&gt;0,1,0))</f>
        <v/>
      </c>
      <c r="B2835">
        <f>IF(INDEX(P_Type,ROW()-4)="","",TRIM(UPPER(INDEX(P_Type,ROW()-4))))</f>
        <v/>
      </c>
      <c r="D2835">
        <f>IF(INDEX(L_Type,ROW()-4)="","",TRIM(UPPER(INDEX(L_Type,ROW()-4))))</f>
        <v/>
      </c>
      <c r="E2835">
        <f>IF(INDEX(P_Status,ROW()-4)="","",TRIM(UPPER(INDEX(P_Status,ROW()-4))))</f>
        <v/>
      </c>
      <c r="G2835">
        <f>IF(INDEX(L_Status,ROW()-4)="","",TRIM(UPPER(INDEX(L_Status,ROW()-4))))</f>
        <v/>
      </c>
      <c r="J2835">
        <f>IF(INDEX(L_ID,ROW()-4)="","",IF(SUMPRODUCT((P_ID=INDEX(L_ID,ROW()-4))*(P_StatusN="INACTIVE"))&gt;0,1,0))</f>
        <v/>
      </c>
    </row>
    <row r="2836">
      <c r="A2836">
        <f>IF(INDEX(L_ID,ROW()-4)="","",IF(COUNTIF(P_ID,INDEX(L_ID,ROW()-4))&gt;0,1,0))</f>
        <v/>
      </c>
      <c r="B2836">
        <f>IF(INDEX(P_Type,ROW()-4)="","",TRIM(UPPER(INDEX(P_Type,ROW()-4))))</f>
        <v/>
      </c>
      <c r="D2836">
        <f>IF(INDEX(L_Type,ROW()-4)="","",TRIM(UPPER(INDEX(L_Type,ROW()-4))))</f>
        <v/>
      </c>
      <c r="E2836">
        <f>IF(INDEX(P_Status,ROW()-4)="","",TRIM(UPPER(INDEX(P_Status,ROW()-4))))</f>
        <v/>
      </c>
      <c r="G2836">
        <f>IF(INDEX(L_Status,ROW()-4)="","",TRIM(UPPER(INDEX(L_Status,ROW()-4))))</f>
        <v/>
      </c>
      <c r="J2836">
        <f>IF(INDEX(L_ID,ROW()-4)="","",IF(SUMPRODUCT((P_ID=INDEX(L_ID,ROW()-4))*(P_StatusN="INACTIVE"))&gt;0,1,0))</f>
        <v/>
      </c>
    </row>
    <row r="2837">
      <c r="A2837">
        <f>IF(INDEX(L_ID,ROW()-4)="","",IF(COUNTIF(P_ID,INDEX(L_ID,ROW()-4))&gt;0,1,0))</f>
        <v/>
      </c>
      <c r="B2837">
        <f>IF(INDEX(P_Type,ROW()-4)="","",TRIM(UPPER(INDEX(P_Type,ROW()-4))))</f>
        <v/>
      </c>
      <c r="D2837">
        <f>IF(INDEX(L_Type,ROW()-4)="","",TRIM(UPPER(INDEX(L_Type,ROW()-4))))</f>
        <v/>
      </c>
      <c r="E2837">
        <f>IF(INDEX(P_Status,ROW()-4)="","",TRIM(UPPER(INDEX(P_Status,ROW()-4))))</f>
        <v/>
      </c>
      <c r="G2837">
        <f>IF(INDEX(L_Status,ROW()-4)="","",TRIM(UPPER(INDEX(L_Status,ROW()-4))))</f>
        <v/>
      </c>
      <c r="J2837">
        <f>IF(INDEX(L_ID,ROW()-4)="","",IF(SUMPRODUCT((P_ID=INDEX(L_ID,ROW()-4))*(P_StatusN="INACTIVE"))&gt;0,1,0))</f>
        <v/>
      </c>
    </row>
    <row r="2838">
      <c r="A2838">
        <f>IF(INDEX(L_ID,ROW()-4)="","",IF(COUNTIF(P_ID,INDEX(L_ID,ROW()-4))&gt;0,1,0))</f>
        <v/>
      </c>
      <c r="B2838">
        <f>IF(INDEX(P_Type,ROW()-4)="","",TRIM(UPPER(INDEX(P_Type,ROW()-4))))</f>
        <v/>
      </c>
      <c r="D2838">
        <f>IF(INDEX(L_Type,ROW()-4)="","",TRIM(UPPER(INDEX(L_Type,ROW()-4))))</f>
        <v/>
      </c>
      <c r="E2838">
        <f>IF(INDEX(P_Status,ROW()-4)="","",TRIM(UPPER(INDEX(P_Status,ROW()-4))))</f>
        <v/>
      </c>
      <c r="G2838">
        <f>IF(INDEX(L_Status,ROW()-4)="","",TRIM(UPPER(INDEX(L_Status,ROW()-4))))</f>
        <v/>
      </c>
      <c r="J2838">
        <f>IF(INDEX(L_ID,ROW()-4)="","",IF(SUMPRODUCT((P_ID=INDEX(L_ID,ROW()-4))*(P_StatusN="INACTIVE"))&gt;0,1,0))</f>
        <v/>
      </c>
    </row>
    <row r="2839">
      <c r="A2839">
        <f>IF(INDEX(L_ID,ROW()-4)="","",IF(COUNTIF(P_ID,INDEX(L_ID,ROW()-4))&gt;0,1,0))</f>
        <v/>
      </c>
      <c r="B2839">
        <f>IF(INDEX(P_Type,ROW()-4)="","",TRIM(UPPER(INDEX(P_Type,ROW()-4))))</f>
        <v/>
      </c>
      <c r="D2839">
        <f>IF(INDEX(L_Type,ROW()-4)="","",TRIM(UPPER(INDEX(L_Type,ROW()-4))))</f>
        <v/>
      </c>
      <c r="E2839">
        <f>IF(INDEX(P_Status,ROW()-4)="","",TRIM(UPPER(INDEX(P_Status,ROW()-4))))</f>
        <v/>
      </c>
      <c r="G2839">
        <f>IF(INDEX(L_Status,ROW()-4)="","",TRIM(UPPER(INDEX(L_Status,ROW()-4))))</f>
        <v/>
      </c>
      <c r="J2839">
        <f>IF(INDEX(L_ID,ROW()-4)="","",IF(SUMPRODUCT((P_ID=INDEX(L_ID,ROW()-4))*(P_StatusN="INACTIVE"))&gt;0,1,0))</f>
        <v/>
      </c>
    </row>
    <row r="2840">
      <c r="A2840">
        <f>IF(INDEX(L_ID,ROW()-4)="","",IF(COUNTIF(P_ID,INDEX(L_ID,ROW()-4))&gt;0,1,0))</f>
        <v/>
      </c>
      <c r="B2840">
        <f>IF(INDEX(P_Type,ROW()-4)="","",TRIM(UPPER(INDEX(P_Type,ROW()-4))))</f>
        <v/>
      </c>
      <c r="D2840">
        <f>IF(INDEX(L_Type,ROW()-4)="","",TRIM(UPPER(INDEX(L_Type,ROW()-4))))</f>
        <v/>
      </c>
      <c r="E2840">
        <f>IF(INDEX(P_Status,ROW()-4)="","",TRIM(UPPER(INDEX(P_Status,ROW()-4))))</f>
        <v/>
      </c>
      <c r="G2840">
        <f>IF(INDEX(L_Status,ROW()-4)="","",TRIM(UPPER(INDEX(L_Status,ROW()-4))))</f>
        <v/>
      </c>
      <c r="J2840">
        <f>IF(INDEX(L_ID,ROW()-4)="","",IF(SUMPRODUCT((P_ID=INDEX(L_ID,ROW()-4))*(P_StatusN="INACTIVE"))&gt;0,1,0))</f>
        <v/>
      </c>
    </row>
    <row r="2841">
      <c r="A2841">
        <f>IF(INDEX(L_ID,ROW()-4)="","",IF(COUNTIF(P_ID,INDEX(L_ID,ROW()-4))&gt;0,1,0))</f>
        <v/>
      </c>
      <c r="B2841">
        <f>IF(INDEX(P_Type,ROW()-4)="","",TRIM(UPPER(INDEX(P_Type,ROW()-4))))</f>
        <v/>
      </c>
      <c r="D2841">
        <f>IF(INDEX(L_Type,ROW()-4)="","",TRIM(UPPER(INDEX(L_Type,ROW()-4))))</f>
        <v/>
      </c>
      <c r="E2841">
        <f>IF(INDEX(P_Status,ROW()-4)="","",TRIM(UPPER(INDEX(P_Status,ROW()-4))))</f>
        <v/>
      </c>
      <c r="G2841">
        <f>IF(INDEX(L_Status,ROW()-4)="","",TRIM(UPPER(INDEX(L_Status,ROW()-4))))</f>
        <v/>
      </c>
      <c r="J2841">
        <f>IF(INDEX(L_ID,ROW()-4)="","",IF(SUMPRODUCT((P_ID=INDEX(L_ID,ROW()-4))*(P_StatusN="INACTIVE"))&gt;0,1,0))</f>
        <v/>
      </c>
    </row>
    <row r="2842">
      <c r="A2842">
        <f>IF(INDEX(L_ID,ROW()-4)="","",IF(COUNTIF(P_ID,INDEX(L_ID,ROW()-4))&gt;0,1,0))</f>
        <v/>
      </c>
      <c r="B2842">
        <f>IF(INDEX(P_Type,ROW()-4)="","",TRIM(UPPER(INDEX(P_Type,ROW()-4))))</f>
        <v/>
      </c>
      <c r="D2842">
        <f>IF(INDEX(L_Type,ROW()-4)="","",TRIM(UPPER(INDEX(L_Type,ROW()-4))))</f>
        <v/>
      </c>
      <c r="E2842">
        <f>IF(INDEX(P_Status,ROW()-4)="","",TRIM(UPPER(INDEX(P_Status,ROW()-4))))</f>
        <v/>
      </c>
      <c r="G2842">
        <f>IF(INDEX(L_Status,ROW()-4)="","",TRIM(UPPER(INDEX(L_Status,ROW()-4))))</f>
        <v/>
      </c>
      <c r="J2842">
        <f>IF(INDEX(L_ID,ROW()-4)="","",IF(SUMPRODUCT((P_ID=INDEX(L_ID,ROW()-4))*(P_StatusN="INACTIVE"))&gt;0,1,0))</f>
        <v/>
      </c>
    </row>
    <row r="2843">
      <c r="A2843">
        <f>IF(INDEX(L_ID,ROW()-4)="","",IF(COUNTIF(P_ID,INDEX(L_ID,ROW()-4))&gt;0,1,0))</f>
        <v/>
      </c>
      <c r="B2843">
        <f>IF(INDEX(P_Type,ROW()-4)="","",TRIM(UPPER(INDEX(P_Type,ROW()-4))))</f>
        <v/>
      </c>
      <c r="D2843">
        <f>IF(INDEX(L_Type,ROW()-4)="","",TRIM(UPPER(INDEX(L_Type,ROW()-4))))</f>
        <v/>
      </c>
      <c r="E2843">
        <f>IF(INDEX(P_Status,ROW()-4)="","",TRIM(UPPER(INDEX(P_Status,ROW()-4))))</f>
        <v/>
      </c>
      <c r="G2843">
        <f>IF(INDEX(L_Status,ROW()-4)="","",TRIM(UPPER(INDEX(L_Status,ROW()-4))))</f>
        <v/>
      </c>
      <c r="J2843">
        <f>IF(INDEX(L_ID,ROW()-4)="","",IF(SUMPRODUCT((P_ID=INDEX(L_ID,ROW()-4))*(P_StatusN="INACTIVE"))&gt;0,1,0))</f>
        <v/>
      </c>
    </row>
    <row r="2844">
      <c r="A2844">
        <f>IF(INDEX(L_ID,ROW()-4)="","",IF(COUNTIF(P_ID,INDEX(L_ID,ROW()-4))&gt;0,1,0))</f>
        <v/>
      </c>
      <c r="B2844">
        <f>IF(INDEX(P_Type,ROW()-4)="","",TRIM(UPPER(INDEX(P_Type,ROW()-4))))</f>
        <v/>
      </c>
      <c r="D2844">
        <f>IF(INDEX(L_Type,ROW()-4)="","",TRIM(UPPER(INDEX(L_Type,ROW()-4))))</f>
        <v/>
      </c>
      <c r="E2844">
        <f>IF(INDEX(P_Status,ROW()-4)="","",TRIM(UPPER(INDEX(P_Status,ROW()-4))))</f>
        <v/>
      </c>
      <c r="G2844">
        <f>IF(INDEX(L_Status,ROW()-4)="","",TRIM(UPPER(INDEX(L_Status,ROW()-4))))</f>
        <v/>
      </c>
      <c r="J2844">
        <f>IF(INDEX(L_ID,ROW()-4)="","",IF(SUMPRODUCT((P_ID=INDEX(L_ID,ROW()-4))*(P_StatusN="INACTIVE"))&gt;0,1,0))</f>
        <v/>
      </c>
    </row>
    <row r="2845">
      <c r="A2845">
        <f>IF(INDEX(L_ID,ROW()-4)="","",IF(COUNTIF(P_ID,INDEX(L_ID,ROW()-4))&gt;0,1,0))</f>
        <v/>
      </c>
      <c r="B2845">
        <f>IF(INDEX(P_Type,ROW()-4)="","",TRIM(UPPER(INDEX(P_Type,ROW()-4))))</f>
        <v/>
      </c>
      <c r="D2845">
        <f>IF(INDEX(L_Type,ROW()-4)="","",TRIM(UPPER(INDEX(L_Type,ROW()-4))))</f>
        <v/>
      </c>
      <c r="E2845">
        <f>IF(INDEX(P_Status,ROW()-4)="","",TRIM(UPPER(INDEX(P_Status,ROW()-4))))</f>
        <v/>
      </c>
      <c r="G2845">
        <f>IF(INDEX(L_Status,ROW()-4)="","",TRIM(UPPER(INDEX(L_Status,ROW()-4))))</f>
        <v/>
      </c>
      <c r="J2845">
        <f>IF(INDEX(L_ID,ROW()-4)="","",IF(SUMPRODUCT((P_ID=INDEX(L_ID,ROW()-4))*(P_StatusN="INACTIVE"))&gt;0,1,0))</f>
        <v/>
      </c>
    </row>
    <row r="2846">
      <c r="A2846">
        <f>IF(INDEX(L_ID,ROW()-4)="","",IF(COUNTIF(P_ID,INDEX(L_ID,ROW()-4))&gt;0,1,0))</f>
        <v/>
      </c>
      <c r="B2846">
        <f>IF(INDEX(P_Type,ROW()-4)="","",TRIM(UPPER(INDEX(P_Type,ROW()-4))))</f>
        <v/>
      </c>
      <c r="D2846">
        <f>IF(INDEX(L_Type,ROW()-4)="","",TRIM(UPPER(INDEX(L_Type,ROW()-4))))</f>
        <v/>
      </c>
      <c r="E2846">
        <f>IF(INDEX(P_Status,ROW()-4)="","",TRIM(UPPER(INDEX(P_Status,ROW()-4))))</f>
        <v/>
      </c>
      <c r="G2846">
        <f>IF(INDEX(L_Status,ROW()-4)="","",TRIM(UPPER(INDEX(L_Status,ROW()-4))))</f>
        <v/>
      </c>
      <c r="J2846">
        <f>IF(INDEX(L_ID,ROW()-4)="","",IF(SUMPRODUCT((P_ID=INDEX(L_ID,ROW()-4))*(P_StatusN="INACTIVE"))&gt;0,1,0))</f>
        <v/>
      </c>
    </row>
    <row r="2847">
      <c r="A2847">
        <f>IF(INDEX(L_ID,ROW()-4)="","",IF(COUNTIF(P_ID,INDEX(L_ID,ROW()-4))&gt;0,1,0))</f>
        <v/>
      </c>
      <c r="B2847">
        <f>IF(INDEX(P_Type,ROW()-4)="","",TRIM(UPPER(INDEX(P_Type,ROW()-4))))</f>
        <v/>
      </c>
      <c r="D2847">
        <f>IF(INDEX(L_Type,ROW()-4)="","",TRIM(UPPER(INDEX(L_Type,ROW()-4))))</f>
        <v/>
      </c>
      <c r="E2847">
        <f>IF(INDEX(P_Status,ROW()-4)="","",TRIM(UPPER(INDEX(P_Status,ROW()-4))))</f>
        <v/>
      </c>
      <c r="G2847">
        <f>IF(INDEX(L_Status,ROW()-4)="","",TRIM(UPPER(INDEX(L_Status,ROW()-4))))</f>
        <v/>
      </c>
      <c r="J2847">
        <f>IF(INDEX(L_ID,ROW()-4)="","",IF(SUMPRODUCT((P_ID=INDEX(L_ID,ROW()-4))*(P_StatusN="INACTIVE"))&gt;0,1,0))</f>
        <v/>
      </c>
    </row>
    <row r="2848">
      <c r="A2848">
        <f>IF(INDEX(L_ID,ROW()-4)="","",IF(COUNTIF(P_ID,INDEX(L_ID,ROW()-4))&gt;0,1,0))</f>
        <v/>
      </c>
      <c r="B2848">
        <f>IF(INDEX(P_Type,ROW()-4)="","",TRIM(UPPER(INDEX(P_Type,ROW()-4))))</f>
        <v/>
      </c>
      <c r="D2848">
        <f>IF(INDEX(L_Type,ROW()-4)="","",TRIM(UPPER(INDEX(L_Type,ROW()-4))))</f>
        <v/>
      </c>
      <c r="E2848">
        <f>IF(INDEX(P_Status,ROW()-4)="","",TRIM(UPPER(INDEX(P_Status,ROW()-4))))</f>
        <v/>
      </c>
      <c r="G2848">
        <f>IF(INDEX(L_Status,ROW()-4)="","",TRIM(UPPER(INDEX(L_Status,ROW()-4))))</f>
        <v/>
      </c>
      <c r="J2848">
        <f>IF(INDEX(L_ID,ROW()-4)="","",IF(SUMPRODUCT((P_ID=INDEX(L_ID,ROW()-4))*(P_StatusN="INACTIVE"))&gt;0,1,0))</f>
        <v/>
      </c>
    </row>
    <row r="2849">
      <c r="A2849">
        <f>IF(INDEX(L_ID,ROW()-4)="","",IF(COUNTIF(P_ID,INDEX(L_ID,ROW()-4))&gt;0,1,0))</f>
        <v/>
      </c>
      <c r="B2849">
        <f>IF(INDEX(P_Type,ROW()-4)="","",TRIM(UPPER(INDEX(P_Type,ROW()-4))))</f>
        <v/>
      </c>
      <c r="D2849">
        <f>IF(INDEX(L_Type,ROW()-4)="","",TRIM(UPPER(INDEX(L_Type,ROW()-4))))</f>
        <v/>
      </c>
      <c r="E2849">
        <f>IF(INDEX(P_Status,ROW()-4)="","",TRIM(UPPER(INDEX(P_Status,ROW()-4))))</f>
        <v/>
      </c>
      <c r="G2849">
        <f>IF(INDEX(L_Status,ROW()-4)="","",TRIM(UPPER(INDEX(L_Status,ROW()-4))))</f>
        <v/>
      </c>
      <c r="J2849">
        <f>IF(INDEX(L_ID,ROW()-4)="","",IF(SUMPRODUCT((P_ID=INDEX(L_ID,ROW()-4))*(P_StatusN="INACTIVE"))&gt;0,1,0))</f>
        <v/>
      </c>
    </row>
    <row r="2850">
      <c r="A2850">
        <f>IF(INDEX(L_ID,ROW()-4)="","",IF(COUNTIF(P_ID,INDEX(L_ID,ROW()-4))&gt;0,1,0))</f>
        <v/>
      </c>
      <c r="B2850">
        <f>IF(INDEX(P_Type,ROW()-4)="","",TRIM(UPPER(INDEX(P_Type,ROW()-4))))</f>
        <v/>
      </c>
      <c r="D2850">
        <f>IF(INDEX(L_Type,ROW()-4)="","",TRIM(UPPER(INDEX(L_Type,ROW()-4))))</f>
        <v/>
      </c>
      <c r="E2850">
        <f>IF(INDEX(P_Status,ROW()-4)="","",TRIM(UPPER(INDEX(P_Status,ROW()-4))))</f>
        <v/>
      </c>
      <c r="G2850">
        <f>IF(INDEX(L_Status,ROW()-4)="","",TRIM(UPPER(INDEX(L_Status,ROW()-4))))</f>
        <v/>
      </c>
      <c r="J2850">
        <f>IF(INDEX(L_ID,ROW()-4)="","",IF(SUMPRODUCT((P_ID=INDEX(L_ID,ROW()-4))*(P_StatusN="INACTIVE"))&gt;0,1,0))</f>
        <v/>
      </c>
    </row>
    <row r="2851">
      <c r="A2851">
        <f>IF(INDEX(L_ID,ROW()-4)="","",IF(COUNTIF(P_ID,INDEX(L_ID,ROW()-4))&gt;0,1,0))</f>
        <v/>
      </c>
      <c r="B2851">
        <f>IF(INDEX(P_Type,ROW()-4)="","",TRIM(UPPER(INDEX(P_Type,ROW()-4))))</f>
        <v/>
      </c>
      <c r="D2851">
        <f>IF(INDEX(L_Type,ROW()-4)="","",TRIM(UPPER(INDEX(L_Type,ROW()-4))))</f>
        <v/>
      </c>
      <c r="E2851">
        <f>IF(INDEX(P_Status,ROW()-4)="","",TRIM(UPPER(INDEX(P_Status,ROW()-4))))</f>
        <v/>
      </c>
      <c r="G2851">
        <f>IF(INDEX(L_Status,ROW()-4)="","",TRIM(UPPER(INDEX(L_Status,ROW()-4))))</f>
        <v/>
      </c>
      <c r="J2851">
        <f>IF(INDEX(L_ID,ROW()-4)="","",IF(SUMPRODUCT((P_ID=INDEX(L_ID,ROW()-4))*(P_StatusN="INACTIVE"))&gt;0,1,0))</f>
        <v/>
      </c>
    </row>
    <row r="2852">
      <c r="A2852">
        <f>IF(INDEX(L_ID,ROW()-4)="","",IF(COUNTIF(P_ID,INDEX(L_ID,ROW()-4))&gt;0,1,0))</f>
        <v/>
      </c>
      <c r="B2852">
        <f>IF(INDEX(P_Type,ROW()-4)="","",TRIM(UPPER(INDEX(P_Type,ROW()-4))))</f>
        <v/>
      </c>
      <c r="D2852">
        <f>IF(INDEX(L_Type,ROW()-4)="","",TRIM(UPPER(INDEX(L_Type,ROW()-4))))</f>
        <v/>
      </c>
      <c r="E2852">
        <f>IF(INDEX(P_Status,ROW()-4)="","",TRIM(UPPER(INDEX(P_Status,ROW()-4))))</f>
        <v/>
      </c>
      <c r="G2852">
        <f>IF(INDEX(L_Status,ROW()-4)="","",TRIM(UPPER(INDEX(L_Status,ROW()-4))))</f>
        <v/>
      </c>
      <c r="J2852">
        <f>IF(INDEX(L_ID,ROW()-4)="","",IF(SUMPRODUCT((P_ID=INDEX(L_ID,ROW()-4))*(P_StatusN="INACTIVE"))&gt;0,1,0))</f>
        <v/>
      </c>
    </row>
    <row r="2853">
      <c r="A2853">
        <f>IF(INDEX(L_ID,ROW()-4)="","",IF(COUNTIF(P_ID,INDEX(L_ID,ROW()-4))&gt;0,1,0))</f>
        <v/>
      </c>
      <c r="B2853">
        <f>IF(INDEX(P_Type,ROW()-4)="","",TRIM(UPPER(INDEX(P_Type,ROW()-4))))</f>
        <v/>
      </c>
      <c r="D2853">
        <f>IF(INDEX(L_Type,ROW()-4)="","",TRIM(UPPER(INDEX(L_Type,ROW()-4))))</f>
        <v/>
      </c>
      <c r="E2853">
        <f>IF(INDEX(P_Status,ROW()-4)="","",TRIM(UPPER(INDEX(P_Status,ROW()-4))))</f>
        <v/>
      </c>
      <c r="G2853">
        <f>IF(INDEX(L_Status,ROW()-4)="","",TRIM(UPPER(INDEX(L_Status,ROW()-4))))</f>
        <v/>
      </c>
      <c r="J2853">
        <f>IF(INDEX(L_ID,ROW()-4)="","",IF(SUMPRODUCT((P_ID=INDEX(L_ID,ROW()-4))*(P_StatusN="INACTIVE"))&gt;0,1,0))</f>
        <v/>
      </c>
    </row>
    <row r="2854">
      <c r="A2854">
        <f>IF(INDEX(L_ID,ROW()-4)="","",IF(COUNTIF(P_ID,INDEX(L_ID,ROW()-4))&gt;0,1,0))</f>
        <v/>
      </c>
      <c r="B2854">
        <f>IF(INDEX(P_Type,ROW()-4)="","",TRIM(UPPER(INDEX(P_Type,ROW()-4))))</f>
        <v/>
      </c>
      <c r="D2854">
        <f>IF(INDEX(L_Type,ROW()-4)="","",TRIM(UPPER(INDEX(L_Type,ROW()-4))))</f>
        <v/>
      </c>
      <c r="E2854">
        <f>IF(INDEX(P_Status,ROW()-4)="","",TRIM(UPPER(INDEX(P_Status,ROW()-4))))</f>
        <v/>
      </c>
      <c r="G2854">
        <f>IF(INDEX(L_Status,ROW()-4)="","",TRIM(UPPER(INDEX(L_Status,ROW()-4))))</f>
        <v/>
      </c>
      <c r="J2854">
        <f>IF(INDEX(L_ID,ROW()-4)="","",IF(SUMPRODUCT((P_ID=INDEX(L_ID,ROW()-4))*(P_StatusN="INACTIVE"))&gt;0,1,0))</f>
        <v/>
      </c>
    </row>
    <row r="2855">
      <c r="A2855">
        <f>IF(INDEX(L_ID,ROW()-4)="","",IF(COUNTIF(P_ID,INDEX(L_ID,ROW()-4))&gt;0,1,0))</f>
        <v/>
      </c>
      <c r="B2855">
        <f>IF(INDEX(P_Type,ROW()-4)="","",TRIM(UPPER(INDEX(P_Type,ROW()-4))))</f>
        <v/>
      </c>
      <c r="D2855">
        <f>IF(INDEX(L_Type,ROW()-4)="","",TRIM(UPPER(INDEX(L_Type,ROW()-4))))</f>
        <v/>
      </c>
      <c r="E2855">
        <f>IF(INDEX(P_Status,ROW()-4)="","",TRIM(UPPER(INDEX(P_Status,ROW()-4))))</f>
        <v/>
      </c>
      <c r="G2855">
        <f>IF(INDEX(L_Status,ROW()-4)="","",TRIM(UPPER(INDEX(L_Status,ROW()-4))))</f>
        <v/>
      </c>
      <c r="J2855">
        <f>IF(INDEX(L_ID,ROW()-4)="","",IF(SUMPRODUCT((P_ID=INDEX(L_ID,ROW()-4))*(P_StatusN="INACTIVE"))&gt;0,1,0))</f>
        <v/>
      </c>
    </row>
    <row r="2856">
      <c r="A2856">
        <f>IF(INDEX(L_ID,ROW()-4)="","",IF(COUNTIF(P_ID,INDEX(L_ID,ROW()-4))&gt;0,1,0))</f>
        <v/>
      </c>
      <c r="B2856">
        <f>IF(INDEX(P_Type,ROW()-4)="","",TRIM(UPPER(INDEX(P_Type,ROW()-4))))</f>
        <v/>
      </c>
      <c r="D2856">
        <f>IF(INDEX(L_Type,ROW()-4)="","",TRIM(UPPER(INDEX(L_Type,ROW()-4))))</f>
        <v/>
      </c>
      <c r="E2856">
        <f>IF(INDEX(P_Status,ROW()-4)="","",TRIM(UPPER(INDEX(P_Status,ROW()-4))))</f>
        <v/>
      </c>
      <c r="G2856">
        <f>IF(INDEX(L_Status,ROW()-4)="","",TRIM(UPPER(INDEX(L_Status,ROW()-4))))</f>
        <v/>
      </c>
      <c r="J2856">
        <f>IF(INDEX(L_ID,ROW()-4)="","",IF(SUMPRODUCT((P_ID=INDEX(L_ID,ROW()-4))*(P_StatusN="INACTIVE"))&gt;0,1,0))</f>
        <v/>
      </c>
    </row>
    <row r="2857">
      <c r="A2857">
        <f>IF(INDEX(L_ID,ROW()-4)="","",IF(COUNTIF(P_ID,INDEX(L_ID,ROW()-4))&gt;0,1,0))</f>
        <v/>
      </c>
      <c r="B2857">
        <f>IF(INDEX(P_Type,ROW()-4)="","",TRIM(UPPER(INDEX(P_Type,ROW()-4))))</f>
        <v/>
      </c>
      <c r="D2857">
        <f>IF(INDEX(L_Type,ROW()-4)="","",TRIM(UPPER(INDEX(L_Type,ROW()-4))))</f>
        <v/>
      </c>
      <c r="E2857">
        <f>IF(INDEX(P_Status,ROW()-4)="","",TRIM(UPPER(INDEX(P_Status,ROW()-4))))</f>
        <v/>
      </c>
      <c r="G2857">
        <f>IF(INDEX(L_Status,ROW()-4)="","",TRIM(UPPER(INDEX(L_Status,ROW()-4))))</f>
        <v/>
      </c>
      <c r="J2857">
        <f>IF(INDEX(L_ID,ROW()-4)="","",IF(SUMPRODUCT((P_ID=INDEX(L_ID,ROW()-4))*(P_StatusN="INACTIVE"))&gt;0,1,0))</f>
        <v/>
      </c>
    </row>
    <row r="2858">
      <c r="A2858">
        <f>IF(INDEX(L_ID,ROW()-4)="","",IF(COUNTIF(P_ID,INDEX(L_ID,ROW()-4))&gt;0,1,0))</f>
        <v/>
      </c>
      <c r="B2858">
        <f>IF(INDEX(P_Type,ROW()-4)="","",TRIM(UPPER(INDEX(P_Type,ROW()-4))))</f>
        <v/>
      </c>
      <c r="D2858">
        <f>IF(INDEX(L_Type,ROW()-4)="","",TRIM(UPPER(INDEX(L_Type,ROW()-4))))</f>
        <v/>
      </c>
      <c r="E2858">
        <f>IF(INDEX(P_Status,ROW()-4)="","",TRIM(UPPER(INDEX(P_Status,ROW()-4))))</f>
        <v/>
      </c>
      <c r="G2858">
        <f>IF(INDEX(L_Status,ROW()-4)="","",TRIM(UPPER(INDEX(L_Status,ROW()-4))))</f>
        <v/>
      </c>
      <c r="J2858">
        <f>IF(INDEX(L_ID,ROW()-4)="","",IF(SUMPRODUCT((P_ID=INDEX(L_ID,ROW()-4))*(P_StatusN="INACTIVE"))&gt;0,1,0))</f>
        <v/>
      </c>
    </row>
    <row r="2859">
      <c r="A2859">
        <f>IF(INDEX(L_ID,ROW()-4)="","",IF(COUNTIF(P_ID,INDEX(L_ID,ROW()-4))&gt;0,1,0))</f>
        <v/>
      </c>
      <c r="B2859">
        <f>IF(INDEX(P_Type,ROW()-4)="","",TRIM(UPPER(INDEX(P_Type,ROW()-4))))</f>
        <v/>
      </c>
      <c r="D2859">
        <f>IF(INDEX(L_Type,ROW()-4)="","",TRIM(UPPER(INDEX(L_Type,ROW()-4))))</f>
        <v/>
      </c>
      <c r="E2859">
        <f>IF(INDEX(P_Status,ROW()-4)="","",TRIM(UPPER(INDEX(P_Status,ROW()-4))))</f>
        <v/>
      </c>
      <c r="G2859">
        <f>IF(INDEX(L_Status,ROW()-4)="","",TRIM(UPPER(INDEX(L_Status,ROW()-4))))</f>
        <v/>
      </c>
      <c r="J2859">
        <f>IF(INDEX(L_ID,ROW()-4)="","",IF(SUMPRODUCT((P_ID=INDEX(L_ID,ROW()-4))*(P_StatusN="INACTIVE"))&gt;0,1,0))</f>
        <v/>
      </c>
    </row>
    <row r="2860">
      <c r="A2860">
        <f>IF(INDEX(L_ID,ROW()-4)="","",IF(COUNTIF(P_ID,INDEX(L_ID,ROW()-4))&gt;0,1,0))</f>
        <v/>
      </c>
      <c r="B2860">
        <f>IF(INDEX(P_Type,ROW()-4)="","",TRIM(UPPER(INDEX(P_Type,ROW()-4))))</f>
        <v/>
      </c>
      <c r="D2860">
        <f>IF(INDEX(L_Type,ROW()-4)="","",TRIM(UPPER(INDEX(L_Type,ROW()-4))))</f>
        <v/>
      </c>
      <c r="E2860">
        <f>IF(INDEX(P_Status,ROW()-4)="","",TRIM(UPPER(INDEX(P_Status,ROW()-4))))</f>
        <v/>
      </c>
      <c r="G2860">
        <f>IF(INDEX(L_Status,ROW()-4)="","",TRIM(UPPER(INDEX(L_Status,ROW()-4))))</f>
        <v/>
      </c>
      <c r="J2860">
        <f>IF(INDEX(L_ID,ROW()-4)="","",IF(SUMPRODUCT((P_ID=INDEX(L_ID,ROW()-4))*(P_StatusN="INACTIVE"))&gt;0,1,0))</f>
        <v/>
      </c>
    </row>
    <row r="2861">
      <c r="A2861">
        <f>IF(INDEX(L_ID,ROW()-4)="","",IF(COUNTIF(P_ID,INDEX(L_ID,ROW()-4))&gt;0,1,0))</f>
        <v/>
      </c>
      <c r="B2861">
        <f>IF(INDEX(P_Type,ROW()-4)="","",TRIM(UPPER(INDEX(P_Type,ROW()-4))))</f>
        <v/>
      </c>
      <c r="D2861">
        <f>IF(INDEX(L_Type,ROW()-4)="","",TRIM(UPPER(INDEX(L_Type,ROW()-4))))</f>
        <v/>
      </c>
      <c r="E2861">
        <f>IF(INDEX(P_Status,ROW()-4)="","",TRIM(UPPER(INDEX(P_Status,ROW()-4))))</f>
        <v/>
      </c>
      <c r="G2861">
        <f>IF(INDEX(L_Status,ROW()-4)="","",TRIM(UPPER(INDEX(L_Status,ROW()-4))))</f>
        <v/>
      </c>
      <c r="J2861">
        <f>IF(INDEX(L_ID,ROW()-4)="","",IF(SUMPRODUCT((P_ID=INDEX(L_ID,ROW()-4))*(P_StatusN="INACTIVE"))&gt;0,1,0))</f>
        <v/>
      </c>
    </row>
    <row r="2862">
      <c r="A2862">
        <f>IF(INDEX(L_ID,ROW()-4)="","",IF(COUNTIF(P_ID,INDEX(L_ID,ROW()-4))&gt;0,1,0))</f>
        <v/>
      </c>
      <c r="B2862">
        <f>IF(INDEX(P_Type,ROW()-4)="","",TRIM(UPPER(INDEX(P_Type,ROW()-4))))</f>
        <v/>
      </c>
      <c r="D2862">
        <f>IF(INDEX(L_Type,ROW()-4)="","",TRIM(UPPER(INDEX(L_Type,ROW()-4))))</f>
        <v/>
      </c>
      <c r="E2862">
        <f>IF(INDEX(P_Status,ROW()-4)="","",TRIM(UPPER(INDEX(P_Status,ROW()-4))))</f>
        <v/>
      </c>
      <c r="G2862">
        <f>IF(INDEX(L_Status,ROW()-4)="","",TRIM(UPPER(INDEX(L_Status,ROW()-4))))</f>
        <v/>
      </c>
      <c r="J2862">
        <f>IF(INDEX(L_ID,ROW()-4)="","",IF(SUMPRODUCT((P_ID=INDEX(L_ID,ROW()-4))*(P_StatusN="INACTIVE"))&gt;0,1,0))</f>
        <v/>
      </c>
    </row>
    <row r="2863">
      <c r="A2863">
        <f>IF(INDEX(L_ID,ROW()-4)="","",IF(COUNTIF(P_ID,INDEX(L_ID,ROW()-4))&gt;0,1,0))</f>
        <v/>
      </c>
      <c r="B2863">
        <f>IF(INDEX(P_Type,ROW()-4)="","",TRIM(UPPER(INDEX(P_Type,ROW()-4))))</f>
        <v/>
      </c>
      <c r="D2863">
        <f>IF(INDEX(L_Type,ROW()-4)="","",TRIM(UPPER(INDEX(L_Type,ROW()-4))))</f>
        <v/>
      </c>
      <c r="E2863">
        <f>IF(INDEX(P_Status,ROW()-4)="","",TRIM(UPPER(INDEX(P_Status,ROW()-4))))</f>
        <v/>
      </c>
      <c r="G2863">
        <f>IF(INDEX(L_Status,ROW()-4)="","",TRIM(UPPER(INDEX(L_Status,ROW()-4))))</f>
        <v/>
      </c>
      <c r="J2863">
        <f>IF(INDEX(L_ID,ROW()-4)="","",IF(SUMPRODUCT((P_ID=INDEX(L_ID,ROW()-4))*(P_StatusN="INACTIVE"))&gt;0,1,0))</f>
        <v/>
      </c>
    </row>
    <row r="2864">
      <c r="A2864">
        <f>IF(INDEX(L_ID,ROW()-4)="","",IF(COUNTIF(P_ID,INDEX(L_ID,ROW()-4))&gt;0,1,0))</f>
        <v/>
      </c>
      <c r="B2864">
        <f>IF(INDEX(P_Type,ROW()-4)="","",TRIM(UPPER(INDEX(P_Type,ROW()-4))))</f>
        <v/>
      </c>
      <c r="D2864">
        <f>IF(INDEX(L_Type,ROW()-4)="","",TRIM(UPPER(INDEX(L_Type,ROW()-4))))</f>
        <v/>
      </c>
      <c r="E2864">
        <f>IF(INDEX(P_Status,ROW()-4)="","",TRIM(UPPER(INDEX(P_Status,ROW()-4))))</f>
        <v/>
      </c>
      <c r="G2864">
        <f>IF(INDEX(L_Status,ROW()-4)="","",TRIM(UPPER(INDEX(L_Status,ROW()-4))))</f>
        <v/>
      </c>
      <c r="J2864">
        <f>IF(INDEX(L_ID,ROW()-4)="","",IF(SUMPRODUCT((P_ID=INDEX(L_ID,ROW()-4))*(P_StatusN="INACTIVE"))&gt;0,1,0))</f>
        <v/>
      </c>
    </row>
    <row r="2865">
      <c r="A2865">
        <f>IF(INDEX(L_ID,ROW()-4)="","",IF(COUNTIF(P_ID,INDEX(L_ID,ROW()-4))&gt;0,1,0))</f>
        <v/>
      </c>
      <c r="B2865">
        <f>IF(INDEX(P_Type,ROW()-4)="","",TRIM(UPPER(INDEX(P_Type,ROW()-4))))</f>
        <v/>
      </c>
      <c r="D2865">
        <f>IF(INDEX(L_Type,ROW()-4)="","",TRIM(UPPER(INDEX(L_Type,ROW()-4))))</f>
        <v/>
      </c>
      <c r="E2865">
        <f>IF(INDEX(P_Status,ROW()-4)="","",TRIM(UPPER(INDEX(P_Status,ROW()-4))))</f>
        <v/>
      </c>
      <c r="G2865">
        <f>IF(INDEX(L_Status,ROW()-4)="","",TRIM(UPPER(INDEX(L_Status,ROW()-4))))</f>
        <v/>
      </c>
      <c r="J2865">
        <f>IF(INDEX(L_ID,ROW()-4)="","",IF(SUMPRODUCT((P_ID=INDEX(L_ID,ROW()-4))*(P_StatusN="INACTIVE"))&gt;0,1,0))</f>
        <v/>
      </c>
    </row>
    <row r="2866">
      <c r="A2866">
        <f>IF(INDEX(L_ID,ROW()-4)="","",IF(COUNTIF(P_ID,INDEX(L_ID,ROW()-4))&gt;0,1,0))</f>
        <v/>
      </c>
      <c r="B2866">
        <f>IF(INDEX(P_Type,ROW()-4)="","",TRIM(UPPER(INDEX(P_Type,ROW()-4))))</f>
        <v/>
      </c>
      <c r="D2866">
        <f>IF(INDEX(L_Type,ROW()-4)="","",TRIM(UPPER(INDEX(L_Type,ROW()-4))))</f>
        <v/>
      </c>
      <c r="E2866">
        <f>IF(INDEX(P_Status,ROW()-4)="","",TRIM(UPPER(INDEX(P_Status,ROW()-4))))</f>
        <v/>
      </c>
      <c r="G2866">
        <f>IF(INDEX(L_Status,ROW()-4)="","",TRIM(UPPER(INDEX(L_Status,ROW()-4))))</f>
        <v/>
      </c>
      <c r="J2866">
        <f>IF(INDEX(L_ID,ROW()-4)="","",IF(SUMPRODUCT((P_ID=INDEX(L_ID,ROW()-4))*(P_StatusN="INACTIVE"))&gt;0,1,0))</f>
        <v/>
      </c>
    </row>
    <row r="2867">
      <c r="A2867">
        <f>IF(INDEX(L_ID,ROW()-4)="","",IF(COUNTIF(P_ID,INDEX(L_ID,ROW()-4))&gt;0,1,0))</f>
        <v/>
      </c>
      <c r="B2867">
        <f>IF(INDEX(P_Type,ROW()-4)="","",TRIM(UPPER(INDEX(P_Type,ROW()-4))))</f>
        <v/>
      </c>
      <c r="D2867">
        <f>IF(INDEX(L_Type,ROW()-4)="","",TRIM(UPPER(INDEX(L_Type,ROW()-4))))</f>
        <v/>
      </c>
      <c r="E2867">
        <f>IF(INDEX(P_Status,ROW()-4)="","",TRIM(UPPER(INDEX(P_Status,ROW()-4))))</f>
        <v/>
      </c>
      <c r="G2867">
        <f>IF(INDEX(L_Status,ROW()-4)="","",TRIM(UPPER(INDEX(L_Status,ROW()-4))))</f>
        <v/>
      </c>
      <c r="J2867">
        <f>IF(INDEX(L_ID,ROW()-4)="","",IF(SUMPRODUCT((P_ID=INDEX(L_ID,ROW()-4))*(P_StatusN="INACTIVE"))&gt;0,1,0))</f>
        <v/>
      </c>
    </row>
    <row r="2868">
      <c r="A2868">
        <f>IF(INDEX(L_ID,ROW()-4)="","",IF(COUNTIF(P_ID,INDEX(L_ID,ROW()-4))&gt;0,1,0))</f>
        <v/>
      </c>
      <c r="B2868">
        <f>IF(INDEX(P_Type,ROW()-4)="","",TRIM(UPPER(INDEX(P_Type,ROW()-4))))</f>
        <v/>
      </c>
      <c r="D2868">
        <f>IF(INDEX(L_Type,ROW()-4)="","",TRIM(UPPER(INDEX(L_Type,ROW()-4))))</f>
        <v/>
      </c>
      <c r="E2868">
        <f>IF(INDEX(P_Status,ROW()-4)="","",TRIM(UPPER(INDEX(P_Status,ROW()-4))))</f>
        <v/>
      </c>
      <c r="G2868">
        <f>IF(INDEX(L_Status,ROW()-4)="","",TRIM(UPPER(INDEX(L_Status,ROW()-4))))</f>
        <v/>
      </c>
      <c r="J2868">
        <f>IF(INDEX(L_ID,ROW()-4)="","",IF(SUMPRODUCT((P_ID=INDEX(L_ID,ROW()-4))*(P_StatusN="INACTIVE"))&gt;0,1,0))</f>
        <v/>
      </c>
    </row>
    <row r="2869">
      <c r="A2869">
        <f>IF(INDEX(L_ID,ROW()-4)="","",IF(COUNTIF(P_ID,INDEX(L_ID,ROW()-4))&gt;0,1,0))</f>
        <v/>
      </c>
      <c r="B2869">
        <f>IF(INDEX(P_Type,ROW()-4)="","",TRIM(UPPER(INDEX(P_Type,ROW()-4))))</f>
        <v/>
      </c>
      <c r="D2869">
        <f>IF(INDEX(L_Type,ROW()-4)="","",TRIM(UPPER(INDEX(L_Type,ROW()-4))))</f>
        <v/>
      </c>
      <c r="E2869">
        <f>IF(INDEX(P_Status,ROW()-4)="","",TRIM(UPPER(INDEX(P_Status,ROW()-4))))</f>
        <v/>
      </c>
      <c r="G2869">
        <f>IF(INDEX(L_Status,ROW()-4)="","",TRIM(UPPER(INDEX(L_Status,ROW()-4))))</f>
        <v/>
      </c>
      <c r="J2869">
        <f>IF(INDEX(L_ID,ROW()-4)="","",IF(SUMPRODUCT((P_ID=INDEX(L_ID,ROW()-4))*(P_StatusN="INACTIVE"))&gt;0,1,0))</f>
        <v/>
      </c>
    </row>
    <row r="2870">
      <c r="A2870">
        <f>IF(INDEX(L_ID,ROW()-4)="","",IF(COUNTIF(P_ID,INDEX(L_ID,ROW()-4))&gt;0,1,0))</f>
        <v/>
      </c>
      <c r="B2870">
        <f>IF(INDEX(P_Type,ROW()-4)="","",TRIM(UPPER(INDEX(P_Type,ROW()-4))))</f>
        <v/>
      </c>
      <c r="D2870">
        <f>IF(INDEX(L_Type,ROW()-4)="","",TRIM(UPPER(INDEX(L_Type,ROW()-4))))</f>
        <v/>
      </c>
      <c r="E2870">
        <f>IF(INDEX(P_Status,ROW()-4)="","",TRIM(UPPER(INDEX(P_Status,ROW()-4))))</f>
        <v/>
      </c>
      <c r="G2870">
        <f>IF(INDEX(L_Status,ROW()-4)="","",TRIM(UPPER(INDEX(L_Status,ROW()-4))))</f>
        <v/>
      </c>
      <c r="J2870">
        <f>IF(INDEX(L_ID,ROW()-4)="","",IF(SUMPRODUCT((P_ID=INDEX(L_ID,ROW()-4))*(P_StatusN="INACTIVE"))&gt;0,1,0))</f>
        <v/>
      </c>
    </row>
    <row r="2871">
      <c r="A2871">
        <f>IF(INDEX(L_ID,ROW()-4)="","",IF(COUNTIF(P_ID,INDEX(L_ID,ROW()-4))&gt;0,1,0))</f>
        <v/>
      </c>
      <c r="B2871">
        <f>IF(INDEX(P_Type,ROW()-4)="","",TRIM(UPPER(INDEX(P_Type,ROW()-4))))</f>
        <v/>
      </c>
      <c r="D2871">
        <f>IF(INDEX(L_Type,ROW()-4)="","",TRIM(UPPER(INDEX(L_Type,ROW()-4))))</f>
        <v/>
      </c>
      <c r="E2871">
        <f>IF(INDEX(P_Status,ROW()-4)="","",TRIM(UPPER(INDEX(P_Status,ROW()-4))))</f>
        <v/>
      </c>
      <c r="G2871">
        <f>IF(INDEX(L_Status,ROW()-4)="","",TRIM(UPPER(INDEX(L_Status,ROW()-4))))</f>
        <v/>
      </c>
      <c r="J2871">
        <f>IF(INDEX(L_ID,ROW()-4)="","",IF(SUMPRODUCT((P_ID=INDEX(L_ID,ROW()-4))*(P_StatusN="INACTIVE"))&gt;0,1,0))</f>
        <v/>
      </c>
    </row>
    <row r="2872">
      <c r="A2872">
        <f>IF(INDEX(L_ID,ROW()-4)="","",IF(COUNTIF(P_ID,INDEX(L_ID,ROW()-4))&gt;0,1,0))</f>
        <v/>
      </c>
      <c r="B2872">
        <f>IF(INDEX(P_Type,ROW()-4)="","",TRIM(UPPER(INDEX(P_Type,ROW()-4))))</f>
        <v/>
      </c>
      <c r="D2872">
        <f>IF(INDEX(L_Type,ROW()-4)="","",TRIM(UPPER(INDEX(L_Type,ROW()-4))))</f>
        <v/>
      </c>
      <c r="E2872">
        <f>IF(INDEX(P_Status,ROW()-4)="","",TRIM(UPPER(INDEX(P_Status,ROW()-4))))</f>
        <v/>
      </c>
      <c r="G2872">
        <f>IF(INDEX(L_Status,ROW()-4)="","",TRIM(UPPER(INDEX(L_Status,ROW()-4))))</f>
        <v/>
      </c>
      <c r="J2872">
        <f>IF(INDEX(L_ID,ROW()-4)="","",IF(SUMPRODUCT((P_ID=INDEX(L_ID,ROW()-4))*(P_StatusN="INACTIVE"))&gt;0,1,0))</f>
        <v/>
      </c>
    </row>
    <row r="2873">
      <c r="A2873">
        <f>IF(INDEX(L_ID,ROW()-4)="","",IF(COUNTIF(P_ID,INDEX(L_ID,ROW()-4))&gt;0,1,0))</f>
        <v/>
      </c>
      <c r="B2873">
        <f>IF(INDEX(P_Type,ROW()-4)="","",TRIM(UPPER(INDEX(P_Type,ROW()-4))))</f>
        <v/>
      </c>
      <c r="D2873">
        <f>IF(INDEX(L_Type,ROW()-4)="","",TRIM(UPPER(INDEX(L_Type,ROW()-4))))</f>
        <v/>
      </c>
      <c r="E2873">
        <f>IF(INDEX(P_Status,ROW()-4)="","",TRIM(UPPER(INDEX(P_Status,ROW()-4))))</f>
        <v/>
      </c>
      <c r="G2873">
        <f>IF(INDEX(L_Status,ROW()-4)="","",TRIM(UPPER(INDEX(L_Status,ROW()-4))))</f>
        <v/>
      </c>
      <c r="J2873">
        <f>IF(INDEX(L_ID,ROW()-4)="","",IF(SUMPRODUCT((P_ID=INDEX(L_ID,ROW()-4))*(P_StatusN="INACTIVE"))&gt;0,1,0))</f>
        <v/>
      </c>
    </row>
    <row r="2874">
      <c r="A2874">
        <f>IF(INDEX(L_ID,ROW()-4)="","",IF(COUNTIF(P_ID,INDEX(L_ID,ROW()-4))&gt;0,1,0))</f>
        <v/>
      </c>
      <c r="B2874">
        <f>IF(INDEX(P_Type,ROW()-4)="","",TRIM(UPPER(INDEX(P_Type,ROW()-4))))</f>
        <v/>
      </c>
      <c r="D2874">
        <f>IF(INDEX(L_Type,ROW()-4)="","",TRIM(UPPER(INDEX(L_Type,ROW()-4))))</f>
        <v/>
      </c>
      <c r="E2874">
        <f>IF(INDEX(P_Status,ROW()-4)="","",TRIM(UPPER(INDEX(P_Status,ROW()-4))))</f>
        <v/>
      </c>
      <c r="G2874">
        <f>IF(INDEX(L_Status,ROW()-4)="","",TRIM(UPPER(INDEX(L_Status,ROW()-4))))</f>
        <v/>
      </c>
      <c r="J2874">
        <f>IF(INDEX(L_ID,ROW()-4)="","",IF(SUMPRODUCT((P_ID=INDEX(L_ID,ROW()-4))*(P_StatusN="INACTIVE"))&gt;0,1,0))</f>
        <v/>
      </c>
    </row>
    <row r="2875">
      <c r="A2875">
        <f>IF(INDEX(L_ID,ROW()-4)="","",IF(COUNTIF(P_ID,INDEX(L_ID,ROW()-4))&gt;0,1,0))</f>
        <v/>
      </c>
      <c r="B2875">
        <f>IF(INDEX(P_Type,ROW()-4)="","",TRIM(UPPER(INDEX(P_Type,ROW()-4))))</f>
        <v/>
      </c>
      <c r="D2875">
        <f>IF(INDEX(L_Type,ROW()-4)="","",TRIM(UPPER(INDEX(L_Type,ROW()-4))))</f>
        <v/>
      </c>
      <c r="E2875">
        <f>IF(INDEX(P_Status,ROW()-4)="","",TRIM(UPPER(INDEX(P_Status,ROW()-4))))</f>
        <v/>
      </c>
      <c r="G2875">
        <f>IF(INDEX(L_Status,ROW()-4)="","",TRIM(UPPER(INDEX(L_Status,ROW()-4))))</f>
        <v/>
      </c>
      <c r="J2875">
        <f>IF(INDEX(L_ID,ROW()-4)="","",IF(SUMPRODUCT((P_ID=INDEX(L_ID,ROW()-4))*(P_StatusN="INACTIVE"))&gt;0,1,0))</f>
        <v/>
      </c>
    </row>
    <row r="2876">
      <c r="A2876">
        <f>IF(INDEX(L_ID,ROW()-4)="","",IF(COUNTIF(P_ID,INDEX(L_ID,ROW()-4))&gt;0,1,0))</f>
        <v/>
      </c>
      <c r="B2876">
        <f>IF(INDEX(P_Type,ROW()-4)="","",TRIM(UPPER(INDEX(P_Type,ROW()-4))))</f>
        <v/>
      </c>
      <c r="D2876">
        <f>IF(INDEX(L_Type,ROW()-4)="","",TRIM(UPPER(INDEX(L_Type,ROW()-4))))</f>
        <v/>
      </c>
      <c r="E2876">
        <f>IF(INDEX(P_Status,ROW()-4)="","",TRIM(UPPER(INDEX(P_Status,ROW()-4))))</f>
        <v/>
      </c>
      <c r="G2876">
        <f>IF(INDEX(L_Status,ROW()-4)="","",TRIM(UPPER(INDEX(L_Status,ROW()-4))))</f>
        <v/>
      </c>
      <c r="J2876">
        <f>IF(INDEX(L_ID,ROW()-4)="","",IF(SUMPRODUCT((P_ID=INDEX(L_ID,ROW()-4))*(P_StatusN="INACTIVE"))&gt;0,1,0))</f>
        <v/>
      </c>
    </row>
    <row r="2877">
      <c r="A2877">
        <f>IF(INDEX(L_ID,ROW()-4)="","",IF(COUNTIF(P_ID,INDEX(L_ID,ROW()-4))&gt;0,1,0))</f>
        <v/>
      </c>
      <c r="B2877">
        <f>IF(INDEX(P_Type,ROW()-4)="","",TRIM(UPPER(INDEX(P_Type,ROW()-4))))</f>
        <v/>
      </c>
      <c r="D2877">
        <f>IF(INDEX(L_Type,ROW()-4)="","",TRIM(UPPER(INDEX(L_Type,ROW()-4))))</f>
        <v/>
      </c>
      <c r="E2877">
        <f>IF(INDEX(P_Status,ROW()-4)="","",TRIM(UPPER(INDEX(P_Status,ROW()-4))))</f>
        <v/>
      </c>
      <c r="G2877">
        <f>IF(INDEX(L_Status,ROW()-4)="","",TRIM(UPPER(INDEX(L_Status,ROW()-4))))</f>
        <v/>
      </c>
      <c r="J2877">
        <f>IF(INDEX(L_ID,ROW()-4)="","",IF(SUMPRODUCT((P_ID=INDEX(L_ID,ROW()-4))*(P_StatusN="INACTIVE"))&gt;0,1,0))</f>
        <v/>
      </c>
    </row>
    <row r="2878">
      <c r="A2878">
        <f>IF(INDEX(L_ID,ROW()-4)="","",IF(COUNTIF(P_ID,INDEX(L_ID,ROW()-4))&gt;0,1,0))</f>
        <v/>
      </c>
      <c r="B2878">
        <f>IF(INDEX(P_Type,ROW()-4)="","",TRIM(UPPER(INDEX(P_Type,ROW()-4))))</f>
        <v/>
      </c>
      <c r="D2878">
        <f>IF(INDEX(L_Type,ROW()-4)="","",TRIM(UPPER(INDEX(L_Type,ROW()-4))))</f>
        <v/>
      </c>
      <c r="E2878">
        <f>IF(INDEX(P_Status,ROW()-4)="","",TRIM(UPPER(INDEX(P_Status,ROW()-4))))</f>
        <v/>
      </c>
      <c r="G2878">
        <f>IF(INDEX(L_Status,ROW()-4)="","",TRIM(UPPER(INDEX(L_Status,ROW()-4))))</f>
        <v/>
      </c>
      <c r="J2878">
        <f>IF(INDEX(L_ID,ROW()-4)="","",IF(SUMPRODUCT((P_ID=INDEX(L_ID,ROW()-4))*(P_StatusN="INACTIVE"))&gt;0,1,0))</f>
        <v/>
      </c>
    </row>
    <row r="2879">
      <c r="A2879">
        <f>IF(INDEX(L_ID,ROW()-4)="","",IF(COUNTIF(P_ID,INDEX(L_ID,ROW()-4))&gt;0,1,0))</f>
        <v/>
      </c>
      <c r="B2879">
        <f>IF(INDEX(P_Type,ROW()-4)="","",TRIM(UPPER(INDEX(P_Type,ROW()-4))))</f>
        <v/>
      </c>
      <c r="D2879">
        <f>IF(INDEX(L_Type,ROW()-4)="","",TRIM(UPPER(INDEX(L_Type,ROW()-4))))</f>
        <v/>
      </c>
      <c r="E2879">
        <f>IF(INDEX(P_Status,ROW()-4)="","",TRIM(UPPER(INDEX(P_Status,ROW()-4))))</f>
        <v/>
      </c>
      <c r="G2879">
        <f>IF(INDEX(L_Status,ROW()-4)="","",TRIM(UPPER(INDEX(L_Status,ROW()-4))))</f>
        <v/>
      </c>
      <c r="J2879">
        <f>IF(INDEX(L_ID,ROW()-4)="","",IF(SUMPRODUCT((P_ID=INDEX(L_ID,ROW()-4))*(P_StatusN="INACTIVE"))&gt;0,1,0))</f>
        <v/>
      </c>
    </row>
    <row r="2880">
      <c r="A2880">
        <f>IF(INDEX(L_ID,ROW()-4)="","",IF(COUNTIF(P_ID,INDEX(L_ID,ROW()-4))&gt;0,1,0))</f>
        <v/>
      </c>
      <c r="B2880">
        <f>IF(INDEX(P_Type,ROW()-4)="","",TRIM(UPPER(INDEX(P_Type,ROW()-4))))</f>
        <v/>
      </c>
      <c r="D2880">
        <f>IF(INDEX(L_Type,ROW()-4)="","",TRIM(UPPER(INDEX(L_Type,ROW()-4))))</f>
        <v/>
      </c>
      <c r="E2880">
        <f>IF(INDEX(P_Status,ROW()-4)="","",TRIM(UPPER(INDEX(P_Status,ROW()-4))))</f>
        <v/>
      </c>
      <c r="G2880">
        <f>IF(INDEX(L_Status,ROW()-4)="","",TRIM(UPPER(INDEX(L_Status,ROW()-4))))</f>
        <v/>
      </c>
      <c r="J2880">
        <f>IF(INDEX(L_ID,ROW()-4)="","",IF(SUMPRODUCT((P_ID=INDEX(L_ID,ROW()-4))*(P_StatusN="INACTIVE"))&gt;0,1,0))</f>
        <v/>
      </c>
    </row>
    <row r="2881">
      <c r="A2881">
        <f>IF(INDEX(L_ID,ROW()-4)="","",IF(COUNTIF(P_ID,INDEX(L_ID,ROW()-4))&gt;0,1,0))</f>
        <v/>
      </c>
      <c r="B2881">
        <f>IF(INDEX(P_Type,ROW()-4)="","",TRIM(UPPER(INDEX(P_Type,ROW()-4))))</f>
        <v/>
      </c>
      <c r="D2881">
        <f>IF(INDEX(L_Type,ROW()-4)="","",TRIM(UPPER(INDEX(L_Type,ROW()-4))))</f>
        <v/>
      </c>
      <c r="E2881">
        <f>IF(INDEX(P_Status,ROW()-4)="","",TRIM(UPPER(INDEX(P_Status,ROW()-4))))</f>
        <v/>
      </c>
      <c r="G2881">
        <f>IF(INDEX(L_Status,ROW()-4)="","",TRIM(UPPER(INDEX(L_Status,ROW()-4))))</f>
        <v/>
      </c>
      <c r="J2881">
        <f>IF(INDEX(L_ID,ROW()-4)="","",IF(SUMPRODUCT((P_ID=INDEX(L_ID,ROW()-4))*(P_StatusN="INACTIVE"))&gt;0,1,0))</f>
        <v/>
      </c>
    </row>
    <row r="2882">
      <c r="A2882">
        <f>IF(INDEX(L_ID,ROW()-4)="","",IF(COUNTIF(P_ID,INDEX(L_ID,ROW()-4))&gt;0,1,0))</f>
        <v/>
      </c>
      <c r="B2882">
        <f>IF(INDEX(P_Type,ROW()-4)="","",TRIM(UPPER(INDEX(P_Type,ROW()-4))))</f>
        <v/>
      </c>
      <c r="D2882">
        <f>IF(INDEX(L_Type,ROW()-4)="","",TRIM(UPPER(INDEX(L_Type,ROW()-4))))</f>
        <v/>
      </c>
      <c r="E2882">
        <f>IF(INDEX(P_Status,ROW()-4)="","",TRIM(UPPER(INDEX(P_Status,ROW()-4))))</f>
        <v/>
      </c>
      <c r="G2882">
        <f>IF(INDEX(L_Status,ROW()-4)="","",TRIM(UPPER(INDEX(L_Status,ROW()-4))))</f>
        <v/>
      </c>
      <c r="J2882">
        <f>IF(INDEX(L_ID,ROW()-4)="","",IF(SUMPRODUCT((P_ID=INDEX(L_ID,ROW()-4))*(P_StatusN="INACTIVE"))&gt;0,1,0))</f>
        <v/>
      </c>
    </row>
    <row r="2883">
      <c r="A2883">
        <f>IF(INDEX(L_ID,ROW()-4)="","",IF(COUNTIF(P_ID,INDEX(L_ID,ROW()-4))&gt;0,1,0))</f>
        <v/>
      </c>
      <c r="B2883">
        <f>IF(INDEX(P_Type,ROW()-4)="","",TRIM(UPPER(INDEX(P_Type,ROW()-4))))</f>
        <v/>
      </c>
      <c r="D2883">
        <f>IF(INDEX(L_Type,ROW()-4)="","",TRIM(UPPER(INDEX(L_Type,ROW()-4))))</f>
        <v/>
      </c>
      <c r="E2883">
        <f>IF(INDEX(P_Status,ROW()-4)="","",TRIM(UPPER(INDEX(P_Status,ROW()-4))))</f>
        <v/>
      </c>
      <c r="G2883">
        <f>IF(INDEX(L_Status,ROW()-4)="","",TRIM(UPPER(INDEX(L_Status,ROW()-4))))</f>
        <v/>
      </c>
      <c r="J2883">
        <f>IF(INDEX(L_ID,ROW()-4)="","",IF(SUMPRODUCT((P_ID=INDEX(L_ID,ROW()-4))*(P_StatusN="INACTIVE"))&gt;0,1,0))</f>
        <v/>
      </c>
    </row>
    <row r="2884">
      <c r="A2884">
        <f>IF(INDEX(L_ID,ROW()-4)="","",IF(COUNTIF(P_ID,INDEX(L_ID,ROW()-4))&gt;0,1,0))</f>
        <v/>
      </c>
      <c r="B2884">
        <f>IF(INDEX(P_Type,ROW()-4)="","",TRIM(UPPER(INDEX(P_Type,ROW()-4))))</f>
        <v/>
      </c>
      <c r="D2884">
        <f>IF(INDEX(L_Type,ROW()-4)="","",TRIM(UPPER(INDEX(L_Type,ROW()-4))))</f>
        <v/>
      </c>
      <c r="E2884">
        <f>IF(INDEX(P_Status,ROW()-4)="","",TRIM(UPPER(INDEX(P_Status,ROW()-4))))</f>
        <v/>
      </c>
      <c r="G2884">
        <f>IF(INDEX(L_Status,ROW()-4)="","",TRIM(UPPER(INDEX(L_Status,ROW()-4))))</f>
        <v/>
      </c>
      <c r="J2884">
        <f>IF(INDEX(L_ID,ROW()-4)="","",IF(SUMPRODUCT((P_ID=INDEX(L_ID,ROW()-4))*(P_StatusN="INACTIVE"))&gt;0,1,0))</f>
        <v/>
      </c>
    </row>
    <row r="2885">
      <c r="A2885">
        <f>IF(INDEX(L_ID,ROW()-4)="","",IF(COUNTIF(P_ID,INDEX(L_ID,ROW()-4))&gt;0,1,0))</f>
        <v/>
      </c>
      <c r="B2885">
        <f>IF(INDEX(P_Type,ROW()-4)="","",TRIM(UPPER(INDEX(P_Type,ROW()-4))))</f>
        <v/>
      </c>
      <c r="D2885">
        <f>IF(INDEX(L_Type,ROW()-4)="","",TRIM(UPPER(INDEX(L_Type,ROW()-4))))</f>
        <v/>
      </c>
      <c r="E2885">
        <f>IF(INDEX(P_Status,ROW()-4)="","",TRIM(UPPER(INDEX(P_Status,ROW()-4))))</f>
        <v/>
      </c>
      <c r="G2885">
        <f>IF(INDEX(L_Status,ROW()-4)="","",TRIM(UPPER(INDEX(L_Status,ROW()-4))))</f>
        <v/>
      </c>
      <c r="J2885">
        <f>IF(INDEX(L_ID,ROW()-4)="","",IF(SUMPRODUCT((P_ID=INDEX(L_ID,ROW()-4))*(P_StatusN="INACTIVE"))&gt;0,1,0))</f>
        <v/>
      </c>
    </row>
    <row r="2886">
      <c r="A2886">
        <f>IF(INDEX(L_ID,ROW()-4)="","",IF(COUNTIF(P_ID,INDEX(L_ID,ROW()-4))&gt;0,1,0))</f>
        <v/>
      </c>
      <c r="B2886">
        <f>IF(INDEX(P_Type,ROW()-4)="","",TRIM(UPPER(INDEX(P_Type,ROW()-4))))</f>
        <v/>
      </c>
      <c r="D2886">
        <f>IF(INDEX(L_Type,ROW()-4)="","",TRIM(UPPER(INDEX(L_Type,ROW()-4))))</f>
        <v/>
      </c>
      <c r="E2886">
        <f>IF(INDEX(P_Status,ROW()-4)="","",TRIM(UPPER(INDEX(P_Status,ROW()-4))))</f>
        <v/>
      </c>
      <c r="G2886">
        <f>IF(INDEX(L_Status,ROW()-4)="","",TRIM(UPPER(INDEX(L_Status,ROW()-4))))</f>
        <v/>
      </c>
      <c r="J2886">
        <f>IF(INDEX(L_ID,ROW()-4)="","",IF(SUMPRODUCT((P_ID=INDEX(L_ID,ROW()-4))*(P_StatusN="INACTIVE"))&gt;0,1,0))</f>
        <v/>
      </c>
    </row>
    <row r="2887">
      <c r="A2887">
        <f>IF(INDEX(L_ID,ROW()-4)="","",IF(COUNTIF(P_ID,INDEX(L_ID,ROW()-4))&gt;0,1,0))</f>
        <v/>
      </c>
      <c r="B2887">
        <f>IF(INDEX(P_Type,ROW()-4)="","",TRIM(UPPER(INDEX(P_Type,ROW()-4))))</f>
        <v/>
      </c>
      <c r="D2887">
        <f>IF(INDEX(L_Type,ROW()-4)="","",TRIM(UPPER(INDEX(L_Type,ROW()-4))))</f>
        <v/>
      </c>
      <c r="E2887">
        <f>IF(INDEX(P_Status,ROW()-4)="","",TRIM(UPPER(INDEX(P_Status,ROW()-4))))</f>
        <v/>
      </c>
      <c r="G2887">
        <f>IF(INDEX(L_Status,ROW()-4)="","",TRIM(UPPER(INDEX(L_Status,ROW()-4))))</f>
        <v/>
      </c>
      <c r="J2887">
        <f>IF(INDEX(L_ID,ROW()-4)="","",IF(SUMPRODUCT((P_ID=INDEX(L_ID,ROW()-4))*(P_StatusN="INACTIVE"))&gt;0,1,0))</f>
        <v/>
      </c>
    </row>
    <row r="2888">
      <c r="A2888">
        <f>IF(INDEX(L_ID,ROW()-4)="","",IF(COUNTIF(P_ID,INDEX(L_ID,ROW()-4))&gt;0,1,0))</f>
        <v/>
      </c>
      <c r="B2888">
        <f>IF(INDEX(P_Type,ROW()-4)="","",TRIM(UPPER(INDEX(P_Type,ROW()-4))))</f>
        <v/>
      </c>
      <c r="D2888">
        <f>IF(INDEX(L_Type,ROW()-4)="","",TRIM(UPPER(INDEX(L_Type,ROW()-4))))</f>
        <v/>
      </c>
      <c r="E2888">
        <f>IF(INDEX(P_Status,ROW()-4)="","",TRIM(UPPER(INDEX(P_Status,ROW()-4))))</f>
        <v/>
      </c>
      <c r="G2888">
        <f>IF(INDEX(L_Status,ROW()-4)="","",TRIM(UPPER(INDEX(L_Status,ROW()-4))))</f>
        <v/>
      </c>
      <c r="J2888">
        <f>IF(INDEX(L_ID,ROW()-4)="","",IF(SUMPRODUCT((P_ID=INDEX(L_ID,ROW()-4))*(P_StatusN="INACTIVE"))&gt;0,1,0))</f>
        <v/>
      </c>
    </row>
    <row r="2889">
      <c r="A2889">
        <f>IF(INDEX(L_ID,ROW()-4)="","",IF(COUNTIF(P_ID,INDEX(L_ID,ROW()-4))&gt;0,1,0))</f>
        <v/>
      </c>
      <c r="B2889">
        <f>IF(INDEX(P_Type,ROW()-4)="","",TRIM(UPPER(INDEX(P_Type,ROW()-4))))</f>
        <v/>
      </c>
      <c r="D2889">
        <f>IF(INDEX(L_Type,ROW()-4)="","",TRIM(UPPER(INDEX(L_Type,ROW()-4))))</f>
        <v/>
      </c>
      <c r="E2889">
        <f>IF(INDEX(P_Status,ROW()-4)="","",TRIM(UPPER(INDEX(P_Status,ROW()-4))))</f>
        <v/>
      </c>
      <c r="G2889">
        <f>IF(INDEX(L_Status,ROW()-4)="","",TRIM(UPPER(INDEX(L_Status,ROW()-4))))</f>
        <v/>
      </c>
      <c r="J2889">
        <f>IF(INDEX(L_ID,ROW()-4)="","",IF(SUMPRODUCT((P_ID=INDEX(L_ID,ROW()-4))*(P_StatusN="INACTIVE"))&gt;0,1,0))</f>
        <v/>
      </c>
    </row>
    <row r="2890">
      <c r="A2890">
        <f>IF(INDEX(L_ID,ROW()-4)="","",IF(COUNTIF(P_ID,INDEX(L_ID,ROW()-4))&gt;0,1,0))</f>
        <v/>
      </c>
      <c r="B2890">
        <f>IF(INDEX(P_Type,ROW()-4)="","",TRIM(UPPER(INDEX(P_Type,ROW()-4))))</f>
        <v/>
      </c>
      <c r="D2890">
        <f>IF(INDEX(L_Type,ROW()-4)="","",TRIM(UPPER(INDEX(L_Type,ROW()-4))))</f>
        <v/>
      </c>
      <c r="E2890">
        <f>IF(INDEX(P_Status,ROW()-4)="","",TRIM(UPPER(INDEX(P_Status,ROW()-4))))</f>
        <v/>
      </c>
      <c r="G2890">
        <f>IF(INDEX(L_Status,ROW()-4)="","",TRIM(UPPER(INDEX(L_Status,ROW()-4))))</f>
        <v/>
      </c>
      <c r="J2890">
        <f>IF(INDEX(L_ID,ROW()-4)="","",IF(SUMPRODUCT((P_ID=INDEX(L_ID,ROW()-4))*(P_StatusN="INACTIVE"))&gt;0,1,0))</f>
        <v/>
      </c>
    </row>
    <row r="2891">
      <c r="A2891">
        <f>IF(INDEX(L_ID,ROW()-4)="","",IF(COUNTIF(P_ID,INDEX(L_ID,ROW()-4))&gt;0,1,0))</f>
        <v/>
      </c>
      <c r="B2891">
        <f>IF(INDEX(P_Type,ROW()-4)="","",TRIM(UPPER(INDEX(P_Type,ROW()-4))))</f>
        <v/>
      </c>
      <c r="D2891">
        <f>IF(INDEX(L_Type,ROW()-4)="","",TRIM(UPPER(INDEX(L_Type,ROW()-4))))</f>
        <v/>
      </c>
      <c r="E2891">
        <f>IF(INDEX(P_Status,ROW()-4)="","",TRIM(UPPER(INDEX(P_Status,ROW()-4))))</f>
        <v/>
      </c>
      <c r="G2891">
        <f>IF(INDEX(L_Status,ROW()-4)="","",TRIM(UPPER(INDEX(L_Status,ROW()-4))))</f>
        <v/>
      </c>
      <c r="J2891">
        <f>IF(INDEX(L_ID,ROW()-4)="","",IF(SUMPRODUCT((P_ID=INDEX(L_ID,ROW()-4))*(P_StatusN="INACTIVE"))&gt;0,1,0))</f>
        <v/>
      </c>
    </row>
    <row r="2892">
      <c r="A2892">
        <f>IF(INDEX(L_ID,ROW()-4)="","",IF(COUNTIF(P_ID,INDEX(L_ID,ROW()-4))&gt;0,1,0))</f>
        <v/>
      </c>
      <c r="B2892">
        <f>IF(INDEX(P_Type,ROW()-4)="","",TRIM(UPPER(INDEX(P_Type,ROW()-4))))</f>
        <v/>
      </c>
      <c r="D2892">
        <f>IF(INDEX(L_Type,ROW()-4)="","",TRIM(UPPER(INDEX(L_Type,ROW()-4))))</f>
        <v/>
      </c>
      <c r="E2892">
        <f>IF(INDEX(P_Status,ROW()-4)="","",TRIM(UPPER(INDEX(P_Status,ROW()-4))))</f>
        <v/>
      </c>
      <c r="G2892">
        <f>IF(INDEX(L_Status,ROW()-4)="","",TRIM(UPPER(INDEX(L_Status,ROW()-4))))</f>
        <v/>
      </c>
      <c r="J2892">
        <f>IF(INDEX(L_ID,ROW()-4)="","",IF(SUMPRODUCT((P_ID=INDEX(L_ID,ROW()-4))*(P_StatusN="INACTIVE"))&gt;0,1,0))</f>
        <v/>
      </c>
    </row>
    <row r="2893">
      <c r="A2893">
        <f>IF(INDEX(L_ID,ROW()-4)="","",IF(COUNTIF(P_ID,INDEX(L_ID,ROW()-4))&gt;0,1,0))</f>
        <v/>
      </c>
      <c r="B2893">
        <f>IF(INDEX(P_Type,ROW()-4)="","",TRIM(UPPER(INDEX(P_Type,ROW()-4))))</f>
        <v/>
      </c>
      <c r="D2893">
        <f>IF(INDEX(L_Type,ROW()-4)="","",TRIM(UPPER(INDEX(L_Type,ROW()-4))))</f>
        <v/>
      </c>
      <c r="E2893">
        <f>IF(INDEX(P_Status,ROW()-4)="","",TRIM(UPPER(INDEX(P_Status,ROW()-4))))</f>
        <v/>
      </c>
      <c r="G2893">
        <f>IF(INDEX(L_Status,ROW()-4)="","",TRIM(UPPER(INDEX(L_Status,ROW()-4))))</f>
        <v/>
      </c>
      <c r="J2893">
        <f>IF(INDEX(L_ID,ROW()-4)="","",IF(SUMPRODUCT((P_ID=INDEX(L_ID,ROW()-4))*(P_StatusN="INACTIVE"))&gt;0,1,0))</f>
        <v/>
      </c>
    </row>
    <row r="2894">
      <c r="A2894">
        <f>IF(INDEX(L_ID,ROW()-4)="","",IF(COUNTIF(P_ID,INDEX(L_ID,ROW()-4))&gt;0,1,0))</f>
        <v/>
      </c>
      <c r="B2894">
        <f>IF(INDEX(P_Type,ROW()-4)="","",TRIM(UPPER(INDEX(P_Type,ROW()-4))))</f>
        <v/>
      </c>
      <c r="D2894">
        <f>IF(INDEX(L_Type,ROW()-4)="","",TRIM(UPPER(INDEX(L_Type,ROW()-4))))</f>
        <v/>
      </c>
      <c r="E2894">
        <f>IF(INDEX(P_Status,ROW()-4)="","",TRIM(UPPER(INDEX(P_Status,ROW()-4))))</f>
        <v/>
      </c>
      <c r="G2894">
        <f>IF(INDEX(L_Status,ROW()-4)="","",TRIM(UPPER(INDEX(L_Status,ROW()-4))))</f>
        <v/>
      </c>
      <c r="J2894">
        <f>IF(INDEX(L_ID,ROW()-4)="","",IF(SUMPRODUCT((P_ID=INDEX(L_ID,ROW()-4))*(P_StatusN="INACTIVE"))&gt;0,1,0))</f>
        <v/>
      </c>
    </row>
    <row r="2895">
      <c r="A2895">
        <f>IF(INDEX(L_ID,ROW()-4)="","",IF(COUNTIF(P_ID,INDEX(L_ID,ROW()-4))&gt;0,1,0))</f>
        <v/>
      </c>
      <c r="B2895">
        <f>IF(INDEX(P_Type,ROW()-4)="","",TRIM(UPPER(INDEX(P_Type,ROW()-4))))</f>
        <v/>
      </c>
      <c r="D2895">
        <f>IF(INDEX(L_Type,ROW()-4)="","",TRIM(UPPER(INDEX(L_Type,ROW()-4))))</f>
        <v/>
      </c>
      <c r="E2895">
        <f>IF(INDEX(P_Status,ROW()-4)="","",TRIM(UPPER(INDEX(P_Status,ROW()-4))))</f>
        <v/>
      </c>
      <c r="G2895">
        <f>IF(INDEX(L_Status,ROW()-4)="","",TRIM(UPPER(INDEX(L_Status,ROW()-4))))</f>
        <v/>
      </c>
      <c r="J2895">
        <f>IF(INDEX(L_ID,ROW()-4)="","",IF(SUMPRODUCT((P_ID=INDEX(L_ID,ROW()-4))*(P_StatusN="INACTIVE"))&gt;0,1,0))</f>
        <v/>
      </c>
    </row>
    <row r="2896">
      <c r="A2896">
        <f>IF(INDEX(L_ID,ROW()-4)="","",IF(COUNTIF(P_ID,INDEX(L_ID,ROW()-4))&gt;0,1,0))</f>
        <v/>
      </c>
      <c r="B2896">
        <f>IF(INDEX(P_Type,ROW()-4)="","",TRIM(UPPER(INDEX(P_Type,ROW()-4))))</f>
        <v/>
      </c>
      <c r="D2896">
        <f>IF(INDEX(L_Type,ROW()-4)="","",TRIM(UPPER(INDEX(L_Type,ROW()-4))))</f>
        <v/>
      </c>
      <c r="E2896">
        <f>IF(INDEX(P_Status,ROW()-4)="","",TRIM(UPPER(INDEX(P_Status,ROW()-4))))</f>
        <v/>
      </c>
      <c r="G2896">
        <f>IF(INDEX(L_Status,ROW()-4)="","",TRIM(UPPER(INDEX(L_Status,ROW()-4))))</f>
        <v/>
      </c>
      <c r="J2896">
        <f>IF(INDEX(L_ID,ROW()-4)="","",IF(SUMPRODUCT((P_ID=INDEX(L_ID,ROW()-4))*(P_StatusN="INACTIVE"))&gt;0,1,0))</f>
        <v/>
      </c>
    </row>
    <row r="2897">
      <c r="A2897">
        <f>IF(INDEX(L_ID,ROW()-4)="","",IF(COUNTIF(P_ID,INDEX(L_ID,ROW()-4))&gt;0,1,0))</f>
        <v/>
      </c>
      <c r="B2897">
        <f>IF(INDEX(P_Type,ROW()-4)="","",TRIM(UPPER(INDEX(P_Type,ROW()-4))))</f>
        <v/>
      </c>
      <c r="D2897">
        <f>IF(INDEX(L_Type,ROW()-4)="","",TRIM(UPPER(INDEX(L_Type,ROW()-4))))</f>
        <v/>
      </c>
      <c r="E2897">
        <f>IF(INDEX(P_Status,ROW()-4)="","",TRIM(UPPER(INDEX(P_Status,ROW()-4))))</f>
        <v/>
      </c>
      <c r="G2897">
        <f>IF(INDEX(L_Status,ROW()-4)="","",TRIM(UPPER(INDEX(L_Status,ROW()-4))))</f>
        <v/>
      </c>
      <c r="J2897">
        <f>IF(INDEX(L_ID,ROW()-4)="","",IF(SUMPRODUCT((P_ID=INDEX(L_ID,ROW()-4))*(P_StatusN="INACTIVE"))&gt;0,1,0))</f>
        <v/>
      </c>
    </row>
    <row r="2898">
      <c r="A2898">
        <f>IF(INDEX(L_ID,ROW()-4)="","",IF(COUNTIF(P_ID,INDEX(L_ID,ROW()-4))&gt;0,1,0))</f>
        <v/>
      </c>
      <c r="B2898">
        <f>IF(INDEX(P_Type,ROW()-4)="","",TRIM(UPPER(INDEX(P_Type,ROW()-4))))</f>
        <v/>
      </c>
      <c r="D2898">
        <f>IF(INDEX(L_Type,ROW()-4)="","",TRIM(UPPER(INDEX(L_Type,ROW()-4))))</f>
        <v/>
      </c>
      <c r="E2898">
        <f>IF(INDEX(P_Status,ROW()-4)="","",TRIM(UPPER(INDEX(P_Status,ROW()-4))))</f>
        <v/>
      </c>
      <c r="G2898">
        <f>IF(INDEX(L_Status,ROW()-4)="","",TRIM(UPPER(INDEX(L_Status,ROW()-4))))</f>
        <v/>
      </c>
      <c r="J2898">
        <f>IF(INDEX(L_ID,ROW()-4)="","",IF(SUMPRODUCT((P_ID=INDEX(L_ID,ROW()-4))*(P_StatusN="INACTIVE"))&gt;0,1,0))</f>
        <v/>
      </c>
    </row>
    <row r="2899">
      <c r="A2899">
        <f>IF(INDEX(L_ID,ROW()-4)="","",IF(COUNTIF(P_ID,INDEX(L_ID,ROW()-4))&gt;0,1,0))</f>
        <v/>
      </c>
      <c r="B2899">
        <f>IF(INDEX(P_Type,ROW()-4)="","",TRIM(UPPER(INDEX(P_Type,ROW()-4))))</f>
        <v/>
      </c>
      <c r="D2899">
        <f>IF(INDEX(L_Type,ROW()-4)="","",TRIM(UPPER(INDEX(L_Type,ROW()-4))))</f>
        <v/>
      </c>
      <c r="E2899">
        <f>IF(INDEX(P_Status,ROW()-4)="","",TRIM(UPPER(INDEX(P_Status,ROW()-4))))</f>
        <v/>
      </c>
      <c r="G2899">
        <f>IF(INDEX(L_Status,ROW()-4)="","",TRIM(UPPER(INDEX(L_Status,ROW()-4))))</f>
        <v/>
      </c>
      <c r="J2899">
        <f>IF(INDEX(L_ID,ROW()-4)="","",IF(SUMPRODUCT((P_ID=INDEX(L_ID,ROW()-4))*(P_StatusN="INACTIVE"))&gt;0,1,0))</f>
        <v/>
      </c>
    </row>
    <row r="2900">
      <c r="A2900">
        <f>IF(INDEX(L_ID,ROW()-4)="","",IF(COUNTIF(P_ID,INDEX(L_ID,ROW()-4))&gt;0,1,0))</f>
        <v/>
      </c>
      <c r="B2900">
        <f>IF(INDEX(P_Type,ROW()-4)="","",TRIM(UPPER(INDEX(P_Type,ROW()-4))))</f>
        <v/>
      </c>
      <c r="D2900">
        <f>IF(INDEX(L_Type,ROW()-4)="","",TRIM(UPPER(INDEX(L_Type,ROW()-4))))</f>
        <v/>
      </c>
      <c r="E2900">
        <f>IF(INDEX(P_Status,ROW()-4)="","",TRIM(UPPER(INDEX(P_Status,ROW()-4))))</f>
        <v/>
      </c>
      <c r="G2900">
        <f>IF(INDEX(L_Status,ROW()-4)="","",TRIM(UPPER(INDEX(L_Status,ROW()-4))))</f>
        <v/>
      </c>
      <c r="J2900">
        <f>IF(INDEX(L_ID,ROW()-4)="","",IF(SUMPRODUCT((P_ID=INDEX(L_ID,ROW()-4))*(P_StatusN="INACTIVE"))&gt;0,1,0))</f>
        <v/>
      </c>
    </row>
    <row r="2901">
      <c r="A2901">
        <f>IF(INDEX(L_ID,ROW()-4)="","",IF(COUNTIF(P_ID,INDEX(L_ID,ROW()-4))&gt;0,1,0))</f>
        <v/>
      </c>
      <c r="B2901">
        <f>IF(INDEX(P_Type,ROW()-4)="","",TRIM(UPPER(INDEX(P_Type,ROW()-4))))</f>
        <v/>
      </c>
      <c r="D2901">
        <f>IF(INDEX(L_Type,ROW()-4)="","",TRIM(UPPER(INDEX(L_Type,ROW()-4))))</f>
        <v/>
      </c>
      <c r="E2901">
        <f>IF(INDEX(P_Status,ROW()-4)="","",TRIM(UPPER(INDEX(P_Status,ROW()-4))))</f>
        <v/>
      </c>
      <c r="G2901">
        <f>IF(INDEX(L_Status,ROW()-4)="","",TRIM(UPPER(INDEX(L_Status,ROW()-4))))</f>
        <v/>
      </c>
      <c r="J2901">
        <f>IF(INDEX(L_ID,ROW()-4)="","",IF(SUMPRODUCT((P_ID=INDEX(L_ID,ROW()-4))*(P_StatusN="INACTIVE"))&gt;0,1,0))</f>
        <v/>
      </c>
    </row>
    <row r="2902">
      <c r="A2902">
        <f>IF(INDEX(L_ID,ROW()-4)="","",IF(COUNTIF(P_ID,INDEX(L_ID,ROW()-4))&gt;0,1,0))</f>
        <v/>
      </c>
      <c r="B2902">
        <f>IF(INDEX(P_Type,ROW()-4)="","",TRIM(UPPER(INDEX(P_Type,ROW()-4))))</f>
        <v/>
      </c>
      <c r="D2902">
        <f>IF(INDEX(L_Type,ROW()-4)="","",TRIM(UPPER(INDEX(L_Type,ROW()-4))))</f>
        <v/>
      </c>
      <c r="E2902">
        <f>IF(INDEX(P_Status,ROW()-4)="","",TRIM(UPPER(INDEX(P_Status,ROW()-4))))</f>
        <v/>
      </c>
      <c r="G2902">
        <f>IF(INDEX(L_Status,ROW()-4)="","",TRIM(UPPER(INDEX(L_Status,ROW()-4))))</f>
        <v/>
      </c>
      <c r="J2902">
        <f>IF(INDEX(L_ID,ROW()-4)="","",IF(SUMPRODUCT((P_ID=INDEX(L_ID,ROW()-4))*(P_StatusN="INACTIVE"))&gt;0,1,0))</f>
        <v/>
      </c>
    </row>
    <row r="2903">
      <c r="A2903">
        <f>IF(INDEX(L_ID,ROW()-4)="","",IF(COUNTIF(P_ID,INDEX(L_ID,ROW()-4))&gt;0,1,0))</f>
        <v/>
      </c>
      <c r="B2903">
        <f>IF(INDEX(P_Type,ROW()-4)="","",TRIM(UPPER(INDEX(P_Type,ROW()-4))))</f>
        <v/>
      </c>
      <c r="D2903">
        <f>IF(INDEX(L_Type,ROW()-4)="","",TRIM(UPPER(INDEX(L_Type,ROW()-4))))</f>
        <v/>
      </c>
      <c r="E2903">
        <f>IF(INDEX(P_Status,ROW()-4)="","",TRIM(UPPER(INDEX(P_Status,ROW()-4))))</f>
        <v/>
      </c>
      <c r="G2903">
        <f>IF(INDEX(L_Status,ROW()-4)="","",TRIM(UPPER(INDEX(L_Status,ROW()-4))))</f>
        <v/>
      </c>
      <c r="J2903">
        <f>IF(INDEX(L_ID,ROW()-4)="","",IF(SUMPRODUCT((P_ID=INDEX(L_ID,ROW()-4))*(P_StatusN="INACTIVE"))&gt;0,1,0))</f>
        <v/>
      </c>
    </row>
    <row r="2904">
      <c r="A2904">
        <f>IF(INDEX(L_ID,ROW()-4)="","",IF(COUNTIF(P_ID,INDEX(L_ID,ROW()-4))&gt;0,1,0))</f>
        <v/>
      </c>
      <c r="B2904">
        <f>IF(INDEX(P_Type,ROW()-4)="","",TRIM(UPPER(INDEX(P_Type,ROW()-4))))</f>
        <v/>
      </c>
      <c r="D2904">
        <f>IF(INDEX(L_Type,ROW()-4)="","",TRIM(UPPER(INDEX(L_Type,ROW()-4))))</f>
        <v/>
      </c>
      <c r="E2904">
        <f>IF(INDEX(P_Status,ROW()-4)="","",TRIM(UPPER(INDEX(P_Status,ROW()-4))))</f>
        <v/>
      </c>
      <c r="G2904">
        <f>IF(INDEX(L_Status,ROW()-4)="","",TRIM(UPPER(INDEX(L_Status,ROW()-4))))</f>
        <v/>
      </c>
      <c r="J2904">
        <f>IF(INDEX(L_ID,ROW()-4)="","",IF(SUMPRODUCT((P_ID=INDEX(L_ID,ROW()-4))*(P_StatusN="INACTIVE"))&gt;0,1,0))</f>
        <v/>
      </c>
    </row>
    <row r="2905">
      <c r="A2905">
        <f>IF(INDEX(L_ID,ROW()-4)="","",IF(COUNTIF(P_ID,INDEX(L_ID,ROW()-4))&gt;0,1,0))</f>
        <v/>
      </c>
      <c r="B2905">
        <f>IF(INDEX(P_Type,ROW()-4)="","",TRIM(UPPER(INDEX(P_Type,ROW()-4))))</f>
        <v/>
      </c>
      <c r="D2905">
        <f>IF(INDEX(L_Type,ROW()-4)="","",TRIM(UPPER(INDEX(L_Type,ROW()-4))))</f>
        <v/>
      </c>
      <c r="E2905">
        <f>IF(INDEX(P_Status,ROW()-4)="","",TRIM(UPPER(INDEX(P_Status,ROW()-4))))</f>
        <v/>
      </c>
      <c r="G2905">
        <f>IF(INDEX(L_Status,ROW()-4)="","",TRIM(UPPER(INDEX(L_Status,ROW()-4))))</f>
        <v/>
      </c>
      <c r="J2905">
        <f>IF(INDEX(L_ID,ROW()-4)="","",IF(SUMPRODUCT((P_ID=INDEX(L_ID,ROW()-4))*(P_StatusN="INACTIVE"))&gt;0,1,0))</f>
        <v/>
      </c>
    </row>
    <row r="2906">
      <c r="A2906">
        <f>IF(INDEX(L_ID,ROW()-4)="","",IF(COUNTIF(P_ID,INDEX(L_ID,ROW()-4))&gt;0,1,0))</f>
        <v/>
      </c>
      <c r="B2906">
        <f>IF(INDEX(P_Type,ROW()-4)="","",TRIM(UPPER(INDEX(P_Type,ROW()-4))))</f>
        <v/>
      </c>
      <c r="D2906">
        <f>IF(INDEX(L_Type,ROW()-4)="","",TRIM(UPPER(INDEX(L_Type,ROW()-4))))</f>
        <v/>
      </c>
      <c r="E2906">
        <f>IF(INDEX(P_Status,ROW()-4)="","",TRIM(UPPER(INDEX(P_Status,ROW()-4))))</f>
        <v/>
      </c>
      <c r="G2906">
        <f>IF(INDEX(L_Status,ROW()-4)="","",TRIM(UPPER(INDEX(L_Status,ROW()-4))))</f>
        <v/>
      </c>
      <c r="J2906">
        <f>IF(INDEX(L_ID,ROW()-4)="","",IF(SUMPRODUCT((P_ID=INDEX(L_ID,ROW()-4))*(P_StatusN="INACTIVE"))&gt;0,1,0))</f>
        <v/>
      </c>
    </row>
    <row r="2907">
      <c r="A2907">
        <f>IF(INDEX(L_ID,ROW()-4)="","",IF(COUNTIF(P_ID,INDEX(L_ID,ROW()-4))&gt;0,1,0))</f>
        <v/>
      </c>
      <c r="B2907">
        <f>IF(INDEX(P_Type,ROW()-4)="","",TRIM(UPPER(INDEX(P_Type,ROW()-4))))</f>
        <v/>
      </c>
      <c r="D2907">
        <f>IF(INDEX(L_Type,ROW()-4)="","",TRIM(UPPER(INDEX(L_Type,ROW()-4))))</f>
        <v/>
      </c>
      <c r="E2907">
        <f>IF(INDEX(P_Status,ROW()-4)="","",TRIM(UPPER(INDEX(P_Status,ROW()-4))))</f>
        <v/>
      </c>
      <c r="G2907">
        <f>IF(INDEX(L_Status,ROW()-4)="","",TRIM(UPPER(INDEX(L_Status,ROW()-4))))</f>
        <v/>
      </c>
      <c r="J2907">
        <f>IF(INDEX(L_ID,ROW()-4)="","",IF(SUMPRODUCT((P_ID=INDEX(L_ID,ROW()-4))*(P_StatusN="INACTIVE"))&gt;0,1,0))</f>
        <v/>
      </c>
    </row>
    <row r="2908">
      <c r="A2908">
        <f>IF(INDEX(L_ID,ROW()-4)="","",IF(COUNTIF(P_ID,INDEX(L_ID,ROW()-4))&gt;0,1,0))</f>
        <v/>
      </c>
      <c r="B2908">
        <f>IF(INDEX(P_Type,ROW()-4)="","",TRIM(UPPER(INDEX(P_Type,ROW()-4))))</f>
        <v/>
      </c>
      <c r="D2908">
        <f>IF(INDEX(L_Type,ROW()-4)="","",TRIM(UPPER(INDEX(L_Type,ROW()-4))))</f>
        <v/>
      </c>
      <c r="E2908">
        <f>IF(INDEX(P_Status,ROW()-4)="","",TRIM(UPPER(INDEX(P_Status,ROW()-4))))</f>
        <v/>
      </c>
      <c r="G2908">
        <f>IF(INDEX(L_Status,ROW()-4)="","",TRIM(UPPER(INDEX(L_Status,ROW()-4))))</f>
        <v/>
      </c>
      <c r="J2908">
        <f>IF(INDEX(L_ID,ROW()-4)="","",IF(SUMPRODUCT((P_ID=INDEX(L_ID,ROW()-4))*(P_StatusN="INACTIVE"))&gt;0,1,0))</f>
        <v/>
      </c>
    </row>
    <row r="2909">
      <c r="A2909">
        <f>IF(INDEX(L_ID,ROW()-4)="","",IF(COUNTIF(P_ID,INDEX(L_ID,ROW()-4))&gt;0,1,0))</f>
        <v/>
      </c>
      <c r="B2909">
        <f>IF(INDEX(P_Type,ROW()-4)="","",TRIM(UPPER(INDEX(P_Type,ROW()-4))))</f>
        <v/>
      </c>
      <c r="D2909">
        <f>IF(INDEX(L_Type,ROW()-4)="","",TRIM(UPPER(INDEX(L_Type,ROW()-4))))</f>
        <v/>
      </c>
      <c r="E2909">
        <f>IF(INDEX(P_Status,ROW()-4)="","",TRIM(UPPER(INDEX(P_Status,ROW()-4))))</f>
        <v/>
      </c>
      <c r="G2909">
        <f>IF(INDEX(L_Status,ROW()-4)="","",TRIM(UPPER(INDEX(L_Status,ROW()-4))))</f>
        <v/>
      </c>
      <c r="J2909">
        <f>IF(INDEX(L_ID,ROW()-4)="","",IF(SUMPRODUCT((P_ID=INDEX(L_ID,ROW()-4))*(P_StatusN="INACTIVE"))&gt;0,1,0))</f>
        <v/>
      </c>
    </row>
    <row r="2910">
      <c r="A2910">
        <f>IF(INDEX(L_ID,ROW()-4)="","",IF(COUNTIF(P_ID,INDEX(L_ID,ROW()-4))&gt;0,1,0))</f>
        <v/>
      </c>
      <c r="B2910">
        <f>IF(INDEX(P_Type,ROW()-4)="","",TRIM(UPPER(INDEX(P_Type,ROW()-4))))</f>
        <v/>
      </c>
      <c r="D2910">
        <f>IF(INDEX(L_Type,ROW()-4)="","",TRIM(UPPER(INDEX(L_Type,ROW()-4))))</f>
        <v/>
      </c>
      <c r="E2910">
        <f>IF(INDEX(P_Status,ROW()-4)="","",TRIM(UPPER(INDEX(P_Status,ROW()-4))))</f>
        <v/>
      </c>
      <c r="G2910">
        <f>IF(INDEX(L_Status,ROW()-4)="","",TRIM(UPPER(INDEX(L_Status,ROW()-4))))</f>
        <v/>
      </c>
      <c r="J2910">
        <f>IF(INDEX(L_ID,ROW()-4)="","",IF(SUMPRODUCT((P_ID=INDEX(L_ID,ROW()-4))*(P_StatusN="INACTIVE"))&gt;0,1,0))</f>
        <v/>
      </c>
    </row>
    <row r="2911">
      <c r="A2911">
        <f>IF(INDEX(L_ID,ROW()-4)="","",IF(COUNTIF(P_ID,INDEX(L_ID,ROW()-4))&gt;0,1,0))</f>
        <v/>
      </c>
      <c r="B2911">
        <f>IF(INDEX(P_Type,ROW()-4)="","",TRIM(UPPER(INDEX(P_Type,ROW()-4))))</f>
        <v/>
      </c>
      <c r="D2911">
        <f>IF(INDEX(L_Type,ROW()-4)="","",TRIM(UPPER(INDEX(L_Type,ROW()-4))))</f>
        <v/>
      </c>
      <c r="E2911">
        <f>IF(INDEX(P_Status,ROW()-4)="","",TRIM(UPPER(INDEX(P_Status,ROW()-4))))</f>
        <v/>
      </c>
      <c r="G2911">
        <f>IF(INDEX(L_Status,ROW()-4)="","",TRIM(UPPER(INDEX(L_Status,ROW()-4))))</f>
        <v/>
      </c>
      <c r="J2911">
        <f>IF(INDEX(L_ID,ROW()-4)="","",IF(SUMPRODUCT((P_ID=INDEX(L_ID,ROW()-4))*(P_StatusN="INACTIVE"))&gt;0,1,0))</f>
        <v/>
      </c>
    </row>
    <row r="2912">
      <c r="A2912">
        <f>IF(INDEX(L_ID,ROW()-4)="","",IF(COUNTIF(P_ID,INDEX(L_ID,ROW()-4))&gt;0,1,0))</f>
        <v/>
      </c>
      <c r="B2912">
        <f>IF(INDEX(P_Type,ROW()-4)="","",TRIM(UPPER(INDEX(P_Type,ROW()-4))))</f>
        <v/>
      </c>
      <c r="D2912">
        <f>IF(INDEX(L_Type,ROW()-4)="","",TRIM(UPPER(INDEX(L_Type,ROW()-4))))</f>
        <v/>
      </c>
      <c r="E2912">
        <f>IF(INDEX(P_Status,ROW()-4)="","",TRIM(UPPER(INDEX(P_Status,ROW()-4))))</f>
        <v/>
      </c>
      <c r="G2912">
        <f>IF(INDEX(L_Status,ROW()-4)="","",TRIM(UPPER(INDEX(L_Status,ROW()-4))))</f>
        <v/>
      </c>
      <c r="J2912">
        <f>IF(INDEX(L_ID,ROW()-4)="","",IF(SUMPRODUCT((P_ID=INDEX(L_ID,ROW()-4))*(P_StatusN="INACTIVE"))&gt;0,1,0))</f>
        <v/>
      </c>
    </row>
    <row r="2913">
      <c r="A2913">
        <f>IF(INDEX(L_ID,ROW()-4)="","",IF(COUNTIF(P_ID,INDEX(L_ID,ROW()-4))&gt;0,1,0))</f>
        <v/>
      </c>
      <c r="B2913">
        <f>IF(INDEX(P_Type,ROW()-4)="","",TRIM(UPPER(INDEX(P_Type,ROW()-4))))</f>
        <v/>
      </c>
      <c r="D2913">
        <f>IF(INDEX(L_Type,ROW()-4)="","",TRIM(UPPER(INDEX(L_Type,ROW()-4))))</f>
        <v/>
      </c>
      <c r="E2913">
        <f>IF(INDEX(P_Status,ROW()-4)="","",TRIM(UPPER(INDEX(P_Status,ROW()-4))))</f>
        <v/>
      </c>
      <c r="G2913">
        <f>IF(INDEX(L_Status,ROW()-4)="","",TRIM(UPPER(INDEX(L_Status,ROW()-4))))</f>
        <v/>
      </c>
      <c r="J2913">
        <f>IF(INDEX(L_ID,ROW()-4)="","",IF(SUMPRODUCT((P_ID=INDEX(L_ID,ROW()-4))*(P_StatusN="INACTIVE"))&gt;0,1,0))</f>
        <v/>
      </c>
    </row>
    <row r="2914">
      <c r="A2914">
        <f>IF(INDEX(L_ID,ROW()-4)="","",IF(COUNTIF(P_ID,INDEX(L_ID,ROW()-4))&gt;0,1,0))</f>
        <v/>
      </c>
      <c r="B2914">
        <f>IF(INDEX(P_Type,ROW()-4)="","",TRIM(UPPER(INDEX(P_Type,ROW()-4))))</f>
        <v/>
      </c>
      <c r="D2914">
        <f>IF(INDEX(L_Type,ROW()-4)="","",TRIM(UPPER(INDEX(L_Type,ROW()-4))))</f>
        <v/>
      </c>
      <c r="E2914">
        <f>IF(INDEX(P_Status,ROW()-4)="","",TRIM(UPPER(INDEX(P_Status,ROW()-4))))</f>
        <v/>
      </c>
      <c r="G2914">
        <f>IF(INDEX(L_Status,ROW()-4)="","",TRIM(UPPER(INDEX(L_Status,ROW()-4))))</f>
        <v/>
      </c>
      <c r="J2914">
        <f>IF(INDEX(L_ID,ROW()-4)="","",IF(SUMPRODUCT((P_ID=INDEX(L_ID,ROW()-4))*(P_StatusN="INACTIVE"))&gt;0,1,0))</f>
        <v/>
      </c>
    </row>
    <row r="2915">
      <c r="A2915">
        <f>IF(INDEX(L_ID,ROW()-4)="","",IF(COUNTIF(P_ID,INDEX(L_ID,ROW()-4))&gt;0,1,0))</f>
        <v/>
      </c>
      <c r="B2915">
        <f>IF(INDEX(P_Type,ROW()-4)="","",TRIM(UPPER(INDEX(P_Type,ROW()-4))))</f>
        <v/>
      </c>
      <c r="D2915">
        <f>IF(INDEX(L_Type,ROW()-4)="","",TRIM(UPPER(INDEX(L_Type,ROW()-4))))</f>
        <v/>
      </c>
      <c r="E2915">
        <f>IF(INDEX(P_Status,ROW()-4)="","",TRIM(UPPER(INDEX(P_Status,ROW()-4))))</f>
        <v/>
      </c>
      <c r="G2915">
        <f>IF(INDEX(L_Status,ROW()-4)="","",TRIM(UPPER(INDEX(L_Status,ROW()-4))))</f>
        <v/>
      </c>
      <c r="J2915">
        <f>IF(INDEX(L_ID,ROW()-4)="","",IF(SUMPRODUCT((P_ID=INDEX(L_ID,ROW()-4))*(P_StatusN="INACTIVE"))&gt;0,1,0))</f>
        <v/>
      </c>
    </row>
    <row r="2916">
      <c r="A2916">
        <f>IF(INDEX(L_ID,ROW()-4)="","",IF(COUNTIF(P_ID,INDEX(L_ID,ROW()-4))&gt;0,1,0))</f>
        <v/>
      </c>
      <c r="B2916">
        <f>IF(INDEX(P_Type,ROW()-4)="","",TRIM(UPPER(INDEX(P_Type,ROW()-4))))</f>
        <v/>
      </c>
      <c r="D2916">
        <f>IF(INDEX(L_Type,ROW()-4)="","",TRIM(UPPER(INDEX(L_Type,ROW()-4))))</f>
        <v/>
      </c>
      <c r="E2916">
        <f>IF(INDEX(P_Status,ROW()-4)="","",TRIM(UPPER(INDEX(P_Status,ROW()-4))))</f>
        <v/>
      </c>
      <c r="G2916">
        <f>IF(INDEX(L_Status,ROW()-4)="","",TRIM(UPPER(INDEX(L_Status,ROW()-4))))</f>
        <v/>
      </c>
      <c r="J2916">
        <f>IF(INDEX(L_ID,ROW()-4)="","",IF(SUMPRODUCT((P_ID=INDEX(L_ID,ROW()-4))*(P_StatusN="INACTIVE"))&gt;0,1,0))</f>
        <v/>
      </c>
    </row>
    <row r="2917">
      <c r="A2917">
        <f>IF(INDEX(L_ID,ROW()-4)="","",IF(COUNTIF(P_ID,INDEX(L_ID,ROW()-4))&gt;0,1,0))</f>
        <v/>
      </c>
      <c r="B2917">
        <f>IF(INDEX(P_Type,ROW()-4)="","",TRIM(UPPER(INDEX(P_Type,ROW()-4))))</f>
        <v/>
      </c>
      <c r="D2917">
        <f>IF(INDEX(L_Type,ROW()-4)="","",TRIM(UPPER(INDEX(L_Type,ROW()-4))))</f>
        <v/>
      </c>
      <c r="E2917">
        <f>IF(INDEX(P_Status,ROW()-4)="","",TRIM(UPPER(INDEX(P_Status,ROW()-4))))</f>
        <v/>
      </c>
      <c r="G2917">
        <f>IF(INDEX(L_Status,ROW()-4)="","",TRIM(UPPER(INDEX(L_Status,ROW()-4))))</f>
        <v/>
      </c>
      <c r="J2917">
        <f>IF(INDEX(L_ID,ROW()-4)="","",IF(SUMPRODUCT((P_ID=INDEX(L_ID,ROW()-4))*(P_StatusN="INACTIVE"))&gt;0,1,0))</f>
        <v/>
      </c>
    </row>
    <row r="2918">
      <c r="A2918">
        <f>IF(INDEX(L_ID,ROW()-4)="","",IF(COUNTIF(P_ID,INDEX(L_ID,ROW()-4))&gt;0,1,0))</f>
        <v/>
      </c>
      <c r="B2918">
        <f>IF(INDEX(P_Type,ROW()-4)="","",TRIM(UPPER(INDEX(P_Type,ROW()-4))))</f>
        <v/>
      </c>
      <c r="D2918">
        <f>IF(INDEX(L_Type,ROW()-4)="","",TRIM(UPPER(INDEX(L_Type,ROW()-4))))</f>
        <v/>
      </c>
      <c r="E2918">
        <f>IF(INDEX(P_Status,ROW()-4)="","",TRIM(UPPER(INDEX(P_Status,ROW()-4))))</f>
        <v/>
      </c>
      <c r="G2918">
        <f>IF(INDEX(L_Status,ROW()-4)="","",TRIM(UPPER(INDEX(L_Status,ROW()-4))))</f>
        <v/>
      </c>
      <c r="J2918">
        <f>IF(INDEX(L_ID,ROW()-4)="","",IF(SUMPRODUCT((P_ID=INDEX(L_ID,ROW()-4))*(P_StatusN="INACTIVE"))&gt;0,1,0))</f>
        <v/>
      </c>
    </row>
    <row r="2919">
      <c r="A2919">
        <f>IF(INDEX(L_ID,ROW()-4)="","",IF(COUNTIF(P_ID,INDEX(L_ID,ROW()-4))&gt;0,1,0))</f>
        <v/>
      </c>
      <c r="B2919">
        <f>IF(INDEX(P_Type,ROW()-4)="","",TRIM(UPPER(INDEX(P_Type,ROW()-4))))</f>
        <v/>
      </c>
      <c r="D2919">
        <f>IF(INDEX(L_Type,ROW()-4)="","",TRIM(UPPER(INDEX(L_Type,ROW()-4))))</f>
        <v/>
      </c>
      <c r="E2919">
        <f>IF(INDEX(P_Status,ROW()-4)="","",TRIM(UPPER(INDEX(P_Status,ROW()-4))))</f>
        <v/>
      </c>
      <c r="G2919">
        <f>IF(INDEX(L_Status,ROW()-4)="","",TRIM(UPPER(INDEX(L_Status,ROW()-4))))</f>
        <v/>
      </c>
      <c r="J2919">
        <f>IF(INDEX(L_ID,ROW()-4)="","",IF(SUMPRODUCT((P_ID=INDEX(L_ID,ROW()-4))*(P_StatusN="INACTIVE"))&gt;0,1,0))</f>
        <v/>
      </c>
    </row>
    <row r="2920">
      <c r="A2920">
        <f>IF(INDEX(L_ID,ROW()-4)="","",IF(COUNTIF(P_ID,INDEX(L_ID,ROW()-4))&gt;0,1,0))</f>
        <v/>
      </c>
      <c r="B2920">
        <f>IF(INDEX(P_Type,ROW()-4)="","",TRIM(UPPER(INDEX(P_Type,ROW()-4))))</f>
        <v/>
      </c>
      <c r="D2920">
        <f>IF(INDEX(L_Type,ROW()-4)="","",TRIM(UPPER(INDEX(L_Type,ROW()-4))))</f>
        <v/>
      </c>
      <c r="E2920">
        <f>IF(INDEX(P_Status,ROW()-4)="","",TRIM(UPPER(INDEX(P_Status,ROW()-4))))</f>
        <v/>
      </c>
      <c r="G2920">
        <f>IF(INDEX(L_Status,ROW()-4)="","",TRIM(UPPER(INDEX(L_Status,ROW()-4))))</f>
        <v/>
      </c>
      <c r="J2920">
        <f>IF(INDEX(L_ID,ROW()-4)="","",IF(SUMPRODUCT((P_ID=INDEX(L_ID,ROW()-4))*(P_StatusN="INACTIVE"))&gt;0,1,0))</f>
        <v/>
      </c>
    </row>
    <row r="2921">
      <c r="A2921">
        <f>IF(INDEX(L_ID,ROW()-4)="","",IF(COUNTIF(P_ID,INDEX(L_ID,ROW()-4))&gt;0,1,0))</f>
        <v/>
      </c>
      <c r="B2921">
        <f>IF(INDEX(P_Type,ROW()-4)="","",TRIM(UPPER(INDEX(P_Type,ROW()-4))))</f>
        <v/>
      </c>
      <c r="D2921">
        <f>IF(INDEX(L_Type,ROW()-4)="","",TRIM(UPPER(INDEX(L_Type,ROW()-4))))</f>
        <v/>
      </c>
      <c r="E2921">
        <f>IF(INDEX(P_Status,ROW()-4)="","",TRIM(UPPER(INDEX(P_Status,ROW()-4))))</f>
        <v/>
      </c>
      <c r="G2921">
        <f>IF(INDEX(L_Status,ROW()-4)="","",TRIM(UPPER(INDEX(L_Status,ROW()-4))))</f>
        <v/>
      </c>
      <c r="J2921">
        <f>IF(INDEX(L_ID,ROW()-4)="","",IF(SUMPRODUCT((P_ID=INDEX(L_ID,ROW()-4))*(P_StatusN="INACTIVE"))&gt;0,1,0))</f>
        <v/>
      </c>
    </row>
    <row r="2922">
      <c r="A2922">
        <f>IF(INDEX(L_ID,ROW()-4)="","",IF(COUNTIF(P_ID,INDEX(L_ID,ROW()-4))&gt;0,1,0))</f>
        <v/>
      </c>
      <c r="B2922">
        <f>IF(INDEX(P_Type,ROW()-4)="","",TRIM(UPPER(INDEX(P_Type,ROW()-4))))</f>
        <v/>
      </c>
      <c r="D2922">
        <f>IF(INDEX(L_Type,ROW()-4)="","",TRIM(UPPER(INDEX(L_Type,ROW()-4))))</f>
        <v/>
      </c>
      <c r="E2922">
        <f>IF(INDEX(P_Status,ROW()-4)="","",TRIM(UPPER(INDEX(P_Status,ROW()-4))))</f>
        <v/>
      </c>
      <c r="G2922">
        <f>IF(INDEX(L_Status,ROW()-4)="","",TRIM(UPPER(INDEX(L_Status,ROW()-4))))</f>
        <v/>
      </c>
      <c r="J2922">
        <f>IF(INDEX(L_ID,ROW()-4)="","",IF(SUMPRODUCT((P_ID=INDEX(L_ID,ROW()-4))*(P_StatusN="INACTIVE"))&gt;0,1,0))</f>
        <v/>
      </c>
    </row>
    <row r="2923">
      <c r="A2923">
        <f>IF(INDEX(L_ID,ROW()-4)="","",IF(COUNTIF(P_ID,INDEX(L_ID,ROW()-4))&gt;0,1,0))</f>
        <v/>
      </c>
      <c r="B2923">
        <f>IF(INDEX(P_Type,ROW()-4)="","",TRIM(UPPER(INDEX(P_Type,ROW()-4))))</f>
        <v/>
      </c>
      <c r="D2923">
        <f>IF(INDEX(L_Type,ROW()-4)="","",TRIM(UPPER(INDEX(L_Type,ROW()-4))))</f>
        <v/>
      </c>
      <c r="E2923">
        <f>IF(INDEX(P_Status,ROW()-4)="","",TRIM(UPPER(INDEX(P_Status,ROW()-4))))</f>
        <v/>
      </c>
      <c r="G2923">
        <f>IF(INDEX(L_Status,ROW()-4)="","",TRIM(UPPER(INDEX(L_Status,ROW()-4))))</f>
        <v/>
      </c>
      <c r="J2923">
        <f>IF(INDEX(L_ID,ROW()-4)="","",IF(SUMPRODUCT((P_ID=INDEX(L_ID,ROW()-4))*(P_StatusN="INACTIVE"))&gt;0,1,0))</f>
        <v/>
      </c>
    </row>
    <row r="2924">
      <c r="A2924">
        <f>IF(INDEX(L_ID,ROW()-4)="","",IF(COUNTIF(P_ID,INDEX(L_ID,ROW()-4))&gt;0,1,0))</f>
        <v/>
      </c>
      <c r="B2924">
        <f>IF(INDEX(P_Type,ROW()-4)="","",TRIM(UPPER(INDEX(P_Type,ROW()-4))))</f>
        <v/>
      </c>
      <c r="D2924">
        <f>IF(INDEX(L_Type,ROW()-4)="","",TRIM(UPPER(INDEX(L_Type,ROW()-4))))</f>
        <v/>
      </c>
      <c r="E2924">
        <f>IF(INDEX(P_Status,ROW()-4)="","",TRIM(UPPER(INDEX(P_Status,ROW()-4))))</f>
        <v/>
      </c>
      <c r="G2924">
        <f>IF(INDEX(L_Status,ROW()-4)="","",TRIM(UPPER(INDEX(L_Status,ROW()-4))))</f>
        <v/>
      </c>
      <c r="J2924">
        <f>IF(INDEX(L_ID,ROW()-4)="","",IF(SUMPRODUCT((P_ID=INDEX(L_ID,ROW()-4))*(P_StatusN="INACTIVE"))&gt;0,1,0))</f>
        <v/>
      </c>
    </row>
    <row r="2925">
      <c r="A2925">
        <f>IF(INDEX(L_ID,ROW()-4)="","",IF(COUNTIF(P_ID,INDEX(L_ID,ROW()-4))&gt;0,1,0))</f>
        <v/>
      </c>
      <c r="B2925">
        <f>IF(INDEX(P_Type,ROW()-4)="","",TRIM(UPPER(INDEX(P_Type,ROW()-4))))</f>
        <v/>
      </c>
      <c r="D2925">
        <f>IF(INDEX(L_Type,ROW()-4)="","",TRIM(UPPER(INDEX(L_Type,ROW()-4))))</f>
        <v/>
      </c>
      <c r="E2925">
        <f>IF(INDEX(P_Status,ROW()-4)="","",TRIM(UPPER(INDEX(P_Status,ROW()-4))))</f>
        <v/>
      </c>
      <c r="G2925">
        <f>IF(INDEX(L_Status,ROW()-4)="","",TRIM(UPPER(INDEX(L_Status,ROW()-4))))</f>
        <v/>
      </c>
      <c r="J2925">
        <f>IF(INDEX(L_ID,ROW()-4)="","",IF(SUMPRODUCT((P_ID=INDEX(L_ID,ROW()-4))*(P_StatusN="INACTIVE"))&gt;0,1,0))</f>
        <v/>
      </c>
    </row>
    <row r="2926">
      <c r="A2926">
        <f>IF(INDEX(L_ID,ROW()-4)="","",IF(COUNTIF(P_ID,INDEX(L_ID,ROW()-4))&gt;0,1,0))</f>
        <v/>
      </c>
      <c r="B2926">
        <f>IF(INDEX(P_Type,ROW()-4)="","",TRIM(UPPER(INDEX(P_Type,ROW()-4))))</f>
        <v/>
      </c>
      <c r="D2926">
        <f>IF(INDEX(L_Type,ROW()-4)="","",TRIM(UPPER(INDEX(L_Type,ROW()-4))))</f>
        <v/>
      </c>
      <c r="E2926">
        <f>IF(INDEX(P_Status,ROW()-4)="","",TRIM(UPPER(INDEX(P_Status,ROW()-4))))</f>
        <v/>
      </c>
      <c r="G2926">
        <f>IF(INDEX(L_Status,ROW()-4)="","",TRIM(UPPER(INDEX(L_Status,ROW()-4))))</f>
        <v/>
      </c>
      <c r="J2926">
        <f>IF(INDEX(L_ID,ROW()-4)="","",IF(SUMPRODUCT((P_ID=INDEX(L_ID,ROW()-4))*(P_StatusN="INACTIVE"))&gt;0,1,0))</f>
        <v/>
      </c>
    </row>
    <row r="2927">
      <c r="A2927">
        <f>IF(INDEX(L_ID,ROW()-4)="","",IF(COUNTIF(P_ID,INDEX(L_ID,ROW()-4))&gt;0,1,0))</f>
        <v/>
      </c>
      <c r="B2927">
        <f>IF(INDEX(P_Type,ROW()-4)="","",TRIM(UPPER(INDEX(P_Type,ROW()-4))))</f>
        <v/>
      </c>
      <c r="D2927">
        <f>IF(INDEX(L_Type,ROW()-4)="","",TRIM(UPPER(INDEX(L_Type,ROW()-4))))</f>
        <v/>
      </c>
      <c r="E2927">
        <f>IF(INDEX(P_Status,ROW()-4)="","",TRIM(UPPER(INDEX(P_Status,ROW()-4))))</f>
        <v/>
      </c>
      <c r="G2927">
        <f>IF(INDEX(L_Status,ROW()-4)="","",TRIM(UPPER(INDEX(L_Status,ROW()-4))))</f>
        <v/>
      </c>
      <c r="J2927">
        <f>IF(INDEX(L_ID,ROW()-4)="","",IF(SUMPRODUCT((P_ID=INDEX(L_ID,ROW()-4))*(P_StatusN="INACTIVE"))&gt;0,1,0))</f>
        <v/>
      </c>
    </row>
    <row r="2928">
      <c r="A2928">
        <f>IF(INDEX(L_ID,ROW()-4)="","",IF(COUNTIF(P_ID,INDEX(L_ID,ROW()-4))&gt;0,1,0))</f>
        <v/>
      </c>
      <c r="B2928">
        <f>IF(INDEX(P_Type,ROW()-4)="","",TRIM(UPPER(INDEX(P_Type,ROW()-4))))</f>
        <v/>
      </c>
      <c r="D2928">
        <f>IF(INDEX(L_Type,ROW()-4)="","",TRIM(UPPER(INDEX(L_Type,ROW()-4))))</f>
        <v/>
      </c>
      <c r="E2928">
        <f>IF(INDEX(P_Status,ROW()-4)="","",TRIM(UPPER(INDEX(P_Status,ROW()-4))))</f>
        <v/>
      </c>
      <c r="G2928">
        <f>IF(INDEX(L_Status,ROW()-4)="","",TRIM(UPPER(INDEX(L_Status,ROW()-4))))</f>
        <v/>
      </c>
      <c r="J2928">
        <f>IF(INDEX(L_ID,ROW()-4)="","",IF(SUMPRODUCT((P_ID=INDEX(L_ID,ROW()-4))*(P_StatusN="INACTIVE"))&gt;0,1,0))</f>
        <v/>
      </c>
    </row>
    <row r="2929">
      <c r="A2929">
        <f>IF(INDEX(L_ID,ROW()-4)="","",IF(COUNTIF(P_ID,INDEX(L_ID,ROW()-4))&gt;0,1,0))</f>
        <v/>
      </c>
      <c r="B2929">
        <f>IF(INDEX(P_Type,ROW()-4)="","",TRIM(UPPER(INDEX(P_Type,ROW()-4))))</f>
        <v/>
      </c>
      <c r="D2929">
        <f>IF(INDEX(L_Type,ROW()-4)="","",TRIM(UPPER(INDEX(L_Type,ROW()-4))))</f>
        <v/>
      </c>
      <c r="E2929">
        <f>IF(INDEX(P_Status,ROW()-4)="","",TRIM(UPPER(INDEX(P_Status,ROW()-4))))</f>
        <v/>
      </c>
      <c r="G2929">
        <f>IF(INDEX(L_Status,ROW()-4)="","",TRIM(UPPER(INDEX(L_Status,ROW()-4))))</f>
        <v/>
      </c>
      <c r="J2929">
        <f>IF(INDEX(L_ID,ROW()-4)="","",IF(SUMPRODUCT((P_ID=INDEX(L_ID,ROW()-4))*(P_StatusN="INACTIVE"))&gt;0,1,0))</f>
        <v/>
      </c>
    </row>
    <row r="2930">
      <c r="A2930">
        <f>IF(INDEX(L_ID,ROW()-4)="","",IF(COUNTIF(P_ID,INDEX(L_ID,ROW()-4))&gt;0,1,0))</f>
        <v/>
      </c>
      <c r="B2930">
        <f>IF(INDEX(P_Type,ROW()-4)="","",TRIM(UPPER(INDEX(P_Type,ROW()-4))))</f>
        <v/>
      </c>
      <c r="D2930">
        <f>IF(INDEX(L_Type,ROW()-4)="","",TRIM(UPPER(INDEX(L_Type,ROW()-4))))</f>
        <v/>
      </c>
      <c r="E2930">
        <f>IF(INDEX(P_Status,ROW()-4)="","",TRIM(UPPER(INDEX(P_Status,ROW()-4))))</f>
        <v/>
      </c>
      <c r="G2930">
        <f>IF(INDEX(L_Status,ROW()-4)="","",TRIM(UPPER(INDEX(L_Status,ROW()-4))))</f>
        <v/>
      </c>
      <c r="J2930">
        <f>IF(INDEX(L_ID,ROW()-4)="","",IF(SUMPRODUCT((P_ID=INDEX(L_ID,ROW()-4))*(P_StatusN="INACTIVE"))&gt;0,1,0))</f>
        <v/>
      </c>
    </row>
    <row r="2931">
      <c r="A2931">
        <f>IF(INDEX(L_ID,ROW()-4)="","",IF(COUNTIF(P_ID,INDEX(L_ID,ROW()-4))&gt;0,1,0))</f>
        <v/>
      </c>
      <c r="B2931">
        <f>IF(INDEX(P_Type,ROW()-4)="","",TRIM(UPPER(INDEX(P_Type,ROW()-4))))</f>
        <v/>
      </c>
      <c r="D2931">
        <f>IF(INDEX(L_Type,ROW()-4)="","",TRIM(UPPER(INDEX(L_Type,ROW()-4))))</f>
        <v/>
      </c>
      <c r="E2931">
        <f>IF(INDEX(P_Status,ROW()-4)="","",TRIM(UPPER(INDEX(P_Status,ROW()-4))))</f>
        <v/>
      </c>
      <c r="G2931">
        <f>IF(INDEX(L_Status,ROW()-4)="","",TRIM(UPPER(INDEX(L_Status,ROW()-4))))</f>
        <v/>
      </c>
      <c r="J2931">
        <f>IF(INDEX(L_ID,ROW()-4)="","",IF(SUMPRODUCT((P_ID=INDEX(L_ID,ROW()-4))*(P_StatusN="INACTIVE"))&gt;0,1,0))</f>
        <v/>
      </c>
    </row>
    <row r="2932">
      <c r="A2932">
        <f>IF(INDEX(L_ID,ROW()-4)="","",IF(COUNTIF(P_ID,INDEX(L_ID,ROW()-4))&gt;0,1,0))</f>
        <v/>
      </c>
      <c r="B2932">
        <f>IF(INDEX(P_Type,ROW()-4)="","",TRIM(UPPER(INDEX(P_Type,ROW()-4))))</f>
        <v/>
      </c>
      <c r="D2932">
        <f>IF(INDEX(L_Type,ROW()-4)="","",TRIM(UPPER(INDEX(L_Type,ROW()-4))))</f>
        <v/>
      </c>
      <c r="E2932">
        <f>IF(INDEX(P_Status,ROW()-4)="","",TRIM(UPPER(INDEX(P_Status,ROW()-4))))</f>
        <v/>
      </c>
      <c r="G2932">
        <f>IF(INDEX(L_Status,ROW()-4)="","",TRIM(UPPER(INDEX(L_Status,ROW()-4))))</f>
        <v/>
      </c>
      <c r="J2932">
        <f>IF(INDEX(L_ID,ROW()-4)="","",IF(SUMPRODUCT((P_ID=INDEX(L_ID,ROW()-4))*(P_StatusN="INACTIVE"))&gt;0,1,0))</f>
        <v/>
      </c>
    </row>
    <row r="2933">
      <c r="A2933">
        <f>IF(INDEX(L_ID,ROW()-4)="","",IF(COUNTIF(P_ID,INDEX(L_ID,ROW()-4))&gt;0,1,0))</f>
        <v/>
      </c>
      <c r="B2933">
        <f>IF(INDEX(P_Type,ROW()-4)="","",TRIM(UPPER(INDEX(P_Type,ROW()-4))))</f>
        <v/>
      </c>
      <c r="D2933">
        <f>IF(INDEX(L_Type,ROW()-4)="","",TRIM(UPPER(INDEX(L_Type,ROW()-4))))</f>
        <v/>
      </c>
      <c r="E2933">
        <f>IF(INDEX(P_Status,ROW()-4)="","",TRIM(UPPER(INDEX(P_Status,ROW()-4))))</f>
        <v/>
      </c>
      <c r="G2933">
        <f>IF(INDEX(L_Status,ROW()-4)="","",TRIM(UPPER(INDEX(L_Status,ROW()-4))))</f>
        <v/>
      </c>
      <c r="J2933">
        <f>IF(INDEX(L_ID,ROW()-4)="","",IF(SUMPRODUCT((P_ID=INDEX(L_ID,ROW()-4))*(P_StatusN="INACTIVE"))&gt;0,1,0))</f>
        <v/>
      </c>
    </row>
    <row r="2934">
      <c r="A2934">
        <f>IF(INDEX(L_ID,ROW()-4)="","",IF(COUNTIF(P_ID,INDEX(L_ID,ROW()-4))&gt;0,1,0))</f>
        <v/>
      </c>
      <c r="B2934">
        <f>IF(INDEX(P_Type,ROW()-4)="","",TRIM(UPPER(INDEX(P_Type,ROW()-4))))</f>
        <v/>
      </c>
      <c r="D2934">
        <f>IF(INDEX(L_Type,ROW()-4)="","",TRIM(UPPER(INDEX(L_Type,ROW()-4))))</f>
        <v/>
      </c>
      <c r="E2934">
        <f>IF(INDEX(P_Status,ROW()-4)="","",TRIM(UPPER(INDEX(P_Status,ROW()-4))))</f>
        <v/>
      </c>
      <c r="G2934">
        <f>IF(INDEX(L_Status,ROW()-4)="","",TRIM(UPPER(INDEX(L_Status,ROW()-4))))</f>
        <v/>
      </c>
      <c r="J2934">
        <f>IF(INDEX(L_ID,ROW()-4)="","",IF(SUMPRODUCT((P_ID=INDEX(L_ID,ROW()-4))*(P_StatusN="INACTIVE"))&gt;0,1,0))</f>
        <v/>
      </c>
    </row>
    <row r="2935">
      <c r="A2935">
        <f>IF(INDEX(L_ID,ROW()-4)="","",IF(COUNTIF(P_ID,INDEX(L_ID,ROW()-4))&gt;0,1,0))</f>
        <v/>
      </c>
      <c r="B2935">
        <f>IF(INDEX(P_Type,ROW()-4)="","",TRIM(UPPER(INDEX(P_Type,ROW()-4))))</f>
        <v/>
      </c>
      <c r="D2935">
        <f>IF(INDEX(L_Type,ROW()-4)="","",TRIM(UPPER(INDEX(L_Type,ROW()-4))))</f>
        <v/>
      </c>
      <c r="E2935">
        <f>IF(INDEX(P_Status,ROW()-4)="","",TRIM(UPPER(INDEX(P_Status,ROW()-4))))</f>
        <v/>
      </c>
      <c r="G2935">
        <f>IF(INDEX(L_Status,ROW()-4)="","",TRIM(UPPER(INDEX(L_Status,ROW()-4))))</f>
        <v/>
      </c>
      <c r="J2935">
        <f>IF(INDEX(L_ID,ROW()-4)="","",IF(SUMPRODUCT((P_ID=INDEX(L_ID,ROW()-4))*(P_StatusN="INACTIVE"))&gt;0,1,0))</f>
        <v/>
      </c>
    </row>
    <row r="2936">
      <c r="A2936">
        <f>IF(INDEX(L_ID,ROW()-4)="","",IF(COUNTIF(P_ID,INDEX(L_ID,ROW()-4))&gt;0,1,0))</f>
        <v/>
      </c>
      <c r="B2936">
        <f>IF(INDEX(P_Type,ROW()-4)="","",TRIM(UPPER(INDEX(P_Type,ROW()-4))))</f>
        <v/>
      </c>
      <c r="D2936">
        <f>IF(INDEX(L_Type,ROW()-4)="","",TRIM(UPPER(INDEX(L_Type,ROW()-4))))</f>
        <v/>
      </c>
      <c r="E2936">
        <f>IF(INDEX(P_Status,ROW()-4)="","",TRIM(UPPER(INDEX(P_Status,ROW()-4))))</f>
        <v/>
      </c>
      <c r="G2936">
        <f>IF(INDEX(L_Status,ROW()-4)="","",TRIM(UPPER(INDEX(L_Status,ROW()-4))))</f>
        <v/>
      </c>
      <c r="J2936">
        <f>IF(INDEX(L_ID,ROW()-4)="","",IF(SUMPRODUCT((P_ID=INDEX(L_ID,ROW()-4))*(P_StatusN="INACTIVE"))&gt;0,1,0))</f>
        <v/>
      </c>
    </row>
    <row r="2937">
      <c r="A2937">
        <f>IF(INDEX(L_ID,ROW()-4)="","",IF(COUNTIF(P_ID,INDEX(L_ID,ROW()-4))&gt;0,1,0))</f>
        <v/>
      </c>
      <c r="B2937">
        <f>IF(INDEX(P_Type,ROW()-4)="","",TRIM(UPPER(INDEX(P_Type,ROW()-4))))</f>
        <v/>
      </c>
      <c r="D2937">
        <f>IF(INDEX(L_Type,ROW()-4)="","",TRIM(UPPER(INDEX(L_Type,ROW()-4))))</f>
        <v/>
      </c>
      <c r="E2937">
        <f>IF(INDEX(P_Status,ROW()-4)="","",TRIM(UPPER(INDEX(P_Status,ROW()-4))))</f>
        <v/>
      </c>
      <c r="G2937">
        <f>IF(INDEX(L_Status,ROW()-4)="","",TRIM(UPPER(INDEX(L_Status,ROW()-4))))</f>
        <v/>
      </c>
      <c r="J2937">
        <f>IF(INDEX(L_ID,ROW()-4)="","",IF(SUMPRODUCT((P_ID=INDEX(L_ID,ROW()-4))*(P_StatusN="INACTIVE"))&gt;0,1,0))</f>
        <v/>
      </c>
    </row>
    <row r="2938">
      <c r="A2938">
        <f>IF(INDEX(L_ID,ROW()-4)="","",IF(COUNTIF(P_ID,INDEX(L_ID,ROW()-4))&gt;0,1,0))</f>
        <v/>
      </c>
      <c r="B2938">
        <f>IF(INDEX(P_Type,ROW()-4)="","",TRIM(UPPER(INDEX(P_Type,ROW()-4))))</f>
        <v/>
      </c>
      <c r="D2938">
        <f>IF(INDEX(L_Type,ROW()-4)="","",TRIM(UPPER(INDEX(L_Type,ROW()-4))))</f>
        <v/>
      </c>
      <c r="E2938">
        <f>IF(INDEX(P_Status,ROW()-4)="","",TRIM(UPPER(INDEX(P_Status,ROW()-4))))</f>
        <v/>
      </c>
      <c r="G2938">
        <f>IF(INDEX(L_Status,ROW()-4)="","",TRIM(UPPER(INDEX(L_Status,ROW()-4))))</f>
        <v/>
      </c>
      <c r="J2938">
        <f>IF(INDEX(L_ID,ROW()-4)="","",IF(SUMPRODUCT((P_ID=INDEX(L_ID,ROW()-4))*(P_StatusN="INACTIVE"))&gt;0,1,0))</f>
        <v/>
      </c>
    </row>
    <row r="2939">
      <c r="A2939">
        <f>IF(INDEX(L_ID,ROW()-4)="","",IF(COUNTIF(P_ID,INDEX(L_ID,ROW()-4))&gt;0,1,0))</f>
        <v/>
      </c>
      <c r="B2939">
        <f>IF(INDEX(P_Type,ROW()-4)="","",TRIM(UPPER(INDEX(P_Type,ROW()-4))))</f>
        <v/>
      </c>
      <c r="D2939">
        <f>IF(INDEX(L_Type,ROW()-4)="","",TRIM(UPPER(INDEX(L_Type,ROW()-4))))</f>
        <v/>
      </c>
      <c r="E2939">
        <f>IF(INDEX(P_Status,ROW()-4)="","",TRIM(UPPER(INDEX(P_Status,ROW()-4))))</f>
        <v/>
      </c>
      <c r="G2939">
        <f>IF(INDEX(L_Status,ROW()-4)="","",TRIM(UPPER(INDEX(L_Status,ROW()-4))))</f>
        <v/>
      </c>
      <c r="J2939">
        <f>IF(INDEX(L_ID,ROW()-4)="","",IF(SUMPRODUCT((P_ID=INDEX(L_ID,ROW()-4))*(P_StatusN="INACTIVE"))&gt;0,1,0))</f>
        <v/>
      </c>
    </row>
    <row r="2940">
      <c r="A2940">
        <f>IF(INDEX(L_ID,ROW()-4)="","",IF(COUNTIF(P_ID,INDEX(L_ID,ROW()-4))&gt;0,1,0))</f>
        <v/>
      </c>
      <c r="B2940">
        <f>IF(INDEX(P_Type,ROW()-4)="","",TRIM(UPPER(INDEX(P_Type,ROW()-4))))</f>
        <v/>
      </c>
      <c r="D2940">
        <f>IF(INDEX(L_Type,ROW()-4)="","",TRIM(UPPER(INDEX(L_Type,ROW()-4))))</f>
        <v/>
      </c>
      <c r="E2940">
        <f>IF(INDEX(P_Status,ROW()-4)="","",TRIM(UPPER(INDEX(P_Status,ROW()-4))))</f>
        <v/>
      </c>
      <c r="G2940">
        <f>IF(INDEX(L_Status,ROW()-4)="","",TRIM(UPPER(INDEX(L_Status,ROW()-4))))</f>
        <v/>
      </c>
      <c r="J2940">
        <f>IF(INDEX(L_ID,ROW()-4)="","",IF(SUMPRODUCT((P_ID=INDEX(L_ID,ROW()-4))*(P_StatusN="INACTIVE"))&gt;0,1,0))</f>
        <v/>
      </c>
    </row>
    <row r="2941">
      <c r="A2941">
        <f>IF(INDEX(L_ID,ROW()-4)="","",IF(COUNTIF(P_ID,INDEX(L_ID,ROW()-4))&gt;0,1,0))</f>
        <v/>
      </c>
      <c r="B2941">
        <f>IF(INDEX(P_Type,ROW()-4)="","",TRIM(UPPER(INDEX(P_Type,ROW()-4))))</f>
        <v/>
      </c>
      <c r="D2941">
        <f>IF(INDEX(L_Type,ROW()-4)="","",TRIM(UPPER(INDEX(L_Type,ROW()-4))))</f>
        <v/>
      </c>
      <c r="E2941">
        <f>IF(INDEX(P_Status,ROW()-4)="","",TRIM(UPPER(INDEX(P_Status,ROW()-4))))</f>
        <v/>
      </c>
      <c r="G2941">
        <f>IF(INDEX(L_Status,ROW()-4)="","",TRIM(UPPER(INDEX(L_Status,ROW()-4))))</f>
        <v/>
      </c>
      <c r="J2941">
        <f>IF(INDEX(L_ID,ROW()-4)="","",IF(SUMPRODUCT((P_ID=INDEX(L_ID,ROW()-4))*(P_StatusN="INACTIVE"))&gt;0,1,0))</f>
        <v/>
      </c>
    </row>
    <row r="2942">
      <c r="A2942">
        <f>IF(INDEX(L_ID,ROW()-4)="","",IF(COUNTIF(P_ID,INDEX(L_ID,ROW()-4))&gt;0,1,0))</f>
        <v/>
      </c>
      <c r="B2942">
        <f>IF(INDEX(P_Type,ROW()-4)="","",TRIM(UPPER(INDEX(P_Type,ROW()-4))))</f>
        <v/>
      </c>
      <c r="D2942">
        <f>IF(INDEX(L_Type,ROW()-4)="","",TRIM(UPPER(INDEX(L_Type,ROW()-4))))</f>
        <v/>
      </c>
      <c r="E2942">
        <f>IF(INDEX(P_Status,ROW()-4)="","",TRIM(UPPER(INDEX(P_Status,ROW()-4))))</f>
        <v/>
      </c>
      <c r="G2942">
        <f>IF(INDEX(L_Status,ROW()-4)="","",TRIM(UPPER(INDEX(L_Status,ROW()-4))))</f>
        <v/>
      </c>
      <c r="J2942">
        <f>IF(INDEX(L_ID,ROW()-4)="","",IF(SUMPRODUCT((P_ID=INDEX(L_ID,ROW()-4))*(P_StatusN="INACTIVE"))&gt;0,1,0))</f>
        <v/>
      </c>
    </row>
    <row r="2943">
      <c r="A2943">
        <f>IF(INDEX(L_ID,ROW()-4)="","",IF(COUNTIF(P_ID,INDEX(L_ID,ROW()-4))&gt;0,1,0))</f>
        <v/>
      </c>
      <c r="B2943">
        <f>IF(INDEX(P_Type,ROW()-4)="","",TRIM(UPPER(INDEX(P_Type,ROW()-4))))</f>
        <v/>
      </c>
      <c r="D2943">
        <f>IF(INDEX(L_Type,ROW()-4)="","",TRIM(UPPER(INDEX(L_Type,ROW()-4))))</f>
        <v/>
      </c>
      <c r="E2943">
        <f>IF(INDEX(P_Status,ROW()-4)="","",TRIM(UPPER(INDEX(P_Status,ROW()-4))))</f>
        <v/>
      </c>
      <c r="G2943">
        <f>IF(INDEX(L_Status,ROW()-4)="","",TRIM(UPPER(INDEX(L_Status,ROW()-4))))</f>
        <v/>
      </c>
      <c r="J2943">
        <f>IF(INDEX(L_ID,ROW()-4)="","",IF(SUMPRODUCT((P_ID=INDEX(L_ID,ROW()-4))*(P_StatusN="INACTIVE"))&gt;0,1,0))</f>
        <v/>
      </c>
    </row>
    <row r="2944">
      <c r="A2944">
        <f>IF(INDEX(L_ID,ROW()-4)="","",IF(COUNTIF(P_ID,INDEX(L_ID,ROW()-4))&gt;0,1,0))</f>
        <v/>
      </c>
      <c r="B2944">
        <f>IF(INDEX(P_Type,ROW()-4)="","",TRIM(UPPER(INDEX(P_Type,ROW()-4))))</f>
        <v/>
      </c>
      <c r="D2944">
        <f>IF(INDEX(L_Type,ROW()-4)="","",TRIM(UPPER(INDEX(L_Type,ROW()-4))))</f>
        <v/>
      </c>
      <c r="E2944">
        <f>IF(INDEX(P_Status,ROW()-4)="","",TRIM(UPPER(INDEX(P_Status,ROW()-4))))</f>
        <v/>
      </c>
      <c r="G2944">
        <f>IF(INDEX(L_Status,ROW()-4)="","",TRIM(UPPER(INDEX(L_Status,ROW()-4))))</f>
        <v/>
      </c>
      <c r="J2944">
        <f>IF(INDEX(L_ID,ROW()-4)="","",IF(SUMPRODUCT((P_ID=INDEX(L_ID,ROW()-4))*(P_StatusN="INACTIVE"))&gt;0,1,0))</f>
        <v/>
      </c>
    </row>
    <row r="2945">
      <c r="A2945">
        <f>IF(INDEX(L_ID,ROW()-4)="","",IF(COUNTIF(P_ID,INDEX(L_ID,ROW()-4))&gt;0,1,0))</f>
        <v/>
      </c>
      <c r="B2945">
        <f>IF(INDEX(P_Type,ROW()-4)="","",TRIM(UPPER(INDEX(P_Type,ROW()-4))))</f>
        <v/>
      </c>
      <c r="D2945">
        <f>IF(INDEX(L_Type,ROW()-4)="","",TRIM(UPPER(INDEX(L_Type,ROW()-4))))</f>
        <v/>
      </c>
      <c r="E2945">
        <f>IF(INDEX(P_Status,ROW()-4)="","",TRIM(UPPER(INDEX(P_Status,ROW()-4))))</f>
        <v/>
      </c>
      <c r="G2945">
        <f>IF(INDEX(L_Status,ROW()-4)="","",TRIM(UPPER(INDEX(L_Status,ROW()-4))))</f>
        <v/>
      </c>
      <c r="J2945">
        <f>IF(INDEX(L_ID,ROW()-4)="","",IF(SUMPRODUCT((P_ID=INDEX(L_ID,ROW()-4))*(P_StatusN="INACTIVE"))&gt;0,1,0))</f>
        <v/>
      </c>
    </row>
    <row r="2946">
      <c r="A2946">
        <f>IF(INDEX(L_ID,ROW()-4)="","",IF(COUNTIF(P_ID,INDEX(L_ID,ROW()-4))&gt;0,1,0))</f>
        <v/>
      </c>
      <c r="B2946">
        <f>IF(INDEX(P_Type,ROW()-4)="","",TRIM(UPPER(INDEX(P_Type,ROW()-4))))</f>
        <v/>
      </c>
      <c r="D2946">
        <f>IF(INDEX(L_Type,ROW()-4)="","",TRIM(UPPER(INDEX(L_Type,ROW()-4))))</f>
        <v/>
      </c>
      <c r="E2946">
        <f>IF(INDEX(P_Status,ROW()-4)="","",TRIM(UPPER(INDEX(P_Status,ROW()-4))))</f>
        <v/>
      </c>
      <c r="G2946">
        <f>IF(INDEX(L_Status,ROW()-4)="","",TRIM(UPPER(INDEX(L_Status,ROW()-4))))</f>
        <v/>
      </c>
      <c r="J2946">
        <f>IF(INDEX(L_ID,ROW()-4)="","",IF(SUMPRODUCT((P_ID=INDEX(L_ID,ROW()-4))*(P_StatusN="INACTIVE"))&gt;0,1,0))</f>
        <v/>
      </c>
    </row>
    <row r="2947">
      <c r="A2947">
        <f>IF(INDEX(L_ID,ROW()-4)="","",IF(COUNTIF(P_ID,INDEX(L_ID,ROW()-4))&gt;0,1,0))</f>
        <v/>
      </c>
      <c r="B2947">
        <f>IF(INDEX(P_Type,ROW()-4)="","",TRIM(UPPER(INDEX(P_Type,ROW()-4))))</f>
        <v/>
      </c>
      <c r="D2947">
        <f>IF(INDEX(L_Type,ROW()-4)="","",TRIM(UPPER(INDEX(L_Type,ROW()-4))))</f>
        <v/>
      </c>
      <c r="E2947">
        <f>IF(INDEX(P_Status,ROW()-4)="","",TRIM(UPPER(INDEX(P_Status,ROW()-4))))</f>
        <v/>
      </c>
      <c r="G2947">
        <f>IF(INDEX(L_Status,ROW()-4)="","",TRIM(UPPER(INDEX(L_Status,ROW()-4))))</f>
        <v/>
      </c>
      <c r="J2947">
        <f>IF(INDEX(L_ID,ROW()-4)="","",IF(SUMPRODUCT((P_ID=INDEX(L_ID,ROW()-4))*(P_StatusN="INACTIVE"))&gt;0,1,0))</f>
        <v/>
      </c>
    </row>
    <row r="2948">
      <c r="A2948">
        <f>IF(INDEX(L_ID,ROW()-4)="","",IF(COUNTIF(P_ID,INDEX(L_ID,ROW()-4))&gt;0,1,0))</f>
        <v/>
      </c>
      <c r="B2948">
        <f>IF(INDEX(P_Type,ROW()-4)="","",TRIM(UPPER(INDEX(P_Type,ROW()-4))))</f>
        <v/>
      </c>
      <c r="D2948">
        <f>IF(INDEX(L_Type,ROW()-4)="","",TRIM(UPPER(INDEX(L_Type,ROW()-4))))</f>
        <v/>
      </c>
      <c r="E2948">
        <f>IF(INDEX(P_Status,ROW()-4)="","",TRIM(UPPER(INDEX(P_Status,ROW()-4))))</f>
        <v/>
      </c>
      <c r="G2948">
        <f>IF(INDEX(L_Status,ROW()-4)="","",TRIM(UPPER(INDEX(L_Status,ROW()-4))))</f>
        <v/>
      </c>
      <c r="J2948">
        <f>IF(INDEX(L_ID,ROW()-4)="","",IF(SUMPRODUCT((P_ID=INDEX(L_ID,ROW()-4))*(P_StatusN="INACTIVE"))&gt;0,1,0))</f>
        <v/>
      </c>
    </row>
    <row r="2949">
      <c r="A2949">
        <f>IF(INDEX(L_ID,ROW()-4)="","",IF(COUNTIF(P_ID,INDEX(L_ID,ROW()-4))&gt;0,1,0))</f>
        <v/>
      </c>
      <c r="B2949">
        <f>IF(INDEX(P_Type,ROW()-4)="","",TRIM(UPPER(INDEX(P_Type,ROW()-4))))</f>
        <v/>
      </c>
      <c r="D2949">
        <f>IF(INDEX(L_Type,ROW()-4)="","",TRIM(UPPER(INDEX(L_Type,ROW()-4))))</f>
        <v/>
      </c>
      <c r="E2949">
        <f>IF(INDEX(P_Status,ROW()-4)="","",TRIM(UPPER(INDEX(P_Status,ROW()-4))))</f>
        <v/>
      </c>
      <c r="G2949">
        <f>IF(INDEX(L_Status,ROW()-4)="","",TRIM(UPPER(INDEX(L_Status,ROW()-4))))</f>
        <v/>
      </c>
      <c r="J2949">
        <f>IF(INDEX(L_ID,ROW()-4)="","",IF(SUMPRODUCT((P_ID=INDEX(L_ID,ROW()-4))*(P_StatusN="INACTIVE"))&gt;0,1,0))</f>
        <v/>
      </c>
    </row>
    <row r="2950">
      <c r="A2950">
        <f>IF(INDEX(L_ID,ROW()-4)="","",IF(COUNTIF(P_ID,INDEX(L_ID,ROW()-4))&gt;0,1,0))</f>
        <v/>
      </c>
      <c r="B2950">
        <f>IF(INDEX(P_Type,ROW()-4)="","",TRIM(UPPER(INDEX(P_Type,ROW()-4))))</f>
        <v/>
      </c>
      <c r="D2950">
        <f>IF(INDEX(L_Type,ROW()-4)="","",TRIM(UPPER(INDEX(L_Type,ROW()-4))))</f>
        <v/>
      </c>
      <c r="E2950">
        <f>IF(INDEX(P_Status,ROW()-4)="","",TRIM(UPPER(INDEX(P_Status,ROW()-4))))</f>
        <v/>
      </c>
      <c r="G2950">
        <f>IF(INDEX(L_Status,ROW()-4)="","",TRIM(UPPER(INDEX(L_Status,ROW()-4))))</f>
        <v/>
      </c>
      <c r="J2950">
        <f>IF(INDEX(L_ID,ROW()-4)="","",IF(SUMPRODUCT((P_ID=INDEX(L_ID,ROW()-4))*(P_StatusN="INACTIVE"))&gt;0,1,0))</f>
        <v/>
      </c>
    </row>
    <row r="2951">
      <c r="A2951">
        <f>IF(INDEX(L_ID,ROW()-4)="","",IF(COUNTIF(P_ID,INDEX(L_ID,ROW()-4))&gt;0,1,0))</f>
        <v/>
      </c>
      <c r="B2951">
        <f>IF(INDEX(P_Type,ROW()-4)="","",TRIM(UPPER(INDEX(P_Type,ROW()-4))))</f>
        <v/>
      </c>
      <c r="D2951">
        <f>IF(INDEX(L_Type,ROW()-4)="","",TRIM(UPPER(INDEX(L_Type,ROW()-4))))</f>
        <v/>
      </c>
      <c r="E2951">
        <f>IF(INDEX(P_Status,ROW()-4)="","",TRIM(UPPER(INDEX(P_Status,ROW()-4))))</f>
        <v/>
      </c>
      <c r="G2951">
        <f>IF(INDEX(L_Status,ROW()-4)="","",TRIM(UPPER(INDEX(L_Status,ROW()-4))))</f>
        <v/>
      </c>
      <c r="J2951">
        <f>IF(INDEX(L_ID,ROW()-4)="","",IF(SUMPRODUCT((P_ID=INDEX(L_ID,ROW()-4))*(P_StatusN="INACTIVE"))&gt;0,1,0))</f>
        <v/>
      </c>
    </row>
    <row r="2952">
      <c r="A2952">
        <f>IF(INDEX(L_ID,ROW()-4)="","",IF(COUNTIF(P_ID,INDEX(L_ID,ROW()-4))&gt;0,1,0))</f>
        <v/>
      </c>
      <c r="B2952">
        <f>IF(INDEX(P_Type,ROW()-4)="","",TRIM(UPPER(INDEX(P_Type,ROW()-4))))</f>
        <v/>
      </c>
      <c r="D2952">
        <f>IF(INDEX(L_Type,ROW()-4)="","",TRIM(UPPER(INDEX(L_Type,ROW()-4))))</f>
        <v/>
      </c>
      <c r="E2952">
        <f>IF(INDEX(P_Status,ROW()-4)="","",TRIM(UPPER(INDEX(P_Status,ROW()-4))))</f>
        <v/>
      </c>
      <c r="G2952">
        <f>IF(INDEX(L_Status,ROW()-4)="","",TRIM(UPPER(INDEX(L_Status,ROW()-4))))</f>
        <v/>
      </c>
      <c r="J2952">
        <f>IF(INDEX(L_ID,ROW()-4)="","",IF(SUMPRODUCT((P_ID=INDEX(L_ID,ROW()-4))*(P_StatusN="INACTIVE"))&gt;0,1,0))</f>
        <v/>
      </c>
    </row>
    <row r="2953">
      <c r="A2953">
        <f>IF(INDEX(L_ID,ROW()-4)="","",IF(COUNTIF(P_ID,INDEX(L_ID,ROW()-4))&gt;0,1,0))</f>
        <v/>
      </c>
      <c r="B2953">
        <f>IF(INDEX(P_Type,ROW()-4)="","",TRIM(UPPER(INDEX(P_Type,ROW()-4))))</f>
        <v/>
      </c>
      <c r="D2953">
        <f>IF(INDEX(L_Type,ROW()-4)="","",TRIM(UPPER(INDEX(L_Type,ROW()-4))))</f>
        <v/>
      </c>
      <c r="E2953">
        <f>IF(INDEX(P_Status,ROW()-4)="","",TRIM(UPPER(INDEX(P_Status,ROW()-4))))</f>
        <v/>
      </c>
      <c r="G2953">
        <f>IF(INDEX(L_Status,ROW()-4)="","",TRIM(UPPER(INDEX(L_Status,ROW()-4))))</f>
        <v/>
      </c>
      <c r="J2953">
        <f>IF(INDEX(L_ID,ROW()-4)="","",IF(SUMPRODUCT((P_ID=INDEX(L_ID,ROW()-4))*(P_StatusN="INACTIVE"))&gt;0,1,0))</f>
        <v/>
      </c>
    </row>
    <row r="2954">
      <c r="A2954">
        <f>IF(INDEX(L_ID,ROW()-4)="","",IF(COUNTIF(P_ID,INDEX(L_ID,ROW()-4))&gt;0,1,0))</f>
        <v/>
      </c>
      <c r="B2954">
        <f>IF(INDEX(P_Type,ROW()-4)="","",TRIM(UPPER(INDEX(P_Type,ROW()-4))))</f>
        <v/>
      </c>
      <c r="D2954">
        <f>IF(INDEX(L_Type,ROW()-4)="","",TRIM(UPPER(INDEX(L_Type,ROW()-4))))</f>
        <v/>
      </c>
      <c r="E2954">
        <f>IF(INDEX(P_Status,ROW()-4)="","",TRIM(UPPER(INDEX(P_Status,ROW()-4))))</f>
        <v/>
      </c>
      <c r="G2954">
        <f>IF(INDEX(L_Status,ROW()-4)="","",TRIM(UPPER(INDEX(L_Status,ROW()-4))))</f>
        <v/>
      </c>
      <c r="J2954">
        <f>IF(INDEX(L_ID,ROW()-4)="","",IF(SUMPRODUCT((P_ID=INDEX(L_ID,ROW()-4))*(P_StatusN="INACTIVE"))&gt;0,1,0))</f>
        <v/>
      </c>
    </row>
    <row r="2955">
      <c r="A2955">
        <f>IF(INDEX(L_ID,ROW()-4)="","",IF(COUNTIF(P_ID,INDEX(L_ID,ROW()-4))&gt;0,1,0))</f>
        <v/>
      </c>
      <c r="B2955">
        <f>IF(INDEX(P_Type,ROW()-4)="","",TRIM(UPPER(INDEX(P_Type,ROW()-4))))</f>
        <v/>
      </c>
      <c r="D2955">
        <f>IF(INDEX(L_Type,ROW()-4)="","",TRIM(UPPER(INDEX(L_Type,ROW()-4))))</f>
        <v/>
      </c>
      <c r="E2955">
        <f>IF(INDEX(P_Status,ROW()-4)="","",TRIM(UPPER(INDEX(P_Status,ROW()-4))))</f>
        <v/>
      </c>
      <c r="G2955">
        <f>IF(INDEX(L_Status,ROW()-4)="","",TRIM(UPPER(INDEX(L_Status,ROW()-4))))</f>
        <v/>
      </c>
      <c r="J2955">
        <f>IF(INDEX(L_ID,ROW()-4)="","",IF(SUMPRODUCT((P_ID=INDEX(L_ID,ROW()-4))*(P_StatusN="INACTIVE"))&gt;0,1,0))</f>
        <v/>
      </c>
    </row>
    <row r="2956">
      <c r="A2956">
        <f>IF(INDEX(L_ID,ROW()-4)="","",IF(COUNTIF(P_ID,INDEX(L_ID,ROW()-4))&gt;0,1,0))</f>
        <v/>
      </c>
      <c r="B2956">
        <f>IF(INDEX(P_Type,ROW()-4)="","",TRIM(UPPER(INDEX(P_Type,ROW()-4))))</f>
        <v/>
      </c>
      <c r="D2956">
        <f>IF(INDEX(L_Type,ROW()-4)="","",TRIM(UPPER(INDEX(L_Type,ROW()-4))))</f>
        <v/>
      </c>
      <c r="E2956">
        <f>IF(INDEX(P_Status,ROW()-4)="","",TRIM(UPPER(INDEX(P_Status,ROW()-4))))</f>
        <v/>
      </c>
      <c r="G2956">
        <f>IF(INDEX(L_Status,ROW()-4)="","",TRIM(UPPER(INDEX(L_Status,ROW()-4))))</f>
        <v/>
      </c>
      <c r="J2956">
        <f>IF(INDEX(L_ID,ROW()-4)="","",IF(SUMPRODUCT((P_ID=INDEX(L_ID,ROW()-4))*(P_StatusN="INACTIVE"))&gt;0,1,0))</f>
        <v/>
      </c>
    </row>
    <row r="2957">
      <c r="A2957">
        <f>IF(INDEX(L_ID,ROW()-4)="","",IF(COUNTIF(P_ID,INDEX(L_ID,ROW()-4))&gt;0,1,0))</f>
        <v/>
      </c>
      <c r="B2957">
        <f>IF(INDEX(P_Type,ROW()-4)="","",TRIM(UPPER(INDEX(P_Type,ROW()-4))))</f>
        <v/>
      </c>
      <c r="D2957">
        <f>IF(INDEX(L_Type,ROW()-4)="","",TRIM(UPPER(INDEX(L_Type,ROW()-4))))</f>
        <v/>
      </c>
      <c r="E2957">
        <f>IF(INDEX(P_Status,ROW()-4)="","",TRIM(UPPER(INDEX(P_Status,ROW()-4))))</f>
        <v/>
      </c>
      <c r="G2957">
        <f>IF(INDEX(L_Status,ROW()-4)="","",TRIM(UPPER(INDEX(L_Status,ROW()-4))))</f>
        <v/>
      </c>
      <c r="J2957">
        <f>IF(INDEX(L_ID,ROW()-4)="","",IF(SUMPRODUCT((P_ID=INDEX(L_ID,ROW()-4))*(P_StatusN="INACTIVE"))&gt;0,1,0))</f>
        <v/>
      </c>
    </row>
    <row r="2958">
      <c r="A2958">
        <f>IF(INDEX(L_ID,ROW()-4)="","",IF(COUNTIF(P_ID,INDEX(L_ID,ROW()-4))&gt;0,1,0))</f>
        <v/>
      </c>
      <c r="B2958">
        <f>IF(INDEX(P_Type,ROW()-4)="","",TRIM(UPPER(INDEX(P_Type,ROW()-4))))</f>
        <v/>
      </c>
      <c r="D2958">
        <f>IF(INDEX(L_Type,ROW()-4)="","",TRIM(UPPER(INDEX(L_Type,ROW()-4))))</f>
        <v/>
      </c>
      <c r="E2958">
        <f>IF(INDEX(P_Status,ROW()-4)="","",TRIM(UPPER(INDEX(P_Status,ROW()-4))))</f>
        <v/>
      </c>
      <c r="G2958">
        <f>IF(INDEX(L_Status,ROW()-4)="","",TRIM(UPPER(INDEX(L_Status,ROW()-4))))</f>
        <v/>
      </c>
      <c r="J2958">
        <f>IF(INDEX(L_ID,ROW()-4)="","",IF(SUMPRODUCT((P_ID=INDEX(L_ID,ROW()-4))*(P_StatusN="INACTIVE"))&gt;0,1,0))</f>
        <v/>
      </c>
    </row>
    <row r="2959">
      <c r="A2959">
        <f>IF(INDEX(L_ID,ROW()-4)="","",IF(COUNTIF(P_ID,INDEX(L_ID,ROW()-4))&gt;0,1,0))</f>
        <v/>
      </c>
      <c r="B2959">
        <f>IF(INDEX(P_Type,ROW()-4)="","",TRIM(UPPER(INDEX(P_Type,ROW()-4))))</f>
        <v/>
      </c>
      <c r="D2959">
        <f>IF(INDEX(L_Type,ROW()-4)="","",TRIM(UPPER(INDEX(L_Type,ROW()-4))))</f>
        <v/>
      </c>
      <c r="E2959">
        <f>IF(INDEX(P_Status,ROW()-4)="","",TRIM(UPPER(INDEX(P_Status,ROW()-4))))</f>
        <v/>
      </c>
      <c r="G2959">
        <f>IF(INDEX(L_Status,ROW()-4)="","",TRIM(UPPER(INDEX(L_Status,ROW()-4))))</f>
        <v/>
      </c>
      <c r="J2959">
        <f>IF(INDEX(L_ID,ROW()-4)="","",IF(SUMPRODUCT((P_ID=INDEX(L_ID,ROW()-4))*(P_StatusN="INACTIVE"))&gt;0,1,0))</f>
        <v/>
      </c>
    </row>
    <row r="2960">
      <c r="A2960">
        <f>IF(INDEX(L_ID,ROW()-4)="","",IF(COUNTIF(P_ID,INDEX(L_ID,ROW()-4))&gt;0,1,0))</f>
        <v/>
      </c>
      <c r="B2960">
        <f>IF(INDEX(P_Type,ROW()-4)="","",TRIM(UPPER(INDEX(P_Type,ROW()-4))))</f>
        <v/>
      </c>
      <c r="D2960">
        <f>IF(INDEX(L_Type,ROW()-4)="","",TRIM(UPPER(INDEX(L_Type,ROW()-4))))</f>
        <v/>
      </c>
      <c r="E2960">
        <f>IF(INDEX(P_Status,ROW()-4)="","",TRIM(UPPER(INDEX(P_Status,ROW()-4))))</f>
        <v/>
      </c>
      <c r="G2960">
        <f>IF(INDEX(L_Status,ROW()-4)="","",TRIM(UPPER(INDEX(L_Status,ROW()-4))))</f>
        <v/>
      </c>
      <c r="J2960">
        <f>IF(INDEX(L_ID,ROW()-4)="","",IF(SUMPRODUCT((P_ID=INDEX(L_ID,ROW()-4))*(P_StatusN="INACTIVE"))&gt;0,1,0))</f>
        <v/>
      </c>
    </row>
    <row r="2961">
      <c r="A2961">
        <f>IF(INDEX(L_ID,ROW()-4)="","",IF(COUNTIF(P_ID,INDEX(L_ID,ROW()-4))&gt;0,1,0))</f>
        <v/>
      </c>
      <c r="B2961">
        <f>IF(INDEX(P_Type,ROW()-4)="","",TRIM(UPPER(INDEX(P_Type,ROW()-4))))</f>
        <v/>
      </c>
      <c r="D2961">
        <f>IF(INDEX(L_Type,ROW()-4)="","",TRIM(UPPER(INDEX(L_Type,ROW()-4))))</f>
        <v/>
      </c>
      <c r="E2961">
        <f>IF(INDEX(P_Status,ROW()-4)="","",TRIM(UPPER(INDEX(P_Status,ROW()-4))))</f>
        <v/>
      </c>
      <c r="G2961">
        <f>IF(INDEX(L_Status,ROW()-4)="","",TRIM(UPPER(INDEX(L_Status,ROW()-4))))</f>
        <v/>
      </c>
      <c r="J2961">
        <f>IF(INDEX(L_ID,ROW()-4)="","",IF(SUMPRODUCT((P_ID=INDEX(L_ID,ROW()-4))*(P_StatusN="INACTIVE"))&gt;0,1,0))</f>
        <v/>
      </c>
    </row>
    <row r="2962">
      <c r="A2962">
        <f>IF(INDEX(L_ID,ROW()-4)="","",IF(COUNTIF(P_ID,INDEX(L_ID,ROW()-4))&gt;0,1,0))</f>
        <v/>
      </c>
      <c r="B2962">
        <f>IF(INDEX(P_Type,ROW()-4)="","",TRIM(UPPER(INDEX(P_Type,ROW()-4))))</f>
        <v/>
      </c>
      <c r="D2962">
        <f>IF(INDEX(L_Type,ROW()-4)="","",TRIM(UPPER(INDEX(L_Type,ROW()-4))))</f>
        <v/>
      </c>
      <c r="E2962">
        <f>IF(INDEX(P_Status,ROW()-4)="","",TRIM(UPPER(INDEX(P_Status,ROW()-4))))</f>
        <v/>
      </c>
      <c r="G2962">
        <f>IF(INDEX(L_Status,ROW()-4)="","",TRIM(UPPER(INDEX(L_Status,ROW()-4))))</f>
        <v/>
      </c>
      <c r="J2962">
        <f>IF(INDEX(L_ID,ROW()-4)="","",IF(SUMPRODUCT((P_ID=INDEX(L_ID,ROW()-4))*(P_StatusN="INACTIVE"))&gt;0,1,0))</f>
        <v/>
      </c>
    </row>
    <row r="2963">
      <c r="A2963">
        <f>IF(INDEX(L_ID,ROW()-4)="","",IF(COUNTIF(P_ID,INDEX(L_ID,ROW()-4))&gt;0,1,0))</f>
        <v/>
      </c>
      <c r="B2963">
        <f>IF(INDEX(P_Type,ROW()-4)="","",TRIM(UPPER(INDEX(P_Type,ROW()-4))))</f>
        <v/>
      </c>
      <c r="D2963">
        <f>IF(INDEX(L_Type,ROW()-4)="","",TRIM(UPPER(INDEX(L_Type,ROW()-4))))</f>
        <v/>
      </c>
      <c r="E2963">
        <f>IF(INDEX(P_Status,ROW()-4)="","",TRIM(UPPER(INDEX(P_Status,ROW()-4))))</f>
        <v/>
      </c>
      <c r="G2963">
        <f>IF(INDEX(L_Status,ROW()-4)="","",TRIM(UPPER(INDEX(L_Status,ROW()-4))))</f>
        <v/>
      </c>
      <c r="J2963">
        <f>IF(INDEX(L_ID,ROW()-4)="","",IF(SUMPRODUCT((P_ID=INDEX(L_ID,ROW()-4))*(P_StatusN="INACTIVE"))&gt;0,1,0))</f>
        <v/>
      </c>
    </row>
    <row r="2964">
      <c r="A2964">
        <f>IF(INDEX(L_ID,ROW()-4)="","",IF(COUNTIF(P_ID,INDEX(L_ID,ROW()-4))&gt;0,1,0))</f>
        <v/>
      </c>
      <c r="B2964">
        <f>IF(INDEX(P_Type,ROW()-4)="","",TRIM(UPPER(INDEX(P_Type,ROW()-4))))</f>
        <v/>
      </c>
      <c r="D2964">
        <f>IF(INDEX(L_Type,ROW()-4)="","",TRIM(UPPER(INDEX(L_Type,ROW()-4))))</f>
        <v/>
      </c>
      <c r="E2964">
        <f>IF(INDEX(P_Status,ROW()-4)="","",TRIM(UPPER(INDEX(P_Status,ROW()-4))))</f>
        <v/>
      </c>
      <c r="G2964">
        <f>IF(INDEX(L_Status,ROW()-4)="","",TRIM(UPPER(INDEX(L_Status,ROW()-4))))</f>
        <v/>
      </c>
      <c r="J2964">
        <f>IF(INDEX(L_ID,ROW()-4)="","",IF(SUMPRODUCT((P_ID=INDEX(L_ID,ROW()-4))*(P_StatusN="INACTIVE"))&gt;0,1,0))</f>
        <v/>
      </c>
    </row>
    <row r="2965">
      <c r="A2965">
        <f>IF(INDEX(L_ID,ROW()-4)="","",IF(COUNTIF(P_ID,INDEX(L_ID,ROW()-4))&gt;0,1,0))</f>
        <v/>
      </c>
      <c r="B2965">
        <f>IF(INDEX(P_Type,ROW()-4)="","",TRIM(UPPER(INDEX(P_Type,ROW()-4))))</f>
        <v/>
      </c>
      <c r="D2965">
        <f>IF(INDEX(L_Type,ROW()-4)="","",TRIM(UPPER(INDEX(L_Type,ROW()-4))))</f>
        <v/>
      </c>
      <c r="E2965">
        <f>IF(INDEX(P_Status,ROW()-4)="","",TRIM(UPPER(INDEX(P_Status,ROW()-4))))</f>
        <v/>
      </c>
      <c r="G2965">
        <f>IF(INDEX(L_Status,ROW()-4)="","",TRIM(UPPER(INDEX(L_Status,ROW()-4))))</f>
        <v/>
      </c>
      <c r="J2965">
        <f>IF(INDEX(L_ID,ROW()-4)="","",IF(SUMPRODUCT((P_ID=INDEX(L_ID,ROW()-4))*(P_StatusN="INACTIVE"))&gt;0,1,0))</f>
        <v/>
      </c>
    </row>
    <row r="2966">
      <c r="A2966">
        <f>IF(INDEX(L_ID,ROW()-4)="","",IF(COUNTIF(P_ID,INDEX(L_ID,ROW()-4))&gt;0,1,0))</f>
        <v/>
      </c>
      <c r="B2966">
        <f>IF(INDEX(P_Type,ROW()-4)="","",TRIM(UPPER(INDEX(P_Type,ROW()-4))))</f>
        <v/>
      </c>
      <c r="D2966">
        <f>IF(INDEX(L_Type,ROW()-4)="","",TRIM(UPPER(INDEX(L_Type,ROW()-4))))</f>
        <v/>
      </c>
      <c r="E2966">
        <f>IF(INDEX(P_Status,ROW()-4)="","",TRIM(UPPER(INDEX(P_Status,ROW()-4))))</f>
        <v/>
      </c>
      <c r="G2966">
        <f>IF(INDEX(L_Status,ROW()-4)="","",TRIM(UPPER(INDEX(L_Status,ROW()-4))))</f>
        <v/>
      </c>
      <c r="J2966">
        <f>IF(INDEX(L_ID,ROW()-4)="","",IF(SUMPRODUCT((P_ID=INDEX(L_ID,ROW()-4))*(P_StatusN="INACTIVE"))&gt;0,1,0))</f>
        <v/>
      </c>
    </row>
    <row r="2967">
      <c r="A2967">
        <f>IF(INDEX(L_ID,ROW()-4)="","",IF(COUNTIF(P_ID,INDEX(L_ID,ROW()-4))&gt;0,1,0))</f>
        <v/>
      </c>
      <c r="B2967">
        <f>IF(INDEX(P_Type,ROW()-4)="","",TRIM(UPPER(INDEX(P_Type,ROW()-4))))</f>
        <v/>
      </c>
      <c r="D2967">
        <f>IF(INDEX(L_Type,ROW()-4)="","",TRIM(UPPER(INDEX(L_Type,ROW()-4))))</f>
        <v/>
      </c>
      <c r="E2967">
        <f>IF(INDEX(P_Status,ROW()-4)="","",TRIM(UPPER(INDEX(P_Status,ROW()-4))))</f>
        <v/>
      </c>
      <c r="G2967">
        <f>IF(INDEX(L_Status,ROW()-4)="","",TRIM(UPPER(INDEX(L_Status,ROW()-4))))</f>
        <v/>
      </c>
      <c r="J2967">
        <f>IF(INDEX(L_ID,ROW()-4)="","",IF(SUMPRODUCT((P_ID=INDEX(L_ID,ROW()-4))*(P_StatusN="INACTIVE"))&gt;0,1,0))</f>
        <v/>
      </c>
    </row>
    <row r="2968">
      <c r="A2968">
        <f>IF(INDEX(L_ID,ROW()-4)="","",IF(COUNTIF(P_ID,INDEX(L_ID,ROW()-4))&gt;0,1,0))</f>
        <v/>
      </c>
      <c r="B2968">
        <f>IF(INDEX(P_Type,ROW()-4)="","",TRIM(UPPER(INDEX(P_Type,ROW()-4))))</f>
        <v/>
      </c>
      <c r="D2968">
        <f>IF(INDEX(L_Type,ROW()-4)="","",TRIM(UPPER(INDEX(L_Type,ROW()-4))))</f>
        <v/>
      </c>
      <c r="E2968">
        <f>IF(INDEX(P_Status,ROW()-4)="","",TRIM(UPPER(INDEX(P_Status,ROW()-4))))</f>
        <v/>
      </c>
      <c r="G2968">
        <f>IF(INDEX(L_Status,ROW()-4)="","",TRIM(UPPER(INDEX(L_Status,ROW()-4))))</f>
        <v/>
      </c>
      <c r="J2968">
        <f>IF(INDEX(L_ID,ROW()-4)="","",IF(SUMPRODUCT((P_ID=INDEX(L_ID,ROW()-4))*(P_StatusN="INACTIVE"))&gt;0,1,0))</f>
        <v/>
      </c>
    </row>
    <row r="2969">
      <c r="A2969">
        <f>IF(INDEX(L_ID,ROW()-4)="","",IF(COUNTIF(P_ID,INDEX(L_ID,ROW()-4))&gt;0,1,0))</f>
        <v/>
      </c>
      <c r="B2969">
        <f>IF(INDEX(P_Type,ROW()-4)="","",TRIM(UPPER(INDEX(P_Type,ROW()-4))))</f>
        <v/>
      </c>
      <c r="D2969">
        <f>IF(INDEX(L_Type,ROW()-4)="","",TRIM(UPPER(INDEX(L_Type,ROW()-4))))</f>
        <v/>
      </c>
      <c r="E2969">
        <f>IF(INDEX(P_Status,ROW()-4)="","",TRIM(UPPER(INDEX(P_Status,ROW()-4))))</f>
        <v/>
      </c>
      <c r="G2969">
        <f>IF(INDEX(L_Status,ROW()-4)="","",TRIM(UPPER(INDEX(L_Status,ROW()-4))))</f>
        <v/>
      </c>
      <c r="J2969">
        <f>IF(INDEX(L_ID,ROW()-4)="","",IF(SUMPRODUCT((P_ID=INDEX(L_ID,ROW()-4))*(P_StatusN="INACTIVE"))&gt;0,1,0))</f>
        <v/>
      </c>
    </row>
    <row r="2970">
      <c r="A2970">
        <f>IF(INDEX(L_ID,ROW()-4)="","",IF(COUNTIF(P_ID,INDEX(L_ID,ROW()-4))&gt;0,1,0))</f>
        <v/>
      </c>
      <c r="B2970">
        <f>IF(INDEX(P_Type,ROW()-4)="","",TRIM(UPPER(INDEX(P_Type,ROW()-4))))</f>
        <v/>
      </c>
      <c r="D2970">
        <f>IF(INDEX(L_Type,ROW()-4)="","",TRIM(UPPER(INDEX(L_Type,ROW()-4))))</f>
        <v/>
      </c>
      <c r="E2970">
        <f>IF(INDEX(P_Status,ROW()-4)="","",TRIM(UPPER(INDEX(P_Status,ROW()-4))))</f>
        <v/>
      </c>
      <c r="G2970">
        <f>IF(INDEX(L_Status,ROW()-4)="","",TRIM(UPPER(INDEX(L_Status,ROW()-4))))</f>
        <v/>
      </c>
      <c r="J2970">
        <f>IF(INDEX(L_ID,ROW()-4)="","",IF(SUMPRODUCT((P_ID=INDEX(L_ID,ROW()-4))*(P_StatusN="INACTIVE"))&gt;0,1,0))</f>
        <v/>
      </c>
    </row>
    <row r="2971">
      <c r="A2971">
        <f>IF(INDEX(L_ID,ROW()-4)="","",IF(COUNTIF(P_ID,INDEX(L_ID,ROW()-4))&gt;0,1,0))</f>
        <v/>
      </c>
      <c r="B2971">
        <f>IF(INDEX(P_Type,ROW()-4)="","",TRIM(UPPER(INDEX(P_Type,ROW()-4))))</f>
        <v/>
      </c>
      <c r="D2971">
        <f>IF(INDEX(L_Type,ROW()-4)="","",TRIM(UPPER(INDEX(L_Type,ROW()-4))))</f>
        <v/>
      </c>
      <c r="E2971">
        <f>IF(INDEX(P_Status,ROW()-4)="","",TRIM(UPPER(INDEX(P_Status,ROW()-4))))</f>
        <v/>
      </c>
      <c r="G2971">
        <f>IF(INDEX(L_Status,ROW()-4)="","",TRIM(UPPER(INDEX(L_Status,ROW()-4))))</f>
        <v/>
      </c>
      <c r="J2971">
        <f>IF(INDEX(L_ID,ROW()-4)="","",IF(SUMPRODUCT((P_ID=INDEX(L_ID,ROW()-4))*(P_StatusN="INACTIVE"))&gt;0,1,0))</f>
        <v/>
      </c>
    </row>
    <row r="2972">
      <c r="A2972">
        <f>IF(INDEX(L_ID,ROW()-4)="","",IF(COUNTIF(P_ID,INDEX(L_ID,ROW()-4))&gt;0,1,0))</f>
        <v/>
      </c>
      <c r="B2972">
        <f>IF(INDEX(P_Type,ROW()-4)="","",TRIM(UPPER(INDEX(P_Type,ROW()-4))))</f>
        <v/>
      </c>
      <c r="D2972">
        <f>IF(INDEX(L_Type,ROW()-4)="","",TRIM(UPPER(INDEX(L_Type,ROW()-4))))</f>
        <v/>
      </c>
      <c r="E2972">
        <f>IF(INDEX(P_Status,ROW()-4)="","",TRIM(UPPER(INDEX(P_Status,ROW()-4))))</f>
        <v/>
      </c>
      <c r="G2972">
        <f>IF(INDEX(L_Status,ROW()-4)="","",TRIM(UPPER(INDEX(L_Status,ROW()-4))))</f>
        <v/>
      </c>
      <c r="J2972">
        <f>IF(INDEX(L_ID,ROW()-4)="","",IF(SUMPRODUCT((P_ID=INDEX(L_ID,ROW()-4))*(P_StatusN="INACTIVE"))&gt;0,1,0))</f>
        <v/>
      </c>
    </row>
    <row r="2973">
      <c r="A2973">
        <f>IF(INDEX(L_ID,ROW()-4)="","",IF(COUNTIF(P_ID,INDEX(L_ID,ROW()-4))&gt;0,1,0))</f>
        <v/>
      </c>
      <c r="B2973">
        <f>IF(INDEX(P_Type,ROW()-4)="","",TRIM(UPPER(INDEX(P_Type,ROW()-4))))</f>
        <v/>
      </c>
      <c r="D2973">
        <f>IF(INDEX(L_Type,ROW()-4)="","",TRIM(UPPER(INDEX(L_Type,ROW()-4))))</f>
        <v/>
      </c>
      <c r="E2973">
        <f>IF(INDEX(P_Status,ROW()-4)="","",TRIM(UPPER(INDEX(P_Status,ROW()-4))))</f>
        <v/>
      </c>
      <c r="G2973">
        <f>IF(INDEX(L_Status,ROW()-4)="","",TRIM(UPPER(INDEX(L_Status,ROW()-4))))</f>
        <v/>
      </c>
      <c r="J2973">
        <f>IF(INDEX(L_ID,ROW()-4)="","",IF(SUMPRODUCT((P_ID=INDEX(L_ID,ROW()-4))*(P_StatusN="INACTIVE"))&gt;0,1,0))</f>
        <v/>
      </c>
    </row>
    <row r="2974">
      <c r="A2974">
        <f>IF(INDEX(L_ID,ROW()-4)="","",IF(COUNTIF(P_ID,INDEX(L_ID,ROW()-4))&gt;0,1,0))</f>
        <v/>
      </c>
      <c r="B2974">
        <f>IF(INDEX(P_Type,ROW()-4)="","",TRIM(UPPER(INDEX(P_Type,ROW()-4))))</f>
        <v/>
      </c>
      <c r="D2974">
        <f>IF(INDEX(L_Type,ROW()-4)="","",TRIM(UPPER(INDEX(L_Type,ROW()-4))))</f>
        <v/>
      </c>
      <c r="E2974">
        <f>IF(INDEX(P_Status,ROW()-4)="","",TRIM(UPPER(INDEX(P_Status,ROW()-4))))</f>
        <v/>
      </c>
      <c r="G2974">
        <f>IF(INDEX(L_Status,ROW()-4)="","",TRIM(UPPER(INDEX(L_Status,ROW()-4))))</f>
        <v/>
      </c>
      <c r="J2974">
        <f>IF(INDEX(L_ID,ROW()-4)="","",IF(SUMPRODUCT((P_ID=INDEX(L_ID,ROW()-4))*(P_StatusN="INACTIVE"))&gt;0,1,0))</f>
        <v/>
      </c>
    </row>
    <row r="2975">
      <c r="A2975">
        <f>IF(INDEX(L_ID,ROW()-4)="","",IF(COUNTIF(P_ID,INDEX(L_ID,ROW()-4))&gt;0,1,0))</f>
        <v/>
      </c>
      <c r="B2975">
        <f>IF(INDEX(P_Type,ROW()-4)="","",TRIM(UPPER(INDEX(P_Type,ROW()-4))))</f>
        <v/>
      </c>
      <c r="D2975">
        <f>IF(INDEX(L_Type,ROW()-4)="","",TRIM(UPPER(INDEX(L_Type,ROW()-4))))</f>
        <v/>
      </c>
      <c r="E2975">
        <f>IF(INDEX(P_Status,ROW()-4)="","",TRIM(UPPER(INDEX(P_Status,ROW()-4))))</f>
        <v/>
      </c>
      <c r="G2975">
        <f>IF(INDEX(L_Status,ROW()-4)="","",TRIM(UPPER(INDEX(L_Status,ROW()-4))))</f>
        <v/>
      </c>
      <c r="J2975">
        <f>IF(INDEX(L_ID,ROW()-4)="","",IF(SUMPRODUCT((P_ID=INDEX(L_ID,ROW()-4))*(P_StatusN="INACTIVE"))&gt;0,1,0))</f>
        <v/>
      </c>
    </row>
    <row r="2976">
      <c r="A2976">
        <f>IF(INDEX(L_ID,ROW()-4)="","",IF(COUNTIF(P_ID,INDEX(L_ID,ROW()-4))&gt;0,1,0))</f>
        <v/>
      </c>
      <c r="B2976">
        <f>IF(INDEX(P_Type,ROW()-4)="","",TRIM(UPPER(INDEX(P_Type,ROW()-4))))</f>
        <v/>
      </c>
      <c r="D2976">
        <f>IF(INDEX(L_Type,ROW()-4)="","",TRIM(UPPER(INDEX(L_Type,ROW()-4))))</f>
        <v/>
      </c>
      <c r="E2976">
        <f>IF(INDEX(P_Status,ROW()-4)="","",TRIM(UPPER(INDEX(P_Status,ROW()-4))))</f>
        <v/>
      </c>
      <c r="G2976">
        <f>IF(INDEX(L_Status,ROW()-4)="","",TRIM(UPPER(INDEX(L_Status,ROW()-4))))</f>
        <v/>
      </c>
      <c r="J2976">
        <f>IF(INDEX(L_ID,ROW()-4)="","",IF(SUMPRODUCT((P_ID=INDEX(L_ID,ROW()-4))*(P_StatusN="INACTIVE"))&gt;0,1,0))</f>
        <v/>
      </c>
    </row>
    <row r="2977">
      <c r="A2977">
        <f>IF(INDEX(L_ID,ROW()-4)="","",IF(COUNTIF(P_ID,INDEX(L_ID,ROW()-4))&gt;0,1,0))</f>
        <v/>
      </c>
      <c r="B2977">
        <f>IF(INDEX(P_Type,ROW()-4)="","",TRIM(UPPER(INDEX(P_Type,ROW()-4))))</f>
        <v/>
      </c>
      <c r="D2977">
        <f>IF(INDEX(L_Type,ROW()-4)="","",TRIM(UPPER(INDEX(L_Type,ROW()-4))))</f>
        <v/>
      </c>
      <c r="E2977">
        <f>IF(INDEX(P_Status,ROW()-4)="","",TRIM(UPPER(INDEX(P_Status,ROW()-4))))</f>
        <v/>
      </c>
      <c r="G2977">
        <f>IF(INDEX(L_Status,ROW()-4)="","",TRIM(UPPER(INDEX(L_Status,ROW()-4))))</f>
        <v/>
      </c>
      <c r="J2977">
        <f>IF(INDEX(L_ID,ROW()-4)="","",IF(SUMPRODUCT((P_ID=INDEX(L_ID,ROW()-4))*(P_StatusN="INACTIVE"))&gt;0,1,0))</f>
        <v/>
      </c>
    </row>
    <row r="2978">
      <c r="A2978">
        <f>IF(INDEX(L_ID,ROW()-4)="","",IF(COUNTIF(P_ID,INDEX(L_ID,ROW()-4))&gt;0,1,0))</f>
        <v/>
      </c>
      <c r="B2978">
        <f>IF(INDEX(P_Type,ROW()-4)="","",TRIM(UPPER(INDEX(P_Type,ROW()-4))))</f>
        <v/>
      </c>
      <c r="D2978">
        <f>IF(INDEX(L_Type,ROW()-4)="","",TRIM(UPPER(INDEX(L_Type,ROW()-4))))</f>
        <v/>
      </c>
      <c r="E2978">
        <f>IF(INDEX(P_Status,ROW()-4)="","",TRIM(UPPER(INDEX(P_Status,ROW()-4))))</f>
        <v/>
      </c>
      <c r="G2978">
        <f>IF(INDEX(L_Status,ROW()-4)="","",TRIM(UPPER(INDEX(L_Status,ROW()-4))))</f>
        <v/>
      </c>
      <c r="J2978">
        <f>IF(INDEX(L_ID,ROW()-4)="","",IF(SUMPRODUCT((P_ID=INDEX(L_ID,ROW()-4))*(P_StatusN="INACTIVE"))&gt;0,1,0))</f>
        <v/>
      </c>
    </row>
    <row r="2979">
      <c r="A2979">
        <f>IF(INDEX(L_ID,ROW()-4)="","",IF(COUNTIF(P_ID,INDEX(L_ID,ROW()-4))&gt;0,1,0))</f>
        <v/>
      </c>
      <c r="B2979">
        <f>IF(INDEX(P_Type,ROW()-4)="","",TRIM(UPPER(INDEX(P_Type,ROW()-4))))</f>
        <v/>
      </c>
      <c r="D2979">
        <f>IF(INDEX(L_Type,ROW()-4)="","",TRIM(UPPER(INDEX(L_Type,ROW()-4))))</f>
        <v/>
      </c>
      <c r="E2979">
        <f>IF(INDEX(P_Status,ROW()-4)="","",TRIM(UPPER(INDEX(P_Status,ROW()-4))))</f>
        <v/>
      </c>
      <c r="G2979">
        <f>IF(INDEX(L_Status,ROW()-4)="","",TRIM(UPPER(INDEX(L_Status,ROW()-4))))</f>
        <v/>
      </c>
      <c r="J2979">
        <f>IF(INDEX(L_ID,ROW()-4)="","",IF(SUMPRODUCT((P_ID=INDEX(L_ID,ROW()-4))*(P_StatusN="INACTIVE"))&gt;0,1,0))</f>
        <v/>
      </c>
    </row>
    <row r="2980">
      <c r="A2980">
        <f>IF(INDEX(L_ID,ROW()-4)="","",IF(COUNTIF(P_ID,INDEX(L_ID,ROW()-4))&gt;0,1,0))</f>
        <v/>
      </c>
      <c r="B2980">
        <f>IF(INDEX(P_Type,ROW()-4)="","",TRIM(UPPER(INDEX(P_Type,ROW()-4))))</f>
        <v/>
      </c>
      <c r="D2980">
        <f>IF(INDEX(L_Type,ROW()-4)="","",TRIM(UPPER(INDEX(L_Type,ROW()-4))))</f>
        <v/>
      </c>
      <c r="E2980">
        <f>IF(INDEX(P_Status,ROW()-4)="","",TRIM(UPPER(INDEX(P_Status,ROW()-4))))</f>
        <v/>
      </c>
      <c r="G2980">
        <f>IF(INDEX(L_Status,ROW()-4)="","",TRIM(UPPER(INDEX(L_Status,ROW()-4))))</f>
        <v/>
      </c>
      <c r="J2980">
        <f>IF(INDEX(L_ID,ROW()-4)="","",IF(SUMPRODUCT((P_ID=INDEX(L_ID,ROW()-4))*(P_StatusN="INACTIVE"))&gt;0,1,0))</f>
        <v/>
      </c>
    </row>
    <row r="2981">
      <c r="A2981">
        <f>IF(INDEX(L_ID,ROW()-4)="","",IF(COUNTIF(P_ID,INDEX(L_ID,ROW()-4))&gt;0,1,0))</f>
        <v/>
      </c>
      <c r="B2981">
        <f>IF(INDEX(P_Type,ROW()-4)="","",TRIM(UPPER(INDEX(P_Type,ROW()-4))))</f>
        <v/>
      </c>
      <c r="D2981">
        <f>IF(INDEX(L_Type,ROW()-4)="","",TRIM(UPPER(INDEX(L_Type,ROW()-4))))</f>
        <v/>
      </c>
      <c r="E2981">
        <f>IF(INDEX(P_Status,ROW()-4)="","",TRIM(UPPER(INDEX(P_Status,ROW()-4))))</f>
        <v/>
      </c>
      <c r="G2981">
        <f>IF(INDEX(L_Status,ROW()-4)="","",TRIM(UPPER(INDEX(L_Status,ROW()-4))))</f>
        <v/>
      </c>
      <c r="J2981">
        <f>IF(INDEX(L_ID,ROW()-4)="","",IF(SUMPRODUCT((P_ID=INDEX(L_ID,ROW()-4))*(P_StatusN="INACTIVE"))&gt;0,1,0))</f>
        <v/>
      </c>
    </row>
    <row r="2982">
      <c r="A2982">
        <f>IF(INDEX(L_ID,ROW()-4)="","",IF(COUNTIF(P_ID,INDEX(L_ID,ROW()-4))&gt;0,1,0))</f>
        <v/>
      </c>
      <c r="B2982">
        <f>IF(INDEX(P_Type,ROW()-4)="","",TRIM(UPPER(INDEX(P_Type,ROW()-4))))</f>
        <v/>
      </c>
      <c r="D2982">
        <f>IF(INDEX(L_Type,ROW()-4)="","",TRIM(UPPER(INDEX(L_Type,ROW()-4))))</f>
        <v/>
      </c>
      <c r="E2982">
        <f>IF(INDEX(P_Status,ROW()-4)="","",TRIM(UPPER(INDEX(P_Status,ROW()-4))))</f>
        <v/>
      </c>
      <c r="G2982">
        <f>IF(INDEX(L_Status,ROW()-4)="","",TRIM(UPPER(INDEX(L_Status,ROW()-4))))</f>
        <v/>
      </c>
      <c r="J2982">
        <f>IF(INDEX(L_ID,ROW()-4)="","",IF(SUMPRODUCT((P_ID=INDEX(L_ID,ROW()-4))*(P_StatusN="INACTIVE"))&gt;0,1,0))</f>
        <v/>
      </c>
    </row>
    <row r="2983">
      <c r="A2983">
        <f>IF(INDEX(L_ID,ROW()-4)="","",IF(COUNTIF(P_ID,INDEX(L_ID,ROW()-4))&gt;0,1,0))</f>
        <v/>
      </c>
      <c r="B2983">
        <f>IF(INDEX(P_Type,ROW()-4)="","",TRIM(UPPER(INDEX(P_Type,ROW()-4))))</f>
        <v/>
      </c>
      <c r="D2983">
        <f>IF(INDEX(L_Type,ROW()-4)="","",TRIM(UPPER(INDEX(L_Type,ROW()-4))))</f>
        <v/>
      </c>
      <c r="E2983">
        <f>IF(INDEX(P_Status,ROW()-4)="","",TRIM(UPPER(INDEX(P_Status,ROW()-4))))</f>
        <v/>
      </c>
      <c r="G2983">
        <f>IF(INDEX(L_Status,ROW()-4)="","",TRIM(UPPER(INDEX(L_Status,ROW()-4))))</f>
        <v/>
      </c>
      <c r="J2983">
        <f>IF(INDEX(L_ID,ROW()-4)="","",IF(SUMPRODUCT((P_ID=INDEX(L_ID,ROW()-4))*(P_StatusN="INACTIVE"))&gt;0,1,0))</f>
        <v/>
      </c>
    </row>
    <row r="2984">
      <c r="A2984">
        <f>IF(INDEX(L_ID,ROW()-4)="","",IF(COUNTIF(P_ID,INDEX(L_ID,ROW()-4))&gt;0,1,0))</f>
        <v/>
      </c>
      <c r="B2984">
        <f>IF(INDEX(P_Type,ROW()-4)="","",TRIM(UPPER(INDEX(P_Type,ROW()-4))))</f>
        <v/>
      </c>
      <c r="D2984">
        <f>IF(INDEX(L_Type,ROW()-4)="","",TRIM(UPPER(INDEX(L_Type,ROW()-4))))</f>
        <v/>
      </c>
      <c r="E2984">
        <f>IF(INDEX(P_Status,ROW()-4)="","",TRIM(UPPER(INDEX(P_Status,ROW()-4))))</f>
        <v/>
      </c>
      <c r="G2984">
        <f>IF(INDEX(L_Status,ROW()-4)="","",TRIM(UPPER(INDEX(L_Status,ROW()-4))))</f>
        <v/>
      </c>
      <c r="J2984">
        <f>IF(INDEX(L_ID,ROW()-4)="","",IF(SUMPRODUCT((P_ID=INDEX(L_ID,ROW()-4))*(P_StatusN="INACTIVE"))&gt;0,1,0))</f>
        <v/>
      </c>
    </row>
    <row r="2985">
      <c r="A2985">
        <f>IF(INDEX(L_ID,ROW()-4)="","",IF(COUNTIF(P_ID,INDEX(L_ID,ROW()-4))&gt;0,1,0))</f>
        <v/>
      </c>
      <c r="B2985">
        <f>IF(INDEX(P_Type,ROW()-4)="","",TRIM(UPPER(INDEX(P_Type,ROW()-4))))</f>
        <v/>
      </c>
      <c r="D2985">
        <f>IF(INDEX(L_Type,ROW()-4)="","",TRIM(UPPER(INDEX(L_Type,ROW()-4))))</f>
        <v/>
      </c>
      <c r="E2985">
        <f>IF(INDEX(P_Status,ROW()-4)="","",TRIM(UPPER(INDEX(P_Status,ROW()-4))))</f>
        <v/>
      </c>
      <c r="G2985">
        <f>IF(INDEX(L_Status,ROW()-4)="","",TRIM(UPPER(INDEX(L_Status,ROW()-4))))</f>
        <v/>
      </c>
      <c r="J2985">
        <f>IF(INDEX(L_ID,ROW()-4)="","",IF(SUMPRODUCT((P_ID=INDEX(L_ID,ROW()-4))*(P_StatusN="INACTIVE"))&gt;0,1,0))</f>
        <v/>
      </c>
    </row>
    <row r="2986">
      <c r="A2986">
        <f>IF(INDEX(L_ID,ROW()-4)="","",IF(COUNTIF(P_ID,INDEX(L_ID,ROW()-4))&gt;0,1,0))</f>
        <v/>
      </c>
      <c r="B2986">
        <f>IF(INDEX(P_Type,ROW()-4)="","",TRIM(UPPER(INDEX(P_Type,ROW()-4))))</f>
        <v/>
      </c>
      <c r="D2986">
        <f>IF(INDEX(L_Type,ROW()-4)="","",TRIM(UPPER(INDEX(L_Type,ROW()-4))))</f>
        <v/>
      </c>
      <c r="E2986">
        <f>IF(INDEX(P_Status,ROW()-4)="","",TRIM(UPPER(INDEX(P_Status,ROW()-4))))</f>
        <v/>
      </c>
      <c r="G2986">
        <f>IF(INDEX(L_Status,ROW()-4)="","",TRIM(UPPER(INDEX(L_Status,ROW()-4))))</f>
        <v/>
      </c>
      <c r="J2986">
        <f>IF(INDEX(L_ID,ROW()-4)="","",IF(SUMPRODUCT((P_ID=INDEX(L_ID,ROW()-4))*(P_StatusN="INACTIVE"))&gt;0,1,0))</f>
        <v/>
      </c>
    </row>
    <row r="2987">
      <c r="A2987">
        <f>IF(INDEX(L_ID,ROW()-4)="","",IF(COUNTIF(P_ID,INDEX(L_ID,ROW()-4))&gt;0,1,0))</f>
        <v/>
      </c>
      <c r="B2987">
        <f>IF(INDEX(P_Type,ROW()-4)="","",TRIM(UPPER(INDEX(P_Type,ROW()-4))))</f>
        <v/>
      </c>
      <c r="D2987">
        <f>IF(INDEX(L_Type,ROW()-4)="","",TRIM(UPPER(INDEX(L_Type,ROW()-4))))</f>
        <v/>
      </c>
      <c r="E2987">
        <f>IF(INDEX(P_Status,ROW()-4)="","",TRIM(UPPER(INDEX(P_Status,ROW()-4))))</f>
        <v/>
      </c>
      <c r="G2987">
        <f>IF(INDEX(L_Status,ROW()-4)="","",TRIM(UPPER(INDEX(L_Status,ROW()-4))))</f>
        <v/>
      </c>
      <c r="J2987">
        <f>IF(INDEX(L_ID,ROW()-4)="","",IF(SUMPRODUCT((P_ID=INDEX(L_ID,ROW()-4))*(P_StatusN="INACTIVE"))&gt;0,1,0))</f>
        <v/>
      </c>
    </row>
    <row r="2988">
      <c r="A2988">
        <f>IF(INDEX(L_ID,ROW()-4)="","",IF(COUNTIF(P_ID,INDEX(L_ID,ROW()-4))&gt;0,1,0))</f>
        <v/>
      </c>
      <c r="B2988">
        <f>IF(INDEX(P_Type,ROW()-4)="","",TRIM(UPPER(INDEX(P_Type,ROW()-4))))</f>
        <v/>
      </c>
      <c r="D2988">
        <f>IF(INDEX(L_Type,ROW()-4)="","",TRIM(UPPER(INDEX(L_Type,ROW()-4))))</f>
        <v/>
      </c>
      <c r="E2988">
        <f>IF(INDEX(P_Status,ROW()-4)="","",TRIM(UPPER(INDEX(P_Status,ROW()-4))))</f>
        <v/>
      </c>
      <c r="G2988">
        <f>IF(INDEX(L_Status,ROW()-4)="","",TRIM(UPPER(INDEX(L_Status,ROW()-4))))</f>
        <v/>
      </c>
      <c r="J2988">
        <f>IF(INDEX(L_ID,ROW()-4)="","",IF(SUMPRODUCT((P_ID=INDEX(L_ID,ROW()-4))*(P_StatusN="INACTIVE"))&gt;0,1,0))</f>
        <v/>
      </c>
    </row>
    <row r="2989">
      <c r="A2989">
        <f>IF(INDEX(L_ID,ROW()-4)="","",IF(COUNTIF(P_ID,INDEX(L_ID,ROW()-4))&gt;0,1,0))</f>
        <v/>
      </c>
      <c r="B2989">
        <f>IF(INDEX(P_Type,ROW()-4)="","",TRIM(UPPER(INDEX(P_Type,ROW()-4))))</f>
        <v/>
      </c>
      <c r="D2989">
        <f>IF(INDEX(L_Type,ROW()-4)="","",TRIM(UPPER(INDEX(L_Type,ROW()-4))))</f>
        <v/>
      </c>
      <c r="E2989">
        <f>IF(INDEX(P_Status,ROW()-4)="","",TRIM(UPPER(INDEX(P_Status,ROW()-4))))</f>
        <v/>
      </c>
      <c r="G2989">
        <f>IF(INDEX(L_Status,ROW()-4)="","",TRIM(UPPER(INDEX(L_Status,ROW()-4))))</f>
        <v/>
      </c>
      <c r="J2989">
        <f>IF(INDEX(L_ID,ROW()-4)="","",IF(SUMPRODUCT((P_ID=INDEX(L_ID,ROW()-4))*(P_StatusN="INACTIVE"))&gt;0,1,0))</f>
        <v/>
      </c>
    </row>
    <row r="2990">
      <c r="A2990">
        <f>IF(INDEX(L_ID,ROW()-4)="","",IF(COUNTIF(P_ID,INDEX(L_ID,ROW()-4))&gt;0,1,0))</f>
        <v/>
      </c>
      <c r="B2990">
        <f>IF(INDEX(P_Type,ROW()-4)="","",TRIM(UPPER(INDEX(P_Type,ROW()-4))))</f>
        <v/>
      </c>
      <c r="D2990">
        <f>IF(INDEX(L_Type,ROW()-4)="","",TRIM(UPPER(INDEX(L_Type,ROW()-4))))</f>
        <v/>
      </c>
      <c r="E2990">
        <f>IF(INDEX(P_Status,ROW()-4)="","",TRIM(UPPER(INDEX(P_Status,ROW()-4))))</f>
        <v/>
      </c>
      <c r="G2990">
        <f>IF(INDEX(L_Status,ROW()-4)="","",TRIM(UPPER(INDEX(L_Status,ROW()-4))))</f>
        <v/>
      </c>
      <c r="J2990">
        <f>IF(INDEX(L_ID,ROW()-4)="","",IF(SUMPRODUCT((P_ID=INDEX(L_ID,ROW()-4))*(P_StatusN="INACTIVE"))&gt;0,1,0))</f>
        <v/>
      </c>
    </row>
    <row r="2991">
      <c r="A2991">
        <f>IF(INDEX(L_ID,ROW()-4)="","",IF(COUNTIF(P_ID,INDEX(L_ID,ROW()-4))&gt;0,1,0))</f>
        <v/>
      </c>
      <c r="B2991">
        <f>IF(INDEX(P_Type,ROW()-4)="","",TRIM(UPPER(INDEX(P_Type,ROW()-4))))</f>
        <v/>
      </c>
      <c r="D2991">
        <f>IF(INDEX(L_Type,ROW()-4)="","",TRIM(UPPER(INDEX(L_Type,ROW()-4))))</f>
        <v/>
      </c>
      <c r="E2991">
        <f>IF(INDEX(P_Status,ROW()-4)="","",TRIM(UPPER(INDEX(P_Status,ROW()-4))))</f>
        <v/>
      </c>
      <c r="G2991">
        <f>IF(INDEX(L_Status,ROW()-4)="","",TRIM(UPPER(INDEX(L_Status,ROW()-4))))</f>
        <v/>
      </c>
      <c r="J2991">
        <f>IF(INDEX(L_ID,ROW()-4)="","",IF(SUMPRODUCT((P_ID=INDEX(L_ID,ROW()-4))*(P_StatusN="INACTIVE"))&gt;0,1,0))</f>
        <v/>
      </c>
    </row>
    <row r="2992">
      <c r="A2992">
        <f>IF(INDEX(L_ID,ROW()-4)="","",IF(COUNTIF(P_ID,INDEX(L_ID,ROW()-4))&gt;0,1,0))</f>
        <v/>
      </c>
      <c r="B2992">
        <f>IF(INDEX(P_Type,ROW()-4)="","",TRIM(UPPER(INDEX(P_Type,ROW()-4))))</f>
        <v/>
      </c>
      <c r="D2992">
        <f>IF(INDEX(L_Type,ROW()-4)="","",TRIM(UPPER(INDEX(L_Type,ROW()-4))))</f>
        <v/>
      </c>
      <c r="E2992">
        <f>IF(INDEX(P_Status,ROW()-4)="","",TRIM(UPPER(INDEX(P_Status,ROW()-4))))</f>
        <v/>
      </c>
      <c r="G2992">
        <f>IF(INDEX(L_Status,ROW()-4)="","",TRIM(UPPER(INDEX(L_Status,ROW()-4))))</f>
        <v/>
      </c>
      <c r="J2992">
        <f>IF(INDEX(L_ID,ROW()-4)="","",IF(SUMPRODUCT((P_ID=INDEX(L_ID,ROW()-4))*(P_StatusN="INACTIVE"))&gt;0,1,0))</f>
        <v/>
      </c>
    </row>
    <row r="2993">
      <c r="A2993">
        <f>IF(INDEX(L_ID,ROW()-4)="","",IF(COUNTIF(P_ID,INDEX(L_ID,ROW()-4))&gt;0,1,0))</f>
        <v/>
      </c>
      <c r="B2993">
        <f>IF(INDEX(P_Type,ROW()-4)="","",TRIM(UPPER(INDEX(P_Type,ROW()-4))))</f>
        <v/>
      </c>
      <c r="D2993">
        <f>IF(INDEX(L_Type,ROW()-4)="","",TRIM(UPPER(INDEX(L_Type,ROW()-4))))</f>
        <v/>
      </c>
      <c r="E2993">
        <f>IF(INDEX(P_Status,ROW()-4)="","",TRIM(UPPER(INDEX(P_Status,ROW()-4))))</f>
        <v/>
      </c>
      <c r="G2993">
        <f>IF(INDEX(L_Status,ROW()-4)="","",TRIM(UPPER(INDEX(L_Status,ROW()-4))))</f>
        <v/>
      </c>
      <c r="J2993">
        <f>IF(INDEX(L_ID,ROW()-4)="","",IF(SUMPRODUCT((P_ID=INDEX(L_ID,ROW()-4))*(P_StatusN="INACTIVE"))&gt;0,1,0))</f>
        <v/>
      </c>
    </row>
    <row r="2994">
      <c r="A2994">
        <f>IF(INDEX(L_ID,ROW()-4)="","",IF(COUNTIF(P_ID,INDEX(L_ID,ROW()-4))&gt;0,1,0))</f>
        <v/>
      </c>
      <c r="B2994">
        <f>IF(INDEX(P_Type,ROW()-4)="","",TRIM(UPPER(INDEX(P_Type,ROW()-4))))</f>
        <v/>
      </c>
      <c r="D2994">
        <f>IF(INDEX(L_Type,ROW()-4)="","",TRIM(UPPER(INDEX(L_Type,ROW()-4))))</f>
        <v/>
      </c>
      <c r="E2994">
        <f>IF(INDEX(P_Status,ROW()-4)="","",TRIM(UPPER(INDEX(P_Status,ROW()-4))))</f>
        <v/>
      </c>
      <c r="G2994">
        <f>IF(INDEX(L_Status,ROW()-4)="","",TRIM(UPPER(INDEX(L_Status,ROW()-4))))</f>
        <v/>
      </c>
      <c r="J2994">
        <f>IF(INDEX(L_ID,ROW()-4)="","",IF(SUMPRODUCT((P_ID=INDEX(L_ID,ROW()-4))*(P_StatusN="INACTIVE"))&gt;0,1,0))</f>
        <v/>
      </c>
    </row>
    <row r="2995">
      <c r="A2995">
        <f>IF(INDEX(L_ID,ROW()-4)="","",IF(COUNTIF(P_ID,INDEX(L_ID,ROW()-4))&gt;0,1,0))</f>
        <v/>
      </c>
      <c r="B2995">
        <f>IF(INDEX(P_Type,ROW()-4)="","",TRIM(UPPER(INDEX(P_Type,ROW()-4))))</f>
        <v/>
      </c>
      <c r="D2995">
        <f>IF(INDEX(L_Type,ROW()-4)="","",TRIM(UPPER(INDEX(L_Type,ROW()-4))))</f>
        <v/>
      </c>
      <c r="E2995">
        <f>IF(INDEX(P_Status,ROW()-4)="","",TRIM(UPPER(INDEX(P_Status,ROW()-4))))</f>
        <v/>
      </c>
      <c r="G2995">
        <f>IF(INDEX(L_Status,ROW()-4)="","",TRIM(UPPER(INDEX(L_Status,ROW()-4))))</f>
        <v/>
      </c>
      <c r="J2995">
        <f>IF(INDEX(L_ID,ROW()-4)="","",IF(SUMPRODUCT((P_ID=INDEX(L_ID,ROW()-4))*(P_StatusN="INACTIVE"))&gt;0,1,0))</f>
        <v/>
      </c>
    </row>
    <row r="2996">
      <c r="A2996">
        <f>IF(INDEX(L_ID,ROW()-4)="","",IF(COUNTIF(P_ID,INDEX(L_ID,ROW()-4))&gt;0,1,0))</f>
        <v/>
      </c>
      <c r="B2996">
        <f>IF(INDEX(P_Type,ROW()-4)="","",TRIM(UPPER(INDEX(P_Type,ROW()-4))))</f>
        <v/>
      </c>
      <c r="D2996">
        <f>IF(INDEX(L_Type,ROW()-4)="","",TRIM(UPPER(INDEX(L_Type,ROW()-4))))</f>
        <v/>
      </c>
      <c r="E2996">
        <f>IF(INDEX(P_Status,ROW()-4)="","",TRIM(UPPER(INDEX(P_Status,ROW()-4))))</f>
        <v/>
      </c>
      <c r="G2996">
        <f>IF(INDEX(L_Status,ROW()-4)="","",TRIM(UPPER(INDEX(L_Status,ROW()-4))))</f>
        <v/>
      </c>
      <c r="J2996">
        <f>IF(INDEX(L_ID,ROW()-4)="","",IF(SUMPRODUCT((P_ID=INDEX(L_ID,ROW()-4))*(P_StatusN="INACTIVE"))&gt;0,1,0))</f>
        <v/>
      </c>
    </row>
    <row r="2997">
      <c r="A2997">
        <f>IF(INDEX(L_ID,ROW()-4)="","",IF(COUNTIF(P_ID,INDEX(L_ID,ROW()-4))&gt;0,1,0))</f>
        <v/>
      </c>
      <c r="B2997">
        <f>IF(INDEX(P_Type,ROW()-4)="","",TRIM(UPPER(INDEX(P_Type,ROW()-4))))</f>
        <v/>
      </c>
      <c r="D2997">
        <f>IF(INDEX(L_Type,ROW()-4)="","",TRIM(UPPER(INDEX(L_Type,ROW()-4))))</f>
        <v/>
      </c>
      <c r="E2997">
        <f>IF(INDEX(P_Status,ROW()-4)="","",TRIM(UPPER(INDEX(P_Status,ROW()-4))))</f>
        <v/>
      </c>
      <c r="G2997">
        <f>IF(INDEX(L_Status,ROW()-4)="","",TRIM(UPPER(INDEX(L_Status,ROW()-4))))</f>
        <v/>
      </c>
      <c r="J2997">
        <f>IF(INDEX(L_ID,ROW()-4)="","",IF(SUMPRODUCT((P_ID=INDEX(L_ID,ROW()-4))*(P_StatusN="INACTIVE"))&gt;0,1,0))</f>
        <v/>
      </c>
    </row>
    <row r="2998">
      <c r="A2998">
        <f>IF(INDEX(L_ID,ROW()-4)="","",IF(COUNTIF(P_ID,INDEX(L_ID,ROW()-4))&gt;0,1,0))</f>
        <v/>
      </c>
      <c r="B2998">
        <f>IF(INDEX(P_Type,ROW()-4)="","",TRIM(UPPER(INDEX(P_Type,ROW()-4))))</f>
        <v/>
      </c>
      <c r="D2998">
        <f>IF(INDEX(L_Type,ROW()-4)="","",TRIM(UPPER(INDEX(L_Type,ROW()-4))))</f>
        <v/>
      </c>
      <c r="E2998">
        <f>IF(INDEX(P_Status,ROW()-4)="","",TRIM(UPPER(INDEX(P_Status,ROW()-4))))</f>
        <v/>
      </c>
      <c r="G2998">
        <f>IF(INDEX(L_Status,ROW()-4)="","",TRIM(UPPER(INDEX(L_Status,ROW()-4))))</f>
        <v/>
      </c>
      <c r="J2998">
        <f>IF(INDEX(L_ID,ROW()-4)="","",IF(SUMPRODUCT((P_ID=INDEX(L_ID,ROW()-4))*(P_StatusN="INACTIVE"))&gt;0,1,0))</f>
        <v/>
      </c>
    </row>
    <row r="2999">
      <c r="A2999">
        <f>IF(INDEX(L_ID,ROW()-4)="","",IF(COUNTIF(P_ID,INDEX(L_ID,ROW()-4))&gt;0,1,0))</f>
        <v/>
      </c>
      <c r="B2999">
        <f>IF(INDEX(P_Type,ROW()-4)="","",TRIM(UPPER(INDEX(P_Type,ROW()-4))))</f>
        <v/>
      </c>
      <c r="D2999">
        <f>IF(INDEX(L_Type,ROW()-4)="","",TRIM(UPPER(INDEX(L_Type,ROW()-4))))</f>
        <v/>
      </c>
      <c r="E2999">
        <f>IF(INDEX(P_Status,ROW()-4)="","",TRIM(UPPER(INDEX(P_Status,ROW()-4))))</f>
        <v/>
      </c>
      <c r="G2999">
        <f>IF(INDEX(L_Status,ROW()-4)="","",TRIM(UPPER(INDEX(L_Status,ROW()-4))))</f>
        <v/>
      </c>
      <c r="J2999">
        <f>IF(INDEX(L_ID,ROW()-4)="","",IF(SUMPRODUCT((P_ID=INDEX(L_ID,ROW()-4))*(P_StatusN="INACTIVE"))&gt;0,1,0))</f>
        <v/>
      </c>
    </row>
    <row r="3000">
      <c r="A3000">
        <f>IF(INDEX(L_ID,ROW()-4)="","",IF(COUNTIF(P_ID,INDEX(L_ID,ROW()-4))&gt;0,1,0))</f>
        <v/>
      </c>
      <c r="B3000">
        <f>IF(INDEX(P_Type,ROW()-4)="","",TRIM(UPPER(INDEX(P_Type,ROW()-4))))</f>
        <v/>
      </c>
      <c r="D3000">
        <f>IF(INDEX(L_Type,ROW()-4)="","",TRIM(UPPER(INDEX(L_Type,ROW()-4))))</f>
        <v/>
      </c>
      <c r="E3000">
        <f>IF(INDEX(P_Status,ROW()-4)="","",TRIM(UPPER(INDEX(P_Status,ROW()-4))))</f>
        <v/>
      </c>
      <c r="G3000">
        <f>IF(INDEX(L_Status,ROW()-4)="","",TRIM(UPPER(INDEX(L_Status,ROW()-4))))</f>
        <v/>
      </c>
      <c r="J3000">
        <f>IF(INDEX(L_ID,ROW()-4)="","",IF(SUMPRODUCT((P_ID=INDEX(L_ID,ROW()-4))*(P_StatusN="INACTIVE"))&gt;0,1,0))</f>
        <v/>
      </c>
    </row>
    <row r="3001">
      <c r="A3001">
        <f>IF(INDEX(L_ID,ROW()-4)="","",IF(COUNTIF(P_ID,INDEX(L_ID,ROW()-4))&gt;0,1,0))</f>
        <v/>
      </c>
      <c r="B3001">
        <f>IF(INDEX(P_Type,ROW()-4)="","",TRIM(UPPER(INDEX(P_Type,ROW()-4))))</f>
        <v/>
      </c>
      <c r="D3001">
        <f>IF(INDEX(L_Type,ROW()-4)="","",TRIM(UPPER(INDEX(L_Type,ROW()-4))))</f>
        <v/>
      </c>
      <c r="E3001">
        <f>IF(INDEX(P_Status,ROW()-4)="","",TRIM(UPPER(INDEX(P_Status,ROW()-4))))</f>
        <v/>
      </c>
      <c r="G3001">
        <f>IF(INDEX(L_Status,ROW()-4)="","",TRIM(UPPER(INDEX(L_Status,ROW()-4))))</f>
        <v/>
      </c>
      <c r="J3001">
        <f>IF(INDEX(L_ID,ROW()-4)="","",IF(SUMPRODUCT((P_ID=INDEX(L_ID,ROW()-4))*(P_StatusN="INACTIVE"))&gt;0,1,0))</f>
        <v/>
      </c>
    </row>
    <row r="3002">
      <c r="A3002">
        <f>IF(INDEX(L_ID,ROW()-4)="","",IF(COUNTIF(P_ID,INDEX(L_ID,ROW()-4))&gt;0,1,0))</f>
        <v/>
      </c>
      <c r="B3002">
        <f>IF(INDEX(P_Type,ROW()-4)="","",TRIM(UPPER(INDEX(P_Type,ROW()-4))))</f>
        <v/>
      </c>
      <c r="D3002">
        <f>IF(INDEX(L_Type,ROW()-4)="","",TRIM(UPPER(INDEX(L_Type,ROW()-4))))</f>
        <v/>
      </c>
      <c r="E3002">
        <f>IF(INDEX(P_Status,ROW()-4)="","",TRIM(UPPER(INDEX(P_Status,ROW()-4))))</f>
        <v/>
      </c>
      <c r="G3002">
        <f>IF(INDEX(L_Status,ROW()-4)="","",TRIM(UPPER(INDEX(L_Status,ROW()-4))))</f>
        <v/>
      </c>
      <c r="J3002">
        <f>IF(INDEX(L_ID,ROW()-4)="","",IF(SUMPRODUCT((P_ID=INDEX(L_ID,ROW()-4))*(P_StatusN="INACTIVE"))&gt;0,1,0))</f>
        <v/>
      </c>
    </row>
    <row r="3003">
      <c r="A3003">
        <f>IF(INDEX(L_ID,ROW()-4)="","",IF(COUNTIF(P_ID,INDEX(L_ID,ROW()-4))&gt;0,1,0))</f>
        <v/>
      </c>
      <c r="B3003">
        <f>IF(INDEX(P_Type,ROW()-4)="","",TRIM(UPPER(INDEX(P_Type,ROW()-4))))</f>
        <v/>
      </c>
      <c r="D3003">
        <f>IF(INDEX(L_Type,ROW()-4)="","",TRIM(UPPER(INDEX(L_Type,ROW()-4))))</f>
        <v/>
      </c>
      <c r="E3003">
        <f>IF(INDEX(P_Status,ROW()-4)="","",TRIM(UPPER(INDEX(P_Status,ROW()-4))))</f>
        <v/>
      </c>
      <c r="G3003">
        <f>IF(INDEX(L_Status,ROW()-4)="","",TRIM(UPPER(INDEX(L_Status,ROW()-4))))</f>
        <v/>
      </c>
      <c r="J3003">
        <f>IF(INDEX(L_ID,ROW()-4)="","",IF(SUMPRODUCT((P_ID=INDEX(L_ID,ROW()-4))*(P_StatusN="INACTIVE"))&gt;0,1,0))</f>
        <v/>
      </c>
    </row>
    <row r="3004">
      <c r="A3004">
        <f>IF(INDEX(L_ID,ROW()-4)="","",IF(COUNTIF(P_ID,INDEX(L_ID,ROW()-4))&gt;0,1,0))</f>
        <v/>
      </c>
      <c r="B3004">
        <f>IF(INDEX(P_Type,ROW()-4)="","",TRIM(UPPER(INDEX(P_Type,ROW()-4))))</f>
        <v/>
      </c>
      <c r="D3004">
        <f>IF(INDEX(L_Type,ROW()-4)="","",TRIM(UPPER(INDEX(L_Type,ROW()-4))))</f>
        <v/>
      </c>
      <c r="E3004">
        <f>IF(INDEX(P_Status,ROW()-4)="","",TRIM(UPPER(INDEX(P_Status,ROW()-4))))</f>
        <v/>
      </c>
      <c r="G3004">
        <f>IF(INDEX(L_Status,ROW()-4)="","",TRIM(UPPER(INDEX(L_Status,ROW()-4))))</f>
        <v/>
      </c>
      <c r="J3004">
        <f>IF(INDEX(L_ID,ROW()-4)="","",IF(SUMPRODUCT((P_ID=INDEX(L_ID,ROW()-4))*(P_StatusN="INACTIVE"))&gt;0,1,0))</f>
        <v/>
      </c>
    </row>
    <row r="3005">
      <c r="A3005">
        <f>IF(INDEX(L_ID,ROW()-4)="","",IF(COUNTIF(P_ID,INDEX(L_ID,ROW()-4))&gt;0,1,0))</f>
        <v/>
      </c>
      <c r="B3005">
        <f>IF(INDEX(P_Type,ROW()-4)="","",TRIM(UPPER(INDEX(P_Type,ROW()-4))))</f>
        <v/>
      </c>
      <c r="D3005">
        <f>IF(INDEX(L_Type,ROW()-4)="","",TRIM(UPPER(INDEX(L_Type,ROW()-4))))</f>
        <v/>
      </c>
      <c r="E3005">
        <f>IF(INDEX(P_Status,ROW()-4)="","",TRIM(UPPER(INDEX(P_Status,ROW()-4))))</f>
        <v/>
      </c>
      <c r="G3005">
        <f>IF(INDEX(L_Status,ROW()-4)="","",TRIM(UPPER(INDEX(L_Status,ROW()-4))))</f>
        <v/>
      </c>
      <c r="J3005">
        <f>IF(INDEX(L_ID,ROW()-4)="","",IF(SUMPRODUCT((P_ID=INDEX(L_ID,ROW()-4))*(P_StatusN="INACTIVE"))&gt;0,1,0))</f>
        <v/>
      </c>
    </row>
    <row r="3006">
      <c r="A3006">
        <f>IF(INDEX(L_ID,ROW()-4)="","",IF(COUNTIF(P_ID,INDEX(L_ID,ROW()-4))&gt;0,1,0))</f>
        <v/>
      </c>
      <c r="B3006">
        <f>IF(INDEX(P_Type,ROW()-4)="","",TRIM(UPPER(INDEX(P_Type,ROW()-4))))</f>
        <v/>
      </c>
      <c r="D3006">
        <f>IF(INDEX(L_Type,ROW()-4)="","",TRIM(UPPER(INDEX(L_Type,ROW()-4))))</f>
        <v/>
      </c>
      <c r="E3006">
        <f>IF(INDEX(P_Status,ROW()-4)="","",TRIM(UPPER(INDEX(P_Status,ROW()-4))))</f>
        <v/>
      </c>
      <c r="G3006">
        <f>IF(INDEX(L_Status,ROW()-4)="","",TRIM(UPPER(INDEX(L_Status,ROW()-4))))</f>
        <v/>
      </c>
      <c r="J3006">
        <f>IF(INDEX(L_ID,ROW()-4)="","",IF(SUMPRODUCT((P_ID=INDEX(L_ID,ROW()-4))*(P_StatusN="INACTIVE"))&gt;0,1,0))</f>
        <v/>
      </c>
    </row>
    <row r="3007">
      <c r="A3007">
        <f>IF(INDEX(L_ID,ROW()-4)="","",IF(COUNTIF(P_ID,INDEX(L_ID,ROW()-4))&gt;0,1,0))</f>
        <v/>
      </c>
      <c r="B3007">
        <f>IF(INDEX(P_Type,ROW()-4)="","",TRIM(UPPER(INDEX(P_Type,ROW()-4))))</f>
        <v/>
      </c>
      <c r="D3007">
        <f>IF(INDEX(L_Type,ROW()-4)="","",TRIM(UPPER(INDEX(L_Type,ROW()-4))))</f>
        <v/>
      </c>
      <c r="E3007">
        <f>IF(INDEX(P_Status,ROW()-4)="","",TRIM(UPPER(INDEX(P_Status,ROW()-4))))</f>
        <v/>
      </c>
      <c r="G3007">
        <f>IF(INDEX(L_Status,ROW()-4)="","",TRIM(UPPER(INDEX(L_Status,ROW()-4))))</f>
        <v/>
      </c>
      <c r="J3007">
        <f>IF(INDEX(L_ID,ROW()-4)="","",IF(SUMPRODUCT((P_ID=INDEX(L_ID,ROW()-4))*(P_StatusN="INACTIVE"))&gt;0,1,0))</f>
        <v/>
      </c>
    </row>
    <row r="3008">
      <c r="A3008">
        <f>IF(INDEX(L_ID,ROW()-4)="","",IF(COUNTIF(P_ID,INDEX(L_ID,ROW()-4))&gt;0,1,0))</f>
        <v/>
      </c>
      <c r="B3008">
        <f>IF(INDEX(P_Type,ROW()-4)="","",TRIM(UPPER(INDEX(P_Type,ROW()-4))))</f>
        <v/>
      </c>
      <c r="D3008">
        <f>IF(INDEX(L_Type,ROW()-4)="","",TRIM(UPPER(INDEX(L_Type,ROW()-4))))</f>
        <v/>
      </c>
      <c r="E3008">
        <f>IF(INDEX(P_Status,ROW()-4)="","",TRIM(UPPER(INDEX(P_Status,ROW()-4))))</f>
        <v/>
      </c>
      <c r="G3008">
        <f>IF(INDEX(L_Status,ROW()-4)="","",TRIM(UPPER(INDEX(L_Status,ROW()-4))))</f>
        <v/>
      </c>
      <c r="J3008">
        <f>IF(INDEX(L_ID,ROW()-4)="","",IF(SUMPRODUCT((P_ID=INDEX(L_ID,ROW()-4))*(P_StatusN="INACTIVE"))&gt;0,1,0))</f>
        <v/>
      </c>
    </row>
    <row r="3009">
      <c r="A3009">
        <f>IF(INDEX(L_ID,ROW()-4)="","",IF(COUNTIF(P_ID,INDEX(L_ID,ROW()-4))&gt;0,1,0))</f>
        <v/>
      </c>
      <c r="B3009">
        <f>IF(INDEX(P_Type,ROW()-4)="","",TRIM(UPPER(INDEX(P_Type,ROW()-4))))</f>
        <v/>
      </c>
      <c r="D3009">
        <f>IF(INDEX(L_Type,ROW()-4)="","",TRIM(UPPER(INDEX(L_Type,ROW()-4))))</f>
        <v/>
      </c>
      <c r="E3009">
        <f>IF(INDEX(P_Status,ROW()-4)="","",TRIM(UPPER(INDEX(P_Status,ROW()-4))))</f>
        <v/>
      </c>
      <c r="G3009">
        <f>IF(INDEX(L_Status,ROW()-4)="","",TRIM(UPPER(INDEX(L_Status,ROW()-4))))</f>
        <v/>
      </c>
      <c r="J3009">
        <f>IF(INDEX(L_ID,ROW()-4)="","",IF(SUMPRODUCT((P_ID=INDEX(L_ID,ROW()-4))*(P_StatusN="INACTIVE"))&gt;0,1,0))</f>
        <v/>
      </c>
    </row>
    <row r="3010">
      <c r="A3010">
        <f>IF(INDEX(L_ID,ROW()-4)="","",IF(COUNTIF(P_ID,INDEX(L_ID,ROW()-4))&gt;0,1,0))</f>
        <v/>
      </c>
      <c r="B3010">
        <f>IF(INDEX(P_Type,ROW()-4)="","",TRIM(UPPER(INDEX(P_Type,ROW()-4))))</f>
        <v/>
      </c>
      <c r="D3010">
        <f>IF(INDEX(L_Type,ROW()-4)="","",TRIM(UPPER(INDEX(L_Type,ROW()-4))))</f>
        <v/>
      </c>
      <c r="E3010">
        <f>IF(INDEX(P_Status,ROW()-4)="","",TRIM(UPPER(INDEX(P_Status,ROW()-4))))</f>
        <v/>
      </c>
      <c r="G3010">
        <f>IF(INDEX(L_Status,ROW()-4)="","",TRIM(UPPER(INDEX(L_Status,ROW()-4))))</f>
        <v/>
      </c>
      <c r="J3010">
        <f>IF(INDEX(L_ID,ROW()-4)="","",IF(SUMPRODUCT((P_ID=INDEX(L_ID,ROW()-4))*(P_StatusN="INACTIVE"))&gt;0,1,0))</f>
        <v/>
      </c>
    </row>
    <row r="3011">
      <c r="A3011">
        <f>IF(INDEX(L_ID,ROW()-4)="","",IF(COUNTIF(P_ID,INDEX(L_ID,ROW()-4))&gt;0,1,0))</f>
        <v/>
      </c>
      <c r="B3011">
        <f>IF(INDEX(P_Type,ROW()-4)="","",TRIM(UPPER(INDEX(P_Type,ROW()-4))))</f>
        <v/>
      </c>
      <c r="D3011">
        <f>IF(INDEX(L_Type,ROW()-4)="","",TRIM(UPPER(INDEX(L_Type,ROW()-4))))</f>
        <v/>
      </c>
      <c r="E3011">
        <f>IF(INDEX(P_Status,ROW()-4)="","",TRIM(UPPER(INDEX(P_Status,ROW()-4))))</f>
        <v/>
      </c>
      <c r="G3011">
        <f>IF(INDEX(L_Status,ROW()-4)="","",TRIM(UPPER(INDEX(L_Status,ROW()-4))))</f>
        <v/>
      </c>
      <c r="J3011">
        <f>IF(INDEX(L_ID,ROW()-4)="","",IF(SUMPRODUCT((P_ID=INDEX(L_ID,ROW()-4))*(P_StatusN="INACTIVE"))&gt;0,1,0))</f>
        <v/>
      </c>
    </row>
    <row r="3012">
      <c r="A3012">
        <f>IF(INDEX(L_ID,ROW()-4)="","",IF(COUNTIF(P_ID,INDEX(L_ID,ROW()-4))&gt;0,1,0))</f>
        <v/>
      </c>
      <c r="B3012">
        <f>IF(INDEX(P_Type,ROW()-4)="","",TRIM(UPPER(INDEX(P_Type,ROW()-4))))</f>
        <v/>
      </c>
      <c r="D3012">
        <f>IF(INDEX(L_Type,ROW()-4)="","",TRIM(UPPER(INDEX(L_Type,ROW()-4))))</f>
        <v/>
      </c>
      <c r="E3012">
        <f>IF(INDEX(P_Status,ROW()-4)="","",TRIM(UPPER(INDEX(P_Status,ROW()-4))))</f>
        <v/>
      </c>
      <c r="G3012">
        <f>IF(INDEX(L_Status,ROW()-4)="","",TRIM(UPPER(INDEX(L_Status,ROW()-4))))</f>
        <v/>
      </c>
      <c r="J3012">
        <f>IF(INDEX(L_ID,ROW()-4)="","",IF(SUMPRODUCT((P_ID=INDEX(L_ID,ROW()-4))*(P_StatusN="INACTIVE"))&gt;0,1,0))</f>
        <v/>
      </c>
    </row>
    <row r="3013">
      <c r="A3013">
        <f>IF(INDEX(L_ID,ROW()-4)="","",IF(COUNTIF(P_ID,INDEX(L_ID,ROW()-4))&gt;0,1,0))</f>
        <v/>
      </c>
      <c r="B3013">
        <f>IF(INDEX(P_Type,ROW()-4)="","",TRIM(UPPER(INDEX(P_Type,ROW()-4))))</f>
        <v/>
      </c>
      <c r="D3013">
        <f>IF(INDEX(L_Type,ROW()-4)="","",TRIM(UPPER(INDEX(L_Type,ROW()-4))))</f>
        <v/>
      </c>
      <c r="E3013">
        <f>IF(INDEX(P_Status,ROW()-4)="","",TRIM(UPPER(INDEX(P_Status,ROW()-4))))</f>
        <v/>
      </c>
      <c r="G3013">
        <f>IF(INDEX(L_Status,ROW()-4)="","",TRIM(UPPER(INDEX(L_Status,ROW()-4))))</f>
        <v/>
      </c>
      <c r="J3013">
        <f>IF(INDEX(L_ID,ROW()-4)="","",IF(SUMPRODUCT((P_ID=INDEX(L_ID,ROW()-4))*(P_StatusN="INACTIVE"))&gt;0,1,0))</f>
        <v/>
      </c>
    </row>
    <row r="3014">
      <c r="A3014">
        <f>IF(INDEX(L_ID,ROW()-4)="","",IF(COUNTIF(P_ID,INDEX(L_ID,ROW()-4))&gt;0,1,0))</f>
        <v/>
      </c>
      <c r="B3014">
        <f>IF(INDEX(P_Type,ROW()-4)="","",TRIM(UPPER(INDEX(P_Type,ROW()-4))))</f>
        <v/>
      </c>
      <c r="D3014">
        <f>IF(INDEX(L_Type,ROW()-4)="","",TRIM(UPPER(INDEX(L_Type,ROW()-4))))</f>
        <v/>
      </c>
      <c r="E3014">
        <f>IF(INDEX(P_Status,ROW()-4)="","",TRIM(UPPER(INDEX(P_Status,ROW()-4))))</f>
        <v/>
      </c>
      <c r="G3014">
        <f>IF(INDEX(L_Status,ROW()-4)="","",TRIM(UPPER(INDEX(L_Status,ROW()-4))))</f>
        <v/>
      </c>
      <c r="J3014">
        <f>IF(INDEX(L_ID,ROW()-4)="","",IF(SUMPRODUCT((P_ID=INDEX(L_ID,ROW()-4))*(P_StatusN="INACTIVE"))&gt;0,1,0))</f>
        <v/>
      </c>
    </row>
    <row r="3015">
      <c r="A3015">
        <f>IF(INDEX(L_ID,ROW()-4)="","",IF(COUNTIF(P_ID,INDEX(L_ID,ROW()-4))&gt;0,1,0))</f>
        <v/>
      </c>
      <c r="B3015">
        <f>IF(INDEX(P_Type,ROW()-4)="","",TRIM(UPPER(INDEX(P_Type,ROW()-4))))</f>
        <v/>
      </c>
      <c r="D3015">
        <f>IF(INDEX(L_Type,ROW()-4)="","",TRIM(UPPER(INDEX(L_Type,ROW()-4))))</f>
        <v/>
      </c>
      <c r="E3015">
        <f>IF(INDEX(P_Status,ROW()-4)="","",TRIM(UPPER(INDEX(P_Status,ROW()-4))))</f>
        <v/>
      </c>
      <c r="G3015">
        <f>IF(INDEX(L_Status,ROW()-4)="","",TRIM(UPPER(INDEX(L_Status,ROW()-4))))</f>
        <v/>
      </c>
      <c r="J3015">
        <f>IF(INDEX(L_ID,ROW()-4)="","",IF(SUMPRODUCT((P_ID=INDEX(L_ID,ROW()-4))*(P_StatusN="INACTIVE"))&gt;0,1,0))</f>
        <v/>
      </c>
    </row>
    <row r="3016">
      <c r="A3016">
        <f>IF(INDEX(L_ID,ROW()-4)="","",IF(COUNTIF(P_ID,INDEX(L_ID,ROW()-4))&gt;0,1,0))</f>
        <v/>
      </c>
      <c r="B3016">
        <f>IF(INDEX(P_Type,ROW()-4)="","",TRIM(UPPER(INDEX(P_Type,ROW()-4))))</f>
        <v/>
      </c>
      <c r="D3016">
        <f>IF(INDEX(L_Type,ROW()-4)="","",TRIM(UPPER(INDEX(L_Type,ROW()-4))))</f>
        <v/>
      </c>
      <c r="E3016">
        <f>IF(INDEX(P_Status,ROW()-4)="","",TRIM(UPPER(INDEX(P_Status,ROW()-4))))</f>
        <v/>
      </c>
      <c r="G3016">
        <f>IF(INDEX(L_Status,ROW()-4)="","",TRIM(UPPER(INDEX(L_Status,ROW()-4))))</f>
        <v/>
      </c>
      <c r="J3016">
        <f>IF(INDEX(L_ID,ROW()-4)="","",IF(SUMPRODUCT((P_ID=INDEX(L_ID,ROW()-4))*(P_StatusN="INACTIVE"))&gt;0,1,0))</f>
        <v/>
      </c>
    </row>
    <row r="3017">
      <c r="A3017">
        <f>IF(INDEX(L_ID,ROW()-4)="","",IF(COUNTIF(P_ID,INDEX(L_ID,ROW()-4))&gt;0,1,0))</f>
        <v/>
      </c>
      <c r="B3017">
        <f>IF(INDEX(P_Type,ROW()-4)="","",TRIM(UPPER(INDEX(P_Type,ROW()-4))))</f>
        <v/>
      </c>
      <c r="D3017">
        <f>IF(INDEX(L_Type,ROW()-4)="","",TRIM(UPPER(INDEX(L_Type,ROW()-4))))</f>
        <v/>
      </c>
      <c r="E3017">
        <f>IF(INDEX(P_Status,ROW()-4)="","",TRIM(UPPER(INDEX(P_Status,ROW()-4))))</f>
        <v/>
      </c>
      <c r="G3017">
        <f>IF(INDEX(L_Status,ROW()-4)="","",TRIM(UPPER(INDEX(L_Status,ROW()-4))))</f>
        <v/>
      </c>
      <c r="J3017">
        <f>IF(INDEX(L_ID,ROW()-4)="","",IF(SUMPRODUCT((P_ID=INDEX(L_ID,ROW()-4))*(P_StatusN="INACTIVE"))&gt;0,1,0))</f>
        <v/>
      </c>
    </row>
    <row r="3018">
      <c r="A3018">
        <f>IF(INDEX(L_ID,ROW()-4)="","",IF(COUNTIF(P_ID,INDEX(L_ID,ROW()-4))&gt;0,1,0))</f>
        <v/>
      </c>
      <c r="B3018">
        <f>IF(INDEX(P_Type,ROW()-4)="","",TRIM(UPPER(INDEX(P_Type,ROW()-4))))</f>
        <v/>
      </c>
      <c r="D3018">
        <f>IF(INDEX(L_Type,ROW()-4)="","",TRIM(UPPER(INDEX(L_Type,ROW()-4))))</f>
        <v/>
      </c>
      <c r="E3018">
        <f>IF(INDEX(P_Status,ROW()-4)="","",TRIM(UPPER(INDEX(P_Status,ROW()-4))))</f>
        <v/>
      </c>
      <c r="G3018">
        <f>IF(INDEX(L_Status,ROW()-4)="","",TRIM(UPPER(INDEX(L_Status,ROW()-4))))</f>
        <v/>
      </c>
      <c r="J3018">
        <f>IF(INDEX(L_ID,ROW()-4)="","",IF(SUMPRODUCT((P_ID=INDEX(L_ID,ROW()-4))*(P_StatusN="INACTIVE"))&gt;0,1,0))</f>
        <v/>
      </c>
    </row>
    <row r="3019">
      <c r="A3019">
        <f>IF(INDEX(L_ID,ROW()-4)="","",IF(COUNTIF(P_ID,INDEX(L_ID,ROW()-4))&gt;0,1,0))</f>
        <v/>
      </c>
      <c r="B3019">
        <f>IF(INDEX(P_Type,ROW()-4)="","",TRIM(UPPER(INDEX(P_Type,ROW()-4))))</f>
        <v/>
      </c>
      <c r="D3019">
        <f>IF(INDEX(L_Type,ROW()-4)="","",TRIM(UPPER(INDEX(L_Type,ROW()-4))))</f>
        <v/>
      </c>
      <c r="E3019">
        <f>IF(INDEX(P_Status,ROW()-4)="","",TRIM(UPPER(INDEX(P_Status,ROW()-4))))</f>
        <v/>
      </c>
      <c r="G3019">
        <f>IF(INDEX(L_Status,ROW()-4)="","",TRIM(UPPER(INDEX(L_Status,ROW()-4))))</f>
        <v/>
      </c>
      <c r="J3019">
        <f>IF(INDEX(L_ID,ROW()-4)="","",IF(SUMPRODUCT((P_ID=INDEX(L_ID,ROW()-4))*(P_StatusN="INACTIVE"))&gt;0,1,0))</f>
        <v/>
      </c>
    </row>
    <row r="3020">
      <c r="A3020">
        <f>IF(INDEX(L_ID,ROW()-4)="","",IF(COUNTIF(P_ID,INDEX(L_ID,ROW()-4))&gt;0,1,0))</f>
        <v/>
      </c>
      <c r="B3020">
        <f>IF(INDEX(P_Type,ROW()-4)="","",TRIM(UPPER(INDEX(P_Type,ROW()-4))))</f>
        <v/>
      </c>
      <c r="D3020">
        <f>IF(INDEX(L_Type,ROW()-4)="","",TRIM(UPPER(INDEX(L_Type,ROW()-4))))</f>
        <v/>
      </c>
      <c r="E3020">
        <f>IF(INDEX(P_Status,ROW()-4)="","",TRIM(UPPER(INDEX(P_Status,ROW()-4))))</f>
        <v/>
      </c>
      <c r="G3020">
        <f>IF(INDEX(L_Status,ROW()-4)="","",TRIM(UPPER(INDEX(L_Status,ROW()-4))))</f>
        <v/>
      </c>
      <c r="J3020">
        <f>IF(INDEX(L_ID,ROW()-4)="","",IF(SUMPRODUCT((P_ID=INDEX(L_ID,ROW()-4))*(P_StatusN="INACTIVE"))&gt;0,1,0))</f>
        <v/>
      </c>
    </row>
    <row r="3021">
      <c r="A3021">
        <f>IF(INDEX(L_ID,ROW()-4)="","",IF(COUNTIF(P_ID,INDEX(L_ID,ROW()-4))&gt;0,1,0))</f>
        <v/>
      </c>
      <c r="B3021">
        <f>IF(INDEX(P_Type,ROW()-4)="","",TRIM(UPPER(INDEX(P_Type,ROW()-4))))</f>
        <v/>
      </c>
      <c r="D3021">
        <f>IF(INDEX(L_Type,ROW()-4)="","",TRIM(UPPER(INDEX(L_Type,ROW()-4))))</f>
        <v/>
      </c>
      <c r="E3021">
        <f>IF(INDEX(P_Status,ROW()-4)="","",TRIM(UPPER(INDEX(P_Status,ROW()-4))))</f>
        <v/>
      </c>
      <c r="G3021">
        <f>IF(INDEX(L_Status,ROW()-4)="","",TRIM(UPPER(INDEX(L_Status,ROW()-4))))</f>
        <v/>
      </c>
      <c r="J3021">
        <f>IF(INDEX(L_ID,ROW()-4)="","",IF(SUMPRODUCT((P_ID=INDEX(L_ID,ROW()-4))*(P_StatusN="INACTIVE"))&gt;0,1,0))</f>
        <v/>
      </c>
    </row>
    <row r="3022">
      <c r="A3022">
        <f>IF(INDEX(L_ID,ROW()-4)="","",IF(COUNTIF(P_ID,INDEX(L_ID,ROW()-4))&gt;0,1,0))</f>
        <v/>
      </c>
      <c r="B3022">
        <f>IF(INDEX(P_Type,ROW()-4)="","",TRIM(UPPER(INDEX(P_Type,ROW()-4))))</f>
        <v/>
      </c>
      <c r="D3022">
        <f>IF(INDEX(L_Type,ROW()-4)="","",TRIM(UPPER(INDEX(L_Type,ROW()-4))))</f>
        <v/>
      </c>
      <c r="E3022">
        <f>IF(INDEX(P_Status,ROW()-4)="","",TRIM(UPPER(INDEX(P_Status,ROW()-4))))</f>
        <v/>
      </c>
      <c r="G3022">
        <f>IF(INDEX(L_Status,ROW()-4)="","",TRIM(UPPER(INDEX(L_Status,ROW()-4))))</f>
        <v/>
      </c>
      <c r="J3022">
        <f>IF(INDEX(L_ID,ROW()-4)="","",IF(SUMPRODUCT((P_ID=INDEX(L_ID,ROW()-4))*(P_StatusN="INACTIVE"))&gt;0,1,0))</f>
        <v/>
      </c>
    </row>
    <row r="3023">
      <c r="A3023">
        <f>IF(INDEX(L_ID,ROW()-4)="","",IF(COUNTIF(P_ID,INDEX(L_ID,ROW()-4))&gt;0,1,0))</f>
        <v/>
      </c>
      <c r="B3023">
        <f>IF(INDEX(P_Type,ROW()-4)="","",TRIM(UPPER(INDEX(P_Type,ROW()-4))))</f>
        <v/>
      </c>
      <c r="D3023">
        <f>IF(INDEX(L_Type,ROW()-4)="","",TRIM(UPPER(INDEX(L_Type,ROW()-4))))</f>
        <v/>
      </c>
      <c r="E3023">
        <f>IF(INDEX(P_Status,ROW()-4)="","",TRIM(UPPER(INDEX(P_Status,ROW()-4))))</f>
        <v/>
      </c>
      <c r="G3023">
        <f>IF(INDEX(L_Status,ROW()-4)="","",TRIM(UPPER(INDEX(L_Status,ROW()-4))))</f>
        <v/>
      </c>
      <c r="J3023">
        <f>IF(INDEX(L_ID,ROW()-4)="","",IF(SUMPRODUCT((P_ID=INDEX(L_ID,ROW()-4))*(P_StatusN="INACTIVE"))&gt;0,1,0))</f>
        <v/>
      </c>
    </row>
    <row r="3024">
      <c r="A3024">
        <f>IF(INDEX(L_ID,ROW()-4)="","",IF(COUNTIF(P_ID,INDEX(L_ID,ROW()-4))&gt;0,1,0))</f>
        <v/>
      </c>
      <c r="B3024">
        <f>IF(INDEX(P_Type,ROW()-4)="","",TRIM(UPPER(INDEX(P_Type,ROW()-4))))</f>
        <v/>
      </c>
      <c r="D3024">
        <f>IF(INDEX(L_Type,ROW()-4)="","",TRIM(UPPER(INDEX(L_Type,ROW()-4))))</f>
        <v/>
      </c>
      <c r="E3024">
        <f>IF(INDEX(P_Status,ROW()-4)="","",TRIM(UPPER(INDEX(P_Status,ROW()-4))))</f>
        <v/>
      </c>
      <c r="G3024">
        <f>IF(INDEX(L_Status,ROW()-4)="","",TRIM(UPPER(INDEX(L_Status,ROW()-4))))</f>
        <v/>
      </c>
      <c r="J3024">
        <f>IF(INDEX(L_ID,ROW()-4)="","",IF(SUMPRODUCT((P_ID=INDEX(L_ID,ROW()-4))*(P_StatusN="INACTIVE"))&gt;0,1,0))</f>
        <v/>
      </c>
    </row>
    <row r="3025">
      <c r="A3025">
        <f>IF(INDEX(L_ID,ROW()-4)="","",IF(COUNTIF(P_ID,INDEX(L_ID,ROW()-4))&gt;0,1,0))</f>
        <v/>
      </c>
      <c r="B3025">
        <f>IF(INDEX(P_Type,ROW()-4)="","",TRIM(UPPER(INDEX(P_Type,ROW()-4))))</f>
        <v/>
      </c>
      <c r="D3025">
        <f>IF(INDEX(L_Type,ROW()-4)="","",TRIM(UPPER(INDEX(L_Type,ROW()-4))))</f>
        <v/>
      </c>
      <c r="E3025">
        <f>IF(INDEX(P_Status,ROW()-4)="","",TRIM(UPPER(INDEX(P_Status,ROW()-4))))</f>
        <v/>
      </c>
      <c r="G3025">
        <f>IF(INDEX(L_Status,ROW()-4)="","",TRIM(UPPER(INDEX(L_Status,ROW()-4))))</f>
        <v/>
      </c>
      <c r="J3025">
        <f>IF(INDEX(L_ID,ROW()-4)="","",IF(SUMPRODUCT((P_ID=INDEX(L_ID,ROW()-4))*(P_StatusN="INACTIVE"))&gt;0,1,0))</f>
        <v/>
      </c>
    </row>
    <row r="3026">
      <c r="A3026">
        <f>IF(INDEX(L_ID,ROW()-4)="","",IF(COUNTIF(P_ID,INDEX(L_ID,ROW()-4))&gt;0,1,0))</f>
        <v/>
      </c>
      <c r="B3026">
        <f>IF(INDEX(P_Type,ROW()-4)="","",TRIM(UPPER(INDEX(P_Type,ROW()-4))))</f>
        <v/>
      </c>
      <c r="D3026">
        <f>IF(INDEX(L_Type,ROW()-4)="","",TRIM(UPPER(INDEX(L_Type,ROW()-4))))</f>
        <v/>
      </c>
      <c r="E3026">
        <f>IF(INDEX(P_Status,ROW()-4)="","",TRIM(UPPER(INDEX(P_Status,ROW()-4))))</f>
        <v/>
      </c>
      <c r="G3026">
        <f>IF(INDEX(L_Status,ROW()-4)="","",TRIM(UPPER(INDEX(L_Status,ROW()-4))))</f>
        <v/>
      </c>
      <c r="J3026">
        <f>IF(INDEX(L_ID,ROW()-4)="","",IF(SUMPRODUCT((P_ID=INDEX(L_ID,ROW()-4))*(P_StatusN="INACTIVE"))&gt;0,1,0))</f>
        <v/>
      </c>
    </row>
    <row r="3027">
      <c r="A3027">
        <f>IF(INDEX(L_ID,ROW()-4)="","",IF(COUNTIF(P_ID,INDEX(L_ID,ROW()-4))&gt;0,1,0))</f>
        <v/>
      </c>
      <c r="B3027">
        <f>IF(INDEX(P_Type,ROW()-4)="","",TRIM(UPPER(INDEX(P_Type,ROW()-4))))</f>
        <v/>
      </c>
      <c r="D3027">
        <f>IF(INDEX(L_Type,ROW()-4)="","",TRIM(UPPER(INDEX(L_Type,ROW()-4))))</f>
        <v/>
      </c>
      <c r="E3027">
        <f>IF(INDEX(P_Status,ROW()-4)="","",TRIM(UPPER(INDEX(P_Status,ROW()-4))))</f>
        <v/>
      </c>
      <c r="G3027">
        <f>IF(INDEX(L_Status,ROW()-4)="","",TRIM(UPPER(INDEX(L_Status,ROW()-4))))</f>
        <v/>
      </c>
      <c r="J3027">
        <f>IF(INDEX(L_ID,ROW()-4)="","",IF(SUMPRODUCT((P_ID=INDEX(L_ID,ROW()-4))*(P_StatusN="INACTIVE"))&gt;0,1,0))</f>
        <v/>
      </c>
    </row>
    <row r="3028">
      <c r="A3028">
        <f>IF(INDEX(L_ID,ROW()-4)="","",IF(COUNTIF(P_ID,INDEX(L_ID,ROW()-4))&gt;0,1,0))</f>
        <v/>
      </c>
      <c r="B3028">
        <f>IF(INDEX(P_Type,ROW()-4)="","",TRIM(UPPER(INDEX(P_Type,ROW()-4))))</f>
        <v/>
      </c>
      <c r="D3028">
        <f>IF(INDEX(L_Type,ROW()-4)="","",TRIM(UPPER(INDEX(L_Type,ROW()-4))))</f>
        <v/>
      </c>
      <c r="E3028">
        <f>IF(INDEX(P_Status,ROW()-4)="","",TRIM(UPPER(INDEX(P_Status,ROW()-4))))</f>
        <v/>
      </c>
      <c r="G3028">
        <f>IF(INDEX(L_Status,ROW()-4)="","",TRIM(UPPER(INDEX(L_Status,ROW()-4))))</f>
        <v/>
      </c>
      <c r="J3028">
        <f>IF(INDEX(L_ID,ROW()-4)="","",IF(SUMPRODUCT((P_ID=INDEX(L_ID,ROW()-4))*(P_StatusN="INACTIVE"))&gt;0,1,0))</f>
        <v/>
      </c>
    </row>
    <row r="3029">
      <c r="A3029">
        <f>IF(INDEX(L_ID,ROW()-4)="","",IF(COUNTIF(P_ID,INDEX(L_ID,ROW()-4))&gt;0,1,0))</f>
        <v/>
      </c>
      <c r="B3029">
        <f>IF(INDEX(P_Type,ROW()-4)="","",TRIM(UPPER(INDEX(P_Type,ROW()-4))))</f>
        <v/>
      </c>
      <c r="D3029">
        <f>IF(INDEX(L_Type,ROW()-4)="","",TRIM(UPPER(INDEX(L_Type,ROW()-4))))</f>
        <v/>
      </c>
      <c r="E3029">
        <f>IF(INDEX(P_Status,ROW()-4)="","",TRIM(UPPER(INDEX(P_Status,ROW()-4))))</f>
        <v/>
      </c>
      <c r="G3029">
        <f>IF(INDEX(L_Status,ROW()-4)="","",TRIM(UPPER(INDEX(L_Status,ROW()-4))))</f>
        <v/>
      </c>
      <c r="J3029">
        <f>IF(INDEX(L_ID,ROW()-4)="","",IF(SUMPRODUCT((P_ID=INDEX(L_ID,ROW()-4))*(P_StatusN="INACTIVE"))&gt;0,1,0))</f>
        <v/>
      </c>
    </row>
    <row r="3030">
      <c r="A3030">
        <f>IF(INDEX(L_ID,ROW()-4)="","",IF(COUNTIF(P_ID,INDEX(L_ID,ROW()-4))&gt;0,1,0))</f>
        <v/>
      </c>
      <c r="B3030">
        <f>IF(INDEX(P_Type,ROW()-4)="","",TRIM(UPPER(INDEX(P_Type,ROW()-4))))</f>
        <v/>
      </c>
      <c r="D3030">
        <f>IF(INDEX(L_Type,ROW()-4)="","",TRIM(UPPER(INDEX(L_Type,ROW()-4))))</f>
        <v/>
      </c>
      <c r="E3030">
        <f>IF(INDEX(P_Status,ROW()-4)="","",TRIM(UPPER(INDEX(P_Status,ROW()-4))))</f>
        <v/>
      </c>
      <c r="G3030">
        <f>IF(INDEX(L_Status,ROW()-4)="","",TRIM(UPPER(INDEX(L_Status,ROW()-4))))</f>
        <v/>
      </c>
      <c r="J3030">
        <f>IF(INDEX(L_ID,ROW()-4)="","",IF(SUMPRODUCT((P_ID=INDEX(L_ID,ROW()-4))*(P_StatusN="INACTIVE"))&gt;0,1,0))</f>
        <v/>
      </c>
    </row>
    <row r="3031">
      <c r="A3031">
        <f>IF(INDEX(L_ID,ROW()-4)="","",IF(COUNTIF(P_ID,INDEX(L_ID,ROW()-4))&gt;0,1,0))</f>
        <v/>
      </c>
      <c r="B3031">
        <f>IF(INDEX(P_Type,ROW()-4)="","",TRIM(UPPER(INDEX(P_Type,ROW()-4))))</f>
        <v/>
      </c>
      <c r="D3031">
        <f>IF(INDEX(L_Type,ROW()-4)="","",TRIM(UPPER(INDEX(L_Type,ROW()-4))))</f>
        <v/>
      </c>
      <c r="E3031">
        <f>IF(INDEX(P_Status,ROW()-4)="","",TRIM(UPPER(INDEX(P_Status,ROW()-4))))</f>
        <v/>
      </c>
      <c r="G3031">
        <f>IF(INDEX(L_Status,ROW()-4)="","",TRIM(UPPER(INDEX(L_Status,ROW()-4))))</f>
        <v/>
      </c>
      <c r="J3031">
        <f>IF(INDEX(L_ID,ROW()-4)="","",IF(SUMPRODUCT((P_ID=INDEX(L_ID,ROW()-4))*(P_StatusN="INACTIVE"))&gt;0,1,0))</f>
        <v/>
      </c>
    </row>
    <row r="3032">
      <c r="A3032">
        <f>IF(INDEX(L_ID,ROW()-4)="","",IF(COUNTIF(P_ID,INDEX(L_ID,ROW()-4))&gt;0,1,0))</f>
        <v/>
      </c>
      <c r="B3032">
        <f>IF(INDEX(P_Type,ROW()-4)="","",TRIM(UPPER(INDEX(P_Type,ROW()-4))))</f>
        <v/>
      </c>
      <c r="D3032">
        <f>IF(INDEX(L_Type,ROW()-4)="","",TRIM(UPPER(INDEX(L_Type,ROW()-4))))</f>
        <v/>
      </c>
      <c r="E3032">
        <f>IF(INDEX(P_Status,ROW()-4)="","",TRIM(UPPER(INDEX(P_Status,ROW()-4))))</f>
        <v/>
      </c>
      <c r="G3032">
        <f>IF(INDEX(L_Status,ROW()-4)="","",TRIM(UPPER(INDEX(L_Status,ROW()-4))))</f>
        <v/>
      </c>
      <c r="J3032">
        <f>IF(INDEX(L_ID,ROW()-4)="","",IF(SUMPRODUCT((P_ID=INDEX(L_ID,ROW()-4))*(P_StatusN="INACTIVE"))&gt;0,1,0))</f>
        <v/>
      </c>
    </row>
    <row r="3033">
      <c r="A3033">
        <f>IF(INDEX(L_ID,ROW()-4)="","",IF(COUNTIF(P_ID,INDEX(L_ID,ROW()-4))&gt;0,1,0))</f>
        <v/>
      </c>
      <c r="B3033">
        <f>IF(INDEX(P_Type,ROW()-4)="","",TRIM(UPPER(INDEX(P_Type,ROW()-4))))</f>
        <v/>
      </c>
      <c r="D3033">
        <f>IF(INDEX(L_Type,ROW()-4)="","",TRIM(UPPER(INDEX(L_Type,ROW()-4))))</f>
        <v/>
      </c>
      <c r="E3033">
        <f>IF(INDEX(P_Status,ROW()-4)="","",TRIM(UPPER(INDEX(P_Status,ROW()-4))))</f>
        <v/>
      </c>
      <c r="G3033">
        <f>IF(INDEX(L_Status,ROW()-4)="","",TRIM(UPPER(INDEX(L_Status,ROW()-4))))</f>
        <v/>
      </c>
      <c r="J3033">
        <f>IF(INDEX(L_ID,ROW()-4)="","",IF(SUMPRODUCT((P_ID=INDEX(L_ID,ROW()-4))*(P_StatusN="INACTIVE"))&gt;0,1,0))</f>
        <v/>
      </c>
    </row>
    <row r="3034">
      <c r="A3034">
        <f>IF(INDEX(L_ID,ROW()-4)="","",IF(COUNTIF(P_ID,INDEX(L_ID,ROW()-4))&gt;0,1,0))</f>
        <v/>
      </c>
      <c r="B3034">
        <f>IF(INDEX(P_Type,ROW()-4)="","",TRIM(UPPER(INDEX(P_Type,ROW()-4))))</f>
        <v/>
      </c>
      <c r="D3034">
        <f>IF(INDEX(L_Type,ROW()-4)="","",TRIM(UPPER(INDEX(L_Type,ROW()-4))))</f>
        <v/>
      </c>
      <c r="E3034">
        <f>IF(INDEX(P_Status,ROW()-4)="","",TRIM(UPPER(INDEX(P_Status,ROW()-4))))</f>
        <v/>
      </c>
      <c r="G3034">
        <f>IF(INDEX(L_Status,ROW()-4)="","",TRIM(UPPER(INDEX(L_Status,ROW()-4))))</f>
        <v/>
      </c>
      <c r="J3034">
        <f>IF(INDEX(L_ID,ROW()-4)="","",IF(SUMPRODUCT((P_ID=INDEX(L_ID,ROW()-4))*(P_StatusN="INACTIVE"))&gt;0,1,0))</f>
        <v/>
      </c>
    </row>
    <row r="3035">
      <c r="A3035">
        <f>IF(INDEX(L_ID,ROW()-4)="","",IF(COUNTIF(P_ID,INDEX(L_ID,ROW()-4))&gt;0,1,0))</f>
        <v/>
      </c>
      <c r="B3035">
        <f>IF(INDEX(P_Type,ROW()-4)="","",TRIM(UPPER(INDEX(P_Type,ROW()-4))))</f>
        <v/>
      </c>
      <c r="D3035">
        <f>IF(INDEX(L_Type,ROW()-4)="","",TRIM(UPPER(INDEX(L_Type,ROW()-4))))</f>
        <v/>
      </c>
      <c r="E3035">
        <f>IF(INDEX(P_Status,ROW()-4)="","",TRIM(UPPER(INDEX(P_Status,ROW()-4))))</f>
        <v/>
      </c>
      <c r="G3035">
        <f>IF(INDEX(L_Status,ROW()-4)="","",TRIM(UPPER(INDEX(L_Status,ROW()-4))))</f>
        <v/>
      </c>
      <c r="J3035">
        <f>IF(INDEX(L_ID,ROW()-4)="","",IF(SUMPRODUCT((P_ID=INDEX(L_ID,ROW()-4))*(P_StatusN="INACTIVE"))&gt;0,1,0))</f>
        <v/>
      </c>
    </row>
    <row r="3036">
      <c r="A3036">
        <f>IF(INDEX(L_ID,ROW()-4)="","",IF(COUNTIF(P_ID,INDEX(L_ID,ROW()-4))&gt;0,1,0))</f>
        <v/>
      </c>
      <c r="B3036">
        <f>IF(INDEX(P_Type,ROW()-4)="","",TRIM(UPPER(INDEX(P_Type,ROW()-4))))</f>
        <v/>
      </c>
      <c r="D3036">
        <f>IF(INDEX(L_Type,ROW()-4)="","",TRIM(UPPER(INDEX(L_Type,ROW()-4))))</f>
        <v/>
      </c>
      <c r="E3036">
        <f>IF(INDEX(P_Status,ROW()-4)="","",TRIM(UPPER(INDEX(P_Status,ROW()-4))))</f>
        <v/>
      </c>
      <c r="G3036">
        <f>IF(INDEX(L_Status,ROW()-4)="","",TRIM(UPPER(INDEX(L_Status,ROW()-4))))</f>
        <v/>
      </c>
      <c r="J3036">
        <f>IF(INDEX(L_ID,ROW()-4)="","",IF(SUMPRODUCT((P_ID=INDEX(L_ID,ROW()-4))*(P_StatusN="INACTIVE"))&gt;0,1,0))</f>
        <v/>
      </c>
    </row>
    <row r="3037">
      <c r="A3037">
        <f>IF(INDEX(L_ID,ROW()-4)="","",IF(COUNTIF(P_ID,INDEX(L_ID,ROW()-4))&gt;0,1,0))</f>
        <v/>
      </c>
      <c r="B3037">
        <f>IF(INDEX(P_Type,ROW()-4)="","",TRIM(UPPER(INDEX(P_Type,ROW()-4))))</f>
        <v/>
      </c>
      <c r="D3037">
        <f>IF(INDEX(L_Type,ROW()-4)="","",TRIM(UPPER(INDEX(L_Type,ROW()-4))))</f>
        <v/>
      </c>
      <c r="E3037">
        <f>IF(INDEX(P_Status,ROW()-4)="","",TRIM(UPPER(INDEX(P_Status,ROW()-4))))</f>
        <v/>
      </c>
      <c r="G3037">
        <f>IF(INDEX(L_Status,ROW()-4)="","",TRIM(UPPER(INDEX(L_Status,ROW()-4))))</f>
        <v/>
      </c>
      <c r="J3037">
        <f>IF(INDEX(L_ID,ROW()-4)="","",IF(SUMPRODUCT((P_ID=INDEX(L_ID,ROW()-4))*(P_StatusN="INACTIVE"))&gt;0,1,0))</f>
        <v/>
      </c>
    </row>
    <row r="3038">
      <c r="A3038">
        <f>IF(INDEX(L_ID,ROW()-4)="","",IF(COUNTIF(P_ID,INDEX(L_ID,ROW()-4))&gt;0,1,0))</f>
        <v/>
      </c>
      <c r="B3038">
        <f>IF(INDEX(P_Type,ROW()-4)="","",TRIM(UPPER(INDEX(P_Type,ROW()-4))))</f>
        <v/>
      </c>
      <c r="D3038">
        <f>IF(INDEX(L_Type,ROW()-4)="","",TRIM(UPPER(INDEX(L_Type,ROW()-4))))</f>
        <v/>
      </c>
      <c r="E3038">
        <f>IF(INDEX(P_Status,ROW()-4)="","",TRIM(UPPER(INDEX(P_Status,ROW()-4))))</f>
        <v/>
      </c>
      <c r="G3038">
        <f>IF(INDEX(L_Status,ROW()-4)="","",TRIM(UPPER(INDEX(L_Status,ROW()-4))))</f>
        <v/>
      </c>
      <c r="J3038">
        <f>IF(INDEX(L_ID,ROW()-4)="","",IF(SUMPRODUCT((P_ID=INDEX(L_ID,ROW()-4))*(P_StatusN="INACTIVE"))&gt;0,1,0))</f>
        <v/>
      </c>
    </row>
    <row r="3039">
      <c r="A3039">
        <f>IF(INDEX(L_ID,ROW()-4)="","",IF(COUNTIF(P_ID,INDEX(L_ID,ROW()-4))&gt;0,1,0))</f>
        <v/>
      </c>
      <c r="B3039">
        <f>IF(INDEX(P_Type,ROW()-4)="","",TRIM(UPPER(INDEX(P_Type,ROW()-4))))</f>
        <v/>
      </c>
      <c r="D3039">
        <f>IF(INDEX(L_Type,ROW()-4)="","",TRIM(UPPER(INDEX(L_Type,ROW()-4))))</f>
        <v/>
      </c>
      <c r="E3039">
        <f>IF(INDEX(P_Status,ROW()-4)="","",TRIM(UPPER(INDEX(P_Status,ROW()-4))))</f>
        <v/>
      </c>
      <c r="G3039">
        <f>IF(INDEX(L_Status,ROW()-4)="","",TRIM(UPPER(INDEX(L_Status,ROW()-4))))</f>
        <v/>
      </c>
      <c r="J3039">
        <f>IF(INDEX(L_ID,ROW()-4)="","",IF(SUMPRODUCT((P_ID=INDEX(L_ID,ROW()-4))*(P_StatusN="INACTIVE"))&gt;0,1,0))</f>
        <v/>
      </c>
    </row>
    <row r="3040">
      <c r="A3040">
        <f>IF(INDEX(L_ID,ROW()-4)="","",IF(COUNTIF(P_ID,INDEX(L_ID,ROW()-4))&gt;0,1,0))</f>
        <v/>
      </c>
      <c r="B3040">
        <f>IF(INDEX(P_Type,ROW()-4)="","",TRIM(UPPER(INDEX(P_Type,ROW()-4))))</f>
        <v/>
      </c>
      <c r="D3040">
        <f>IF(INDEX(L_Type,ROW()-4)="","",TRIM(UPPER(INDEX(L_Type,ROW()-4))))</f>
        <v/>
      </c>
      <c r="E3040">
        <f>IF(INDEX(P_Status,ROW()-4)="","",TRIM(UPPER(INDEX(P_Status,ROW()-4))))</f>
        <v/>
      </c>
      <c r="G3040">
        <f>IF(INDEX(L_Status,ROW()-4)="","",TRIM(UPPER(INDEX(L_Status,ROW()-4))))</f>
        <v/>
      </c>
      <c r="J3040">
        <f>IF(INDEX(L_ID,ROW()-4)="","",IF(SUMPRODUCT((P_ID=INDEX(L_ID,ROW()-4))*(P_StatusN="INACTIVE"))&gt;0,1,0))</f>
        <v/>
      </c>
    </row>
    <row r="3041">
      <c r="A3041">
        <f>IF(INDEX(L_ID,ROW()-4)="","",IF(COUNTIF(P_ID,INDEX(L_ID,ROW()-4))&gt;0,1,0))</f>
        <v/>
      </c>
      <c r="B3041">
        <f>IF(INDEX(P_Type,ROW()-4)="","",TRIM(UPPER(INDEX(P_Type,ROW()-4))))</f>
        <v/>
      </c>
      <c r="D3041">
        <f>IF(INDEX(L_Type,ROW()-4)="","",TRIM(UPPER(INDEX(L_Type,ROW()-4))))</f>
        <v/>
      </c>
      <c r="E3041">
        <f>IF(INDEX(P_Status,ROW()-4)="","",TRIM(UPPER(INDEX(P_Status,ROW()-4))))</f>
        <v/>
      </c>
      <c r="G3041">
        <f>IF(INDEX(L_Status,ROW()-4)="","",TRIM(UPPER(INDEX(L_Status,ROW()-4))))</f>
        <v/>
      </c>
      <c r="J3041">
        <f>IF(INDEX(L_ID,ROW()-4)="","",IF(SUMPRODUCT((P_ID=INDEX(L_ID,ROW()-4))*(P_StatusN="INACTIVE"))&gt;0,1,0))</f>
        <v/>
      </c>
    </row>
    <row r="3042">
      <c r="A3042">
        <f>IF(INDEX(L_ID,ROW()-4)="","",IF(COUNTIF(P_ID,INDEX(L_ID,ROW()-4))&gt;0,1,0))</f>
        <v/>
      </c>
      <c r="B3042">
        <f>IF(INDEX(P_Type,ROW()-4)="","",TRIM(UPPER(INDEX(P_Type,ROW()-4))))</f>
        <v/>
      </c>
      <c r="D3042">
        <f>IF(INDEX(L_Type,ROW()-4)="","",TRIM(UPPER(INDEX(L_Type,ROW()-4))))</f>
        <v/>
      </c>
      <c r="E3042">
        <f>IF(INDEX(P_Status,ROW()-4)="","",TRIM(UPPER(INDEX(P_Status,ROW()-4))))</f>
        <v/>
      </c>
      <c r="G3042">
        <f>IF(INDEX(L_Status,ROW()-4)="","",TRIM(UPPER(INDEX(L_Status,ROW()-4))))</f>
        <v/>
      </c>
      <c r="J3042">
        <f>IF(INDEX(L_ID,ROW()-4)="","",IF(SUMPRODUCT((P_ID=INDEX(L_ID,ROW()-4))*(P_StatusN="INACTIVE"))&gt;0,1,0))</f>
        <v/>
      </c>
    </row>
    <row r="3043">
      <c r="A3043">
        <f>IF(INDEX(L_ID,ROW()-4)="","",IF(COUNTIF(P_ID,INDEX(L_ID,ROW()-4))&gt;0,1,0))</f>
        <v/>
      </c>
      <c r="B3043">
        <f>IF(INDEX(P_Type,ROW()-4)="","",TRIM(UPPER(INDEX(P_Type,ROW()-4))))</f>
        <v/>
      </c>
      <c r="D3043">
        <f>IF(INDEX(L_Type,ROW()-4)="","",TRIM(UPPER(INDEX(L_Type,ROW()-4))))</f>
        <v/>
      </c>
      <c r="E3043">
        <f>IF(INDEX(P_Status,ROW()-4)="","",TRIM(UPPER(INDEX(P_Status,ROW()-4))))</f>
        <v/>
      </c>
      <c r="G3043">
        <f>IF(INDEX(L_Status,ROW()-4)="","",TRIM(UPPER(INDEX(L_Status,ROW()-4))))</f>
        <v/>
      </c>
      <c r="J3043">
        <f>IF(INDEX(L_ID,ROW()-4)="","",IF(SUMPRODUCT((P_ID=INDEX(L_ID,ROW()-4))*(P_StatusN="INACTIVE"))&gt;0,1,0))</f>
        <v/>
      </c>
    </row>
    <row r="3044">
      <c r="A3044">
        <f>IF(INDEX(L_ID,ROW()-4)="","",IF(COUNTIF(P_ID,INDEX(L_ID,ROW()-4))&gt;0,1,0))</f>
        <v/>
      </c>
      <c r="B3044">
        <f>IF(INDEX(P_Type,ROW()-4)="","",TRIM(UPPER(INDEX(P_Type,ROW()-4))))</f>
        <v/>
      </c>
      <c r="D3044">
        <f>IF(INDEX(L_Type,ROW()-4)="","",TRIM(UPPER(INDEX(L_Type,ROW()-4))))</f>
        <v/>
      </c>
      <c r="E3044">
        <f>IF(INDEX(P_Status,ROW()-4)="","",TRIM(UPPER(INDEX(P_Status,ROW()-4))))</f>
        <v/>
      </c>
      <c r="G3044">
        <f>IF(INDEX(L_Status,ROW()-4)="","",TRIM(UPPER(INDEX(L_Status,ROW()-4))))</f>
        <v/>
      </c>
      <c r="J3044">
        <f>IF(INDEX(L_ID,ROW()-4)="","",IF(SUMPRODUCT((P_ID=INDEX(L_ID,ROW()-4))*(P_StatusN="INACTIVE"))&gt;0,1,0))</f>
        <v/>
      </c>
    </row>
    <row r="3045">
      <c r="A3045">
        <f>IF(INDEX(L_ID,ROW()-4)="","",IF(COUNTIF(P_ID,INDEX(L_ID,ROW()-4))&gt;0,1,0))</f>
        <v/>
      </c>
      <c r="B3045">
        <f>IF(INDEX(P_Type,ROW()-4)="","",TRIM(UPPER(INDEX(P_Type,ROW()-4))))</f>
        <v/>
      </c>
      <c r="D3045">
        <f>IF(INDEX(L_Type,ROW()-4)="","",TRIM(UPPER(INDEX(L_Type,ROW()-4))))</f>
        <v/>
      </c>
      <c r="E3045">
        <f>IF(INDEX(P_Status,ROW()-4)="","",TRIM(UPPER(INDEX(P_Status,ROW()-4))))</f>
        <v/>
      </c>
      <c r="G3045">
        <f>IF(INDEX(L_Status,ROW()-4)="","",TRIM(UPPER(INDEX(L_Status,ROW()-4))))</f>
        <v/>
      </c>
      <c r="J3045">
        <f>IF(INDEX(L_ID,ROW()-4)="","",IF(SUMPRODUCT((P_ID=INDEX(L_ID,ROW()-4))*(P_StatusN="INACTIVE"))&gt;0,1,0))</f>
        <v/>
      </c>
    </row>
    <row r="3046">
      <c r="A3046">
        <f>IF(INDEX(L_ID,ROW()-4)="","",IF(COUNTIF(P_ID,INDEX(L_ID,ROW()-4))&gt;0,1,0))</f>
        <v/>
      </c>
      <c r="B3046">
        <f>IF(INDEX(P_Type,ROW()-4)="","",TRIM(UPPER(INDEX(P_Type,ROW()-4))))</f>
        <v/>
      </c>
      <c r="D3046">
        <f>IF(INDEX(L_Type,ROW()-4)="","",TRIM(UPPER(INDEX(L_Type,ROW()-4))))</f>
        <v/>
      </c>
      <c r="E3046">
        <f>IF(INDEX(P_Status,ROW()-4)="","",TRIM(UPPER(INDEX(P_Status,ROW()-4))))</f>
        <v/>
      </c>
      <c r="G3046">
        <f>IF(INDEX(L_Status,ROW()-4)="","",TRIM(UPPER(INDEX(L_Status,ROW()-4))))</f>
        <v/>
      </c>
      <c r="J3046">
        <f>IF(INDEX(L_ID,ROW()-4)="","",IF(SUMPRODUCT((P_ID=INDEX(L_ID,ROW()-4))*(P_StatusN="INACTIVE"))&gt;0,1,0))</f>
        <v/>
      </c>
    </row>
    <row r="3047">
      <c r="A3047">
        <f>IF(INDEX(L_ID,ROW()-4)="","",IF(COUNTIF(P_ID,INDEX(L_ID,ROW()-4))&gt;0,1,0))</f>
        <v/>
      </c>
      <c r="B3047">
        <f>IF(INDEX(P_Type,ROW()-4)="","",TRIM(UPPER(INDEX(P_Type,ROW()-4))))</f>
        <v/>
      </c>
      <c r="D3047">
        <f>IF(INDEX(L_Type,ROW()-4)="","",TRIM(UPPER(INDEX(L_Type,ROW()-4))))</f>
        <v/>
      </c>
      <c r="E3047">
        <f>IF(INDEX(P_Status,ROW()-4)="","",TRIM(UPPER(INDEX(P_Status,ROW()-4))))</f>
        <v/>
      </c>
      <c r="G3047">
        <f>IF(INDEX(L_Status,ROW()-4)="","",TRIM(UPPER(INDEX(L_Status,ROW()-4))))</f>
        <v/>
      </c>
      <c r="J3047">
        <f>IF(INDEX(L_ID,ROW()-4)="","",IF(SUMPRODUCT((P_ID=INDEX(L_ID,ROW()-4))*(P_StatusN="INACTIVE"))&gt;0,1,0))</f>
        <v/>
      </c>
    </row>
    <row r="3048">
      <c r="A3048">
        <f>IF(INDEX(L_ID,ROW()-4)="","",IF(COUNTIF(P_ID,INDEX(L_ID,ROW()-4))&gt;0,1,0))</f>
        <v/>
      </c>
      <c r="B3048">
        <f>IF(INDEX(P_Type,ROW()-4)="","",TRIM(UPPER(INDEX(P_Type,ROW()-4))))</f>
        <v/>
      </c>
      <c r="D3048">
        <f>IF(INDEX(L_Type,ROW()-4)="","",TRIM(UPPER(INDEX(L_Type,ROW()-4))))</f>
        <v/>
      </c>
      <c r="E3048">
        <f>IF(INDEX(P_Status,ROW()-4)="","",TRIM(UPPER(INDEX(P_Status,ROW()-4))))</f>
        <v/>
      </c>
      <c r="G3048">
        <f>IF(INDEX(L_Status,ROW()-4)="","",TRIM(UPPER(INDEX(L_Status,ROW()-4))))</f>
        <v/>
      </c>
      <c r="J3048">
        <f>IF(INDEX(L_ID,ROW()-4)="","",IF(SUMPRODUCT((P_ID=INDEX(L_ID,ROW()-4))*(P_StatusN="INACTIVE"))&gt;0,1,0))</f>
        <v/>
      </c>
    </row>
    <row r="3049">
      <c r="A3049">
        <f>IF(INDEX(L_ID,ROW()-4)="","",IF(COUNTIF(P_ID,INDEX(L_ID,ROW()-4))&gt;0,1,0))</f>
        <v/>
      </c>
      <c r="B3049">
        <f>IF(INDEX(P_Type,ROW()-4)="","",TRIM(UPPER(INDEX(P_Type,ROW()-4))))</f>
        <v/>
      </c>
      <c r="D3049">
        <f>IF(INDEX(L_Type,ROW()-4)="","",TRIM(UPPER(INDEX(L_Type,ROW()-4))))</f>
        <v/>
      </c>
      <c r="E3049">
        <f>IF(INDEX(P_Status,ROW()-4)="","",TRIM(UPPER(INDEX(P_Status,ROW()-4))))</f>
        <v/>
      </c>
      <c r="G3049">
        <f>IF(INDEX(L_Status,ROW()-4)="","",TRIM(UPPER(INDEX(L_Status,ROW()-4))))</f>
        <v/>
      </c>
      <c r="J3049">
        <f>IF(INDEX(L_ID,ROW()-4)="","",IF(SUMPRODUCT((P_ID=INDEX(L_ID,ROW()-4))*(P_StatusN="INACTIVE"))&gt;0,1,0))</f>
        <v/>
      </c>
    </row>
    <row r="3050">
      <c r="A3050">
        <f>IF(INDEX(L_ID,ROW()-4)="","",IF(COUNTIF(P_ID,INDEX(L_ID,ROW()-4))&gt;0,1,0))</f>
        <v/>
      </c>
      <c r="B3050">
        <f>IF(INDEX(P_Type,ROW()-4)="","",TRIM(UPPER(INDEX(P_Type,ROW()-4))))</f>
        <v/>
      </c>
      <c r="D3050">
        <f>IF(INDEX(L_Type,ROW()-4)="","",TRIM(UPPER(INDEX(L_Type,ROW()-4))))</f>
        <v/>
      </c>
      <c r="E3050">
        <f>IF(INDEX(P_Status,ROW()-4)="","",TRIM(UPPER(INDEX(P_Status,ROW()-4))))</f>
        <v/>
      </c>
      <c r="G3050">
        <f>IF(INDEX(L_Status,ROW()-4)="","",TRIM(UPPER(INDEX(L_Status,ROW()-4))))</f>
        <v/>
      </c>
      <c r="J3050">
        <f>IF(INDEX(L_ID,ROW()-4)="","",IF(SUMPRODUCT((P_ID=INDEX(L_ID,ROW()-4))*(P_StatusN="INACTIVE"))&gt;0,1,0))</f>
        <v/>
      </c>
    </row>
    <row r="3051">
      <c r="A3051">
        <f>IF(INDEX(L_ID,ROW()-4)="","",IF(COUNTIF(P_ID,INDEX(L_ID,ROW()-4))&gt;0,1,0))</f>
        <v/>
      </c>
      <c r="B3051">
        <f>IF(INDEX(P_Type,ROW()-4)="","",TRIM(UPPER(INDEX(P_Type,ROW()-4))))</f>
        <v/>
      </c>
      <c r="D3051">
        <f>IF(INDEX(L_Type,ROW()-4)="","",TRIM(UPPER(INDEX(L_Type,ROW()-4))))</f>
        <v/>
      </c>
      <c r="E3051">
        <f>IF(INDEX(P_Status,ROW()-4)="","",TRIM(UPPER(INDEX(P_Status,ROW()-4))))</f>
        <v/>
      </c>
      <c r="G3051">
        <f>IF(INDEX(L_Status,ROW()-4)="","",TRIM(UPPER(INDEX(L_Status,ROW()-4))))</f>
        <v/>
      </c>
      <c r="J3051">
        <f>IF(INDEX(L_ID,ROW()-4)="","",IF(SUMPRODUCT((P_ID=INDEX(L_ID,ROW()-4))*(P_StatusN="INACTIVE"))&gt;0,1,0))</f>
        <v/>
      </c>
    </row>
    <row r="3052">
      <c r="A3052">
        <f>IF(INDEX(L_ID,ROW()-4)="","",IF(COUNTIF(P_ID,INDEX(L_ID,ROW()-4))&gt;0,1,0))</f>
        <v/>
      </c>
      <c r="B3052">
        <f>IF(INDEX(P_Type,ROW()-4)="","",TRIM(UPPER(INDEX(P_Type,ROW()-4))))</f>
        <v/>
      </c>
      <c r="D3052">
        <f>IF(INDEX(L_Type,ROW()-4)="","",TRIM(UPPER(INDEX(L_Type,ROW()-4))))</f>
        <v/>
      </c>
      <c r="E3052">
        <f>IF(INDEX(P_Status,ROW()-4)="","",TRIM(UPPER(INDEX(P_Status,ROW()-4))))</f>
        <v/>
      </c>
      <c r="G3052">
        <f>IF(INDEX(L_Status,ROW()-4)="","",TRIM(UPPER(INDEX(L_Status,ROW()-4))))</f>
        <v/>
      </c>
      <c r="J3052">
        <f>IF(INDEX(L_ID,ROW()-4)="","",IF(SUMPRODUCT((P_ID=INDEX(L_ID,ROW()-4))*(P_StatusN="INACTIVE"))&gt;0,1,0))</f>
        <v/>
      </c>
    </row>
    <row r="3053">
      <c r="A3053">
        <f>IF(INDEX(L_ID,ROW()-4)="","",IF(COUNTIF(P_ID,INDEX(L_ID,ROW()-4))&gt;0,1,0))</f>
        <v/>
      </c>
      <c r="B3053">
        <f>IF(INDEX(P_Type,ROW()-4)="","",TRIM(UPPER(INDEX(P_Type,ROW()-4))))</f>
        <v/>
      </c>
      <c r="D3053">
        <f>IF(INDEX(L_Type,ROW()-4)="","",TRIM(UPPER(INDEX(L_Type,ROW()-4))))</f>
        <v/>
      </c>
      <c r="E3053">
        <f>IF(INDEX(P_Status,ROW()-4)="","",TRIM(UPPER(INDEX(P_Status,ROW()-4))))</f>
        <v/>
      </c>
      <c r="G3053">
        <f>IF(INDEX(L_Status,ROW()-4)="","",TRIM(UPPER(INDEX(L_Status,ROW()-4))))</f>
        <v/>
      </c>
      <c r="J3053">
        <f>IF(INDEX(L_ID,ROW()-4)="","",IF(SUMPRODUCT((P_ID=INDEX(L_ID,ROW()-4))*(P_StatusN="INACTIVE"))&gt;0,1,0))</f>
        <v/>
      </c>
    </row>
    <row r="3054">
      <c r="A3054">
        <f>IF(INDEX(L_ID,ROW()-4)="","",IF(COUNTIF(P_ID,INDEX(L_ID,ROW()-4))&gt;0,1,0))</f>
        <v/>
      </c>
      <c r="B3054">
        <f>IF(INDEX(P_Type,ROW()-4)="","",TRIM(UPPER(INDEX(P_Type,ROW()-4))))</f>
        <v/>
      </c>
      <c r="D3054">
        <f>IF(INDEX(L_Type,ROW()-4)="","",TRIM(UPPER(INDEX(L_Type,ROW()-4))))</f>
        <v/>
      </c>
      <c r="E3054">
        <f>IF(INDEX(P_Status,ROW()-4)="","",TRIM(UPPER(INDEX(P_Status,ROW()-4))))</f>
        <v/>
      </c>
      <c r="G3054">
        <f>IF(INDEX(L_Status,ROW()-4)="","",TRIM(UPPER(INDEX(L_Status,ROW()-4))))</f>
        <v/>
      </c>
      <c r="J3054">
        <f>IF(INDEX(L_ID,ROW()-4)="","",IF(SUMPRODUCT((P_ID=INDEX(L_ID,ROW()-4))*(P_StatusN="INACTIVE"))&gt;0,1,0))</f>
        <v/>
      </c>
    </row>
    <row r="3055">
      <c r="A3055">
        <f>IF(INDEX(L_ID,ROW()-4)="","",IF(COUNTIF(P_ID,INDEX(L_ID,ROW()-4))&gt;0,1,0))</f>
        <v/>
      </c>
      <c r="B3055">
        <f>IF(INDEX(P_Type,ROW()-4)="","",TRIM(UPPER(INDEX(P_Type,ROW()-4))))</f>
        <v/>
      </c>
      <c r="D3055">
        <f>IF(INDEX(L_Type,ROW()-4)="","",TRIM(UPPER(INDEX(L_Type,ROW()-4))))</f>
        <v/>
      </c>
      <c r="E3055">
        <f>IF(INDEX(P_Status,ROW()-4)="","",TRIM(UPPER(INDEX(P_Status,ROW()-4))))</f>
        <v/>
      </c>
      <c r="G3055">
        <f>IF(INDEX(L_Status,ROW()-4)="","",TRIM(UPPER(INDEX(L_Status,ROW()-4))))</f>
        <v/>
      </c>
      <c r="J3055">
        <f>IF(INDEX(L_ID,ROW()-4)="","",IF(SUMPRODUCT((P_ID=INDEX(L_ID,ROW()-4))*(P_StatusN="INACTIVE"))&gt;0,1,0))</f>
        <v/>
      </c>
    </row>
    <row r="3056">
      <c r="A3056">
        <f>IF(INDEX(L_ID,ROW()-4)="","",IF(COUNTIF(P_ID,INDEX(L_ID,ROW()-4))&gt;0,1,0))</f>
        <v/>
      </c>
      <c r="B3056">
        <f>IF(INDEX(P_Type,ROW()-4)="","",TRIM(UPPER(INDEX(P_Type,ROW()-4))))</f>
        <v/>
      </c>
      <c r="D3056">
        <f>IF(INDEX(L_Type,ROW()-4)="","",TRIM(UPPER(INDEX(L_Type,ROW()-4))))</f>
        <v/>
      </c>
      <c r="E3056">
        <f>IF(INDEX(P_Status,ROW()-4)="","",TRIM(UPPER(INDEX(P_Status,ROW()-4))))</f>
        <v/>
      </c>
      <c r="G3056">
        <f>IF(INDEX(L_Status,ROW()-4)="","",TRIM(UPPER(INDEX(L_Status,ROW()-4))))</f>
        <v/>
      </c>
      <c r="J3056">
        <f>IF(INDEX(L_ID,ROW()-4)="","",IF(SUMPRODUCT((P_ID=INDEX(L_ID,ROW()-4))*(P_StatusN="INACTIVE"))&gt;0,1,0))</f>
        <v/>
      </c>
    </row>
    <row r="3057">
      <c r="A3057">
        <f>IF(INDEX(L_ID,ROW()-4)="","",IF(COUNTIF(P_ID,INDEX(L_ID,ROW()-4))&gt;0,1,0))</f>
        <v/>
      </c>
      <c r="B3057">
        <f>IF(INDEX(P_Type,ROW()-4)="","",TRIM(UPPER(INDEX(P_Type,ROW()-4))))</f>
        <v/>
      </c>
      <c r="D3057">
        <f>IF(INDEX(L_Type,ROW()-4)="","",TRIM(UPPER(INDEX(L_Type,ROW()-4))))</f>
        <v/>
      </c>
      <c r="E3057">
        <f>IF(INDEX(P_Status,ROW()-4)="","",TRIM(UPPER(INDEX(P_Status,ROW()-4))))</f>
        <v/>
      </c>
      <c r="G3057">
        <f>IF(INDEX(L_Status,ROW()-4)="","",TRIM(UPPER(INDEX(L_Status,ROW()-4))))</f>
        <v/>
      </c>
      <c r="J3057">
        <f>IF(INDEX(L_ID,ROW()-4)="","",IF(SUMPRODUCT((P_ID=INDEX(L_ID,ROW()-4))*(P_StatusN="INACTIVE"))&gt;0,1,0))</f>
        <v/>
      </c>
    </row>
    <row r="3058">
      <c r="A3058">
        <f>IF(INDEX(L_ID,ROW()-4)="","",IF(COUNTIF(P_ID,INDEX(L_ID,ROW()-4))&gt;0,1,0))</f>
        <v/>
      </c>
      <c r="B3058">
        <f>IF(INDEX(P_Type,ROW()-4)="","",TRIM(UPPER(INDEX(P_Type,ROW()-4))))</f>
        <v/>
      </c>
      <c r="D3058">
        <f>IF(INDEX(L_Type,ROW()-4)="","",TRIM(UPPER(INDEX(L_Type,ROW()-4))))</f>
        <v/>
      </c>
      <c r="E3058">
        <f>IF(INDEX(P_Status,ROW()-4)="","",TRIM(UPPER(INDEX(P_Status,ROW()-4))))</f>
        <v/>
      </c>
      <c r="G3058">
        <f>IF(INDEX(L_Status,ROW()-4)="","",TRIM(UPPER(INDEX(L_Status,ROW()-4))))</f>
        <v/>
      </c>
      <c r="J3058">
        <f>IF(INDEX(L_ID,ROW()-4)="","",IF(SUMPRODUCT((P_ID=INDEX(L_ID,ROW()-4))*(P_StatusN="INACTIVE"))&gt;0,1,0))</f>
        <v/>
      </c>
    </row>
    <row r="3059">
      <c r="A3059">
        <f>IF(INDEX(L_ID,ROW()-4)="","",IF(COUNTIF(P_ID,INDEX(L_ID,ROW()-4))&gt;0,1,0))</f>
        <v/>
      </c>
      <c r="B3059">
        <f>IF(INDEX(P_Type,ROW()-4)="","",TRIM(UPPER(INDEX(P_Type,ROW()-4))))</f>
        <v/>
      </c>
      <c r="D3059">
        <f>IF(INDEX(L_Type,ROW()-4)="","",TRIM(UPPER(INDEX(L_Type,ROW()-4))))</f>
        <v/>
      </c>
      <c r="E3059">
        <f>IF(INDEX(P_Status,ROW()-4)="","",TRIM(UPPER(INDEX(P_Status,ROW()-4))))</f>
        <v/>
      </c>
      <c r="G3059">
        <f>IF(INDEX(L_Status,ROW()-4)="","",TRIM(UPPER(INDEX(L_Status,ROW()-4))))</f>
        <v/>
      </c>
      <c r="J3059">
        <f>IF(INDEX(L_ID,ROW()-4)="","",IF(SUMPRODUCT((P_ID=INDEX(L_ID,ROW()-4))*(P_StatusN="INACTIVE"))&gt;0,1,0))</f>
        <v/>
      </c>
    </row>
    <row r="3060">
      <c r="A3060">
        <f>IF(INDEX(L_ID,ROW()-4)="","",IF(COUNTIF(P_ID,INDEX(L_ID,ROW()-4))&gt;0,1,0))</f>
        <v/>
      </c>
      <c r="B3060">
        <f>IF(INDEX(P_Type,ROW()-4)="","",TRIM(UPPER(INDEX(P_Type,ROW()-4))))</f>
        <v/>
      </c>
      <c r="D3060">
        <f>IF(INDEX(L_Type,ROW()-4)="","",TRIM(UPPER(INDEX(L_Type,ROW()-4))))</f>
        <v/>
      </c>
      <c r="E3060">
        <f>IF(INDEX(P_Status,ROW()-4)="","",TRIM(UPPER(INDEX(P_Status,ROW()-4))))</f>
        <v/>
      </c>
      <c r="G3060">
        <f>IF(INDEX(L_Status,ROW()-4)="","",TRIM(UPPER(INDEX(L_Status,ROW()-4))))</f>
        <v/>
      </c>
      <c r="J3060">
        <f>IF(INDEX(L_ID,ROW()-4)="","",IF(SUMPRODUCT((P_ID=INDEX(L_ID,ROW()-4))*(P_StatusN="INACTIVE"))&gt;0,1,0))</f>
        <v/>
      </c>
    </row>
    <row r="3061">
      <c r="A3061">
        <f>IF(INDEX(L_ID,ROW()-4)="","",IF(COUNTIF(P_ID,INDEX(L_ID,ROW()-4))&gt;0,1,0))</f>
        <v/>
      </c>
      <c r="B3061">
        <f>IF(INDEX(P_Type,ROW()-4)="","",TRIM(UPPER(INDEX(P_Type,ROW()-4))))</f>
        <v/>
      </c>
      <c r="D3061">
        <f>IF(INDEX(L_Type,ROW()-4)="","",TRIM(UPPER(INDEX(L_Type,ROW()-4))))</f>
        <v/>
      </c>
      <c r="E3061">
        <f>IF(INDEX(P_Status,ROW()-4)="","",TRIM(UPPER(INDEX(P_Status,ROW()-4))))</f>
        <v/>
      </c>
      <c r="G3061">
        <f>IF(INDEX(L_Status,ROW()-4)="","",TRIM(UPPER(INDEX(L_Status,ROW()-4))))</f>
        <v/>
      </c>
      <c r="J3061">
        <f>IF(INDEX(L_ID,ROW()-4)="","",IF(SUMPRODUCT((P_ID=INDEX(L_ID,ROW()-4))*(P_StatusN="INACTIVE"))&gt;0,1,0))</f>
        <v/>
      </c>
    </row>
    <row r="3062">
      <c r="A3062">
        <f>IF(INDEX(L_ID,ROW()-4)="","",IF(COUNTIF(P_ID,INDEX(L_ID,ROW()-4))&gt;0,1,0))</f>
        <v/>
      </c>
      <c r="B3062">
        <f>IF(INDEX(P_Type,ROW()-4)="","",TRIM(UPPER(INDEX(P_Type,ROW()-4))))</f>
        <v/>
      </c>
      <c r="D3062">
        <f>IF(INDEX(L_Type,ROW()-4)="","",TRIM(UPPER(INDEX(L_Type,ROW()-4))))</f>
        <v/>
      </c>
      <c r="E3062">
        <f>IF(INDEX(P_Status,ROW()-4)="","",TRIM(UPPER(INDEX(P_Status,ROW()-4))))</f>
        <v/>
      </c>
      <c r="G3062">
        <f>IF(INDEX(L_Status,ROW()-4)="","",TRIM(UPPER(INDEX(L_Status,ROW()-4))))</f>
        <v/>
      </c>
      <c r="J3062">
        <f>IF(INDEX(L_ID,ROW()-4)="","",IF(SUMPRODUCT((P_ID=INDEX(L_ID,ROW()-4))*(P_StatusN="INACTIVE"))&gt;0,1,0))</f>
        <v/>
      </c>
    </row>
    <row r="3063">
      <c r="A3063">
        <f>IF(INDEX(L_ID,ROW()-4)="","",IF(COUNTIF(P_ID,INDEX(L_ID,ROW()-4))&gt;0,1,0))</f>
        <v/>
      </c>
      <c r="B3063">
        <f>IF(INDEX(P_Type,ROW()-4)="","",TRIM(UPPER(INDEX(P_Type,ROW()-4))))</f>
        <v/>
      </c>
      <c r="D3063">
        <f>IF(INDEX(L_Type,ROW()-4)="","",TRIM(UPPER(INDEX(L_Type,ROW()-4))))</f>
        <v/>
      </c>
      <c r="E3063">
        <f>IF(INDEX(P_Status,ROW()-4)="","",TRIM(UPPER(INDEX(P_Status,ROW()-4))))</f>
        <v/>
      </c>
      <c r="G3063">
        <f>IF(INDEX(L_Status,ROW()-4)="","",TRIM(UPPER(INDEX(L_Status,ROW()-4))))</f>
        <v/>
      </c>
      <c r="J3063">
        <f>IF(INDEX(L_ID,ROW()-4)="","",IF(SUMPRODUCT((P_ID=INDEX(L_ID,ROW()-4))*(P_StatusN="INACTIVE"))&gt;0,1,0))</f>
        <v/>
      </c>
    </row>
    <row r="3064">
      <c r="A3064">
        <f>IF(INDEX(L_ID,ROW()-4)="","",IF(COUNTIF(P_ID,INDEX(L_ID,ROW()-4))&gt;0,1,0))</f>
        <v/>
      </c>
      <c r="B3064">
        <f>IF(INDEX(P_Type,ROW()-4)="","",TRIM(UPPER(INDEX(P_Type,ROW()-4))))</f>
        <v/>
      </c>
      <c r="D3064">
        <f>IF(INDEX(L_Type,ROW()-4)="","",TRIM(UPPER(INDEX(L_Type,ROW()-4))))</f>
        <v/>
      </c>
      <c r="E3064">
        <f>IF(INDEX(P_Status,ROW()-4)="","",TRIM(UPPER(INDEX(P_Status,ROW()-4))))</f>
        <v/>
      </c>
      <c r="G3064">
        <f>IF(INDEX(L_Status,ROW()-4)="","",TRIM(UPPER(INDEX(L_Status,ROW()-4))))</f>
        <v/>
      </c>
      <c r="J3064">
        <f>IF(INDEX(L_ID,ROW()-4)="","",IF(SUMPRODUCT((P_ID=INDEX(L_ID,ROW()-4))*(P_StatusN="INACTIVE"))&gt;0,1,0))</f>
        <v/>
      </c>
    </row>
    <row r="3065">
      <c r="A3065">
        <f>IF(INDEX(L_ID,ROW()-4)="","",IF(COUNTIF(P_ID,INDEX(L_ID,ROW()-4))&gt;0,1,0))</f>
        <v/>
      </c>
      <c r="B3065">
        <f>IF(INDEX(P_Type,ROW()-4)="","",TRIM(UPPER(INDEX(P_Type,ROW()-4))))</f>
        <v/>
      </c>
      <c r="D3065">
        <f>IF(INDEX(L_Type,ROW()-4)="","",TRIM(UPPER(INDEX(L_Type,ROW()-4))))</f>
        <v/>
      </c>
      <c r="E3065">
        <f>IF(INDEX(P_Status,ROW()-4)="","",TRIM(UPPER(INDEX(P_Status,ROW()-4))))</f>
        <v/>
      </c>
      <c r="G3065">
        <f>IF(INDEX(L_Status,ROW()-4)="","",TRIM(UPPER(INDEX(L_Status,ROW()-4))))</f>
        <v/>
      </c>
      <c r="J3065">
        <f>IF(INDEX(L_ID,ROW()-4)="","",IF(SUMPRODUCT((P_ID=INDEX(L_ID,ROW()-4))*(P_StatusN="INACTIVE"))&gt;0,1,0))</f>
        <v/>
      </c>
    </row>
    <row r="3066">
      <c r="A3066">
        <f>IF(INDEX(L_ID,ROW()-4)="","",IF(COUNTIF(P_ID,INDEX(L_ID,ROW()-4))&gt;0,1,0))</f>
        <v/>
      </c>
      <c r="B3066">
        <f>IF(INDEX(P_Type,ROW()-4)="","",TRIM(UPPER(INDEX(P_Type,ROW()-4))))</f>
        <v/>
      </c>
      <c r="D3066">
        <f>IF(INDEX(L_Type,ROW()-4)="","",TRIM(UPPER(INDEX(L_Type,ROW()-4))))</f>
        <v/>
      </c>
      <c r="E3066">
        <f>IF(INDEX(P_Status,ROW()-4)="","",TRIM(UPPER(INDEX(P_Status,ROW()-4))))</f>
        <v/>
      </c>
      <c r="G3066">
        <f>IF(INDEX(L_Status,ROW()-4)="","",TRIM(UPPER(INDEX(L_Status,ROW()-4))))</f>
        <v/>
      </c>
      <c r="J3066">
        <f>IF(INDEX(L_ID,ROW()-4)="","",IF(SUMPRODUCT((P_ID=INDEX(L_ID,ROW()-4))*(P_StatusN="INACTIVE"))&gt;0,1,0))</f>
        <v/>
      </c>
    </row>
    <row r="3067">
      <c r="A3067">
        <f>IF(INDEX(L_ID,ROW()-4)="","",IF(COUNTIF(P_ID,INDEX(L_ID,ROW()-4))&gt;0,1,0))</f>
        <v/>
      </c>
      <c r="B3067">
        <f>IF(INDEX(P_Type,ROW()-4)="","",TRIM(UPPER(INDEX(P_Type,ROW()-4))))</f>
        <v/>
      </c>
      <c r="D3067">
        <f>IF(INDEX(L_Type,ROW()-4)="","",TRIM(UPPER(INDEX(L_Type,ROW()-4))))</f>
        <v/>
      </c>
      <c r="E3067">
        <f>IF(INDEX(P_Status,ROW()-4)="","",TRIM(UPPER(INDEX(P_Status,ROW()-4))))</f>
        <v/>
      </c>
      <c r="G3067">
        <f>IF(INDEX(L_Status,ROW()-4)="","",TRIM(UPPER(INDEX(L_Status,ROW()-4))))</f>
        <v/>
      </c>
      <c r="J3067">
        <f>IF(INDEX(L_ID,ROW()-4)="","",IF(SUMPRODUCT((P_ID=INDEX(L_ID,ROW()-4))*(P_StatusN="INACTIVE"))&gt;0,1,0))</f>
        <v/>
      </c>
    </row>
    <row r="3068">
      <c r="A3068">
        <f>IF(INDEX(L_ID,ROW()-4)="","",IF(COUNTIF(P_ID,INDEX(L_ID,ROW()-4))&gt;0,1,0))</f>
        <v/>
      </c>
      <c r="B3068">
        <f>IF(INDEX(P_Type,ROW()-4)="","",TRIM(UPPER(INDEX(P_Type,ROW()-4))))</f>
        <v/>
      </c>
      <c r="D3068">
        <f>IF(INDEX(L_Type,ROW()-4)="","",TRIM(UPPER(INDEX(L_Type,ROW()-4))))</f>
        <v/>
      </c>
      <c r="E3068">
        <f>IF(INDEX(P_Status,ROW()-4)="","",TRIM(UPPER(INDEX(P_Status,ROW()-4))))</f>
        <v/>
      </c>
      <c r="G3068">
        <f>IF(INDEX(L_Status,ROW()-4)="","",TRIM(UPPER(INDEX(L_Status,ROW()-4))))</f>
        <v/>
      </c>
      <c r="J3068">
        <f>IF(INDEX(L_ID,ROW()-4)="","",IF(SUMPRODUCT((P_ID=INDEX(L_ID,ROW()-4))*(P_StatusN="INACTIVE"))&gt;0,1,0))</f>
        <v/>
      </c>
    </row>
    <row r="3069">
      <c r="A3069">
        <f>IF(INDEX(L_ID,ROW()-4)="","",IF(COUNTIF(P_ID,INDEX(L_ID,ROW()-4))&gt;0,1,0))</f>
        <v/>
      </c>
      <c r="B3069">
        <f>IF(INDEX(P_Type,ROW()-4)="","",TRIM(UPPER(INDEX(P_Type,ROW()-4))))</f>
        <v/>
      </c>
      <c r="D3069">
        <f>IF(INDEX(L_Type,ROW()-4)="","",TRIM(UPPER(INDEX(L_Type,ROW()-4))))</f>
        <v/>
      </c>
      <c r="E3069">
        <f>IF(INDEX(P_Status,ROW()-4)="","",TRIM(UPPER(INDEX(P_Status,ROW()-4))))</f>
        <v/>
      </c>
      <c r="G3069">
        <f>IF(INDEX(L_Status,ROW()-4)="","",TRIM(UPPER(INDEX(L_Status,ROW()-4))))</f>
        <v/>
      </c>
      <c r="J3069">
        <f>IF(INDEX(L_ID,ROW()-4)="","",IF(SUMPRODUCT((P_ID=INDEX(L_ID,ROW()-4))*(P_StatusN="INACTIVE"))&gt;0,1,0))</f>
        <v/>
      </c>
    </row>
    <row r="3070">
      <c r="A3070">
        <f>IF(INDEX(L_ID,ROW()-4)="","",IF(COUNTIF(P_ID,INDEX(L_ID,ROW()-4))&gt;0,1,0))</f>
        <v/>
      </c>
      <c r="B3070">
        <f>IF(INDEX(P_Type,ROW()-4)="","",TRIM(UPPER(INDEX(P_Type,ROW()-4))))</f>
        <v/>
      </c>
      <c r="D3070">
        <f>IF(INDEX(L_Type,ROW()-4)="","",TRIM(UPPER(INDEX(L_Type,ROW()-4))))</f>
        <v/>
      </c>
      <c r="E3070">
        <f>IF(INDEX(P_Status,ROW()-4)="","",TRIM(UPPER(INDEX(P_Status,ROW()-4))))</f>
        <v/>
      </c>
      <c r="G3070">
        <f>IF(INDEX(L_Status,ROW()-4)="","",TRIM(UPPER(INDEX(L_Status,ROW()-4))))</f>
        <v/>
      </c>
      <c r="J3070">
        <f>IF(INDEX(L_ID,ROW()-4)="","",IF(SUMPRODUCT((P_ID=INDEX(L_ID,ROW()-4))*(P_StatusN="INACTIVE"))&gt;0,1,0))</f>
        <v/>
      </c>
    </row>
    <row r="3071">
      <c r="A3071">
        <f>IF(INDEX(L_ID,ROW()-4)="","",IF(COUNTIF(P_ID,INDEX(L_ID,ROW()-4))&gt;0,1,0))</f>
        <v/>
      </c>
      <c r="B3071">
        <f>IF(INDEX(P_Type,ROW()-4)="","",TRIM(UPPER(INDEX(P_Type,ROW()-4))))</f>
        <v/>
      </c>
      <c r="D3071">
        <f>IF(INDEX(L_Type,ROW()-4)="","",TRIM(UPPER(INDEX(L_Type,ROW()-4))))</f>
        <v/>
      </c>
      <c r="E3071">
        <f>IF(INDEX(P_Status,ROW()-4)="","",TRIM(UPPER(INDEX(P_Status,ROW()-4))))</f>
        <v/>
      </c>
      <c r="G3071">
        <f>IF(INDEX(L_Status,ROW()-4)="","",TRIM(UPPER(INDEX(L_Status,ROW()-4))))</f>
        <v/>
      </c>
      <c r="J3071">
        <f>IF(INDEX(L_ID,ROW()-4)="","",IF(SUMPRODUCT((P_ID=INDEX(L_ID,ROW()-4))*(P_StatusN="INACTIVE"))&gt;0,1,0))</f>
        <v/>
      </c>
    </row>
    <row r="3072">
      <c r="A3072">
        <f>IF(INDEX(L_ID,ROW()-4)="","",IF(COUNTIF(P_ID,INDEX(L_ID,ROW()-4))&gt;0,1,0))</f>
        <v/>
      </c>
      <c r="B3072">
        <f>IF(INDEX(P_Type,ROW()-4)="","",TRIM(UPPER(INDEX(P_Type,ROW()-4))))</f>
        <v/>
      </c>
      <c r="D3072">
        <f>IF(INDEX(L_Type,ROW()-4)="","",TRIM(UPPER(INDEX(L_Type,ROW()-4))))</f>
        <v/>
      </c>
      <c r="E3072">
        <f>IF(INDEX(P_Status,ROW()-4)="","",TRIM(UPPER(INDEX(P_Status,ROW()-4))))</f>
        <v/>
      </c>
      <c r="G3072">
        <f>IF(INDEX(L_Status,ROW()-4)="","",TRIM(UPPER(INDEX(L_Status,ROW()-4))))</f>
        <v/>
      </c>
      <c r="J3072">
        <f>IF(INDEX(L_ID,ROW()-4)="","",IF(SUMPRODUCT((P_ID=INDEX(L_ID,ROW()-4))*(P_StatusN="INACTIVE"))&gt;0,1,0))</f>
        <v/>
      </c>
    </row>
    <row r="3073">
      <c r="A3073">
        <f>IF(INDEX(L_ID,ROW()-4)="","",IF(COUNTIF(P_ID,INDEX(L_ID,ROW()-4))&gt;0,1,0))</f>
        <v/>
      </c>
      <c r="B3073">
        <f>IF(INDEX(P_Type,ROW()-4)="","",TRIM(UPPER(INDEX(P_Type,ROW()-4))))</f>
        <v/>
      </c>
      <c r="D3073">
        <f>IF(INDEX(L_Type,ROW()-4)="","",TRIM(UPPER(INDEX(L_Type,ROW()-4))))</f>
        <v/>
      </c>
      <c r="E3073">
        <f>IF(INDEX(P_Status,ROW()-4)="","",TRIM(UPPER(INDEX(P_Status,ROW()-4))))</f>
        <v/>
      </c>
      <c r="G3073">
        <f>IF(INDEX(L_Status,ROW()-4)="","",TRIM(UPPER(INDEX(L_Status,ROW()-4))))</f>
        <v/>
      </c>
      <c r="J3073">
        <f>IF(INDEX(L_ID,ROW()-4)="","",IF(SUMPRODUCT((P_ID=INDEX(L_ID,ROW()-4))*(P_StatusN="INACTIVE"))&gt;0,1,0))</f>
        <v/>
      </c>
    </row>
    <row r="3074">
      <c r="A3074">
        <f>IF(INDEX(L_ID,ROW()-4)="","",IF(COUNTIF(P_ID,INDEX(L_ID,ROW()-4))&gt;0,1,0))</f>
        <v/>
      </c>
      <c r="B3074">
        <f>IF(INDEX(P_Type,ROW()-4)="","",TRIM(UPPER(INDEX(P_Type,ROW()-4))))</f>
        <v/>
      </c>
      <c r="D3074">
        <f>IF(INDEX(L_Type,ROW()-4)="","",TRIM(UPPER(INDEX(L_Type,ROW()-4))))</f>
        <v/>
      </c>
      <c r="E3074">
        <f>IF(INDEX(P_Status,ROW()-4)="","",TRIM(UPPER(INDEX(P_Status,ROW()-4))))</f>
        <v/>
      </c>
      <c r="G3074">
        <f>IF(INDEX(L_Status,ROW()-4)="","",TRIM(UPPER(INDEX(L_Status,ROW()-4))))</f>
        <v/>
      </c>
      <c r="J3074">
        <f>IF(INDEX(L_ID,ROW()-4)="","",IF(SUMPRODUCT((P_ID=INDEX(L_ID,ROW()-4))*(P_StatusN="INACTIVE"))&gt;0,1,0))</f>
        <v/>
      </c>
    </row>
    <row r="3075">
      <c r="A3075">
        <f>IF(INDEX(L_ID,ROW()-4)="","",IF(COUNTIF(P_ID,INDEX(L_ID,ROW()-4))&gt;0,1,0))</f>
        <v/>
      </c>
      <c r="B3075">
        <f>IF(INDEX(P_Type,ROW()-4)="","",TRIM(UPPER(INDEX(P_Type,ROW()-4))))</f>
        <v/>
      </c>
      <c r="D3075">
        <f>IF(INDEX(L_Type,ROW()-4)="","",TRIM(UPPER(INDEX(L_Type,ROW()-4))))</f>
        <v/>
      </c>
      <c r="E3075">
        <f>IF(INDEX(P_Status,ROW()-4)="","",TRIM(UPPER(INDEX(P_Status,ROW()-4))))</f>
        <v/>
      </c>
      <c r="G3075">
        <f>IF(INDEX(L_Status,ROW()-4)="","",TRIM(UPPER(INDEX(L_Status,ROW()-4))))</f>
        <v/>
      </c>
      <c r="J3075">
        <f>IF(INDEX(L_ID,ROW()-4)="","",IF(SUMPRODUCT((P_ID=INDEX(L_ID,ROW()-4))*(P_StatusN="INACTIVE"))&gt;0,1,0))</f>
        <v/>
      </c>
    </row>
    <row r="3076">
      <c r="A3076">
        <f>IF(INDEX(L_ID,ROW()-4)="","",IF(COUNTIF(P_ID,INDEX(L_ID,ROW()-4))&gt;0,1,0))</f>
        <v/>
      </c>
      <c r="B3076">
        <f>IF(INDEX(P_Type,ROW()-4)="","",TRIM(UPPER(INDEX(P_Type,ROW()-4))))</f>
        <v/>
      </c>
      <c r="D3076">
        <f>IF(INDEX(L_Type,ROW()-4)="","",TRIM(UPPER(INDEX(L_Type,ROW()-4))))</f>
        <v/>
      </c>
      <c r="E3076">
        <f>IF(INDEX(P_Status,ROW()-4)="","",TRIM(UPPER(INDEX(P_Status,ROW()-4))))</f>
        <v/>
      </c>
      <c r="G3076">
        <f>IF(INDEX(L_Status,ROW()-4)="","",TRIM(UPPER(INDEX(L_Status,ROW()-4))))</f>
        <v/>
      </c>
      <c r="J3076">
        <f>IF(INDEX(L_ID,ROW()-4)="","",IF(SUMPRODUCT((P_ID=INDEX(L_ID,ROW()-4))*(P_StatusN="INACTIVE"))&gt;0,1,0))</f>
        <v/>
      </c>
    </row>
    <row r="3077">
      <c r="A3077">
        <f>IF(INDEX(L_ID,ROW()-4)="","",IF(COUNTIF(P_ID,INDEX(L_ID,ROW()-4))&gt;0,1,0))</f>
        <v/>
      </c>
      <c r="B3077">
        <f>IF(INDEX(P_Type,ROW()-4)="","",TRIM(UPPER(INDEX(P_Type,ROW()-4))))</f>
        <v/>
      </c>
      <c r="D3077">
        <f>IF(INDEX(L_Type,ROW()-4)="","",TRIM(UPPER(INDEX(L_Type,ROW()-4))))</f>
        <v/>
      </c>
      <c r="E3077">
        <f>IF(INDEX(P_Status,ROW()-4)="","",TRIM(UPPER(INDEX(P_Status,ROW()-4))))</f>
        <v/>
      </c>
      <c r="G3077">
        <f>IF(INDEX(L_Status,ROW()-4)="","",TRIM(UPPER(INDEX(L_Status,ROW()-4))))</f>
        <v/>
      </c>
      <c r="J3077">
        <f>IF(INDEX(L_ID,ROW()-4)="","",IF(SUMPRODUCT((P_ID=INDEX(L_ID,ROW()-4))*(P_StatusN="INACTIVE"))&gt;0,1,0))</f>
        <v/>
      </c>
    </row>
    <row r="3078">
      <c r="A3078">
        <f>IF(INDEX(L_ID,ROW()-4)="","",IF(COUNTIF(P_ID,INDEX(L_ID,ROW()-4))&gt;0,1,0))</f>
        <v/>
      </c>
      <c r="B3078">
        <f>IF(INDEX(P_Type,ROW()-4)="","",TRIM(UPPER(INDEX(P_Type,ROW()-4))))</f>
        <v/>
      </c>
      <c r="D3078">
        <f>IF(INDEX(L_Type,ROW()-4)="","",TRIM(UPPER(INDEX(L_Type,ROW()-4))))</f>
        <v/>
      </c>
      <c r="E3078">
        <f>IF(INDEX(P_Status,ROW()-4)="","",TRIM(UPPER(INDEX(P_Status,ROW()-4))))</f>
        <v/>
      </c>
      <c r="G3078">
        <f>IF(INDEX(L_Status,ROW()-4)="","",TRIM(UPPER(INDEX(L_Status,ROW()-4))))</f>
        <v/>
      </c>
      <c r="J3078">
        <f>IF(INDEX(L_ID,ROW()-4)="","",IF(SUMPRODUCT((P_ID=INDEX(L_ID,ROW()-4))*(P_StatusN="INACTIVE"))&gt;0,1,0))</f>
        <v/>
      </c>
    </row>
    <row r="3079">
      <c r="A3079">
        <f>IF(INDEX(L_ID,ROW()-4)="","",IF(COUNTIF(P_ID,INDEX(L_ID,ROW()-4))&gt;0,1,0))</f>
        <v/>
      </c>
      <c r="B3079">
        <f>IF(INDEX(P_Type,ROW()-4)="","",TRIM(UPPER(INDEX(P_Type,ROW()-4))))</f>
        <v/>
      </c>
      <c r="D3079">
        <f>IF(INDEX(L_Type,ROW()-4)="","",TRIM(UPPER(INDEX(L_Type,ROW()-4))))</f>
        <v/>
      </c>
      <c r="E3079">
        <f>IF(INDEX(P_Status,ROW()-4)="","",TRIM(UPPER(INDEX(P_Status,ROW()-4))))</f>
        <v/>
      </c>
      <c r="G3079">
        <f>IF(INDEX(L_Status,ROW()-4)="","",TRIM(UPPER(INDEX(L_Status,ROW()-4))))</f>
        <v/>
      </c>
      <c r="J3079">
        <f>IF(INDEX(L_ID,ROW()-4)="","",IF(SUMPRODUCT((P_ID=INDEX(L_ID,ROW()-4))*(P_StatusN="INACTIVE"))&gt;0,1,0))</f>
        <v/>
      </c>
    </row>
    <row r="3080">
      <c r="A3080">
        <f>IF(INDEX(L_ID,ROW()-4)="","",IF(COUNTIF(P_ID,INDEX(L_ID,ROW()-4))&gt;0,1,0))</f>
        <v/>
      </c>
      <c r="B3080">
        <f>IF(INDEX(P_Type,ROW()-4)="","",TRIM(UPPER(INDEX(P_Type,ROW()-4))))</f>
        <v/>
      </c>
      <c r="D3080">
        <f>IF(INDEX(L_Type,ROW()-4)="","",TRIM(UPPER(INDEX(L_Type,ROW()-4))))</f>
        <v/>
      </c>
      <c r="E3080">
        <f>IF(INDEX(P_Status,ROW()-4)="","",TRIM(UPPER(INDEX(P_Status,ROW()-4))))</f>
        <v/>
      </c>
      <c r="G3080">
        <f>IF(INDEX(L_Status,ROW()-4)="","",TRIM(UPPER(INDEX(L_Status,ROW()-4))))</f>
        <v/>
      </c>
      <c r="J3080">
        <f>IF(INDEX(L_ID,ROW()-4)="","",IF(SUMPRODUCT((P_ID=INDEX(L_ID,ROW()-4))*(P_StatusN="INACTIVE"))&gt;0,1,0))</f>
        <v/>
      </c>
    </row>
    <row r="3081">
      <c r="A3081">
        <f>IF(INDEX(L_ID,ROW()-4)="","",IF(COUNTIF(P_ID,INDEX(L_ID,ROW()-4))&gt;0,1,0))</f>
        <v/>
      </c>
      <c r="B3081">
        <f>IF(INDEX(P_Type,ROW()-4)="","",TRIM(UPPER(INDEX(P_Type,ROW()-4))))</f>
        <v/>
      </c>
      <c r="D3081">
        <f>IF(INDEX(L_Type,ROW()-4)="","",TRIM(UPPER(INDEX(L_Type,ROW()-4))))</f>
        <v/>
      </c>
      <c r="E3081">
        <f>IF(INDEX(P_Status,ROW()-4)="","",TRIM(UPPER(INDEX(P_Status,ROW()-4))))</f>
        <v/>
      </c>
      <c r="G3081">
        <f>IF(INDEX(L_Status,ROW()-4)="","",TRIM(UPPER(INDEX(L_Status,ROW()-4))))</f>
        <v/>
      </c>
      <c r="J3081">
        <f>IF(INDEX(L_ID,ROW()-4)="","",IF(SUMPRODUCT((P_ID=INDEX(L_ID,ROW()-4))*(P_StatusN="INACTIVE"))&gt;0,1,0))</f>
        <v/>
      </c>
    </row>
    <row r="3082">
      <c r="A3082">
        <f>IF(INDEX(L_ID,ROW()-4)="","",IF(COUNTIF(P_ID,INDEX(L_ID,ROW()-4))&gt;0,1,0))</f>
        <v/>
      </c>
      <c r="B3082">
        <f>IF(INDEX(P_Type,ROW()-4)="","",TRIM(UPPER(INDEX(P_Type,ROW()-4))))</f>
        <v/>
      </c>
      <c r="D3082">
        <f>IF(INDEX(L_Type,ROW()-4)="","",TRIM(UPPER(INDEX(L_Type,ROW()-4))))</f>
        <v/>
      </c>
      <c r="E3082">
        <f>IF(INDEX(P_Status,ROW()-4)="","",TRIM(UPPER(INDEX(P_Status,ROW()-4))))</f>
        <v/>
      </c>
      <c r="G3082">
        <f>IF(INDEX(L_Status,ROW()-4)="","",TRIM(UPPER(INDEX(L_Status,ROW()-4))))</f>
        <v/>
      </c>
      <c r="J3082">
        <f>IF(INDEX(L_ID,ROW()-4)="","",IF(SUMPRODUCT((P_ID=INDEX(L_ID,ROW()-4))*(P_StatusN="INACTIVE"))&gt;0,1,0))</f>
        <v/>
      </c>
    </row>
    <row r="3083">
      <c r="A3083">
        <f>IF(INDEX(L_ID,ROW()-4)="","",IF(COUNTIF(P_ID,INDEX(L_ID,ROW()-4))&gt;0,1,0))</f>
        <v/>
      </c>
      <c r="B3083">
        <f>IF(INDEX(P_Type,ROW()-4)="","",TRIM(UPPER(INDEX(P_Type,ROW()-4))))</f>
        <v/>
      </c>
      <c r="D3083">
        <f>IF(INDEX(L_Type,ROW()-4)="","",TRIM(UPPER(INDEX(L_Type,ROW()-4))))</f>
        <v/>
      </c>
      <c r="E3083">
        <f>IF(INDEX(P_Status,ROW()-4)="","",TRIM(UPPER(INDEX(P_Status,ROW()-4))))</f>
        <v/>
      </c>
      <c r="G3083">
        <f>IF(INDEX(L_Status,ROW()-4)="","",TRIM(UPPER(INDEX(L_Status,ROW()-4))))</f>
        <v/>
      </c>
      <c r="J3083">
        <f>IF(INDEX(L_ID,ROW()-4)="","",IF(SUMPRODUCT((P_ID=INDEX(L_ID,ROW()-4))*(P_StatusN="INACTIVE"))&gt;0,1,0))</f>
        <v/>
      </c>
    </row>
    <row r="3084">
      <c r="A3084">
        <f>IF(INDEX(L_ID,ROW()-4)="","",IF(COUNTIF(P_ID,INDEX(L_ID,ROW()-4))&gt;0,1,0))</f>
        <v/>
      </c>
      <c r="B3084">
        <f>IF(INDEX(P_Type,ROW()-4)="","",TRIM(UPPER(INDEX(P_Type,ROW()-4))))</f>
        <v/>
      </c>
      <c r="D3084">
        <f>IF(INDEX(L_Type,ROW()-4)="","",TRIM(UPPER(INDEX(L_Type,ROW()-4))))</f>
        <v/>
      </c>
      <c r="E3084">
        <f>IF(INDEX(P_Status,ROW()-4)="","",TRIM(UPPER(INDEX(P_Status,ROW()-4))))</f>
        <v/>
      </c>
      <c r="G3084">
        <f>IF(INDEX(L_Status,ROW()-4)="","",TRIM(UPPER(INDEX(L_Status,ROW()-4))))</f>
        <v/>
      </c>
      <c r="J3084">
        <f>IF(INDEX(L_ID,ROW()-4)="","",IF(SUMPRODUCT((P_ID=INDEX(L_ID,ROW()-4))*(P_StatusN="INACTIVE"))&gt;0,1,0))</f>
        <v/>
      </c>
    </row>
    <row r="3085">
      <c r="A3085">
        <f>IF(INDEX(L_ID,ROW()-4)="","",IF(COUNTIF(P_ID,INDEX(L_ID,ROW()-4))&gt;0,1,0))</f>
        <v/>
      </c>
      <c r="B3085">
        <f>IF(INDEX(P_Type,ROW()-4)="","",TRIM(UPPER(INDEX(P_Type,ROW()-4))))</f>
        <v/>
      </c>
      <c r="D3085">
        <f>IF(INDEX(L_Type,ROW()-4)="","",TRIM(UPPER(INDEX(L_Type,ROW()-4))))</f>
        <v/>
      </c>
      <c r="E3085">
        <f>IF(INDEX(P_Status,ROW()-4)="","",TRIM(UPPER(INDEX(P_Status,ROW()-4))))</f>
        <v/>
      </c>
      <c r="G3085">
        <f>IF(INDEX(L_Status,ROW()-4)="","",TRIM(UPPER(INDEX(L_Status,ROW()-4))))</f>
        <v/>
      </c>
      <c r="J3085">
        <f>IF(INDEX(L_ID,ROW()-4)="","",IF(SUMPRODUCT((P_ID=INDEX(L_ID,ROW()-4))*(P_StatusN="INACTIVE"))&gt;0,1,0))</f>
        <v/>
      </c>
    </row>
    <row r="3086">
      <c r="A3086">
        <f>IF(INDEX(L_ID,ROW()-4)="","",IF(COUNTIF(P_ID,INDEX(L_ID,ROW()-4))&gt;0,1,0))</f>
        <v/>
      </c>
      <c r="B3086">
        <f>IF(INDEX(P_Type,ROW()-4)="","",TRIM(UPPER(INDEX(P_Type,ROW()-4))))</f>
        <v/>
      </c>
      <c r="D3086">
        <f>IF(INDEX(L_Type,ROW()-4)="","",TRIM(UPPER(INDEX(L_Type,ROW()-4))))</f>
        <v/>
      </c>
      <c r="E3086">
        <f>IF(INDEX(P_Status,ROW()-4)="","",TRIM(UPPER(INDEX(P_Status,ROW()-4))))</f>
        <v/>
      </c>
      <c r="G3086">
        <f>IF(INDEX(L_Status,ROW()-4)="","",TRIM(UPPER(INDEX(L_Status,ROW()-4))))</f>
        <v/>
      </c>
      <c r="J3086">
        <f>IF(INDEX(L_ID,ROW()-4)="","",IF(SUMPRODUCT((P_ID=INDEX(L_ID,ROW()-4))*(P_StatusN="INACTIVE"))&gt;0,1,0))</f>
        <v/>
      </c>
    </row>
    <row r="3087">
      <c r="A3087">
        <f>IF(INDEX(L_ID,ROW()-4)="","",IF(COUNTIF(P_ID,INDEX(L_ID,ROW()-4))&gt;0,1,0))</f>
        <v/>
      </c>
      <c r="B3087">
        <f>IF(INDEX(P_Type,ROW()-4)="","",TRIM(UPPER(INDEX(P_Type,ROW()-4))))</f>
        <v/>
      </c>
      <c r="D3087">
        <f>IF(INDEX(L_Type,ROW()-4)="","",TRIM(UPPER(INDEX(L_Type,ROW()-4))))</f>
        <v/>
      </c>
      <c r="E3087">
        <f>IF(INDEX(P_Status,ROW()-4)="","",TRIM(UPPER(INDEX(P_Status,ROW()-4))))</f>
        <v/>
      </c>
      <c r="G3087">
        <f>IF(INDEX(L_Status,ROW()-4)="","",TRIM(UPPER(INDEX(L_Status,ROW()-4))))</f>
        <v/>
      </c>
      <c r="J3087">
        <f>IF(INDEX(L_ID,ROW()-4)="","",IF(SUMPRODUCT((P_ID=INDEX(L_ID,ROW()-4))*(P_StatusN="INACTIVE"))&gt;0,1,0))</f>
        <v/>
      </c>
    </row>
    <row r="3088">
      <c r="A3088">
        <f>IF(INDEX(L_ID,ROW()-4)="","",IF(COUNTIF(P_ID,INDEX(L_ID,ROW()-4))&gt;0,1,0))</f>
        <v/>
      </c>
      <c r="B3088">
        <f>IF(INDEX(P_Type,ROW()-4)="","",TRIM(UPPER(INDEX(P_Type,ROW()-4))))</f>
        <v/>
      </c>
      <c r="D3088">
        <f>IF(INDEX(L_Type,ROW()-4)="","",TRIM(UPPER(INDEX(L_Type,ROW()-4))))</f>
        <v/>
      </c>
      <c r="E3088">
        <f>IF(INDEX(P_Status,ROW()-4)="","",TRIM(UPPER(INDEX(P_Status,ROW()-4))))</f>
        <v/>
      </c>
      <c r="G3088">
        <f>IF(INDEX(L_Status,ROW()-4)="","",TRIM(UPPER(INDEX(L_Status,ROW()-4))))</f>
        <v/>
      </c>
      <c r="J3088">
        <f>IF(INDEX(L_ID,ROW()-4)="","",IF(SUMPRODUCT((P_ID=INDEX(L_ID,ROW()-4))*(P_StatusN="INACTIVE"))&gt;0,1,0))</f>
        <v/>
      </c>
    </row>
    <row r="3089">
      <c r="A3089">
        <f>IF(INDEX(L_ID,ROW()-4)="","",IF(COUNTIF(P_ID,INDEX(L_ID,ROW()-4))&gt;0,1,0))</f>
        <v/>
      </c>
      <c r="B3089">
        <f>IF(INDEX(P_Type,ROW()-4)="","",TRIM(UPPER(INDEX(P_Type,ROW()-4))))</f>
        <v/>
      </c>
      <c r="D3089">
        <f>IF(INDEX(L_Type,ROW()-4)="","",TRIM(UPPER(INDEX(L_Type,ROW()-4))))</f>
        <v/>
      </c>
      <c r="E3089">
        <f>IF(INDEX(P_Status,ROW()-4)="","",TRIM(UPPER(INDEX(P_Status,ROW()-4))))</f>
        <v/>
      </c>
      <c r="G3089">
        <f>IF(INDEX(L_Status,ROW()-4)="","",TRIM(UPPER(INDEX(L_Status,ROW()-4))))</f>
        <v/>
      </c>
      <c r="J3089">
        <f>IF(INDEX(L_ID,ROW()-4)="","",IF(SUMPRODUCT((P_ID=INDEX(L_ID,ROW()-4))*(P_StatusN="INACTIVE"))&gt;0,1,0))</f>
        <v/>
      </c>
    </row>
    <row r="3090">
      <c r="A3090">
        <f>IF(INDEX(L_ID,ROW()-4)="","",IF(COUNTIF(P_ID,INDEX(L_ID,ROW()-4))&gt;0,1,0))</f>
        <v/>
      </c>
      <c r="B3090">
        <f>IF(INDEX(P_Type,ROW()-4)="","",TRIM(UPPER(INDEX(P_Type,ROW()-4))))</f>
        <v/>
      </c>
      <c r="D3090">
        <f>IF(INDEX(L_Type,ROW()-4)="","",TRIM(UPPER(INDEX(L_Type,ROW()-4))))</f>
        <v/>
      </c>
      <c r="E3090">
        <f>IF(INDEX(P_Status,ROW()-4)="","",TRIM(UPPER(INDEX(P_Status,ROW()-4))))</f>
        <v/>
      </c>
      <c r="G3090">
        <f>IF(INDEX(L_Status,ROW()-4)="","",TRIM(UPPER(INDEX(L_Status,ROW()-4))))</f>
        <v/>
      </c>
      <c r="J3090">
        <f>IF(INDEX(L_ID,ROW()-4)="","",IF(SUMPRODUCT((P_ID=INDEX(L_ID,ROW()-4))*(P_StatusN="INACTIVE"))&gt;0,1,0))</f>
        <v/>
      </c>
    </row>
    <row r="3091">
      <c r="A3091">
        <f>IF(INDEX(L_ID,ROW()-4)="","",IF(COUNTIF(P_ID,INDEX(L_ID,ROW()-4))&gt;0,1,0))</f>
        <v/>
      </c>
      <c r="B3091">
        <f>IF(INDEX(P_Type,ROW()-4)="","",TRIM(UPPER(INDEX(P_Type,ROW()-4))))</f>
        <v/>
      </c>
      <c r="D3091">
        <f>IF(INDEX(L_Type,ROW()-4)="","",TRIM(UPPER(INDEX(L_Type,ROW()-4))))</f>
        <v/>
      </c>
      <c r="E3091">
        <f>IF(INDEX(P_Status,ROW()-4)="","",TRIM(UPPER(INDEX(P_Status,ROW()-4))))</f>
        <v/>
      </c>
      <c r="G3091">
        <f>IF(INDEX(L_Status,ROW()-4)="","",TRIM(UPPER(INDEX(L_Status,ROW()-4))))</f>
        <v/>
      </c>
      <c r="J3091">
        <f>IF(INDEX(L_ID,ROW()-4)="","",IF(SUMPRODUCT((P_ID=INDEX(L_ID,ROW()-4))*(P_StatusN="INACTIVE"))&gt;0,1,0))</f>
        <v/>
      </c>
    </row>
    <row r="3092">
      <c r="A3092">
        <f>IF(INDEX(L_ID,ROW()-4)="","",IF(COUNTIF(P_ID,INDEX(L_ID,ROW()-4))&gt;0,1,0))</f>
        <v/>
      </c>
      <c r="B3092">
        <f>IF(INDEX(P_Type,ROW()-4)="","",TRIM(UPPER(INDEX(P_Type,ROW()-4))))</f>
        <v/>
      </c>
      <c r="D3092">
        <f>IF(INDEX(L_Type,ROW()-4)="","",TRIM(UPPER(INDEX(L_Type,ROW()-4))))</f>
        <v/>
      </c>
      <c r="E3092">
        <f>IF(INDEX(P_Status,ROW()-4)="","",TRIM(UPPER(INDEX(P_Status,ROW()-4))))</f>
        <v/>
      </c>
      <c r="G3092">
        <f>IF(INDEX(L_Status,ROW()-4)="","",TRIM(UPPER(INDEX(L_Status,ROW()-4))))</f>
        <v/>
      </c>
      <c r="J3092">
        <f>IF(INDEX(L_ID,ROW()-4)="","",IF(SUMPRODUCT((P_ID=INDEX(L_ID,ROW()-4))*(P_StatusN="INACTIVE"))&gt;0,1,0))</f>
        <v/>
      </c>
    </row>
    <row r="3093">
      <c r="A3093">
        <f>IF(INDEX(L_ID,ROW()-4)="","",IF(COUNTIF(P_ID,INDEX(L_ID,ROW()-4))&gt;0,1,0))</f>
        <v/>
      </c>
      <c r="B3093">
        <f>IF(INDEX(P_Type,ROW()-4)="","",TRIM(UPPER(INDEX(P_Type,ROW()-4))))</f>
        <v/>
      </c>
      <c r="D3093">
        <f>IF(INDEX(L_Type,ROW()-4)="","",TRIM(UPPER(INDEX(L_Type,ROW()-4))))</f>
        <v/>
      </c>
      <c r="E3093">
        <f>IF(INDEX(P_Status,ROW()-4)="","",TRIM(UPPER(INDEX(P_Status,ROW()-4))))</f>
        <v/>
      </c>
      <c r="G3093">
        <f>IF(INDEX(L_Status,ROW()-4)="","",TRIM(UPPER(INDEX(L_Status,ROW()-4))))</f>
        <v/>
      </c>
      <c r="J3093">
        <f>IF(INDEX(L_ID,ROW()-4)="","",IF(SUMPRODUCT((P_ID=INDEX(L_ID,ROW()-4))*(P_StatusN="INACTIVE"))&gt;0,1,0))</f>
        <v/>
      </c>
    </row>
    <row r="3094">
      <c r="A3094">
        <f>IF(INDEX(L_ID,ROW()-4)="","",IF(COUNTIF(P_ID,INDEX(L_ID,ROW()-4))&gt;0,1,0))</f>
        <v/>
      </c>
      <c r="B3094">
        <f>IF(INDEX(P_Type,ROW()-4)="","",TRIM(UPPER(INDEX(P_Type,ROW()-4))))</f>
        <v/>
      </c>
      <c r="D3094">
        <f>IF(INDEX(L_Type,ROW()-4)="","",TRIM(UPPER(INDEX(L_Type,ROW()-4))))</f>
        <v/>
      </c>
      <c r="E3094">
        <f>IF(INDEX(P_Status,ROW()-4)="","",TRIM(UPPER(INDEX(P_Status,ROW()-4))))</f>
        <v/>
      </c>
      <c r="G3094">
        <f>IF(INDEX(L_Status,ROW()-4)="","",TRIM(UPPER(INDEX(L_Status,ROW()-4))))</f>
        <v/>
      </c>
      <c r="J3094">
        <f>IF(INDEX(L_ID,ROW()-4)="","",IF(SUMPRODUCT((P_ID=INDEX(L_ID,ROW()-4))*(P_StatusN="INACTIVE"))&gt;0,1,0))</f>
        <v/>
      </c>
    </row>
    <row r="3095">
      <c r="A3095">
        <f>IF(INDEX(L_ID,ROW()-4)="","",IF(COUNTIF(P_ID,INDEX(L_ID,ROW()-4))&gt;0,1,0))</f>
        <v/>
      </c>
      <c r="B3095">
        <f>IF(INDEX(P_Type,ROW()-4)="","",TRIM(UPPER(INDEX(P_Type,ROW()-4))))</f>
        <v/>
      </c>
      <c r="D3095">
        <f>IF(INDEX(L_Type,ROW()-4)="","",TRIM(UPPER(INDEX(L_Type,ROW()-4))))</f>
        <v/>
      </c>
      <c r="E3095">
        <f>IF(INDEX(P_Status,ROW()-4)="","",TRIM(UPPER(INDEX(P_Status,ROW()-4))))</f>
        <v/>
      </c>
      <c r="G3095">
        <f>IF(INDEX(L_Status,ROW()-4)="","",TRIM(UPPER(INDEX(L_Status,ROW()-4))))</f>
        <v/>
      </c>
      <c r="J3095">
        <f>IF(INDEX(L_ID,ROW()-4)="","",IF(SUMPRODUCT((P_ID=INDEX(L_ID,ROW()-4))*(P_StatusN="INACTIVE"))&gt;0,1,0))</f>
        <v/>
      </c>
    </row>
    <row r="3096">
      <c r="A3096">
        <f>IF(INDEX(L_ID,ROW()-4)="","",IF(COUNTIF(P_ID,INDEX(L_ID,ROW()-4))&gt;0,1,0))</f>
        <v/>
      </c>
      <c r="B3096">
        <f>IF(INDEX(P_Type,ROW()-4)="","",TRIM(UPPER(INDEX(P_Type,ROW()-4))))</f>
        <v/>
      </c>
      <c r="D3096">
        <f>IF(INDEX(L_Type,ROW()-4)="","",TRIM(UPPER(INDEX(L_Type,ROW()-4))))</f>
        <v/>
      </c>
      <c r="E3096">
        <f>IF(INDEX(P_Status,ROW()-4)="","",TRIM(UPPER(INDEX(P_Status,ROW()-4))))</f>
        <v/>
      </c>
      <c r="G3096">
        <f>IF(INDEX(L_Status,ROW()-4)="","",TRIM(UPPER(INDEX(L_Status,ROW()-4))))</f>
        <v/>
      </c>
      <c r="J3096">
        <f>IF(INDEX(L_ID,ROW()-4)="","",IF(SUMPRODUCT((P_ID=INDEX(L_ID,ROW()-4))*(P_StatusN="INACTIVE"))&gt;0,1,0))</f>
        <v/>
      </c>
    </row>
    <row r="3097">
      <c r="A3097">
        <f>IF(INDEX(L_ID,ROW()-4)="","",IF(COUNTIF(P_ID,INDEX(L_ID,ROW()-4))&gt;0,1,0))</f>
        <v/>
      </c>
      <c r="B3097">
        <f>IF(INDEX(P_Type,ROW()-4)="","",TRIM(UPPER(INDEX(P_Type,ROW()-4))))</f>
        <v/>
      </c>
      <c r="D3097">
        <f>IF(INDEX(L_Type,ROW()-4)="","",TRIM(UPPER(INDEX(L_Type,ROW()-4))))</f>
        <v/>
      </c>
      <c r="E3097">
        <f>IF(INDEX(P_Status,ROW()-4)="","",TRIM(UPPER(INDEX(P_Status,ROW()-4))))</f>
        <v/>
      </c>
      <c r="G3097">
        <f>IF(INDEX(L_Status,ROW()-4)="","",TRIM(UPPER(INDEX(L_Status,ROW()-4))))</f>
        <v/>
      </c>
      <c r="J3097">
        <f>IF(INDEX(L_ID,ROW()-4)="","",IF(SUMPRODUCT((P_ID=INDEX(L_ID,ROW()-4))*(P_StatusN="INACTIVE"))&gt;0,1,0))</f>
        <v/>
      </c>
    </row>
    <row r="3098">
      <c r="A3098">
        <f>IF(INDEX(L_ID,ROW()-4)="","",IF(COUNTIF(P_ID,INDEX(L_ID,ROW()-4))&gt;0,1,0))</f>
        <v/>
      </c>
      <c r="B3098">
        <f>IF(INDEX(P_Type,ROW()-4)="","",TRIM(UPPER(INDEX(P_Type,ROW()-4))))</f>
        <v/>
      </c>
      <c r="D3098">
        <f>IF(INDEX(L_Type,ROW()-4)="","",TRIM(UPPER(INDEX(L_Type,ROW()-4))))</f>
        <v/>
      </c>
      <c r="E3098">
        <f>IF(INDEX(P_Status,ROW()-4)="","",TRIM(UPPER(INDEX(P_Status,ROW()-4))))</f>
        <v/>
      </c>
      <c r="G3098">
        <f>IF(INDEX(L_Status,ROW()-4)="","",TRIM(UPPER(INDEX(L_Status,ROW()-4))))</f>
        <v/>
      </c>
      <c r="J3098">
        <f>IF(INDEX(L_ID,ROW()-4)="","",IF(SUMPRODUCT((P_ID=INDEX(L_ID,ROW()-4))*(P_StatusN="INACTIVE"))&gt;0,1,0))</f>
        <v/>
      </c>
    </row>
    <row r="3099">
      <c r="A3099">
        <f>IF(INDEX(L_ID,ROW()-4)="","",IF(COUNTIF(P_ID,INDEX(L_ID,ROW()-4))&gt;0,1,0))</f>
        <v/>
      </c>
      <c r="B3099">
        <f>IF(INDEX(P_Type,ROW()-4)="","",TRIM(UPPER(INDEX(P_Type,ROW()-4))))</f>
        <v/>
      </c>
      <c r="D3099">
        <f>IF(INDEX(L_Type,ROW()-4)="","",TRIM(UPPER(INDEX(L_Type,ROW()-4))))</f>
        <v/>
      </c>
      <c r="E3099">
        <f>IF(INDEX(P_Status,ROW()-4)="","",TRIM(UPPER(INDEX(P_Status,ROW()-4))))</f>
        <v/>
      </c>
      <c r="G3099">
        <f>IF(INDEX(L_Status,ROW()-4)="","",TRIM(UPPER(INDEX(L_Status,ROW()-4))))</f>
        <v/>
      </c>
      <c r="J3099">
        <f>IF(INDEX(L_ID,ROW()-4)="","",IF(SUMPRODUCT((P_ID=INDEX(L_ID,ROW()-4))*(P_StatusN="INACTIVE"))&gt;0,1,0))</f>
        <v/>
      </c>
    </row>
    <row r="3100">
      <c r="A3100">
        <f>IF(INDEX(L_ID,ROW()-4)="","",IF(COUNTIF(P_ID,INDEX(L_ID,ROW()-4))&gt;0,1,0))</f>
        <v/>
      </c>
      <c r="B3100">
        <f>IF(INDEX(P_Type,ROW()-4)="","",TRIM(UPPER(INDEX(P_Type,ROW()-4))))</f>
        <v/>
      </c>
      <c r="D3100">
        <f>IF(INDEX(L_Type,ROW()-4)="","",TRIM(UPPER(INDEX(L_Type,ROW()-4))))</f>
        <v/>
      </c>
      <c r="E3100">
        <f>IF(INDEX(P_Status,ROW()-4)="","",TRIM(UPPER(INDEX(P_Status,ROW()-4))))</f>
        <v/>
      </c>
      <c r="G3100">
        <f>IF(INDEX(L_Status,ROW()-4)="","",TRIM(UPPER(INDEX(L_Status,ROW()-4))))</f>
        <v/>
      </c>
      <c r="J3100">
        <f>IF(INDEX(L_ID,ROW()-4)="","",IF(SUMPRODUCT((P_ID=INDEX(L_ID,ROW()-4))*(P_StatusN="INACTIVE"))&gt;0,1,0))</f>
        <v/>
      </c>
    </row>
    <row r="3101">
      <c r="A3101">
        <f>IF(INDEX(L_ID,ROW()-4)="","",IF(COUNTIF(P_ID,INDEX(L_ID,ROW()-4))&gt;0,1,0))</f>
        <v/>
      </c>
      <c r="B3101">
        <f>IF(INDEX(P_Type,ROW()-4)="","",TRIM(UPPER(INDEX(P_Type,ROW()-4))))</f>
        <v/>
      </c>
      <c r="D3101">
        <f>IF(INDEX(L_Type,ROW()-4)="","",TRIM(UPPER(INDEX(L_Type,ROW()-4))))</f>
        <v/>
      </c>
      <c r="E3101">
        <f>IF(INDEX(P_Status,ROW()-4)="","",TRIM(UPPER(INDEX(P_Status,ROW()-4))))</f>
        <v/>
      </c>
      <c r="G3101">
        <f>IF(INDEX(L_Status,ROW()-4)="","",TRIM(UPPER(INDEX(L_Status,ROW()-4))))</f>
        <v/>
      </c>
      <c r="J3101">
        <f>IF(INDEX(L_ID,ROW()-4)="","",IF(SUMPRODUCT((P_ID=INDEX(L_ID,ROW()-4))*(P_StatusN="INACTIVE"))&gt;0,1,0))</f>
        <v/>
      </c>
    </row>
    <row r="3102">
      <c r="A3102">
        <f>IF(INDEX(L_ID,ROW()-4)="","",IF(COUNTIF(P_ID,INDEX(L_ID,ROW()-4))&gt;0,1,0))</f>
        <v/>
      </c>
      <c r="B3102">
        <f>IF(INDEX(P_Type,ROW()-4)="","",TRIM(UPPER(INDEX(P_Type,ROW()-4))))</f>
        <v/>
      </c>
      <c r="D3102">
        <f>IF(INDEX(L_Type,ROW()-4)="","",TRIM(UPPER(INDEX(L_Type,ROW()-4))))</f>
        <v/>
      </c>
      <c r="E3102">
        <f>IF(INDEX(P_Status,ROW()-4)="","",TRIM(UPPER(INDEX(P_Status,ROW()-4))))</f>
        <v/>
      </c>
      <c r="G3102">
        <f>IF(INDEX(L_Status,ROW()-4)="","",TRIM(UPPER(INDEX(L_Status,ROW()-4))))</f>
        <v/>
      </c>
      <c r="J3102">
        <f>IF(INDEX(L_ID,ROW()-4)="","",IF(SUMPRODUCT((P_ID=INDEX(L_ID,ROW()-4))*(P_StatusN="INACTIVE"))&gt;0,1,0))</f>
        <v/>
      </c>
    </row>
    <row r="3103">
      <c r="A3103">
        <f>IF(INDEX(L_ID,ROW()-4)="","",IF(COUNTIF(P_ID,INDEX(L_ID,ROW()-4))&gt;0,1,0))</f>
        <v/>
      </c>
      <c r="B3103">
        <f>IF(INDEX(P_Type,ROW()-4)="","",TRIM(UPPER(INDEX(P_Type,ROW()-4))))</f>
        <v/>
      </c>
      <c r="D3103">
        <f>IF(INDEX(L_Type,ROW()-4)="","",TRIM(UPPER(INDEX(L_Type,ROW()-4))))</f>
        <v/>
      </c>
      <c r="E3103">
        <f>IF(INDEX(P_Status,ROW()-4)="","",TRIM(UPPER(INDEX(P_Status,ROW()-4))))</f>
        <v/>
      </c>
      <c r="G3103">
        <f>IF(INDEX(L_Status,ROW()-4)="","",TRIM(UPPER(INDEX(L_Status,ROW()-4))))</f>
        <v/>
      </c>
      <c r="J3103">
        <f>IF(INDEX(L_ID,ROW()-4)="","",IF(SUMPRODUCT((P_ID=INDEX(L_ID,ROW()-4))*(P_StatusN="INACTIVE"))&gt;0,1,0))</f>
        <v/>
      </c>
    </row>
    <row r="3104">
      <c r="A3104">
        <f>IF(INDEX(L_ID,ROW()-4)="","",IF(COUNTIF(P_ID,INDEX(L_ID,ROW()-4))&gt;0,1,0))</f>
        <v/>
      </c>
      <c r="B3104">
        <f>IF(INDEX(P_Type,ROW()-4)="","",TRIM(UPPER(INDEX(P_Type,ROW()-4))))</f>
        <v/>
      </c>
      <c r="D3104">
        <f>IF(INDEX(L_Type,ROW()-4)="","",TRIM(UPPER(INDEX(L_Type,ROW()-4))))</f>
        <v/>
      </c>
      <c r="E3104">
        <f>IF(INDEX(P_Status,ROW()-4)="","",TRIM(UPPER(INDEX(P_Status,ROW()-4))))</f>
        <v/>
      </c>
      <c r="G3104">
        <f>IF(INDEX(L_Status,ROW()-4)="","",TRIM(UPPER(INDEX(L_Status,ROW()-4))))</f>
        <v/>
      </c>
      <c r="J3104">
        <f>IF(INDEX(L_ID,ROW()-4)="","",IF(SUMPRODUCT((P_ID=INDEX(L_ID,ROW()-4))*(P_StatusN="INACTIVE"))&gt;0,1,0))</f>
        <v/>
      </c>
    </row>
    <row r="3105">
      <c r="A3105">
        <f>IF(INDEX(L_ID,ROW()-4)="","",IF(COUNTIF(P_ID,INDEX(L_ID,ROW()-4))&gt;0,1,0))</f>
        <v/>
      </c>
      <c r="B3105">
        <f>IF(INDEX(P_Type,ROW()-4)="","",TRIM(UPPER(INDEX(P_Type,ROW()-4))))</f>
        <v/>
      </c>
      <c r="D3105">
        <f>IF(INDEX(L_Type,ROW()-4)="","",TRIM(UPPER(INDEX(L_Type,ROW()-4))))</f>
        <v/>
      </c>
      <c r="E3105">
        <f>IF(INDEX(P_Status,ROW()-4)="","",TRIM(UPPER(INDEX(P_Status,ROW()-4))))</f>
        <v/>
      </c>
      <c r="G3105">
        <f>IF(INDEX(L_Status,ROW()-4)="","",TRIM(UPPER(INDEX(L_Status,ROW()-4))))</f>
        <v/>
      </c>
      <c r="J3105">
        <f>IF(INDEX(L_ID,ROW()-4)="","",IF(SUMPRODUCT((P_ID=INDEX(L_ID,ROW()-4))*(P_StatusN="INACTIVE"))&gt;0,1,0))</f>
        <v/>
      </c>
    </row>
    <row r="3106">
      <c r="A3106">
        <f>IF(INDEX(L_ID,ROW()-4)="","",IF(COUNTIF(P_ID,INDEX(L_ID,ROW()-4))&gt;0,1,0))</f>
        <v/>
      </c>
      <c r="B3106">
        <f>IF(INDEX(P_Type,ROW()-4)="","",TRIM(UPPER(INDEX(P_Type,ROW()-4))))</f>
        <v/>
      </c>
      <c r="D3106">
        <f>IF(INDEX(L_Type,ROW()-4)="","",TRIM(UPPER(INDEX(L_Type,ROW()-4))))</f>
        <v/>
      </c>
      <c r="E3106">
        <f>IF(INDEX(P_Status,ROW()-4)="","",TRIM(UPPER(INDEX(P_Status,ROW()-4))))</f>
        <v/>
      </c>
      <c r="G3106">
        <f>IF(INDEX(L_Status,ROW()-4)="","",TRIM(UPPER(INDEX(L_Status,ROW()-4))))</f>
        <v/>
      </c>
      <c r="J3106">
        <f>IF(INDEX(L_ID,ROW()-4)="","",IF(SUMPRODUCT((P_ID=INDEX(L_ID,ROW()-4))*(P_StatusN="INACTIVE"))&gt;0,1,0))</f>
        <v/>
      </c>
    </row>
    <row r="3107">
      <c r="A3107">
        <f>IF(INDEX(L_ID,ROW()-4)="","",IF(COUNTIF(P_ID,INDEX(L_ID,ROW()-4))&gt;0,1,0))</f>
        <v/>
      </c>
      <c r="B3107">
        <f>IF(INDEX(P_Type,ROW()-4)="","",TRIM(UPPER(INDEX(P_Type,ROW()-4))))</f>
        <v/>
      </c>
      <c r="D3107">
        <f>IF(INDEX(L_Type,ROW()-4)="","",TRIM(UPPER(INDEX(L_Type,ROW()-4))))</f>
        <v/>
      </c>
      <c r="E3107">
        <f>IF(INDEX(P_Status,ROW()-4)="","",TRIM(UPPER(INDEX(P_Status,ROW()-4))))</f>
        <v/>
      </c>
      <c r="G3107">
        <f>IF(INDEX(L_Status,ROW()-4)="","",TRIM(UPPER(INDEX(L_Status,ROW()-4))))</f>
        <v/>
      </c>
      <c r="J3107">
        <f>IF(INDEX(L_ID,ROW()-4)="","",IF(SUMPRODUCT((P_ID=INDEX(L_ID,ROW()-4))*(P_StatusN="INACTIVE"))&gt;0,1,0))</f>
        <v/>
      </c>
    </row>
    <row r="3108">
      <c r="A3108">
        <f>IF(INDEX(L_ID,ROW()-4)="","",IF(COUNTIF(P_ID,INDEX(L_ID,ROW()-4))&gt;0,1,0))</f>
        <v/>
      </c>
      <c r="B3108">
        <f>IF(INDEX(P_Type,ROW()-4)="","",TRIM(UPPER(INDEX(P_Type,ROW()-4))))</f>
        <v/>
      </c>
      <c r="D3108">
        <f>IF(INDEX(L_Type,ROW()-4)="","",TRIM(UPPER(INDEX(L_Type,ROW()-4))))</f>
        <v/>
      </c>
      <c r="E3108">
        <f>IF(INDEX(P_Status,ROW()-4)="","",TRIM(UPPER(INDEX(P_Status,ROW()-4))))</f>
        <v/>
      </c>
      <c r="G3108">
        <f>IF(INDEX(L_Status,ROW()-4)="","",TRIM(UPPER(INDEX(L_Status,ROW()-4))))</f>
        <v/>
      </c>
      <c r="J3108">
        <f>IF(INDEX(L_ID,ROW()-4)="","",IF(SUMPRODUCT((P_ID=INDEX(L_ID,ROW()-4))*(P_StatusN="INACTIVE"))&gt;0,1,0))</f>
        <v/>
      </c>
    </row>
    <row r="3109">
      <c r="A3109">
        <f>IF(INDEX(L_ID,ROW()-4)="","",IF(COUNTIF(P_ID,INDEX(L_ID,ROW()-4))&gt;0,1,0))</f>
        <v/>
      </c>
      <c r="B3109">
        <f>IF(INDEX(P_Type,ROW()-4)="","",TRIM(UPPER(INDEX(P_Type,ROW()-4))))</f>
        <v/>
      </c>
      <c r="D3109">
        <f>IF(INDEX(L_Type,ROW()-4)="","",TRIM(UPPER(INDEX(L_Type,ROW()-4))))</f>
        <v/>
      </c>
      <c r="E3109">
        <f>IF(INDEX(P_Status,ROW()-4)="","",TRIM(UPPER(INDEX(P_Status,ROW()-4))))</f>
        <v/>
      </c>
      <c r="G3109">
        <f>IF(INDEX(L_Status,ROW()-4)="","",TRIM(UPPER(INDEX(L_Status,ROW()-4))))</f>
        <v/>
      </c>
      <c r="J3109">
        <f>IF(INDEX(L_ID,ROW()-4)="","",IF(SUMPRODUCT((P_ID=INDEX(L_ID,ROW()-4))*(P_StatusN="INACTIVE"))&gt;0,1,0))</f>
        <v/>
      </c>
    </row>
    <row r="3110">
      <c r="A3110">
        <f>IF(INDEX(L_ID,ROW()-4)="","",IF(COUNTIF(P_ID,INDEX(L_ID,ROW()-4))&gt;0,1,0))</f>
        <v/>
      </c>
      <c r="B3110">
        <f>IF(INDEX(P_Type,ROW()-4)="","",TRIM(UPPER(INDEX(P_Type,ROW()-4))))</f>
        <v/>
      </c>
      <c r="D3110">
        <f>IF(INDEX(L_Type,ROW()-4)="","",TRIM(UPPER(INDEX(L_Type,ROW()-4))))</f>
        <v/>
      </c>
      <c r="E3110">
        <f>IF(INDEX(P_Status,ROW()-4)="","",TRIM(UPPER(INDEX(P_Status,ROW()-4))))</f>
        <v/>
      </c>
      <c r="G3110">
        <f>IF(INDEX(L_Status,ROW()-4)="","",TRIM(UPPER(INDEX(L_Status,ROW()-4))))</f>
        <v/>
      </c>
      <c r="J3110">
        <f>IF(INDEX(L_ID,ROW()-4)="","",IF(SUMPRODUCT((P_ID=INDEX(L_ID,ROW()-4))*(P_StatusN="INACTIVE"))&gt;0,1,0))</f>
        <v/>
      </c>
    </row>
    <row r="3111">
      <c r="A3111">
        <f>IF(INDEX(L_ID,ROW()-4)="","",IF(COUNTIF(P_ID,INDEX(L_ID,ROW()-4))&gt;0,1,0))</f>
        <v/>
      </c>
      <c r="B3111">
        <f>IF(INDEX(P_Type,ROW()-4)="","",TRIM(UPPER(INDEX(P_Type,ROW()-4))))</f>
        <v/>
      </c>
      <c r="D3111">
        <f>IF(INDEX(L_Type,ROW()-4)="","",TRIM(UPPER(INDEX(L_Type,ROW()-4))))</f>
        <v/>
      </c>
      <c r="E3111">
        <f>IF(INDEX(P_Status,ROW()-4)="","",TRIM(UPPER(INDEX(P_Status,ROW()-4))))</f>
        <v/>
      </c>
      <c r="G3111">
        <f>IF(INDEX(L_Status,ROW()-4)="","",TRIM(UPPER(INDEX(L_Status,ROW()-4))))</f>
        <v/>
      </c>
      <c r="J3111">
        <f>IF(INDEX(L_ID,ROW()-4)="","",IF(SUMPRODUCT((P_ID=INDEX(L_ID,ROW()-4))*(P_StatusN="INACTIVE"))&gt;0,1,0))</f>
        <v/>
      </c>
    </row>
    <row r="3112">
      <c r="A3112">
        <f>IF(INDEX(L_ID,ROW()-4)="","",IF(COUNTIF(P_ID,INDEX(L_ID,ROW()-4))&gt;0,1,0))</f>
        <v/>
      </c>
      <c r="B3112">
        <f>IF(INDEX(P_Type,ROW()-4)="","",TRIM(UPPER(INDEX(P_Type,ROW()-4))))</f>
        <v/>
      </c>
      <c r="D3112">
        <f>IF(INDEX(L_Type,ROW()-4)="","",TRIM(UPPER(INDEX(L_Type,ROW()-4))))</f>
        <v/>
      </c>
      <c r="E3112">
        <f>IF(INDEX(P_Status,ROW()-4)="","",TRIM(UPPER(INDEX(P_Status,ROW()-4))))</f>
        <v/>
      </c>
      <c r="G3112">
        <f>IF(INDEX(L_Status,ROW()-4)="","",TRIM(UPPER(INDEX(L_Status,ROW()-4))))</f>
        <v/>
      </c>
      <c r="J3112">
        <f>IF(INDEX(L_ID,ROW()-4)="","",IF(SUMPRODUCT((P_ID=INDEX(L_ID,ROW()-4))*(P_StatusN="INACTIVE"))&gt;0,1,0))</f>
        <v/>
      </c>
    </row>
    <row r="3113">
      <c r="A3113">
        <f>IF(INDEX(L_ID,ROW()-4)="","",IF(COUNTIF(P_ID,INDEX(L_ID,ROW()-4))&gt;0,1,0))</f>
        <v/>
      </c>
      <c r="B3113">
        <f>IF(INDEX(P_Type,ROW()-4)="","",TRIM(UPPER(INDEX(P_Type,ROW()-4))))</f>
        <v/>
      </c>
      <c r="D3113">
        <f>IF(INDEX(L_Type,ROW()-4)="","",TRIM(UPPER(INDEX(L_Type,ROW()-4))))</f>
        <v/>
      </c>
      <c r="E3113">
        <f>IF(INDEX(P_Status,ROW()-4)="","",TRIM(UPPER(INDEX(P_Status,ROW()-4))))</f>
        <v/>
      </c>
      <c r="G3113">
        <f>IF(INDEX(L_Status,ROW()-4)="","",TRIM(UPPER(INDEX(L_Status,ROW()-4))))</f>
        <v/>
      </c>
      <c r="J3113">
        <f>IF(INDEX(L_ID,ROW()-4)="","",IF(SUMPRODUCT((P_ID=INDEX(L_ID,ROW()-4))*(P_StatusN="INACTIVE"))&gt;0,1,0))</f>
        <v/>
      </c>
    </row>
    <row r="3114">
      <c r="A3114">
        <f>IF(INDEX(L_ID,ROW()-4)="","",IF(COUNTIF(P_ID,INDEX(L_ID,ROW()-4))&gt;0,1,0))</f>
        <v/>
      </c>
      <c r="B3114">
        <f>IF(INDEX(P_Type,ROW()-4)="","",TRIM(UPPER(INDEX(P_Type,ROW()-4))))</f>
        <v/>
      </c>
      <c r="D3114">
        <f>IF(INDEX(L_Type,ROW()-4)="","",TRIM(UPPER(INDEX(L_Type,ROW()-4))))</f>
        <v/>
      </c>
      <c r="E3114">
        <f>IF(INDEX(P_Status,ROW()-4)="","",TRIM(UPPER(INDEX(P_Status,ROW()-4))))</f>
        <v/>
      </c>
      <c r="G3114">
        <f>IF(INDEX(L_Status,ROW()-4)="","",TRIM(UPPER(INDEX(L_Status,ROW()-4))))</f>
        <v/>
      </c>
      <c r="J3114">
        <f>IF(INDEX(L_ID,ROW()-4)="","",IF(SUMPRODUCT((P_ID=INDEX(L_ID,ROW()-4))*(P_StatusN="INACTIVE"))&gt;0,1,0))</f>
        <v/>
      </c>
    </row>
    <row r="3115">
      <c r="A3115">
        <f>IF(INDEX(L_ID,ROW()-4)="","",IF(COUNTIF(P_ID,INDEX(L_ID,ROW()-4))&gt;0,1,0))</f>
        <v/>
      </c>
      <c r="B3115">
        <f>IF(INDEX(P_Type,ROW()-4)="","",TRIM(UPPER(INDEX(P_Type,ROW()-4))))</f>
        <v/>
      </c>
      <c r="D3115">
        <f>IF(INDEX(L_Type,ROW()-4)="","",TRIM(UPPER(INDEX(L_Type,ROW()-4))))</f>
        <v/>
      </c>
      <c r="E3115">
        <f>IF(INDEX(P_Status,ROW()-4)="","",TRIM(UPPER(INDEX(P_Status,ROW()-4))))</f>
        <v/>
      </c>
      <c r="G3115">
        <f>IF(INDEX(L_Status,ROW()-4)="","",TRIM(UPPER(INDEX(L_Status,ROW()-4))))</f>
        <v/>
      </c>
      <c r="J3115">
        <f>IF(INDEX(L_ID,ROW()-4)="","",IF(SUMPRODUCT((P_ID=INDEX(L_ID,ROW()-4))*(P_StatusN="INACTIVE"))&gt;0,1,0))</f>
        <v/>
      </c>
    </row>
    <row r="3116">
      <c r="A3116">
        <f>IF(INDEX(L_ID,ROW()-4)="","",IF(COUNTIF(P_ID,INDEX(L_ID,ROW()-4))&gt;0,1,0))</f>
        <v/>
      </c>
      <c r="B3116">
        <f>IF(INDEX(P_Type,ROW()-4)="","",TRIM(UPPER(INDEX(P_Type,ROW()-4))))</f>
        <v/>
      </c>
      <c r="D3116">
        <f>IF(INDEX(L_Type,ROW()-4)="","",TRIM(UPPER(INDEX(L_Type,ROW()-4))))</f>
        <v/>
      </c>
      <c r="E3116">
        <f>IF(INDEX(P_Status,ROW()-4)="","",TRIM(UPPER(INDEX(P_Status,ROW()-4))))</f>
        <v/>
      </c>
      <c r="G3116">
        <f>IF(INDEX(L_Status,ROW()-4)="","",TRIM(UPPER(INDEX(L_Status,ROW()-4))))</f>
        <v/>
      </c>
      <c r="J3116">
        <f>IF(INDEX(L_ID,ROW()-4)="","",IF(SUMPRODUCT((P_ID=INDEX(L_ID,ROW()-4))*(P_StatusN="INACTIVE"))&gt;0,1,0))</f>
        <v/>
      </c>
    </row>
    <row r="3117">
      <c r="A3117">
        <f>IF(INDEX(L_ID,ROW()-4)="","",IF(COUNTIF(P_ID,INDEX(L_ID,ROW()-4))&gt;0,1,0))</f>
        <v/>
      </c>
      <c r="B3117">
        <f>IF(INDEX(P_Type,ROW()-4)="","",TRIM(UPPER(INDEX(P_Type,ROW()-4))))</f>
        <v/>
      </c>
      <c r="D3117">
        <f>IF(INDEX(L_Type,ROW()-4)="","",TRIM(UPPER(INDEX(L_Type,ROW()-4))))</f>
        <v/>
      </c>
      <c r="E3117">
        <f>IF(INDEX(P_Status,ROW()-4)="","",TRIM(UPPER(INDEX(P_Status,ROW()-4))))</f>
        <v/>
      </c>
      <c r="G3117">
        <f>IF(INDEX(L_Status,ROW()-4)="","",TRIM(UPPER(INDEX(L_Status,ROW()-4))))</f>
        <v/>
      </c>
      <c r="J3117">
        <f>IF(INDEX(L_ID,ROW()-4)="","",IF(SUMPRODUCT((P_ID=INDEX(L_ID,ROW()-4))*(P_StatusN="INACTIVE"))&gt;0,1,0))</f>
        <v/>
      </c>
    </row>
    <row r="3118">
      <c r="A3118">
        <f>IF(INDEX(L_ID,ROW()-4)="","",IF(COUNTIF(P_ID,INDEX(L_ID,ROW()-4))&gt;0,1,0))</f>
        <v/>
      </c>
      <c r="B3118">
        <f>IF(INDEX(P_Type,ROW()-4)="","",TRIM(UPPER(INDEX(P_Type,ROW()-4))))</f>
        <v/>
      </c>
      <c r="D3118">
        <f>IF(INDEX(L_Type,ROW()-4)="","",TRIM(UPPER(INDEX(L_Type,ROW()-4))))</f>
        <v/>
      </c>
      <c r="E3118">
        <f>IF(INDEX(P_Status,ROW()-4)="","",TRIM(UPPER(INDEX(P_Status,ROW()-4))))</f>
        <v/>
      </c>
      <c r="G3118">
        <f>IF(INDEX(L_Status,ROW()-4)="","",TRIM(UPPER(INDEX(L_Status,ROW()-4))))</f>
        <v/>
      </c>
      <c r="J3118">
        <f>IF(INDEX(L_ID,ROW()-4)="","",IF(SUMPRODUCT((P_ID=INDEX(L_ID,ROW()-4))*(P_StatusN="INACTIVE"))&gt;0,1,0))</f>
        <v/>
      </c>
    </row>
    <row r="3119">
      <c r="A3119">
        <f>IF(INDEX(L_ID,ROW()-4)="","",IF(COUNTIF(P_ID,INDEX(L_ID,ROW()-4))&gt;0,1,0))</f>
        <v/>
      </c>
      <c r="B3119">
        <f>IF(INDEX(P_Type,ROW()-4)="","",TRIM(UPPER(INDEX(P_Type,ROW()-4))))</f>
        <v/>
      </c>
      <c r="D3119">
        <f>IF(INDEX(L_Type,ROW()-4)="","",TRIM(UPPER(INDEX(L_Type,ROW()-4))))</f>
        <v/>
      </c>
      <c r="E3119">
        <f>IF(INDEX(P_Status,ROW()-4)="","",TRIM(UPPER(INDEX(P_Status,ROW()-4))))</f>
        <v/>
      </c>
      <c r="G3119">
        <f>IF(INDEX(L_Status,ROW()-4)="","",TRIM(UPPER(INDEX(L_Status,ROW()-4))))</f>
        <v/>
      </c>
      <c r="J3119">
        <f>IF(INDEX(L_ID,ROW()-4)="","",IF(SUMPRODUCT((P_ID=INDEX(L_ID,ROW()-4))*(P_StatusN="INACTIVE"))&gt;0,1,0))</f>
        <v/>
      </c>
    </row>
    <row r="3120">
      <c r="A3120">
        <f>IF(INDEX(L_ID,ROW()-4)="","",IF(COUNTIF(P_ID,INDEX(L_ID,ROW()-4))&gt;0,1,0))</f>
        <v/>
      </c>
      <c r="B3120">
        <f>IF(INDEX(P_Type,ROW()-4)="","",TRIM(UPPER(INDEX(P_Type,ROW()-4))))</f>
        <v/>
      </c>
      <c r="D3120">
        <f>IF(INDEX(L_Type,ROW()-4)="","",TRIM(UPPER(INDEX(L_Type,ROW()-4))))</f>
        <v/>
      </c>
      <c r="E3120">
        <f>IF(INDEX(P_Status,ROW()-4)="","",TRIM(UPPER(INDEX(P_Status,ROW()-4))))</f>
        <v/>
      </c>
      <c r="G3120">
        <f>IF(INDEX(L_Status,ROW()-4)="","",TRIM(UPPER(INDEX(L_Status,ROW()-4))))</f>
        <v/>
      </c>
      <c r="J3120">
        <f>IF(INDEX(L_ID,ROW()-4)="","",IF(SUMPRODUCT((P_ID=INDEX(L_ID,ROW()-4))*(P_StatusN="INACTIVE"))&gt;0,1,0))</f>
        <v/>
      </c>
    </row>
    <row r="3121">
      <c r="A3121">
        <f>IF(INDEX(L_ID,ROW()-4)="","",IF(COUNTIF(P_ID,INDEX(L_ID,ROW()-4))&gt;0,1,0))</f>
        <v/>
      </c>
      <c r="B3121">
        <f>IF(INDEX(P_Type,ROW()-4)="","",TRIM(UPPER(INDEX(P_Type,ROW()-4))))</f>
        <v/>
      </c>
      <c r="D3121">
        <f>IF(INDEX(L_Type,ROW()-4)="","",TRIM(UPPER(INDEX(L_Type,ROW()-4))))</f>
        <v/>
      </c>
      <c r="E3121">
        <f>IF(INDEX(P_Status,ROW()-4)="","",TRIM(UPPER(INDEX(P_Status,ROW()-4))))</f>
        <v/>
      </c>
      <c r="G3121">
        <f>IF(INDEX(L_Status,ROW()-4)="","",TRIM(UPPER(INDEX(L_Status,ROW()-4))))</f>
        <v/>
      </c>
      <c r="J3121">
        <f>IF(INDEX(L_ID,ROW()-4)="","",IF(SUMPRODUCT((P_ID=INDEX(L_ID,ROW()-4))*(P_StatusN="INACTIVE"))&gt;0,1,0))</f>
        <v/>
      </c>
    </row>
    <row r="3122">
      <c r="A3122">
        <f>IF(INDEX(L_ID,ROW()-4)="","",IF(COUNTIF(P_ID,INDEX(L_ID,ROW()-4))&gt;0,1,0))</f>
        <v/>
      </c>
      <c r="B3122">
        <f>IF(INDEX(P_Type,ROW()-4)="","",TRIM(UPPER(INDEX(P_Type,ROW()-4))))</f>
        <v/>
      </c>
      <c r="D3122">
        <f>IF(INDEX(L_Type,ROW()-4)="","",TRIM(UPPER(INDEX(L_Type,ROW()-4))))</f>
        <v/>
      </c>
      <c r="E3122">
        <f>IF(INDEX(P_Status,ROW()-4)="","",TRIM(UPPER(INDEX(P_Status,ROW()-4))))</f>
        <v/>
      </c>
      <c r="G3122">
        <f>IF(INDEX(L_Status,ROW()-4)="","",TRIM(UPPER(INDEX(L_Status,ROW()-4))))</f>
        <v/>
      </c>
      <c r="J3122">
        <f>IF(INDEX(L_ID,ROW()-4)="","",IF(SUMPRODUCT((P_ID=INDEX(L_ID,ROW()-4))*(P_StatusN="INACTIVE"))&gt;0,1,0))</f>
        <v/>
      </c>
    </row>
    <row r="3123">
      <c r="A3123">
        <f>IF(INDEX(L_ID,ROW()-4)="","",IF(COUNTIF(P_ID,INDEX(L_ID,ROW()-4))&gt;0,1,0))</f>
        <v/>
      </c>
      <c r="B3123">
        <f>IF(INDEX(P_Type,ROW()-4)="","",TRIM(UPPER(INDEX(P_Type,ROW()-4))))</f>
        <v/>
      </c>
      <c r="D3123">
        <f>IF(INDEX(L_Type,ROW()-4)="","",TRIM(UPPER(INDEX(L_Type,ROW()-4))))</f>
        <v/>
      </c>
      <c r="E3123">
        <f>IF(INDEX(P_Status,ROW()-4)="","",TRIM(UPPER(INDEX(P_Status,ROW()-4))))</f>
        <v/>
      </c>
      <c r="G3123">
        <f>IF(INDEX(L_Status,ROW()-4)="","",TRIM(UPPER(INDEX(L_Status,ROW()-4))))</f>
        <v/>
      </c>
      <c r="J3123">
        <f>IF(INDEX(L_ID,ROW()-4)="","",IF(SUMPRODUCT((P_ID=INDEX(L_ID,ROW()-4))*(P_StatusN="INACTIVE"))&gt;0,1,0))</f>
        <v/>
      </c>
    </row>
    <row r="3124">
      <c r="A3124">
        <f>IF(INDEX(L_ID,ROW()-4)="","",IF(COUNTIF(P_ID,INDEX(L_ID,ROW()-4))&gt;0,1,0))</f>
        <v/>
      </c>
      <c r="B3124">
        <f>IF(INDEX(P_Type,ROW()-4)="","",TRIM(UPPER(INDEX(P_Type,ROW()-4))))</f>
        <v/>
      </c>
      <c r="D3124">
        <f>IF(INDEX(L_Type,ROW()-4)="","",TRIM(UPPER(INDEX(L_Type,ROW()-4))))</f>
        <v/>
      </c>
      <c r="E3124">
        <f>IF(INDEX(P_Status,ROW()-4)="","",TRIM(UPPER(INDEX(P_Status,ROW()-4))))</f>
        <v/>
      </c>
      <c r="G3124">
        <f>IF(INDEX(L_Status,ROW()-4)="","",TRIM(UPPER(INDEX(L_Status,ROW()-4))))</f>
        <v/>
      </c>
      <c r="J3124">
        <f>IF(INDEX(L_ID,ROW()-4)="","",IF(SUMPRODUCT((P_ID=INDEX(L_ID,ROW()-4))*(P_StatusN="INACTIVE"))&gt;0,1,0))</f>
        <v/>
      </c>
    </row>
    <row r="3125">
      <c r="A3125">
        <f>IF(INDEX(L_ID,ROW()-4)="","",IF(COUNTIF(P_ID,INDEX(L_ID,ROW()-4))&gt;0,1,0))</f>
        <v/>
      </c>
      <c r="B3125">
        <f>IF(INDEX(P_Type,ROW()-4)="","",TRIM(UPPER(INDEX(P_Type,ROW()-4))))</f>
        <v/>
      </c>
      <c r="D3125">
        <f>IF(INDEX(L_Type,ROW()-4)="","",TRIM(UPPER(INDEX(L_Type,ROW()-4))))</f>
        <v/>
      </c>
      <c r="E3125">
        <f>IF(INDEX(P_Status,ROW()-4)="","",TRIM(UPPER(INDEX(P_Status,ROW()-4))))</f>
        <v/>
      </c>
      <c r="G3125">
        <f>IF(INDEX(L_Status,ROW()-4)="","",TRIM(UPPER(INDEX(L_Status,ROW()-4))))</f>
        <v/>
      </c>
      <c r="J3125">
        <f>IF(INDEX(L_ID,ROW()-4)="","",IF(SUMPRODUCT((P_ID=INDEX(L_ID,ROW()-4))*(P_StatusN="INACTIVE"))&gt;0,1,0))</f>
        <v/>
      </c>
    </row>
    <row r="3126">
      <c r="A3126">
        <f>IF(INDEX(L_ID,ROW()-4)="","",IF(COUNTIF(P_ID,INDEX(L_ID,ROW()-4))&gt;0,1,0))</f>
        <v/>
      </c>
      <c r="B3126">
        <f>IF(INDEX(P_Type,ROW()-4)="","",TRIM(UPPER(INDEX(P_Type,ROW()-4))))</f>
        <v/>
      </c>
      <c r="D3126">
        <f>IF(INDEX(L_Type,ROW()-4)="","",TRIM(UPPER(INDEX(L_Type,ROW()-4))))</f>
        <v/>
      </c>
      <c r="E3126">
        <f>IF(INDEX(P_Status,ROW()-4)="","",TRIM(UPPER(INDEX(P_Status,ROW()-4))))</f>
        <v/>
      </c>
      <c r="G3126">
        <f>IF(INDEX(L_Status,ROW()-4)="","",TRIM(UPPER(INDEX(L_Status,ROW()-4))))</f>
        <v/>
      </c>
      <c r="J3126">
        <f>IF(INDEX(L_ID,ROW()-4)="","",IF(SUMPRODUCT((P_ID=INDEX(L_ID,ROW()-4))*(P_StatusN="INACTIVE"))&gt;0,1,0))</f>
        <v/>
      </c>
    </row>
    <row r="3127">
      <c r="A3127">
        <f>IF(INDEX(L_ID,ROW()-4)="","",IF(COUNTIF(P_ID,INDEX(L_ID,ROW()-4))&gt;0,1,0))</f>
        <v/>
      </c>
      <c r="B3127">
        <f>IF(INDEX(P_Type,ROW()-4)="","",TRIM(UPPER(INDEX(P_Type,ROW()-4))))</f>
        <v/>
      </c>
      <c r="D3127">
        <f>IF(INDEX(L_Type,ROW()-4)="","",TRIM(UPPER(INDEX(L_Type,ROW()-4))))</f>
        <v/>
      </c>
      <c r="E3127">
        <f>IF(INDEX(P_Status,ROW()-4)="","",TRIM(UPPER(INDEX(P_Status,ROW()-4))))</f>
        <v/>
      </c>
      <c r="G3127">
        <f>IF(INDEX(L_Status,ROW()-4)="","",TRIM(UPPER(INDEX(L_Status,ROW()-4))))</f>
        <v/>
      </c>
      <c r="J3127">
        <f>IF(INDEX(L_ID,ROW()-4)="","",IF(SUMPRODUCT((P_ID=INDEX(L_ID,ROW()-4))*(P_StatusN="INACTIVE"))&gt;0,1,0))</f>
        <v/>
      </c>
    </row>
    <row r="3128">
      <c r="A3128">
        <f>IF(INDEX(L_ID,ROW()-4)="","",IF(COUNTIF(P_ID,INDEX(L_ID,ROW()-4))&gt;0,1,0))</f>
        <v/>
      </c>
      <c r="B3128">
        <f>IF(INDEX(P_Type,ROW()-4)="","",TRIM(UPPER(INDEX(P_Type,ROW()-4))))</f>
        <v/>
      </c>
      <c r="D3128">
        <f>IF(INDEX(L_Type,ROW()-4)="","",TRIM(UPPER(INDEX(L_Type,ROW()-4))))</f>
        <v/>
      </c>
      <c r="E3128">
        <f>IF(INDEX(P_Status,ROW()-4)="","",TRIM(UPPER(INDEX(P_Status,ROW()-4))))</f>
        <v/>
      </c>
      <c r="G3128">
        <f>IF(INDEX(L_Status,ROW()-4)="","",TRIM(UPPER(INDEX(L_Status,ROW()-4))))</f>
        <v/>
      </c>
      <c r="J3128">
        <f>IF(INDEX(L_ID,ROW()-4)="","",IF(SUMPRODUCT((P_ID=INDEX(L_ID,ROW()-4))*(P_StatusN="INACTIVE"))&gt;0,1,0))</f>
        <v/>
      </c>
    </row>
    <row r="3129">
      <c r="A3129">
        <f>IF(INDEX(L_ID,ROW()-4)="","",IF(COUNTIF(P_ID,INDEX(L_ID,ROW()-4))&gt;0,1,0))</f>
        <v/>
      </c>
      <c r="B3129">
        <f>IF(INDEX(P_Type,ROW()-4)="","",TRIM(UPPER(INDEX(P_Type,ROW()-4))))</f>
        <v/>
      </c>
      <c r="D3129">
        <f>IF(INDEX(L_Type,ROW()-4)="","",TRIM(UPPER(INDEX(L_Type,ROW()-4))))</f>
        <v/>
      </c>
      <c r="E3129">
        <f>IF(INDEX(P_Status,ROW()-4)="","",TRIM(UPPER(INDEX(P_Status,ROW()-4))))</f>
        <v/>
      </c>
      <c r="G3129">
        <f>IF(INDEX(L_Status,ROW()-4)="","",TRIM(UPPER(INDEX(L_Status,ROW()-4))))</f>
        <v/>
      </c>
      <c r="J3129">
        <f>IF(INDEX(L_ID,ROW()-4)="","",IF(SUMPRODUCT((P_ID=INDEX(L_ID,ROW()-4))*(P_StatusN="INACTIVE"))&gt;0,1,0))</f>
        <v/>
      </c>
    </row>
    <row r="3130">
      <c r="A3130">
        <f>IF(INDEX(L_ID,ROW()-4)="","",IF(COUNTIF(P_ID,INDEX(L_ID,ROW()-4))&gt;0,1,0))</f>
        <v/>
      </c>
      <c r="B3130">
        <f>IF(INDEX(P_Type,ROW()-4)="","",TRIM(UPPER(INDEX(P_Type,ROW()-4))))</f>
        <v/>
      </c>
      <c r="D3130">
        <f>IF(INDEX(L_Type,ROW()-4)="","",TRIM(UPPER(INDEX(L_Type,ROW()-4))))</f>
        <v/>
      </c>
      <c r="E3130">
        <f>IF(INDEX(P_Status,ROW()-4)="","",TRIM(UPPER(INDEX(P_Status,ROW()-4))))</f>
        <v/>
      </c>
      <c r="G3130">
        <f>IF(INDEX(L_Status,ROW()-4)="","",TRIM(UPPER(INDEX(L_Status,ROW()-4))))</f>
        <v/>
      </c>
      <c r="J3130">
        <f>IF(INDEX(L_ID,ROW()-4)="","",IF(SUMPRODUCT((P_ID=INDEX(L_ID,ROW()-4))*(P_StatusN="INACTIVE"))&gt;0,1,0))</f>
        <v/>
      </c>
    </row>
    <row r="3131">
      <c r="A3131">
        <f>IF(INDEX(L_ID,ROW()-4)="","",IF(COUNTIF(P_ID,INDEX(L_ID,ROW()-4))&gt;0,1,0))</f>
        <v/>
      </c>
      <c r="B3131">
        <f>IF(INDEX(P_Type,ROW()-4)="","",TRIM(UPPER(INDEX(P_Type,ROW()-4))))</f>
        <v/>
      </c>
      <c r="D3131">
        <f>IF(INDEX(L_Type,ROW()-4)="","",TRIM(UPPER(INDEX(L_Type,ROW()-4))))</f>
        <v/>
      </c>
      <c r="E3131">
        <f>IF(INDEX(P_Status,ROW()-4)="","",TRIM(UPPER(INDEX(P_Status,ROW()-4))))</f>
        <v/>
      </c>
      <c r="G3131">
        <f>IF(INDEX(L_Status,ROW()-4)="","",TRIM(UPPER(INDEX(L_Status,ROW()-4))))</f>
        <v/>
      </c>
      <c r="J3131">
        <f>IF(INDEX(L_ID,ROW()-4)="","",IF(SUMPRODUCT((P_ID=INDEX(L_ID,ROW()-4))*(P_StatusN="INACTIVE"))&gt;0,1,0))</f>
        <v/>
      </c>
    </row>
    <row r="3132">
      <c r="A3132">
        <f>IF(INDEX(L_ID,ROW()-4)="","",IF(COUNTIF(P_ID,INDEX(L_ID,ROW()-4))&gt;0,1,0))</f>
        <v/>
      </c>
      <c r="B3132">
        <f>IF(INDEX(P_Type,ROW()-4)="","",TRIM(UPPER(INDEX(P_Type,ROW()-4))))</f>
        <v/>
      </c>
      <c r="D3132">
        <f>IF(INDEX(L_Type,ROW()-4)="","",TRIM(UPPER(INDEX(L_Type,ROW()-4))))</f>
        <v/>
      </c>
      <c r="E3132">
        <f>IF(INDEX(P_Status,ROW()-4)="","",TRIM(UPPER(INDEX(P_Status,ROW()-4))))</f>
        <v/>
      </c>
      <c r="G3132">
        <f>IF(INDEX(L_Status,ROW()-4)="","",TRIM(UPPER(INDEX(L_Status,ROW()-4))))</f>
        <v/>
      </c>
      <c r="J3132">
        <f>IF(INDEX(L_ID,ROW()-4)="","",IF(SUMPRODUCT((P_ID=INDEX(L_ID,ROW()-4))*(P_StatusN="INACTIVE"))&gt;0,1,0))</f>
        <v/>
      </c>
    </row>
    <row r="3133">
      <c r="A3133">
        <f>IF(INDEX(L_ID,ROW()-4)="","",IF(COUNTIF(P_ID,INDEX(L_ID,ROW()-4))&gt;0,1,0))</f>
        <v/>
      </c>
      <c r="B3133">
        <f>IF(INDEX(P_Type,ROW()-4)="","",TRIM(UPPER(INDEX(P_Type,ROW()-4))))</f>
        <v/>
      </c>
      <c r="D3133">
        <f>IF(INDEX(L_Type,ROW()-4)="","",TRIM(UPPER(INDEX(L_Type,ROW()-4))))</f>
        <v/>
      </c>
      <c r="E3133">
        <f>IF(INDEX(P_Status,ROW()-4)="","",TRIM(UPPER(INDEX(P_Status,ROW()-4))))</f>
        <v/>
      </c>
      <c r="G3133">
        <f>IF(INDEX(L_Status,ROW()-4)="","",TRIM(UPPER(INDEX(L_Status,ROW()-4))))</f>
        <v/>
      </c>
      <c r="J3133">
        <f>IF(INDEX(L_ID,ROW()-4)="","",IF(SUMPRODUCT((P_ID=INDEX(L_ID,ROW()-4))*(P_StatusN="INACTIVE"))&gt;0,1,0))</f>
        <v/>
      </c>
    </row>
    <row r="3134">
      <c r="A3134">
        <f>IF(INDEX(L_ID,ROW()-4)="","",IF(COUNTIF(P_ID,INDEX(L_ID,ROW()-4))&gt;0,1,0))</f>
        <v/>
      </c>
      <c r="B3134">
        <f>IF(INDEX(P_Type,ROW()-4)="","",TRIM(UPPER(INDEX(P_Type,ROW()-4))))</f>
        <v/>
      </c>
      <c r="D3134">
        <f>IF(INDEX(L_Type,ROW()-4)="","",TRIM(UPPER(INDEX(L_Type,ROW()-4))))</f>
        <v/>
      </c>
      <c r="E3134">
        <f>IF(INDEX(P_Status,ROW()-4)="","",TRIM(UPPER(INDEX(P_Status,ROW()-4))))</f>
        <v/>
      </c>
      <c r="G3134">
        <f>IF(INDEX(L_Status,ROW()-4)="","",TRIM(UPPER(INDEX(L_Status,ROW()-4))))</f>
        <v/>
      </c>
      <c r="J3134">
        <f>IF(INDEX(L_ID,ROW()-4)="","",IF(SUMPRODUCT((P_ID=INDEX(L_ID,ROW()-4))*(P_StatusN="INACTIVE"))&gt;0,1,0))</f>
        <v/>
      </c>
    </row>
    <row r="3135">
      <c r="A3135">
        <f>IF(INDEX(L_ID,ROW()-4)="","",IF(COUNTIF(P_ID,INDEX(L_ID,ROW()-4))&gt;0,1,0))</f>
        <v/>
      </c>
      <c r="B3135">
        <f>IF(INDEX(P_Type,ROW()-4)="","",TRIM(UPPER(INDEX(P_Type,ROW()-4))))</f>
        <v/>
      </c>
      <c r="D3135">
        <f>IF(INDEX(L_Type,ROW()-4)="","",TRIM(UPPER(INDEX(L_Type,ROW()-4))))</f>
        <v/>
      </c>
      <c r="E3135">
        <f>IF(INDEX(P_Status,ROW()-4)="","",TRIM(UPPER(INDEX(P_Status,ROW()-4))))</f>
        <v/>
      </c>
      <c r="G3135">
        <f>IF(INDEX(L_Status,ROW()-4)="","",TRIM(UPPER(INDEX(L_Status,ROW()-4))))</f>
        <v/>
      </c>
      <c r="J3135">
        <f>IF(INDEX(L_ID,ROW()-4)="","",IF(SUMPRODUCT((P_ID=INDEX(L_ID,ROW()-4))*(P_StatusN="INACTIVE"))&gt;0,1,0))</f>
        <v/>
      </c>
    </row>
    <row r="3136">
      <c r="A3136">
        <f>IF(INDEX(L_ID,ROW()-4)="","",IF(COUNTIF(P_ID,INDEX(L_ID,ROW()-4))&gt;0,1,0))</f>
        <v/>
      </c>
      <c r="B3136">
        <f>IF(INDEX(P_Type,ROW()-4)="","",TRIM(UPPER(INDEX(P_Type,ROW()-4))))</f>
        <v/>
      </c>
      <c r="D3136">
        <f>IF(INDEX(L_Type,ROW()-4)="","",TRIM(UPPER(INDEX(L_Type,ROW()-4))))</f>
        <v/>
      </c>
      <c r="E3136">
        <f>IF(INDEX(P_Status,ROW()-4)="","",TRIM(UPPER(INDEX(P_Status,ROW()-4))))</f>
        <v/>
      </c>
      <c r="G3136">
        <f>IF(INDEX(L_Status,ROW()-4)="","",TRIM(UPPER(INDEX(L_Status,ROW()-4))))</f>
        <v/>
      </c>
      <c r="J3136">
        <f>IF(INDEX(L_ID,ROW()-4)="","",IF(SUMPRODUCT((P_ID=INDEX(L_ID,ROW()-4))*(P_StatusN="INACTIVE"))&gt;0,1,0))</f>
        <v/>
      </c>
    </row>
    <row r="3137">
      <c r="A3137">
        <f>IF(INDEX(L_ID,ROW()-4)="","",IF(COUNTIF(P_ID,INDEX(L_ID,ROW()-4))&gt;0,1,0))</f>
        <v/>
      </c>
      <c r="B3137">
        <f>IF(INDEX(P_Type,ROW()-4)="","",TRIM(UPPER(INDEX(P_Type,ROW()-4))))</f>
        <v/>
      </c>
      <c r="D3137">
        <f>IF(INDEX(L_Type,ROW()-4)="","",TRIM(UPPER(INDEX(L_Type,ROW()-4))))</f>
        <v/>
      </c>
      <c r="E3137">
        <f>IF(INDEX(P_Status,ROW()-4)="","",TRIM(UPPER(INDEX(P_Status,ROW()-4))))</f>
        <v/>
      </c>
      <c r="G3137">
        <f>IF(INDEX(L_Status,ROW()-4)="","",TRIM(UPPER(INDEX(L_Status,ROW()-4))))</f>
        <v/>
      </c>
      <c r="J3137">
        <f>IF(INDEX(L_ID,ROW()-4)="","",IF(SUMPRODUCT((P_ID=INDEX(L_ID,ROW()-4))*(P_StatusN="INACTIVE"))&gt;0,1,0))</f>
        <v/>
      </c>
    </row>
    <row r="3138">
      <c r="A3138">
        <f>IF(INDEX(L_ID,ROW()-4)="","",IF(COUNTIF(P_ID,INDEX(L_ID,ROW()-4))&gt;0,1,0))</f>
        <v/>
      </c>
      <c r="B3138">
        <f>IF(INDEX(P_Type,ROW()-4)="","",TRIM(UPPER(INDEX(P_Type,ROW()-4))))</f>
        <v/>
      </c>
      <c r="D3138">
        <f>IF(INDEX(L_Type,ROW()-4)="","",TRIM(UPPER(INDEX(L_Type,ROW()-4))))</f>
        <v/>
      </c>
      <c r="E3138">
        <f>IF(INDEX(P_Status,ROW()-4)="","",TRIM(UPPER(INDEX(P_Status,ROW()-4))))</f>
        <v/>
      </c>
      <c r="G3138">
        <f>IF(INDEX(L_Status,ROW()-4)="","",TRIM(UPPER(INDEX(L_Status,ROW()-4))))</f>
        <v/>
      </c>
      <c r="J3138">
        <f>IF(INDEX(L_ID,ROW()-4)="","",IF(SUMPRODUCT((P_ID=INDEX(L_ID,ROW()-4))*(P_StatusN="INACTIVE"))&gt;0,1,0))</f>
        <v/>
      </c>
    </row>
    <row r="3139">
      <c r="A3139">
        <f>IF(INDEX(L_ID,ROW()-4)="","",IF(COUNTIF(P_ID,INDEX(L_ID,ROW()-4))&gt;0,1,0))</f>
        <v/>
      </c>
      <c r="B3139">
        <f>IF(INDEX(P_Type,ROW()-4)="","",TRIM(UPPER(INDEX(P_Type,ROW()-4))))</f>
        <v/>
      </c>
      <c r="D3139">
        <f>IF(INDEX(L_Type,ROW()-4)="","",TRIM(UPPER(INDEX(L_Type,ROW()-4))))</f>
        <v/>
      </c>
      <c r="E3139">
        <f>IF(INDEX(P_Status,ROW()-4)="","",TRIM(UPPER(INDEX(P_Status,ROW()-4))))</f>
        <v/>
      </c>
      <c r="G3139">
        <f>IF(INDEX(L_Status,ROW()-4)="","",TRIM(UPPER(INDEX(L_Status,ROW()-4))))</f>
        <v/>
      </c>
      <c r="J3139">
        <f>IF(INDEX(L_ID,ROW()-4)="","",IF(SUMPRODUCT((P_ID=INDEX(L_ID,ROW()-4))*(P_StatusN="INACTIVE"))&gt;0,1,0))</f>
        <v/>
      </c>
    </row>
    <row r="3140">
      <c r="A3140">
        <f>IF(INDEX(L_ID,ROW()-4)="","",IF(COUNTIF(P_ID,INDEX(L_ID,ROW()-4))&gt;0,1,0))</f>
        <v/>
      </c>
      <c r="B3140">
        <f>IF(INDEX(P_Type,ROW()-4)="","",TRIM(UPPER(INDEX(P_Type,ROW()-4))))</f>
        <v/>
      </c>
      <c r="D3140">
        <f>IF(INDEX(L_Type,ROW()-4)="","",TRIM(UPPER(INDEX(L_Type,ROW()-4))))</f>
        <v/>
      </c>
      <c r="E3140">
        <f>IF(INDEX(P_Status,ROW()-4)="","",TRIM(UPPER(INDEX(P_Status,ROW()-4))))</f>
        <v/>
      </c>
      <c r="G3140">
        <f>IF(INDEX(L_Status,ROW()-4)="","",TRIM(UPPER(INDEX(L_Status,ROW()-4))))</f>
        <v/>
      </c>
      <c r="J3140">
        <f>IF(INDEX(L_ID,ROW()-4)="","",IF(SUMPRODUCT((P_ID=INDEX(L_ID,ROW()-4))*(P_StatusN="INACTIVE"))&gt;0,1,0))</f>
        <v/>
      </c>
    </row>
    <row r="3141">
      <c r="A3141">
        <f>IF(INDEX(L_ID,ROW()-4)="","",IF(COUNTIF(P_ID,INDEX(L_ID,ROW()-4))&gt;0,1,0))</f>
        <v/>
      </c>
      <c r="B3141">
        <f>IF(INDEX(P_Type,ROW()-4)="","",TRIM(UPPER(INDEX(P_Type,ROW()-4))))</f>
        <v/>
      </c>
      <c r="D3141">
        <f>IF(INDEX(L_Type,ROW()-4)="","",TRIM(UPPER(INDEX(L_Type,ROW()-4))))</f>
        <v/>
      </c>
      <c r="E3141">
        <f>IF(INDEX(P_Status,ROW()-4)="","",TRIM(UPPER(INDEX(P_Status,ROW()-4))))</f>
        <v/>
      </c>
      <c r="G3141">
        <f>IF(INDEX(L_Status,ROW()-4)="","",TRIM(UPPER(INDEX(L_Status,ROW()-4))))</f>
        <v/>
      </c>
      <c r="J3141">
        <f>IF(INDEX(L_ID,ROW()-4)="","",IF(SUMPRODUCT((P_ID=INDEX(L_ID,ROW()-4))*(P_StatusN="INACTIVE"))&gt;0,1,0))</f>
        <v/>
      </c>
    </row>
    <row r="3142">
      <c r="A3142">
        <f>IF(INDEX(L_ID,ROW()-4)="","",IF(COUNTIF(P_ID,INDEX(L_ID,ROW()-4))&gt;0,1,0))</f>
        <v/>
      </c>
      <c r="B3142">
        <f>IF(INDEX(P_Type,ROW()-4)="","",TRIM(UPPER(INDEX(P_Type,ROW()-4))))</f>
        <v/>
      </c>
      <c r="D3142">
        <f>IF(INDEX(L_Type,ROW()-4)="","",TRIM(UPPER(INDEX(L_Type,ROW()-4))))</f>
        <v/>
      </c>
      <c r="E3142">
        <f>IF(INDEX(P_Status,ROW()-4)="","",TRIM(UPPER(INDEX(P_Status,ROW()-4))))</f>
        <v/>
      </c>
      <c r="G3142">
        <f>IF(INDEX(L_Status,ROW()-4)="","",TRIM(UPPER(INDEX(L_Status,ROW()-4))))</f>
        <v/>
      </c>
      <c r="J3142">
        <f>IF(INDEX(L_ID,ROW()-4)="","",IF(SUMPRODUCT((P_ID=INDEX(L_ID,ROW()-4))*(P_StatusN="INACTIVE"))&gt;0,1,0))</f>
        <v/>
      </c>
    </row>
    <row r="3143">
      <c r="A3143">
        <f>IF(INDEX(L_ID,ROW()-4)="","",IF(COUNTIF(P_ID,INDEX(L_ID,ROW()-4))&gt;0,1,0))</f>
        <v/>
      </c>
      <c r="B3143">
        <f>IF(INDEX(P_Type,ROW()-4)="","",TRIM(UPPER(INDEX(P_Type,ROW()-4))))</f>
        <v/>
      </c>
      <c r="D3143">
        <f>IF(INDEX(L_Type,ROW()-4)="","",TRIM(UPPER(INDEX(L_Type,ROW()-4))))</f>
        <v/>
      </c>
      <c r="E3143">
        <f>IF(INDEX(P_Status,ROW()-4)="","",TRIM(UPPER(INDEX(P_Status,ROW()-4))))</f>
        <v/>
      </c>
      <c r="G3143">
        <f>IF(INDEX(L_Status,ROW()-4)="","",TRIM(UPPER(INDEX(L_Status,ROW()-4))))</f>
        <v/>
      </c>
      <c r="J3143">
        <f>IF(INDEX(L_ID,ROW()-4)="","",IF(SUMPRODUCT((P_ID=INDEX(L_ID,ROW()-4))*(P_StatusN="INACTIVE"))&gt;0,1,0))</f>
        <v/>
      </c>
    </row>
    <row r="3144">
      <c r="A3144">
        <f>IF(INDEX(L_ID,ROW()-4)="","",IF(COUNTIF(P_ID,INDEX(L_ID,ROW()-4))&gt;0,1,0))</f>
        <v/>
      </c>
      <c r="B3144">
        <f>IF(INDEX(P_Type,ROW()-4)="","",TRIM(UPPER(INDEX(P_Type,ROW()-4))))</f>
        <v/>
      </c>
      <c r="D3144">
        <f>IF(INDEX(L_Type,ROW()-4)="","",TRIM(UPPER(INDEX(L_Type,ROW()-4))))</f>
        <v/>
      </c>
      <c r="E3144">
        <f>IF(INDEX(P_Status,ROW()-4)="","",TRIM(UPPER(INDEX(P_Status,ROW()-4))))</f>
        <v/>
      </c>
      <c r="G3144">
        <f>IF(INDEX(L_Status,ROW()-4)="","",TRIM(UPPER(INDEX(L_Status,ROW()-4))))</f>
        <v/>
      </c>
      <c r="J3144">
        <f>IF(INDEX(L_ID,ROW()-4)="","",IF(SUMPRODUCT((P_ID=INDEX(L_ID,ROW()-4))*(P_StatusN="INACTIVE"))&gt;0,1,0))</f>
        <v/>
      </c>
    </row>
    <row r="3145">
      <c r="A3145">
        <f>IF(INDEX(L_ID,ROW()-4)="","",IF(COUNTIF(P_ID,INDEX(L_ID,ROW()-4))&gt;0,1,0))</f>
        <v/>
      </c>
      <c r="B3145">
        <f>IF(INDEX(P_Type,ROW()-4)="","",TRIM(UPPER(INDEX(P_Type,ROW()-4))))</f>
        <v/>
      </c>
      <c r="D3145">
        <f>IF(INDEX(L_Type,ROW()-4)="","",TRIM(UPPER(INDEX(L_Type,ROW()-4))))</f>
        <v/>
      </c>
      <c r="E3145">
        <f>IF(INDEX(P_Status,ROW()-4)="","",TRIM(UPPER(INDEX(P_Status,ROW()-4))))</f>
        <v/>
      </c>
      <c r="G3145">
        <f>IF(INDEX(L_Status,ROW()-4)="","",TRIM(UPPER(INDEX(L_Status,ROW()-4))))</f>
        <v/>
      </c>
      <c r="J3145">
        <f>IF(INDEX(L_ID,ROW()-4)="","",IF(SUMPRODUCT((P_ID=INDEX(L_ID,ROW()-4))*(P_StatusN="INACTIVE"))&gt;0,1,0))</f>
        <v/>
      </c>
    </row>
    <row r="3146">
      <c r="A3146">
        <f>IF(INDEX(L_ID,ROW()-4)="","",IF(COUNTIF(P_ID,INDEX(L_ID,ROW()-4))&gt;0,1,0))</f>
        <v/>
      </c>
      <c r="B3146">
        <f>IF(INDEX(P_Type,ROW()-4)="","",TRIM(UPPER(INDEX(P_Type,ROW()-4))))</f>
        <v/>
      </c>
      <c r="D3146">
        <f>IF(INDEX(L_Type,ROW()-4)="","",TRIM(UPPER(INDEX(L_Type,ROW()-4))))</f>
        <v/>
      </c>
      <c r="E3146">
        <f>IF(INDEX(P_Status,ROW()-4)="","",TRIM(UPPER(INDEX(P_Status,ROW()-4))))</f>
        <v/>
      </c>
      <c r="G3146">
        <f>IF(INDEX(L_Status,ROW()-4)="","",TRIM(UPPER(INDEX(L_Status,ROW()-4))))</f>
        <v/>
      </c>
      <c r="J3146">
        <f>IF(INDEX(L_ID,ROW()-4)="","",IF(SUMPRODUCT((P_ID=INDEX(L_ID,ROW()-4))*(P_StatusN="INACTIVE"))&gt;0,1,0))</f>
        <v/>
      </c>
    </row>
    <row r="3147">
      <c r="A3147">
        <f>IF(INDEX(L_ID,ROW()-4)="","",IF(COUNTIF(P_ID,INDEX(L_ID,ROW()-4))&gt;0,1,0))</f>
        <v/>
      </c>
      <c r="B3147">
        <f>IF(INDEX(P_Type,ROW()-4)="","",TRIM(UPPER(INDEX(P_Type,ROW()-4))))</f>
        <v/>
      </c>
      <c r="D3147">
        <f>IF(INDEX(L_Type,ROW()-4)="","",TRIM(UPPER(INDEX(L_Type,ROW()-4))))</f>
        <v/>
      </c>
      <c r="E3147">
        <f>IF(INDEX(P_Status,ROW()-4)="","",TRIM(UPPER(INDEX(P_Status,ROW()-4))))</f>
        <v/>
      </c>
      <c r="G3147">
        <f>IF(INDEX(L_Status,ROW()-4)="","",TRIM(UPPER(INDEX(L_Status,ROW()-4))))</f>
        <v/>
      </c>
      <c r="J3147">
        <f>IF(INDEX(L_ID,ROW()-4)="","",IF(SUMPRODUCT((P_ID=INDEX(L_ID,ROW()-4))*(P_StatusN="INACTIVE"))&gt;0,1,0))</f>
        <v/>
      </c>
    </row>
    <row r="3148">
      <c r="A3148">
        <f>IF(INDEX(L_ID,ROW()-4)="","",IF(COUNTIF(P_ID,INDEX(L_ID,ROW()-4))&gt;0,1,0))</f>
        <v/>
      </c>
      <c r="B3148">
        <f>IF(INDEX(P_Type,ROW()-4)="","",TRIM(UPPER(INDEX(P_Type,ROW()-4))))</f>
        <v/>
      </c>
      <c r="D3148">
        <f>IF(INDEX(L_Type,ROW()-4)="","",TRIM(UPPER(INDEX(L_Type,ROW()-4))))</f>
        <v/>
      </c>
      <c r="E3148">
        <f>IF(INDEX(P_Status,ROW()-4)="","",TRIM(UPPER(INDEX(P_Status,ROW()-4))))</f>
        <v/>
      </c>
      <c r="G3148">
        <f>IF(INDEX(L_Status,ROW()-4)="","",TRIM(UPPER(INDEX(L_Status,ROW()-4))))</f>
        <v/>
      </c>
      <c r="J3148">
        <f>IF(INDEX(L_ID,ROW()-4)="","",IF(SUMPRODUCT((P_ID=INDEX(L_ID,ROW()-4))*(P_StatusN="INACTIVE"))&gt;0,1,0))</f>
        <v/>
      </c>
    </row>
    <row r="3149">
      <c r="A3149">
        <f>IF(INDEX(L_ID,ROW()-4)="","",IF(COUNTIF(P_ID,INDEX(L_ID,ROW()-4))&gt;0,1,0))</f>
        <v/>
      </c>
      <c r="B3149">
        <f>IF(INDEX(P_Type,ROW()-4)="","",TRIM(UPPER(INDEX(P_Type,ROW()-4))))</f>
        <v/>
      </c>
      <c r="D3149">
        <f>IF(INDEX(L_Type,ROW()-4)="","",TRIM(UPPER(INDEX(L_Type,ROW()-4))))</f>
        <v/>
      </c>
      <c r="E3149">
        <f>IF(INDEX(P_Status,ROW()-4)="","",TRIM(UPPER(INDEX(P_Status,ROW()-4))))</f>
        <v/>
      </c>
      <c r="G3149">
        <f>IF(INDEX(L_Status,ROW()-4)="","",TRIM(UPPER(INDEX(L_Status,ROW()-4))))</f>
        <v/>
      </c>
      <c r="J3149">
        <f>IF(INDEX(L_ID,ROW()-4)="","",IF(SUMPRODUCT((P_ID=INDEX(L_ID,ROW()-4))*(P_StatusN="INACTIVE"))&gt;0,1,0))</f>
        <v/>
      </c>
    </row>
    <row r="3150">
      <c r="A3150">
        <f>IF(INDEX(L_ID,ROW()-4)="","",IF(COUNTIF(P_ID,INDEX(L_ID,ROW()-4))&gt;0,1,0))</f>
        <v/>
      </c>
      <c r="B3150">
        <f>IF(INDEX(P_Type,ROW()-4)="","",TRIM(UPPER(INDEX(P_Type,ROW()-4))))</f>
        <v/>
      </c>
      <c r="D3150">
        <f>IF(INDEX(L_Type,ROW()-4)="","",TRIM(UPPER(INDEX(L_Type,ROW()-4))))</f>
        <v/>
      </c>
      <c r="E3150">
        <f>IF(INDEX(P_Status,ROW()-4)="","",TRIM(UPPER(INDEX(P_Status,ROW()-4))))</f>
        <v/>
      </c>
      <c r="G3150">
        <f>IF(INDEX(L_Status,ROW()-4)="","",TRIM(UPPER(INDEX(L_Status,ROW()-4))))</f>
        <v/>
      </c>
      <c r="J3150">
        <f>IF(INDEX(L_ID,ROW()-4)="","",IF(SUMPRODUCT((P_ID=INDEX(L_ID,ROW()-4))*(P_StatusN="INACTIVE"))&gt;0,1,0))</f>
        <v/>
      </c>
    </row>
    <row r="3151">
      <c r="A3151">
        <f>IF(INDEX(L_ID,ROW()-4)="","",IF(COUNTIF(P_ID,INDEX(L_ID,ROW()-4))&gt;0,1,0))</f>
        <v/>
      </c>
      <c r="B3151">
        <f>IF(INDEX(P_Type,ROW()-4)="","",TRIM(UPPER(INDEX(P_Type,ROW()-4))))</f>
        <v/>
      </c>
      <c r="D3151">
        <f>IF(INDEX(L_Type,ROW()-4)="","",TRIM(UPPER(INDEX(L_Type,ROW()-4))))</f>
        <v/>
      </c>
      <c r="E3151">
        <f>IF(INDEX(P_Status,ROW()-4)="","",TRIM(UPPER(INDEX(P_Status,ROW()-4))))</f>
        <v/>
      </c>
      <c r="G3151">
        <f>IF(INDEX(L_Status,ROW()-4)="","",TRIM(UPPER(INDEX(L_Status,ROW()-4))))</f>
        <v/>
      </c>
      <c r="J3151">
        <f>IF(INDEX(L_ID,ROW()-4)="","",IF(SUMPRODUCT((P_ID=INDEX(L_ID,ROW()-4))*(P_StatusN="INACTIVE"))&gt;0,1,0))</f>
        <v/>
      </c>
    </row>
    <row r="3152">
      <c r="A3152">
        <f>IF(INDEX(L_ID,ROW()-4)="","",IF(COUNTIF(P_ID,INDEX(L_ID,ROW()-4))&gt;0,1,0))</f>
        <v/>
      </c>
      <c r="B3152">
        <f>IF(INDEX(P_Type,ROW()-4)="","",TRIM(UPPER(INDEX(P_Type,ROW()-4))))</f>
        <v/>
      </c>
      <c r="D3152">
        <f>IF(INDEX(L_Type,ROW()-4)="","",TRIM(UPPER(INDEX(L_Type,ROW()-4))))</f>
        <v/>
      </c>
      <c r="E3152">
        <f>IF(INDEX(P_Status,ROW()-4)="","",TRIM(UPPER(INDEX(P_Status,ROW()-4))))</f>
        <v/>
      </c>
      <c r="G3152">
        <f>IF(INDEX(L_Status,ROW()-4)="","",TRIM(UPPER(INDEX(L_Status,ROW()-4))))</f>
        <v/>
      </c>
      <c r="J3152">
        <f>IF(INDEX(L_ID,ROW()-4)="","",IF(SUMPRODUCT((P_ID=INDEX(L_ID,ROW()-4))*(P_StatusN="INACTIVE"))&gt;0,1,0))</f>
        <v/>
      </c>
    </row>
    <row r="3153">
      <c r="A3153">
        <f>IF(INDEX(L_ID,ROW()-4)="","",IF(COUNTIF(P_ID,INDEX(L_ID,ROW()-4))&gt;0,1,0))</f>
        <v/>
      </c>
      <c r="B3153">
        <f>IF(INDEX(P_Type,ROW()-4)="","",TRIM(UPPER(INDEX(P_Type,ROW()-4))))</f>
        <v/>
      </c>
      <c r="D3153">
        <f>IF(INDEX(L_Type,ROW()-4)="","",TRIM(UPPER(INDEX(L_Type,ROW()-4))))</f>
        <v/>
      </c>
      <c r="E3153">
        <f>IF(INDEX(P_Status,ROW()-4)="","",TRIM(UPPER(INDEX(P_Status,ROW()-4))))</f>
        <v/>
      </c>
      <c r="G3153">
        <f>IF(INDEX(L_Status,ROW()-4)="","",TRIM(UPPER(INDEX(L_Status,ROW()-4))))</f>
        <v/>
      </c>
      <c r="J3153">
        <f>IF(INDEX(L_ID,ROW()-4)="","",IF(SUMPRODUCT((P_ID=INDEX(L_ID,ROW()-4))*(P_StatusN="INACTIVE"))&gt;0,1,0))</f>
        <v/>
      </c>
    </row>
    <row r="3154">
      <c r="A3154">
        <f>IF(INDEX(L_ID,ROW()-4)="","",IF(COUNTIF(P_ID,INDEX(L_ID,ROW()-4))&gt;0,1,0))</f>
        <v/>
      </c>
      <c r="B3154">
        <f>IF(INDEX(P_Type,ROW()-4)="","",TRIM(UPPER(INDEX(P_Type,ROW()-4))))</f>
        <v/>
      </c>
      <c r="D3154">
        <f>IF(INDEX(L_Type,ROW()-4)="","",TRIM(UPPER(INDEX(L_Type,ROW()-4))))</f>
        <v/>
      </c>
      <c r="E3154">
        <f>IF(INDEX(P_Status,ROW()-4)="","",TRIM(UPPER(INDEX(P_Status,ROW()-4))))</f>
        <v/>
      </c>
      <c r="G3154">
        <f>IF(INDEX(L_Status,ROW()-4)="","",TRIM(UPPER(INDEX(L_Status,ROW()-4))))</f>
        <v/>
      </c>
      <c r="J3154">
        <f>IF(INDEX(L_ID,ROW()-4)="","",IF(SUMPRODUCT((P_ID=INDEX(L_ID,ROW()-4))*(P_StatusN="INACTIVE"))&gt;0,1,0))</f>
        <v/>
      </c>
    </row>
    <row r="3155">
      <c r="A3155">
        <f>IF(INDEX(L_ID,ROW()-4)="","",IF(COUNTIF(P_ID,INDEX(L_ID,ROW()-4))&gt;0,1,0))</f>
        <v/>
      </c>
      <c r="B3155">
        <f>IF(INDEX(P_Type,ROW()-4)="","",TRIM(UPPER(INDEX(P_Type,ROW()-4))))</f>
        <v/>
      </c>
      <c r="D3155">
        <f>IF(INDEX(L_Type,ROW()-4)="","",TRIM(UPPER(INDEX(L_Type,ROW()-4))))</f>
        <v/>
      </c>
      <c r="E3155">
        <f>IF(INDEX(P_Status,ROW()-4)="","",TRIM(UPPER(INDEX(P_Status,ROW()-4))))</f>
        <v/>
      </c>
      <c r="G3155">
        <f>IF(INDEX(L_Status,ROW()-4)="","",TRIM(UPPER(INDEX(L_Status,ROW()-4))))</f>
        <v/>
      </c>
      <c r="J3155">
        <f>IF(INDEX(L_ID,ROW()-4)="","",IF(SUMPRODUCT((P_ID=INDEX(L_ID,ROW()-4))*(P_StatusN="INACTIVE"))&gt;0,1,0))</f>
        <v/>
      </c>
    </row>
    <row r="3156">
      <c r="A3156">
        <f>IF(INDEX(L_ID,ROW()-4)="","",IF(COUNTIF(P_ID,INDEX(L_ID,ROW()-4))&gt;0,1,0))</f>
        <v/>
      </c>
      <c r="B3156">
        <f>IF(INDEX(P_Type,ROW()-4)="","",TRIM(UPPER(INDEX(P_Type,ROW()-4))))</f>
        <v/>
      </c>
      <c r="D3156">
        <f>IF(INDEX(L_Type,ROW()-4)="","",TRIM(UPPER(INDEX(L_Type,ROW()-4))))</f>
        <v/>
      </c>
      <c r="E3156">
        <f>IF(INDEX(P_Status,ROW()-4)="","",TRIM(UPPER(INDEX(P_Status,ROW()-4))))</f>
        <v/>
      </c>
      <c r="G3156">
        <f>IF(INDEX(L_Status,ROW()-4)="","",TRIM(UPPER(INDEX(L_Status,ROW()-4))))</f>
        <v/>
      </c>
      <c r="J3156">
        <f>IF(INDEX(L_ID,ROW()-4)="","",IF(SUMPRODUCT((P_ID=INDEX(L_ID,ROW()-4))*(P_StatusN="INACTIVE"))&gt;0,1,0))</f>
        <v/>
      </c>
    </row>
    <row r="3157">
      <c r="A3157">
        <f>IF(INDEX(L_ID,ROW()-4)="","",IF(COUNTIF(P_ID,INDEX(L_ID,ROW()-4))&gt;0,1,0))</f>
        <v/>
      </c>
      <c r="B3157">
        <f>IF(INDEX(P_Type,ROW()-4)="","",TRIM(UPPER(INDEX(P_Type,ROW()-4))))</f>
        <v/>
      </c>
      <c r="D3157">
        <f>IF(INDEX(L_Type,ROW()-4)="","",TRIM(UPPER(INDEX(L_Type,ROW()-4))))</f>
        <v/>
      </c>
      <c r="E3157">
        <f>IF(INDEX(P_Status,ROW()-4)="","",TRIM(UPPER(INDEX(P_Status,ROW()-4))))</f>
        <v/>
      </c>
      <c r="G3157">
        <f>IF(INDEX(L_Status,ROW()-4)="","",TRIM(UPPER(INDEX(L_Status,ROW()-4))))</f>
        <v/>
      </c>
      <c r="J3157">
        <f>IF(INDEX(L_ID,ROW()-4)="","",IF(SUMPRODUCT((P_ID=INDEX(L_ID,ROW()-4))*(P_StatusN="INACTIVE"))&gt;0,1,0))</f>
        <v/>
      </c>
    </row>
    <row r="3158">
      <c r="A3158">
        <f>IF(INDEX(L_ID,ROW()-4)="","",IF(COUNTIF(P_ID,INDEX(L_ID,ROW()-4))&gt;0,1,0))</f>
        <v/>
      </c>
      <c r="B3158">
        <f>IF(INDEX(P_Type,ROW()-4)="","",TRIM(UPPER(INDEX(P_Type,ROW()-4))))</f>
        <v/>
      </c>
      <c r="D3158">
        <f>IF(INDEX(L_Type,ROW()-4)="","",TRIM(UPPER(INDEX(L_Type,ROW()-4))))</f>
        <v/>
      </c>
      <c r="E3158">
        <f>IF(INDEX(P_Status,ROW()-4)="","",TRIM(UPPER(INDEX(P_Status,ROW()-4))))</f>
        <v/>
      </c>
      <c r="G3158">
        <f>IF(INDEX(L_Status,ROW()-4)="","",TRIM(UPPER(INDEX(L_Status,ROW()-4))))</f>
        <v/>
      </c>
      <c r="J3158">
        <f>IF(INDEX(L_ID,ROW()-4)="","",IF(SUMPRODUCT((P_ID=INDEX(L_ID,ROW()-4))*(P_StatusN="INACTIVE"))&gt;0,1,0))</f>
        <v/>
      </c>
    </row>
    <row r="3159">
      <c r="A3159">
        <f>IF(INDEX(L_ID,ROW()-4)="","",IF(COUNTIF(P_ID,INDEX(L_ID,ROW()-4))&gt;0,1,0))</f>
        <v/>
      </c>
      <c r="B3159">
        <f>IF(INDEX(P_Type,ROW()-4)="","",TRIM(UPPER(INDEX(P_Type,ROW()-4))))</f>
        <v/>
      </c>
      <c r="D3159">
        <f>IF(INDEX(L_Type,ROW()-4)="","",TRIM(UPPER(INDEX(L_Type,ROW()-4))))</f>
        <v/>
      </c>
      <c r="E3159">
        <f>IF(INDEX(P_Status,ROW()-4)="","",TRIM(UPPER(INDEX(P_Status,ROW()-4))))</f>
        <v/>
      </c>
      <c r="G3159">
        <f>IF(INDEX(L_Status,ROW()-4)="","",TRIM(UPPER(INDEX(L_Status,ROW()-4))))</f>
        <v/>
      </c>
      <c r="J3159">
        <f>IF(INDEX(L_ID,ROW()-4)="","",IF(SUMPRODUCT((P_ID=INDEX(L_ID,ROW()-4))*(P_StatusN="INACTIVE"))&gt;0,1,0))</f>
        <v/>
      </c>
    </row>
    <row r="3160">
      <c r="A3160">
        <f>IF(INDEX(L_ID,ROW()-4)="","",IF(COUNTIF(P_ID,INDEX(L_ID,ROW()-4))&gt;0,1,0))</f>
        <v/>
      </c>
      <c r="B3160">
        <f>IF(INDEX(P_Type,ROW()-4)="","",TRIM(UPPER(INDEX(P_Type,ROW()-4))))</f>
        <v/>
      </c>
      <c r="D3160">
        <f>IF(INDEX(L_Type,ROW()-4)="","",TRIM(UPPER(INDEX(L_Type,ROW()-4))))</f>
        <v/>
      </c>
      <c r="E3160">
        <f>IF(INDEX(P_Status,ROW()-4)="","",TRIM(UPPER(INDEX(P_Status,ROW()-4))))</f>
        <v/>
      </c>
      <c r="G3160">
        <f>IF(INDEX(L_Status,ROW()-4)="","",TRIM(UPPER(INDEX(L_Status,ROW()-4))))</f>
        <v/>
      </c>
      <c r="J3160">
        <f>IF(INDEX(L_ID,ROW()-4)="","",IF(SUMPRODUCT((P_ID=INDEX(L_ID,ROW()-4))*(P_StatusN="INACTIVE"))&gt;0,1,0))</f>
        <v/>
      </c>
    </row>
    <row r="3161">
      <c r="A3161">
        <f>IF(INDEX(L_ID,ROW()-4)="","",IF(COUNTIF(P_ID,INDEX(L_ID,ROW()-4))&gt;0,1,0))</f>
        <v/>
      </c>
      <c r="B3161">
        <f>IF(INDEX(P_Type,ROW()-4)="","",TRIM(UPPER(INDEX(P_Type,ROW()-4))))</f>
        <v/>
      </c>
      <c r="D3161">
        <f>IF(INDEX(L_Type,ROW()-4)="","",TRIM(UPPER(INDEX(L_Type,ROW()-4))))</f>
        <v/>
      </c>
      <c r="E3161">
        <f>IF(INDEX(P_Status,ROW()-4)="","",TRIM(UPPER(INDEX(P_Status,ROW()-4))))</f>
        <v/>
      </c>
      <c r="G3161">
        <f>IF(INDEX(L_Status,ROW()-4)="","",TRIM(UPPER(INDEX(L_Status,ROW()-4))))</f>
        <v/>
      </c>
      <c r="J3161">
        <f>IF(INDEX(L_ID,ROW()-4)="","",IF(SUMPRODUCT((P_ID=INDEX(L_ID,ROW()-4))*(P_StatusN="INACTIVE"))&gt;0,1,0))</f>
        <v/>
      </c>
    </row>
    <row r="3162">
      <c r="A3162">
        <f>IF(INDEX(L_ID,ROW()-4)="","",IF(COUNTIF(P_ID,INDEX(L_ID,ROW()-4))&gt;0,1,0))</f>
        <v/>
      </c>
      <c r="B3162">
        <f>IF(INDEX(P_Type,ROW()-4)="","",TRIM(UPPER(INDEX(P_Type,ROW()-4))))</f>
        <v/>
      </c>
      <c r="D3162">
        <f>IF(INDEX(L_Type,ROW()-4)="","",TRIM(UPPER(INDEX(L_Type,ROW()-4))))</f>
        <v/>
      </c>
      <c r="E3162">
        <f>IF(INDEX(P_Status,ROW()-4)="","",TRIM(UPPER(INDEX(P_Status,ROW()-4))))</f>
        <v/>
      </c>
      <c r="G3162">
        <f>IF(INDEX(L_Status,ROW()-4)="","",TRIM(UPPER(INDEX(L_Status,ROW()-4))))</f>
        <v/>
      </c>
      <c r="J3162">
        <f>IF(INDEX(L_ID,ROW()-4)="","",IF(SUMPRODUCT((P_ID=INDEX(L_ID,ROW()-4))*(P_StatusN="INACTIVE"))&gt;0,1,0))</f>
        <v/>
      </c>
    </row>
    <row r="3163">
      <c r="A3163">
        <f>IF(INDEX(L_ID,ROW()-4)="","",IF(COUNTIF(P_ID,INDEX(L_ID,ROW()-4))&gt;0,1,0))</f>
        <v/>
      </c>
      <c r="B3163">
        <f>IF(INDEX(P_Type,ROW()-4)="","",TRIM(UPPER(INDEX(P_Type,ROW()-4))))</f>
        <v/>
      </c>
      <c r="D3163">
        <f>IF(INDEX(L_Type,ROW()-4)="","",TRIM(UPPER(INDEX(L_Type,ROW()-4))))</f>
        <v/>
      </c>
      <c r="E3163">
        <f>IF(INDEX(P_Status,ROW()-4)="","",TRIM(UPPER(INDEX(P_Status,ROW()-4))))</f>
        <v/>
      </c>
      <c r="G3163">
        <f>IF(INDEX(L_Status,ROW()-4)="","",TRIM(UPPER(INDEX(L_Status,ROW()-4))))</f>
        <v/>
      </c>
      <c r="J3163">
        <f>IF(INDEX(L_ID,ROW()-4)="","",IF(SUMPRODUCT((P_ID=INDEX(L_ID,ROW()-4))*(P_StatusN="INACTIVE"))&gt;0,1,0))</f>
        <v/>
      </c>
    </row>
    <row r="3164">
      <c r="A3164">
        <f>IF(INDEX(L_ID,ROW()-4)="","",IF(COUNTIF(P_ID,INDEX(L_ID,ROW()-4))&gt;0,1,0))</f>
        <v/>
      </c>
      <c r="B3164">
        <f>IF(INDEX(P_Type,ROW()-4)="","",TRIM(UPPER(INDEX(P_Type,ROW()-4))))</f>
        <v/>
      </c>
      <c r="D3164">
        <f>IF(INDEX(L_Type,ROW()-4)="","",TRIM(UPPER(INDEX(L_Type,ROW()-4))))</f>
        <v/>
      </c>
      <c r="E3164">
        <f>IF(INDEX(P_Status,ROW()-4)="","",TRIM(UPPER(INDEX(P_Status,ROW()-4))))</f>
        <v/>
      </c>
      <c r="G3164">
        <f>IF(INDEX(L_Status,ROW()-4)="","",TRIM(UPPER(INDEX(L_Status,ROW()-4))))</f>
        <v/>
      </c>
      <c r="J3164">
        <f>IF(INDEX(L_ID,ROW()-4)="","",IF(SUMPRODUCT((P_ID=INDEX(L_ID,ROW()-4))*(P_StatusN="INACTIVE"))&gt;0,1,0))</f>
        <v/>
      </c>
    </row>
    <row r="3165">
      <c r="A3165">
        <f>IF(INDEX(L_ID,ROW()-4)="","",IF(COUNTIF(P_ID,INDEX(L_ID,ROW()-4))&gt;0,1,0))</f>
        <v/>
      </c>
      <c r="B3165">
        <f>IF(INDEX(P_Type,ROW()-4)="","",TRIM(UPPER(INDEX(P_Type,ROW()-4))))</f>
        <v/>
      </c>
      <c r="D3165">
        <f>IF(INDEX(L_Type,ROW()-4)="","",TRIM(UPPER(INDEX(L_Type,ROW()-4))))</f>
        <v/>
      </c>
      <c r="E3165">
        <f>IF(INDEX(P_Status,ROW()-4)="","",TRIM(UPPER(INDEX(P_Status,ROW()-4))))</f>
        <v/>
      </c>
      <c r="G3165">
        <f>IF(INDEX(L_Status,ROW()-4)="","",TRIM(UPPER(INDEX(L_Status,ROW()-4))))</f>
        <v/>
      </c>
      <c r="J3165">
        <f>IF(INDEX(L_ID,ROW()-4)="","",IF(SUMPRODUCT((P_ID=INDEX(L_ID,ROW()-4))*(P_StatusN="INACTIVE"))&gt;0,1,0))</f>
        <v/>
      </c>
    </row>
    <row r="3166">
      <c r="A3166">
        <f>IF(INDEX(L_ID,ROW()-4)="","",IF(COUNTIF(P_ID,INDEX(L_ID,ROW()-4))&gt;0,1,0))</f>
        <v/>
      </c>
      <c r="B3166">
        <f>IF(INDEX(P_Type,ROW()-4)="","",TRIM(UPPER(INDEX(P_Type,ROW()-4))))</f>
        <v/>
      </c>
      <c r="D3166">
        <f>IF(INDEX(L_Type,ROW()-4)="","",TRIM(UPPER(INDEX(L_Type,ROW()-4))))</f>
        <v/>
      </c>
      <c r="E3166">
        <f>IF(INDEX(P_Status,ROW()-4)="","",TRIM(UPPER(INDEX(P_Status,ROW()-4))))</f>
        <v/>
      </c>
      <c r="G3166">
        <f>IF(INDEX(L_Status,ROW()-4)="","",TRIM(UPPER(INDEX(L_Status,ROW()-4))))</f>
        <v/>
      </c>
      <c r="J3166">
        <f>IF(INDEX(L_ID,ROW()-4)="","",IF(SUMPRODUCT((P_ID=INDEX(L_ID,ROW()-4))*(P_StatusN="INACTIVE"))&gt;0,1,0))</f>
        <v/>
      </c>
    </row>
    <row r="3167">
      <c r="A3167">
        <f>IF(INDEX(L_ID,ROW()-4)="","",IF(COUNTIF(P_ID,INDEX(L_ID,ROW()-4))&gt;0,1,0))</f>
        <v/>
      </c>
      <c r="B3167">
        <f>IF(INDEX(P_Type,ROW()-4)="","",TRIM(UPPER(INDEX(P_Type,ROW()-4))))</f>
        <v/>
      </c>
      <c r="D3167">
        <f>IF(INDEX(L_Type,ROW()-4)="","",TRIM(UPPER(INDEX(L_Type,ROW()-4))))</f>
        <v/>
      </c>
      <c r="E3167">
        <f>IF(INDEX(P_Status,ROW()-4)="","",TRIM(UPPER(INDEX(P_Status,ROW()-4))))</f>
        <v/>
      </c>
      <c r="G3167">
        <f>IF(INDEX(L_Status,ROW()-4)="","",TRIM(UPPER(INDEX(L_Status,ROW()-4))))</f>
        <v/>
      </c>
      <c r="J3167">
        <f>IF(INDEX(L_ID,ROW()-4)="","",IF(SUMPRODUCT((P_ID=INDEX(L_ID,ROW()-4))*(P_StatusN="INACTIVE"))&gt;0,1,0))</f>
        <v/>
      </c>
    </row>
    <row r="3168">
      <c r="A3168">
        <f>IF(INDEX(L_ID,ROW()-4)="","",IF(COUNTIF(P_ID,INDEX(L_ID,ROW()-4))&gt;0,1,0))</f>
        <v/>
      </c>
      <c r="B3168">
        <f>IF(INDEX(P_Type,ROW()-4)="","",TRIM(UPPER(INDEX(P_Type,ROW()-4))))</f>
        <v/>
      </c>
      <c r="D3168">
        <f>IF(INDEX(L_Type,ROW()-4)="","",TRIM(UPPER(INDEX(L_Type,ROW()-4))))</f>
        <v/>
      </c>
      <c r="E3168">
        <f>IF(INDEX(P_Status,ROW()-4)="","",TRIM(UPPER(INDEX(P_Status,ROW()-4))))</f>
        <v/>
      </c>
      <c r="G3168">
        <f>IF(INDEX(L_Status,ROW()-4)="","",TRIM(UPPER(INDEX(L_Status,ROW()-4))))</f>
        <v/>
      </c>
      <c r="J3168">
        <f>IF(INDEX(L_ID,ROW()-4)="","",IF(SUMPRODUCT((P_ID=INDEX(L_ID,ROW()-4))*(P_StatusN="INACTIVE"))&gt;0,1,0))</f>
        <v/>
      </c>
    </row>
    <row r="3169">
      <c r="A3169">
        <f>IF(INDEX(L_ID,ROW()-4)="","",IF(COUNTIF(P_ID,INDEX(L_ID,ROW()-4))&gt;0,1,0))</f>
        <v/>
      </c>
      <c r="B3169">
        <f>IF(INDEX(P_Type,ROW()-4)="","",TRIM(UPPER(INDEX(P_Type,ROW()-4))))</f>
        <v/>
      </c>
      <c r="D3169">
        <f>IF(INDEX(L_Type,ROW()-4)="","",TRIM(UPPER(INDEX(L_Type,ROW()-4))))</f>
        <v/>
      </c>
      <c r="E3169">
        <f>IF(INDEX(P_Status,ROW()-4)="","",TRIM(UPPER(INDEX(P_Status,ROW()-4))))</f>
        <v/>
      </c>
      <c r="G3169">
        <f>IF(INDEX(L_Status,ROW()-4)="","",TRIM(UPPER(INDEX(L_Status,ROW()-4))))</f>
        <v/>
      </c>
      <c r="J3169">
        <f>IF(INDEX(L_ID,ROW()-4)="","",IF(SUMPRODUCT((P_ID=INDEX(L_ID,ROW()-4))*(P_StatusN="INACTIVE"))&gt;0,1,0))</f>
        <v/>
      </c>
    </row>
    <row r="3170">
      <c r="A3170">
        <f>IF(INDEX(L_ID,ROW()-4)="","",IF(COUNTIF(P_ID,INDEX(L_ID,ROW()-4))&gt;0,1,0))</f>
        <v/>
      </c>
      <c r="B3170">
        <f>IF(INDEX(P_Type,ROW()-4)="","",TRIM(UPPER(INDEX(P_Type,ROW()-4))))</f>
        <v/>
      </c>
      <c r="D3170">
        <f>IF(INDEX(L_Type,ROW()-4)="","",TRIM(UPPER(INDEX(L_Type,ROW()-4))))</f>
        <v/>
      </c>
      <c r="E3170">
        <f>IF(INDEX(P_Status,ROW()-4)="","",TRIM(UPPER(INDEX(P_Status,ROW()-4))))</f>
        <v/>
      </c>
      <c r="G3170">
        <f>IF(INDEX(L_Status,ROW()-4)="","",TRIM(UPPER(INDEX(L_Status,ROW()-4))))</f>
        <v/>
      </c>
      <c r="J3170">
        <f>IF(INDEX(L_ID,ROW()-4)="","",IF(SUMPRODUCT((P_ID=INDEX(L_ID,ROW()-4))*(P_StatusN="INACTIVE"))&gt;0,1,0))</f>
        <v/>
      </c>
    </row>
    <row r="3171">
      <c r="A3171">
        <f>IF(INDEX(L_ID,ROW()-4)="","",IF(COUNTIF(P_ID,INDEX(L_ID,ROW()-4))&gt;0,1,0))</f>
        <v/>
      </c>
      <c r="B3171">
        <f>IF(INDEX(P_Type,ROW()-4)="","",TRIM(UPPER(INDEX(P_Type,ROW()-4))))</f>
        <v/>
      </c>
      <c r="D3171">
        <f>IF(INDEX(L_Type,ROW()-4)="","",TRIM(UPPER(INDEX(L_Type,ROW()-4))))</f>
        <v/>
      </c>
      <c r="E3171">
        <f>IF(INDEX(P_Status,ROW()-4)="","",TRIM(UPPER(INDEX(P_Status,ROW()-4))))</f>
        <v/>
      </c>
      <c r="G3171">
        <f>IF(INDEX(L_Status,ROW()-4)="","",TRIM(UPPER(INDEX(L_Status,ROW()-4))))</f>
        <v/>
      </c>
      <c r="J3171">
        <f>IF(INDEX(L_ID,ROW()-4)="","",IF(SUMPRODUCT((P_ID=INDEX(L_ID,ROW()-4))*(P_StatusN="INACTIVE"))&gt;0,1,0))</f>
        <v/>
      </c>
    </row>
    <row r="3172">
      <c r="A3172">
        <f>IF(INDEX(L_ID,ROW()-4)="","",IF(COUNTIF(P_ID,INDEX(L_ID,ROW()-4))&gt;0,1,0))</f>
        <v/>
      </c>
      <c r="B3172">
        <f>IF(INDEX(P_Type,ROW()-4)="","",TRIM(UPPER(INDEX(P_Type,ROW()-4))))</f>
        <v/>
      </c>
      <c r="D3172">
        <f>IF(INDEX(L_Type,ROW()-4)="","",TRIM(UPPER(INDEX(L_Type,ROW()-4))))</f>
        <v/>
      </c>
      <c r="E3172">
        <f>IF(INDEX(P_Status,ROW()-4)="","",TRIM(UPPER(INDEX(P_Status,ROW()-4))))</f>
        <v/>
      </c>
      <c r="G3172">
        <f>IF(INDEX(L_Status,ROW()-4)="","",TRIM(UPPER(INDEX(L_Status,ROW()-4))))</f>
        <v/>
      </c>
      <c r="J3172">
        <f>IF(INDEX(L_ID,ROW()-4)="","",IF(SUMPRODUCT((P_ID=INDEX(L_ID,ROW()-4))*(P_StatusN="INACTIVE"))&gt;0,1,0))</f>
        <v/>
      </c>
    </row>
    <row r="3173">
      <c r="A3173">
        <f>IF(INDEX(L_ID,ROW()-4)="","",IF(COUNTIF(P_ID,INDEX(L_ID,ROW()-4))&gt;0,1,0))</f>
        <v/>
      </c>
      <c r="B3173">
        <f>IF(INDEX(P_Type,ROW()-4)="","",TRIM(UPPER(INDEX(P_Type,ROW()-4))))</f>
        <v/>
      </c>
      <c r="D3173">
        <f>IF(INDEX(L_Type,ROW()-4)="","",TRIM(UPPER(INDEX(L_Type,ROW()-4))))</f>
        <v/>
      </c>
      <c r="E3173">
        <f>IF(INDEX(P_Status,ROW()-4)="","",TRIM(UPPER(INDEX(P_Status,ROW()-4))))</f>
        <v/>
      </c>
      <c r="G3173">
        <f>IF(INDEX(L_Status,ROW()-4)="","",TRIM(UPPER(INDEX(L_Status,ROW()-4))))</f>
        <v/>
      </c>
      <c r="J3173">
        <f>IF(INDEX(L_ID,ROW()-4)="","",IF(SUMPRODUCT((P_ID=INDEX(L_ID,ROW()-4))*(P_StatusN="INACTIVE"))&gt;0,1,0))</f>
        <v/>
      </c>
    </row>
    <row r="3174">
      <c r="A3174">
        <f>IF(INDEX(L_ID,ROW()-4)="","",IF(COUNTIF(P_ID,INDEX(L_ID,ROW()-4))&gt;0,1,0))</f>
        <v/>
      </c>
      <c r="B3174">
        <f>IF(INDEX(P_Type,ROW()-4)="","",TRIM(UPPER(INDEX(P_Type,ROW()-4))))</f>
        <v/>
      </c>
      <c r="D3174">
        <f>IF(INDEX(L_Type,ROW()-4)="","",TRIM(UPPER(INDEX(L_Type,ROW()-4))))</f>
        <v/>
      </c>
      <c r="E3174">
        <f>IF(INDEX(P_Status,ROW()-4)="","",TRIM(UPPER(INDEX(P_Status,ROW()-4))))</f>
        <v/>
      </c>
      <c r="G3174">
        <f>IF(INDEX(L_Status,ROW()-4)="","",TRIM(UPPER(INDEX(L_Status,ROW()-4))))</f>
        <v/>
      </c>
      <c r="J3174">
        <f>IF(INDEX(L_ID,ROW()-4)="","",IF(SUMPRODUCT((P_ID=INDEX(L_ID,ROW()-4))*(P_StatusN="INACTIVE"))&gt;0,1,0))</f>
        <v/>
      </c>
    </row>
    <row r="3175">
      <c r="A3175">
        <f>IF(INDEX(L_ID,ROW()-4)="","",IF(COUNTIF(P_ID,INDEX(L_ID,ROW()-4))&gt;0,1,0))</f>
        <v/>
      </c>
      <c r="B3175">
        <f>IF(INDEX(P_Type,ROW()-4)="","",TRIM(UPPER(INDEX(P_Type,ROW()-4))))</f>
        <v/>
      </c>
      <c r="D3175">
        <f>IF(INDEX(L_Type,ROW()-4)="","",TRIM(UPPER(INDEX(L_Type,ROW()-4))))</f>
        <v/>
      </c>
      <c r="E3175">
        <f>IF(INDEX(P_Status,ROW()-4)="","",TRIM(UPPER(INDEX(P_Status,ROW()-4))))</f>
        <v/>
      </c>
      <c r="G3175">
        <f>IF(INDEX(L_Status,ROW()-4)="","",TRIM(UPPER(INDEX(L_Status,ROW()-4))))</f>
        <v/>
      </c>
      <c r="J3175">
        <f>IF(INDEX(L_ID,ROW()-4)="","",IF(SUMPRODUCT((P_ID=INDEX(L_ID,ROW()-4))*(P_StatusN="INACTIVE"))&gt;0,1,0))</f>
        <v/>
      </c>
    </row>
    <row r="3176">
      <c r="A3176">
        <f>IF(INDEX(L_ID,ROW()-4)="","",IF(COUNTIF(P_ID,INDEX(L_ID,ROW()-4))&gt;0,1,0))</f>
        <v/>
      </c>
      <c r="B3176">
        <f>IF(INDEX(P_Type,ROW()-4)="","",TRIM(UPPER(INDEX(P_Type,ROW()-4))))</f>
        <v/>
      </c>
      <c r="D3176">
        <f>IF(INDEX(L_Type,ROW()-4)="","",TRIM(UPPER(INDEX(L_Type,ROW()-4))))</f>
        <v/>
      </c>
      <c r="E3176">
        <f>IF(INDEX(P_Status,ROW()-4)="","",TRIM(UPPER(INDEX(P_Status,ROW()-4))))</f>
        <v/>
      </c>
      <c r="G3176">
        <f>IF(INDEX(L_Status,ROW()-4)="","",TRIM(UPPER(INDEX(L_Status,ROW()-4))))</f>
        <v/>
      </c>
      <c r="J3176">
        <f>IF(INDEX(L_ID,ROW()-4)="","",IF(SUMPRODUCT((P_ID=INDEX(L_ID,ROW()-4))*(P_StatusN="INACTIVE"))&gt;0,1,0))</f>
        <v/>
      </c>
    </row>
    <row r="3177">
      <c r="A3177">
        <f>IF(INDEX(L_ID,ROW()-4)="","",IF(COUNTIF(P_ID,INDEX(L_ID,ROW()-4))&gt;0,1,0))</f>
        <v/>
      </c>
      <c r="B3177">
        <f>IF(INDEX(P_Type,ROW()-4)="","",TRIM(UPPER(INDEX(P_Type,ROW()-4))))</f>
        <v/>
      </c>
      <c r="D3177">
        <f>IF(INDEX(L_Type,ROW()-4)="","",TRIM(UPPER(INDEX(L_Type,ROW()-4))))</f>
        <v/>
      </c>
      <c r="E3177">
        <f>IF(INDEX(P_Status,ROW()-4)="","",TRIM(UPPER(INDEX(P_Status,ROW()-4))))</f>
        <v/>
      </c>
      <c r="G3177">
        <f>IF(INDEX(L_Status,ROW()-4)="","",TRIM(UPPER(INDEX(L_Status,ROW()-4))))</f>
        <v/>
      </c>
      <c r="J3177">
        <f>IF(INDEX(L_ID,ROW()-4)="","",IF(SUMPRODUCT((P_ID=INDEX(L_ID,ROW()-4))*(P_StatusN="INACTIVE"))&gt;0,1,0))</f>
        <v/>
      </c>
    </row>
    <row r="3178">
      <c r="A3178">
        <f>IF(INDEX(L_ID,ROW()-4)="","",IF(COUNTIF(P_ID,INDEX(L_ID,ROW()-4))&gt;0,1,0))</f>
        <v/>
      </c>
      <c r="B3178">
        <f>IF(INDEX(P_Type,ROW()-4)="","",TRIM(UPPER(INDEX(P_Type,ROW()-4))))</f>
        <v/>
      </c>
      <c r="D3178">
        <f>IF(INDEX(L_Type,ROW()-4)="","",TRIM(UPPER(INDEX(L_Type,ROW()-4))))</f>
        <v/>
      </c>
      <c r="E3178">
        <f>IF(INDEX(P_Status,ROW()-4)="","",TRIM(UPPER(INDEX(P_Status,ROW()-4))))</f>
        <v/>
      </c>
      <c r="G3178">
        <f>IF(INDEX(L_Status,ROW()-4)="","",TRIM(UPPER(INDEX(L_Status,ROW()-4))))</f>
        <v/>
      </c>
      <c r="J3178">
        <f>IF(INDEX(L_ID,ROW()-4)="","",IF(SUMPRODUCT((P_ID=INDEX(L_ID,ROW()-4))*(P_StatusN="INACTIVE"))&gt;0,1,0))</f>
        <v/>
      </c>
    </row>
    <row r="3179">
      <c r="A3179">
        <f>IF(INDEX(L_ID,ROW()-4)="","",IF(COUNTIF(P_ID,INDEX(L_ID,ROW()-4))&gt;0,1,0))</f>
        <v/>
      </c>
      <c r="B3179">
        <f>IF(INDEX(P_Type,ROW()-4)="","",TRIM(UPPER(INDEX(P_Type,ROW()-4))))</f>
        <v/>
      </c>
      <c r="D3179">
        <f>IF(INDEX(L_Type,ROW()-4)="","",TRIM(UPPER(INDEX(L_Type,ROW()-4))))</f>
        <v/>
      </c>
      <c r="E3179">
        <f>IF(INDEX(P_Status,ROW()-4)="","",TRIM(UPPER(INDEX(P_Status,ROW()-4))))</f>
        <v/>
      </c>
      <c r="G3179">
        <f>IF(INDEX(L_Status,ROW()-4)="","",TRIM(UPPER(INDEX(L_Status,ROW()-4))))</f>
        <v/>
      </c>
      <c r="J3179">
        <f>IF(INDEX(L_ID,ROW()-4)="","",IF(SUMPRODUCT((P_ID=INDEX(L_ID,ROW()-4))*(P_StatusN="INACTIVE"))&gt;0,1,0))</f>
        <v/>
      </c>
    </row>
    <row r="3180">
      <c r="A3180">
        <f>IF(INDEX(L_ID,ROW()-4)="","",IF(COUNTIF(P_ID,INDEX(L_ID,ROW()-4))&gt;0,1,0))</f>
        <v/>
      </c>
      <c r="B3180">
        <f>IF(INDEX(P_Type,ROW()-4)="","",TRIM(UPPER(INDEX(P_Type,ROW()-4))))</f>
        <v/>
      </c>
      <c r="D3180">
        <f>IF(INDEX(L_Type,ROW()-4)="","",TRIM(UPPER(INDEX(L_Type,ROW()-4))))</f>
        <v/>
      </c>
      <c r="E3180">
        <f>IF(INDEX(P_Status,ROW()-4)="","",TRIM(UPPER(INDEX(P_Status,ROW()-4))))</f>
        <v/>
      </c>
      <c r="G3180">
        <f>IF(INDEX(L_Status,ROW()-4)="","",TRIM(UPPER(INDEX(L_Status,ROW()-4))))</f>
        <v/>
      </c>
      <c r="J3180">
        <f>IF(INDEX(L_ID,ROW()-4)="","",IF(SUMPRODUCT((P_ID=INDEX(L_ID,ROW()-4))*(P_StatusN="INACTIVE"))&gt;0,1,0))</f>
        <v/>
      </c>
    </row>
    <row r="3181">
      <c r="A3181">
        <f>IF(INDEX(L_ID,ROW()-4)="","",IF(COUNTIF(P_ID,INDEX(L_ID,ROW()-4))&gt;0,1,0))</f>
        <v/>
      </c>
      <c r="B3181">
        <f>IF(INDEX(P_Type,ROW()-4)="","",TRIM(UPPER(INDEX(P_Type,ROW()-4))))</f>
        <v/>
      </c>
      <c r="D3181">
        <f>IF(INDEX(L_Type,ROW()-4)="","",TRIM(UPPER(INDEX(L_Type,ROW()-4))))</f>
        <v/>
      </c>
      <c r="E3181">
        <f>IF(INDEX(P_Status,ROW()-4)="","",TRIM(UPPER(INDEX(P_Status,ROW()-4))))</f>
        <v/>
      </c>
      <c r="G3181">
        <f>IF(INDEX(L_Status,ROW()-4)="","",TRIM(UPPER(INDEX(L_Status,ROW()-4))))</f>
        <v/>
      </c>
      <c r="J3181">
        <f>IF(INDEX(L_ID,ROW()-4)="","",IF(SUMPRODUCT((P_ID=INDEX(L_ID,ROW()-4))*(P_StatusN="INACTIVE"))&gt;0,1,0))</f>
        <v/>
      </c>
    </row>
    <row r="3182">
      <c r="A3182">
        <f>IF(INDEX(L_ID,ROW()-4)="","",IF(COUNTIF(P_ID,INDEX(L_ID,ROW()-4))&gt;0,1,0))</f>
        <v/>
      </c>
      <c r="B3182">
        <f>IF(INDEX(P_Type,ROW()-4)="","",TRIM(UPPER(INDEX(P_Type,ROW()-4))))</f>
        <v/>
      </c>
      <c r="D3182">
        <f>IF(INDEX(L_Type,ROW()-4)="","",TRIM(UPPER(INDEX(L_Type,ROW()-4))))</f>
        <v/>
      </c>
      <c r="E3182">
        <f>IF(INDEX(P_Status,ROW()-4)="","",TRIM(UPPER(INDEX(P_Status,ROW()-4))))</f>
        <v/>
      </c>
      <c r="G3182">
        <f>IF(INDEX(L_Status,ROW()-4)="","",TRIM(UPPER(INDEX(L_Status,ROW()-4))))</f>
        <v/>
      </c>
      <c r="J3182">
        <f>IF(INDEX(L_ID,ROW()-4)="","",IF(SUMPRODUCT((P_ID=INDEX(L_ID,ROW()-4))*(P_StatusN="INACTIVE"))&gt;0,1,0))</f>
        <v/>
      </c>
    </row>
    <row r="3183">
      <c r="A3183">
        <f>IF(INDEX(L_ID,ROW()-4)="","",IF(COUNTIF(P_ID,INDEX(L_ID,ROW()-4))&gt;0,1,0))</f>
        <v/>
      </c>
      <c r="B3183">
        <f>IF(INDEX(P_Type,ROW()-4)="","",TRIM(UPPER(INDEX(P_Type,ROW()-4))))</f>
        <v/>
      </c>
      <c r="D3183">
        <f>IF(INDEX(L_Type,ROW()-4)="","",TRIM(UPPER(INDEX(L_Type,ROW()-4))))</f>
        <v/>
      </c>
      <c r="E3183">
        <f>IF(INDEX(P_Status,ROW()-4)="","",TRIM(UPPER(INDEX(P_Status,ROW()-4))))</f>
        <v/>
      </c>
      <c r="G3183">
        <f>IF(INDEX(L_Status,ROW()-4)="","",TRIM(UPPER(INDEX(L_Status,ROW()-4))))</f>
        <v/>
      </c>
      <c r="J3183">
        <f>IF(INDEX(L_ID,ROW()-4)="","",IF(SUMPRODUCT((P_ID=INDEX(L_ID,ROW()-4))*(P_StatusN="INACTIVE"))&gt;0,1,0))</f>
        <v/>
      </c>
    </row>
    <row r="3184">
      <c r="A3184">
        <f>IF(INDEX(L_ID,ROW()-4)="","",IF(COUNTIF(P_ID,INDEX(L_ID,ROW()-4))&gt;0,1,0))</f>
        <v/>
      </c>
      <c r="B3184">
        <f>IF(INDEX(P_Type,ROW()-4)="","",TRIM(UPPER(INDEX(P_Type,ROW()-4))))</f>
        <v/>
      </c>
      <c r="D3184">
        <f>IF(INDEX(L_Type,ROW()-4)="","",TRIM(UPPER(INDEX(L_Type,ROW()-4))))</f>
        <v/>
      </c>
      <c r="E3184">
        <f>IF(INDEX(P_Status,ROW()-4)="","",TRIM(UPPER(INDEX(P_Status,ROW()-4))))</f>
        <v/>
      </c>
      <c r="G3184">
        <f>IF(INDEX(L_Status,ROW()-4)="","",TRIM(UPPER(INDEX(L_Status,ROW()-4))))</f>
        <v/>
      </c>
      <c r="J3184">
        <f>IF(INDEX(L_ID,ROW()-4)="","",IF(SUMPRODUCT((P_ID=INDEX(L_ID,ROW()-4))*(P_StatusN="INACTIVE"))&gt;0,1,0))</f>
        <v/>
      </c>
    </row>
    <row r="3185">
      <c r="A3185">
        <f>IF(INDEX(L_ID,ROW()-4)="","",IF(COUNTIF(P_ID,INDEX(L_ID,ROW()-4))&gt;0,1,0))</f>
        <v/>
      </c>
      <c r="B3185">
        <f>IF(INDEX(P_Type,ROW()-4)="","",TRIM(UPPER(INDEX(P_Type,ROW()-4))))</f>
        <v/>
      </c>
      <c r="D3185">
        <f>IF(INDEX(L_Type,ROW()-4)="","",TRIM(UPPER(INDEX(L_Type,ROW()-4))))</f>
        <v/>
      </c>
      <c r="E3185">
        <f>IF(INDEX(P_Status,ROW()-4)="","",TRIM(UPPER(INDEX(P_Status,ROW()-4))))</f>
        <v/>
      </c>
      <c r="G3185">
        <f>IF(INDEX(L_Status,ROW()-4)="","",TRIM(UPPER(INDEX(L_Status,ROW()-4))))</f>
        <v/>
      </c>
      <c r="J3185">
        <f>IF(INDEX(L_ID,ROW()-4)="","",IF(SUMPRODUCT((P_ID=INDEX(L_ID,ROW()-4))*(P_StatusN="INACTIVE"))&gt;0,1,0))</f>
        <v/>
      </c>
    </row>
    <row r="3186">
      <c r="A3186">
        <f>IF(INDEX(L_ID,ROW()-4)="","",IF(COUNTIF(P_ID,INDEX(L_ID,ROW()-4))&gt;0,1,0))</f>
        <v/>
      </c>
      <c r="B3186">
        <f>IF(INDEX(P_Type,ROW()-4)="","",TRIM(UPPER(INDEX(P_Type,ROW()-4))))</f>
        <v/>
      </c>
      <c r="D3186">
        <f>IF(INDEX(L_Type,ROW()-4)="","",TRIM(UPPER(INDEX(L_Type,ROW()-4))))</f>
        <v/>
      </c>
      <c r="E3186">
        <f>IF(INDEX(P_Status,ROW()-4)="","",TRIM(UPPER(INDEX(P_Status,ROW()-4))))</f>
        <v/>
      </c>
      <c r="G3186">
        <f>IF(INDEX(L_Status,ROW()-4)="","",TRIM(UPPER(INDEX(L_Status,ROW()-4))))</f>
        <v/>
      </c>
      <c r="J3186">
        <f>IF(INDEX(L_ID,ROW()-4)="","",IF(SUMPRODUCT((P_ID=INDEX(L_ID,ROW()-4))*(P_StatusN="INACTIVE"))&gt;0,1,0))</f>
        <v/>
      </c>
    </row>
    <row r="3187">
      <c r="A3187">
        <f>IF(INDEX(L_ID,ROW()-4)="","",IF(COUNTIF(P_ID,INDEX(L_ID,ROW()-4))&gt;0,1,0))</f>
        <v/>
      </c>
      <c r="B3187">
        <f>IF(INDEX(P_Type,ROW()-4)="","",TRIM(UPPER(INDEX(P_Type,ROW()-4))))</f>
        <v/>
      </c>
      <c r="D3187">
        <f>IF(INDEX(L_Type,ROW()-4)="","",TRIM(UPPER(INDEX(L_Type,ROW()-4))))</f>
        <v/>
      </c>
      <c r="E3187">
        <f>IF(INDEX(P_Status,ROW()-4)="","",TRIM(UPPER(INDEX(P_Status,ROW()-4))))</f>
        <v/>
      </c>
      <c r="G3187">
        <f>IF(INDEX(L_Status,ROW()-4)="","",TRIM(UPPER(INDEX(L_Status,ROW()-4))))</f>
        <v/>
      </c>
      <c r="J3187">
        <f>IF(INDEX(L_ID,ROW()-4)="","",IF(SUMPRODUCT((P_ID=INDEX(L_ID,ROW()-4))*(P_StatusN="INACTIVE"))&gt;0,1,0))</f>
        <v/>
      </c>
    </row>
    <row r="3188">
      <c r="A3188">
        <f>IF(INDEX(L_ID,ROW()-4)="","",IF(COUNTIF(P_ID,INDEX(L_ID,ROW()-4))&gt;0,1,0))</f>
        <v/>
      </c>
      <c r="B3188">
        <f>IF(INDEX(P_Type,ROW()-4)="","",TRIM(UPPER(INDEX(P_Type,ROW()-4))))</f>
        <v/>
      </c>
      <c r="D3188">
        <f>IF(INDEX(L_Type,ROW()-4)="","",TRIM(UPPER(INDEX(L_Type,ROW()-4))))</f>
        <v/>
      </c>
      <c r="E3188">
        <f>IF(INDEX(P_Status,ROW()-4)="","",TRIM(UPPER(INDEX(P_Status,ROW()-4))))</f>
        <v/>
      </c>
      <c r="G3188">
        <f>IF(INDEX(L_Status,ROW()-4)="","",TRIM(UPPER(INDEX(L_Status,ROW()-4))))</f>
        <v/>
      </c>
      <c r="J3188">
        <f>IF(INDEX(L_ID,ROW()-4)="","",IF(SUMPRODUCT((P_ID=INDEX(L_ID,ROW()-4))*(P_StatusN="INACTIVE"))&gt;0,1,0))</f>
        <v/>
      </c>
    </row>
    <row r="3189">
      <c r="A3189">
        <f>IF(INDEX(L_ID,ROW()-4)="","",IF(COUNTIF(P_ID,INDEX(L_ID,ROW()-4))&gt;0,1,0))</f>
        <v/>
      </c>
      <c r="B3189">
        <f>IF(INDEX(P_Type,ROW()-4)="","",TRIM(UPPER(INDEX(P_Type,ROW()-4))))</f>
        <v/>
      </c>
      <c r="D3189">
        <f>IF(INDEX(L_Type,ROW()-4)="","",TRIM(UPPER(INDEX(L_Type,ROW()-4))))</f>
        <v/>
      </c>
      <c r="E3189">
        <f>IF(INDEX(P_Status,ROW()-4)="","",TRIM(UPPER(INDEX(P_Status,ROW()-4))))</f>
        <v/>
      </c>
      <c r="G3189">
        <f>IF(INDEX(L_Status,ROW()-4)="","",TRIM(UPPER(INDEX(L_Status,ROW()-4))))</f>
        <v/>
      </c>
      <c r="J3189">
        <f>IF(INDEX(L_ID,ROW()-4)="","",IF(SUMPRODUCT((P_ID=INDEX(L_ID,ROW()-4))*(P_StatusN="INACTIVE"))&gt;0,1,0))</f>
        <v/>
      </c>
    </row>
    <row r="3190">
      <c r="A3190">
        <f>IF(INDEX(L_ID,ROW()-4)="","",IF(COUNTIF(P_ID,INDEX(L_ID,ROW()-4))&gt;0,1,0))</f>
        <v/>
      </c>
      <c r="B3190">
        <f>IF(INDEX(P_Type,ROW()-4)="","",TRIM(UPPER(INDEX(P_Type,ROW()-4))))</f>
        <v/>
      </c>
      <c r="D3190">
        <f>IF(INDEX(L_Type,ROW()-4)="","",TRIM(UPPER(INDEX(L_Type,ROW()-4))))</f>
        <v/>
      </c>
      <c r="E3190">
        <f>IF(INDEX(P_Status,ROW()-4)="","",TRIM(UPPER(INDEX(P_Status,ROW()-4))))</f>
        <v/>
      </c>
      <c r="G3190">
        <f>IF(INDEX(L_Status,ROW()-4)="","",TRIM(UPPER(INDEX(L_Status,ROW()-4))))</f>
        <v/>
      </c>
      <c r="J3190">
        <f>IF(INDEX(L_ID,ROW()-4)="","",IF(SUMPRODUCT((P_ID=INDEX(L_ID,ROW()-4))*(P_StatusN="INACTIVE"))&gt;0,1,0))</f>
        <v/>
      </c>
    </row>
    <row r="3191">
      <c r="A3191">
        <f>IF(INDEX(L_ID,ROW()-4)="","",IF(COUNTIF(P_ID,INDEX(L_ID,ROW()-4))&gt;0,1,0))</f>
        <v/>
      </c>
      <c r="B3191">
        <f>IF(INDEX(P_Type,ROW()-4)="","",TRIM(UPPER(INDEX(P_Type,ROW()-4))))</f>
        <v/>
      </c>
      <c r="D3191">
        <f>IF(INDEX(L_Type,ROW()-4)="","",TRIM(UPPER(INDEX(L_Type,ROW()-4))))</f>
        <v/>
      </c>
      <c r="E3191">
        <f>IF(INDEX(P_Status,ROW()-4)="","",TRIM(UPPER(INDEX(P_Status,ROW()-4))))</f>
        <v/>
      </c>
      <c r="G3191">
        <f>IF(INDEX(L_Status,ROW()-4)="","",TRIM(UPPER(INDEX(L_Status,ROW()-4))))</f>
        <v/>
      </c>
      <c r="J3191">
        <f>IF(INDEX(L_ID,ROW()-4)="","",IF(SUMPRODUCT((P_ID=INDEX(L_ID,ROW()-4))*(P_StatusN="INACTIVE"))&gt;0,1,0))</f>
        <v/>
      </c>
    </row>
    <row r="3192">
      <c r="A3192">
        <f>IF(INDEX(L_ID,ROW()-4)="","",IF(COUNTIF(P_ID,INDEX(L_ID,ROW()-4))&gt;0,1,0))</f>
        <v/>
      </c>
      <c r="B3192">
        <f>IF(INDEX(P_Type,ROW()-4)="","",TRIM(UPPER(INDEX(P_Type,ROW()-4))))</f>
        <v/>
      </c>
      <c r="D3192">
        <f>IF(INDEX(L_Type,ROW()-4)="","",TRIM(UPPER(INDEX(L_Type,ROW()-4))))</f>
        <v/>
      </c>
      <c r="E3192">
        <f>IF(INDEX(P_Status,ROW()-4)="","",TRIM(UPPER(INDEX(P_Status,ROW()-4))))</f>
        <v/>
      </c>
      <c r="G3192">
        <f>IF(INDEX(L_Status,ROW()-4)="","",TRIM(UPPER(INDEX(L_Status,ROW()-4))))</f>
        <v/>
      </c>
      <c r="J3192">
        <f>IF(INDEX(L_ID,ROW()-4)="","",IF(SUMPRODUCT((P_ID=INDEX(L_ID,ROW()-4))*(P_StatusN="INACTIVE"))&gt;0,1,0))</f>
        <v/>
      </c>
    </row>
    <row r="3193">
      <c r="A3193">
        <f>IF(INDEX(L_ID,ROW()-4)="","",IF(COUNTIF(P_ID,INDEX(L_ID,ROW()-4))&gt;0,1,0))</f>
        <v/>
      </c>
      <c r="B3193">
        <f>IF(INDEX(P_Type,ROW()-4)="","",TRIM(UPPER(INDEX(P_Type,ROW()-4))))</f>
        <v/>
      </c>
      <c r="D3193">
        <f>IF(INDEX(L_Type,ROW()-4)="","",TRIM(UPPER(INDEX(L_Type,ROW()-4))))</f>
        <v/>
      </c>
      <c r="E3193">
        <f>IF(INDEX(P_Status,ROW()-4)="","",TRIM(UPPER(INDEX(P_Status,ROW()-4))))</f>
        <v/>
      </c>
      <c r="G3193">
        <f>IF(INDEX(L_Status,ROW()-4)="","",TRIM(UPPER(INDEX(L_Status,ROW()-4))))</f>
        <v/>
      </c>
      <c r="J3193">
        <f>IF(INDEX(L_ID,ROW()-4)="","",IF(SUMPRODUCT((P_ID=INDEX(L_ID,ROW()-4))*(P_StatusN="INACTIVE"))&gt;0,1,0))</f>
        <v/>
      </c>
    </row>
    <row r="3194">
      <c r="A3194">
        <f>IF(INDEX(L_ID,ROW()-4)="","",IF(COUNTIF(P_ID,INDEX(L_ID,ROW()-4))&gt;0,1,0))</f>
        <v/>
      </c>
      <c r="B3194">
        <f>IF(INDEX(P_Type,ROW()-4)="","",TRIM(UPPER(INDEX(P_Type,ROW()-4))))</f>
        <v/>
      </c>
      <c r="D3194">
        <f>IF(INDEX(L_Type,ROW()-4)="","",TRIM(UPPER(INDEX(L_Type,ROW()-4))))</f>
        <v/>
      </c>
      <c r="E3194">
        <f>IF(INDEX(P_Status,ROW()-4)="","",TRIM(UPPER(INDEX(P_Status,ROW()-4))))</f>
        <v/>
      </c>
      <c r="G3194">
        <f>IF(INDEX(L_Status,ROW()-4)="","",TRIM(UPPER(INDEX(L_Status,ROW()-4))))</f>
        <v/>
      </c>
      <c r="J3194">
        <f>IF(INDEX(L_ID,ROW()-4)="","",IF(SUMPRODUCT((P_ID=INDEX(L_ID,ROW()-4))*(P_StatusN="INACTIVE"))&gt;0,1,0))</f>
        <v/>
      </c>
    </row>
    <row r="3195">
      <c r="A3195">
        <f>IF(INDEX(L_ID,ROW()-4)="","",IF(COUNTIF(P_ID,INDEX(L_ID,ROW()-4))&gt;0,1,0))</f>
        <v/>
      </c>
      <c r="B3195">
        <f>IF(INDEX(P_Type,ROW()-4)="","",TRIM(UPPER(INDEX(P_Type,ROW()-4))))</f>
        <v/>
      </c>
      <c r="D3195">
        <f>IF(INDEX(L_Type,ROW()-4)="","",TRIM(UPPER(INDEX(L_Type,ROW()-4))))</f>
        <v/>
      </c>
      <c r="E3195">
        <f>IF(INDEX(P_Status,ROW()-4)="","",TRIM(UPPER(INDEX(P_Status,ROW()-4))))</f>
        <v/>
      </c>
      <c r="G3195">
        <f>IF(INDEX(L_Status,ROW()-4)="","",TRIM(UPPER(INDEX(L_Status,ROW()-4))))</f>
        <v/>
      </c>
      <c r="J3195">
        <f>IF(INDEX(L_ID,ROW()-4)="","",IF(SUMPRODUCT((P_ID=INDEX(L_ID,ROW()-4))*(P_StatusN="INACTIVE"))&gt;0,1,0))</f>
        <v/>
      </c>
    </row>
    <row r="3196">
      <c r="A3196">
        <f>IF(INDEX(L_ID,ROW()-4)="","",IF(COUNTIF(P_ID,INDEX(L_ID,ROW()-4))&gt;0,1,0))</f>
        <v/>
      </c>
      <c r="B3196">
        <f>IF(INDEX(P_Type,ROW()-4)="","",TRIM(UPPER(INDEX(P_Type,ROW()-4))))</f>
        <v/>
      </c>
      <c r="D3196">
        <f>IF(INDEX(L_Type,ROW()-4)="","",TRIM(UPPER(INDEX(L_Type,ROW()-4))))</f>
        <v/>
      </c>
      <c r="E3196">
        <f>IF(INDEX(P_Status,ROW()-4)="","",TRIM(UPPER(INDEX(P_Status,ROW()-4))))</f>
        <v/>
      </c>
      <c r="G3196">
        <f>IF(INDEX(L_Status,ROW()-4)="","",TRIM(UPPER(INDEX(L_Status,ROW()-4))))</f>
        <v/>
      </c>
      <c r="J3196">
        <f>IF(INDEX(L_ID,ROW()-4)="","",IF(SUMPRODUCT((P_ID=INDEX(L_ID,ROW()-4))*(P_StatusN="INACTIVE"))&gt;0,1,0))</f>
        <v/>
      </c>
    </row>
    <row r="3197">
      <c r="A3197">
        <f>IF(INDEX(L_ID,ROW()-4)="","",IF(COUNTIF(P_ID,INDEX(L_ID,ROW()-4))&gt;0,1,0))</f>
        <v/>
      </c>
      <c r="B3197">
        <f>IF(INDEX(P_Type,ROW()-4)="","",TRIM(UPPER(INDEX(P_Type,ROW()-4))))</f>
        <v/>
      </c>
      <c r="D3197">
        <f>IF(INDEX(L_Type,ROW()-4)="","",TRIM(UPPER(INDEX(L_Type,ROW()-4))))</f>
        <v/>
      </c>
      <c r="E3197">
        <f>IF(INDEX(P_Status,ROW()-4)="","",TRIM(UPPER(INDEX(P_Status,ROW()-4))))</f>
        <v/>
      </c>
      <c r="G3197">
        <f>IF(INDEX(L_Status,ROW()-4)="","",TRIM(UPPER(INDEX(L_Status,ROW()-4))))</f>
        <v/>
      </c>
      <c r="J3197">
        <f>IF(INDEX(L_ID,ROW()-4)="","",IF(SUMPRODUCT((P_ID=INDEX(L_ID,ROW()-4))*(P_StatusN="INACTIVE"))&gt;0,1,0))</f>
        <v/>
      </c>
    </row>
    <row r="3198">
      <c r="A3198">
        <f>IF(INDEX(L_ID,ROW()-4)="","",IF(COUNTIF(P_ID,INDEX(L_ID,ROW()-4))&gt;0,1,0))</f>
        <v/>
      </c>
      <c r="B3198">
        <f>IF(INDEX(P_Type,ROW()-4)="","",TRIM(UPPER(INDEX(P_Type,ROW()-4))))</f>
        <v/>
      </c>
      <c r="D3198">
        <f>IF(INDEX(L_Type,ROW()-4)="","",TRIM(UPPER(INDEX(L_Type,ROW()-4))))</f>
        <v/>
      </c>
      <c r="E3198">
        <f>IF(INDEX(P_Status,ROW()-4)="","",TRIM(UPPER(INDEX(P_Status,ROW()-4))))</f>
        <v/>
      </c>
      <c r="G3198">
        <f>IF(INDEX(L_Status,ROW()-4)="","",TRIM(UPPER(INDEX(L_Status,ROW()-4))))</f>
        <v/>
      </c>
      <c r="J3198">
        <f>IF(INDEX(L_ID,ROW()-4)="","",IF(SUMPRODUCT((P_ID=INDEX(L_ID,ROW()-4))*(P_StatusN="INACTIVE"))&gt;0,1,0))</f>
        <v/>
      </c>
    </row>
    <row r="3199">
      <c r="A3199">
        <f>IF(INDEX(L_ID,ROW()-4)="","",IF(COUNTIF(P_ID,INDEX(L_ID,ROW()-4))&gt;0,1,0))</f>
        <v/>
      </c>
      <c r="B3199">
        <f>IF(INDEX(P_Type,ROW()-4)="","",TRIM(UPPER(INDEX(P_Type,ROW()-4))))</f>
        <v/>
      </c>
      <c r="D3199">
        <f>IF(INDEX(L_Type,ROW()-4)="","",TRIM(UPPER(INDEX(L_Type,ROW()-4))))</f>
        <v/>
      </c>
      <c r="E3199">
        <f>IF(INDEX(P_Status,ROW()-4)="","",TRIM(UPPER(INDEX(P_Status,ROW()-4))))</f>
        <v/>
      </c>
      <c r="G3199">
        <f>IF(INDEX(L_Status,ROW()-4)="","",TRIM(UPPER(INDEX(L_Status,ROW()-4))))</f>
        <v/>
      </c>
      <c r="J3199">
        <f>IF(INDEX(L_ID,ROW()-4)="","",IF(SUMPRODUCT((P_ID=INDEX(L_ID,ROW()-4))*(P_StatusN="INACTIVE"))&gt;0,1,0))</f>
        <v/>
      </c>
    </row>
    <row r="3200">
      <c r="A3200">
        <f>IF(INDEX(L_ID,ROW()-4)="","",IF(COUNTIF(P_ID,INDEX(L_ID,ROW()-4))&gt;0,1,0))</f>
        <v/>
      </c>
      <c r="B3200">
        <f>IF(INDEX(P_Type,ROW()-4)="","",TRIM(UPPER(INDEX(P_Type,ROW()-4))))</f>
        <v/>
      </c>
      <c r="D3200">
        <f>IF(INDEX(L_Type,ROW()-4)="","",TRIM(UPPER(INDEX(L_Type,ROW()-4))))</f>
        <v/>
      </c>
      <c r="E3200">
        <f>IF(INDEX(P_Status,ROW()-4)="","",TRIM(UPPER(INDEX(P_Status,ROW()-4))))</f>
        <v/>
      </c>
      <c r="G3200">
        <f>IF(INDEX(L_Status,ROW()-4)="","",TRIM(UPPER(INDEX(L_Status,ROW()-4))))</f>
        <v/>
      </c>
      <c r="J3200">
        <f>IF(INDEX(L_ID,ROW()-4)="","",IF(SUMPRODUCT((P_ID=INDEX(L_ID,ROW()-4))*(P_StatusN="INACTIVE"))&gt;0,1,0))</f>
        <v/>
      </c>
    </row>
    <row r="3201">
      <c r="A3201">
        <f>IF(INDEX(L_ID,ROW()-4)="","",IF(COUNTIF(P_ID,INDEX(L_ID,ROW()-4))&gt;0,1,0))</f>
        <v/>
      </c>
      <c r="B3201">
        <f>IF(INDEX(P_Type,ROW()-4)="","",TRIM(UPPER(INDEX(P_Type,ROW()-4))))</f>
        <v/>
      </c>
      <c r="D3201">
        <f>IF(INDEX(L_Type,ROW()-4)="","",TRIM(UPPER(INDEX(L_Type,ROW()-4))))</f>
        <v/>
      </c>
      <c r="E3201">
        <f>IF(INDEX(P_Status,ROW()-4)="","",TRIM(UPPER(INDEX(P_Status,ROW()-4))))</f>
        <v/>
      </c>
      <c r="G3201">
        <f>IF(INDEX(L_Status,ROW()-4)="","",TRIM(UPPER(INDEX(L_Status,ROW()-4))))</f>
        <v/>
      </c>
      <c r="J3201">
        <f>IF(INDEX(L_ID,ROW()-4)="","",IF(SUMPRODUCT((P_ID=INDEX(L_ID,ROW()-4))*(P_StatusN="INACTIVE"))&gt;0,1,0))</f>
        <v/>
      </c>
    </row>
    <row r="3202">
      <c r="A3202">
        <f>IF(INDEX(L_ID,ROW()-4)="","",IF(COUNTIF(P_ID,INDEX(L_ID,ROW()-4))&gt;0,1,0))</f>
        <v/>
      </c>
      <c r="B3202">
        <f>IF(INDEX(P_Type,ROW()-4)="","",TRIM(UPPER(INDEX(P_Type,ROW()-4))))</f>
        <v/>
      </c>
      <c r="D3202">
        <f>IF(INDEX(L_Type,ROW()-4)="","",TRIM(UPPER(INDEX(L_Type,ROW()-4))))</f>
        <v/>
      </c>
      <c r="E3202">
        <f>IF(INDEX(P_Status,ROW()-4)="","",TRIM(UPPER(INDEX(P_Status,ROW()-4))))</f>
        <v/>
      </c>
      <c r="G3202">
        <f>IF(INDEX(L_Status,ROW()-4)="","",TRIM(UPPER(INDEX(L_Status,ROW()-4))))</f>
        <v/>
      </c>
      <c r="J3202">
        <f>IF(INDEX(L_ID,ROW()-4)="","",IF(SUMPRODUCT((P_ID=INDEX(L_ID,ROW()-4))*(P_StatusN="INACTIVE"))&gt;0,1,0))</f>
        <v/>
      </c>
    </row>
    <row r="3203">
      <c r="A3203">
        <f>IF(INDEX(L_ID,ROW()-4)="","",IF(COUNTIF(P_ID,INDEX(L_ID,ROW()-4))&gt;0,1,0))</f>
        <v/>
      </c>
      <c r="B3203">
        <f>IF(INDEX(P_Type,ROW()-4)="","",TRIM(UPPER(INDEX(P_Type,ROW()-4))))</f>
        <v/>
      </c>
      <c r="D3203">
        <f>IF(INDEX(L_Type,ROW()-4)="","",TRIM(UPPER(INDEX(L_Type,ROW()-4))))</f>
        <v/>
      </c>
      <c r="E3203">
        <f>IF(INDEX(P_Status,ROW()-4)="","",TRIM(UPPER(INDEX(P_Status,ROW()-4))))</f>
        <v/>
      </c>
      <c r="G3203">
        <f>IF(INDEX(L_Status,ROW()-4)="","",TRIM(UPPER(INDEX(L_Status,ROW()-4))))</f>
        <v/>
      </c>
      <c r="J3203">
        <f>IF(INDEX(L_ID,ROW()-4)="","",IF(SUMPRODUCT((P_ID=INDEX(L_ID,ROW()-4))*(P_StatusN="INACTIVE"))&gt;0,1,0))</f>
        <v/>
      </c>
    </row>
    <row r="3204">
      <c r="A3204">
        <f>IF(INDEX(L_ID,ROW()-4)="","",IF(COUNTIF(P_ID,INDEX(L_ID,ROW()-4))&gt;0,1,0))</f>
        <v/>
      </c>
      <c r="B3204">
        <f>IF(INDEX(P_Type,ROW()-4)="","",TRIM(UPPER(INDEX(P_Type,ROW()-4))))</f>
        <v/>
      </c>
      <c r="D3204">
        <f>IF(INDEX(L_Type,ROW()-4)="","",TRIM(UPPER(INDEX(L_Type,ROW()-4))))</f>
        <v/>
      </c>
      <c r="E3204">
        <f>IF(INDEX(P_Status,ROW()-4)="","",TRIM(UPPER(INDEX(P_Status,ROW()-4))))</f>
        <v/>
      </c>
      <c r="G3204">
        <f>IF(INDEX(L_Status,ROW()-4)="","",TRIM(UPPER(INDEX(L_Status,ROW()-4))))</f>
        <v/>
      </c>
      <c r="J3204">
        <f>IF(INDEX(L_ID,ROW()-4)="","",IF(SUMPRODUCT((P_ID=INDEX(L_ID,ROW()-4))*(P_StatusN="INACTIVE"))&gt;0,1,0))</f>
        <v/>
      </c>
    </row>
    <row r="3205">
      <c r="A3205">
        <f>IF(INDEX(L_ID,ROW()-4)="","",IF(COUNTIF(P_ID,INDEX(L_ID,ROW()-4))&gt;0,1,0))</f>
        <v/>
      </c>
      <c r="B3205">
        <f>IF(INDEX(P_Type,ROW()-4)="","",TRIM(UPPER(INDEX(P_Type,ROW()-4))))</f>
        <v/>
      </c>
      <c r="D3205">
        <f>IF(INDEX(L_Type,ROW()-4)="","",TRIM(UPPER(INDEX(L_Type,ROW()-4))))</f>
        <v/>
      </c>
      <c r="E3205">
        <f>IF(INDEX(P_Status,ROW()-4)="","",TRIM(UPPER(INDEX(P_Status,ROW()-4))))</f>
        <v/>
      </c>
      <c r="G3205">
        <f>IF(INDEX(L_Status,ROW()-4)="","",TRIM(UPPER(INDEX(L_Status,ROW()-4))))</f>
        <v/>
      </c>
      <c r="J3205">
        <f>IF(INDEX(L_ID,ROW()-4)="","",IF(SUMPRODUCT((P_ID=INDEX(L_ID,ROW()-4))*(P_StatusN="INACTIVE"))&gt;0,1,0))</f>
        <v/>
      </c>
    </row>
    <row r="3206">
      <c r="A3206">
        <f>IF(INDEX(L_ID,ROW()-4)="","",IF(COUNTIF(P_ID,INDEX(L_ID,ROW()-4))&gt;0,1,0))</f>
        <v/>
      </c>
      <c r="B3206">
        <f>IF(INDEX(P_Type,ROW()-4)="","",TRIM(UPPER(INDEX(P_Type,ROW()-4))))</f>
        <v/>
      </c>
      <c r="D3206">
        <f>IF(INDEX(L_Type,ROW()-4)="","",TRIM(UPPER(INDEX(L_Type,ROW()-4))))</f>
        <v/>
      </c>
      <c r="E3206">
        <f>IF(INDEX(P_Status,ROW()-4)="","",TRIM(UPPER(INDEX(P_Status,ROW()-4))))</f>
        <v/>
      </c>
      <c r="G3206">
        <f>IF(INDEX(L_Status,ROW()-4)="","",TRIM(UPPER(INDEX(L_Status,ROW()-4))))</f>
        <v/>
      </c>
      <c r="J3206">
        <f>IF(INDEX(L_ID,ROW()-4)="","",IF(SUMPRODUCT((P_ID=INDEX(L_ID,ROW()-4))*(P_StatusN="INACTIVE"))&gt;0,1,0))</f>
        <v/>
      </c>
    </row>
    <row r="3207">
      <c r="A3207">
        <f>IF(INDEX(L_ID,ROW()-4)="","",IF(COUNTIF(P_ID,INDEX(L_ID,ROW()-4))&gt;0,1,0))</f>
        <v/>
      </c>
      <c r="B3207">
        <f>IF(INDEX(P_Type,ROW()-4)="","",TRIM(UPPER(INDEX(P_Type,ROW()-4))))</f>
        <v/>
      </c>
      <c r="D3207">
        <f>IF(INDEX(L_Type,ROW()-4)="","",TRIM(UPPER(INDEX(L_Type,ROW()-4))))</f>
        <v/>
      </c>
      <c r="E3207">
        <f>IF(INDEX(P_Status,ROW()-4)="","",TRIM(UPPER(INDEX(P_Status,ROW()-4))))</f>
        <v/>
      </c>
      <c r="G3207">
        <f>IF(INDEX(L_Status,ROW()-4)="","",TRIM(UPPER(INDEX(L_Status,ROW()-4))))</f>
        <v/>
      </c>
      <c r="J3207">
        <f>IF(INDEX(L_ID,ROW()-4)="","",IF(SUMPRODUCT((P_ID=INDEX(L_ID,ROW()-4))*(P_StatusN="INACTIVE"))&gt;0,1,0))</f>
        <v/>
      </c>
    </row>
    <row r="3208">
      <c r="A3208">
        <f>IF(INDEX(L_ID,ROW()-4)="","",IF(COUNTIF(P_ID,INDEX(L_ID,ROW()-4))&gt;0,1,0))</f>
        <v/>
      </c>
      <c r="B3208">
        <f>IF(INDEX(P_Type,ROW()-4)="","",TRIM(UPPER(INDEX(P_Type,ROW()-4))))</f>
        <v/>
      </c>
      <c r="D3208">
        <f>IF(INDEX(L_Type,ROW()-4)="","",TRIM(UPPER(INDEX(L_Type,ROW()-4))))</f>
        <v/>
      </c>
      <c r="E3208">
        <f>IF(INDEX(P_Status,ROW()-4)="","",TRIM(UPPER(INDEX(P_Status,ROW()-4))))</f>
        <v/>
      </c>
      <c r="G3208">
        <f>IF(INDEX(L_Status,ROW()-4)="","",TRIM(UPPER(INDEX(L_Status,ROW()-4))))</f>
        <v/>
      </c>
      <c r="J3208">
        <f>IF(INDEX(L_ID,ROW()-4)="","",IF(SUMPRODUCT((P_ID=INDEX(L_ID,ROW()-4))*(P_StatusN="INACTIVE"))&gt;0,1,0))</f>
        <v/>
      </c>
    </row>
    <row r="3209">
      <c r="A3209">
        <f>IF(INDEX(L_ID,ROW()-4)="","",IF(COUNTIF(P_ID,INDEX(L_ID,ROW()-4))&gt;0,1,0))</f>
        <v/>
      </c>
      <c r="B3209">
        <f>IF(INDEX(P_Type,ROW()-4)="","",TRIM(UPPER(INDEX(P_Type,ROW()-4))))</f>
        <v/>
      </c>
      <c r="D3209">
        <f>IF(INDEX(L_Type,ROW()-4)="","",TRIM(UPPER(INDEX(L_Type,ROW()-4))))</f>
        <v/>
      </c>
      <c r="E3209">
        <f>IF(INDEX(P_Status,ROW()-4)="","",TRIM(UPPER(INDEX(P_Status,ROW()-4))))</f>
        <v/>
      </c>
      <c r="G3209">
        <f>IF(INDEX(L_Status,ROW()-4)="","",TRIM(UPPER(INDEX(L_Status,ROW()-4))))</f>
        <v/>
      </c>
      <c r="J3209">
        <f>IF(INDEX(L_ID,ROW()-4)="","",IF(SUMPRODUCT((P_ID=INDEX(L_ID,ROW()-4))*(P_StatusN="INACTIVE"))&gt;0,1,0))</f>
        <v/>
      </c>
    </row>
    <row r="3210">
      <c r="A3210">
        <f>IF(INDEX(L_ID,ROW()-4)="","",IF(COUNTIF(P_ID,INDEX(L_ID,ROW()-4))&gt;0,1,0))</f>
        <v/>
      </c>
      <c r="B3210">
        <f>IF(INDEX(P_Type,ROW()-4)="","",TRIM(UPPER(INDEX(P_Type,ROW()-4))))</f>
        <v/>
      </c>
      <c r="D3210">
        <f>IF(INDEX(L_Type,ROW()-4)="","",TRIM(UPPER(INDEX(L_Type,ROW()-4))))</f>
        <v/>
      </c>
      <c r="E3210">
        <f>IF(INDEX(P_Status,ROW()-4)="","",TRIM(UPPER(INDEX(P_Status,ROW()-4))))</f>
        <v/>
      </c>
      <c r="G3210">
        <f>IF(INDEX(L_Status,ROW()-4)="","",TRIM(UPPER(INDEX(L_Status,ROW()-4))))</f>
        <v/>
      </c>
      <c r="J3210">
        <f>IF(INDEX(L_ID,ROW()-4)="","",IF(SUMPRODUCT((P_ID=INDEX(L_ID,ROW()-4))*(P_StatusN="INACTIVE"))&gt;0,1,0))</f>
        <v/>
      </c>
    </row>
    <row r="3211">
      <c r="A3211">
        <f>IF(INDEX(L_ID,ROW()-4)="","",IF(COUNTIF(P_ID,INDEX(L_ID,ROW()-4))&gt;0,1,0))</f>
        <v/>
      </c>
      <c r="B3211">
        <f>IF(INDEX(P_Type,ROW()-4)="","",TRIM(UPPER(INDEX(P_Type,ROW()-4))))</f>
        <v/>
      </c>
      <c r="D3211">
        <f>IF(INDEX(L_Type,ROW()-4)="","",TRIM(UPPER(INDEX(L_Type,ROW()-4))))</f>
        <v/>
      </c>
      <c r="E3211">
        <f>IF(INDEX(P_Status,ROW()-4)="","",TRIM(UPPER(INDEX(P_Status,ROW()-4))))</f>
        <v/>
      </c>
      <c r="G3211">
        <f>IF(INDEX(L_Status,ROW()-4)="","",TRIM(UPPER(INDEX(L_Status,ROW()-4))))</f>
        <v/>
      </c>
      <c r="J3211">
        <f>IF(INDEX(L_ID,ROW()-4)="","",IF(SUMPRODUCT((P_ID=INDEX(L_ID,ROW()-4))*(P_StatusN="INACTIVE"))&gt;0,1,0))</f>
        <v/>
      </c>
    </row>
    <row r="3212">
      <c r="A3212">
        <f>IF(INDEX(L_ID,ROW()-4)="","",IF(COUNTIF(P_ID,INDEX(L_ID,ROW()-4))&gt;0,1,0))</f>
        <v/>
      </c>
      <c r="B3212">
        <f>IF(INDEX(P_Type,ROW()-4)="","",TRIM(UPPER(INDEX(P_Type,ROW()-4))))</f>
        <v/>
      </c>
      <c r="D3212">
        <f>IF(INDEX(L_Type,ROW()-4)="","",TRIM(UPPER(INDEX(L_Type,ROW()-4))))</f>
        <v/>
      </c>
      <c r="E3212">
        <f>IF(INDEX(P_Status,ROW()-4)="","",TRIM(UPPER(INDEX(P_Status,ROW()-4))))</f>
        <v/>
      </c>
      <c r="G3212">
        <f>IF(INDEX(L_Status,ROW()-4)="","",TRIM(UPPER(INDEX(L_Status,ROW()-4))))</f>
        <v/>
      </c>
      <c r="J3212">
        <f>IF(INDEX(L_ID,ROW()-4)="","",IF(SUMPRODUCT((P_ID=INDEX(L_ID,ROW()-4))*(P_StatusN="INACTIVE"))&gt;0,1,0))</f>
        <v/>
      </c>
    </row>
    <row r="3213">
      <c r="A3213">
        <f>IF(INDEX(L_ID,ROW()-4)="","",IF(COUNTIF(P_ID,INDEX(L_ID,ROW()-4))&gt;0,1,0))</f>
        <v/>
      </c>
      <c r="B3213">
        <f>IF(INDEX(P_Type,ROW()-4)="","",TRIM(UPPER(INDEX(P_Type,ROW()-4))))</f>
        <v/>
      </c>
      <c r="D3213">
        <f>IF(INDEX(L_Type,ROW()-4)="","",TRIM(UPPER(INDEX(L_Type,ROW()-4))))</f>
        <v/>
      </c>
      <c r="E3213">
        <f>IF(INDEX(P_Status,ROW()-4)="","",TRIM(UPPER(INDEX(P_Status,ROW()-4))))</f>
        <v/>
      </c>
      <c r="G3213">
        <f>IF(INDEX(L_Status,ROW()-4)="","",TRIM(UPPER(INDEX(L_Status,ROW()-4))))</f>
        <v/>
      </c>
      <c r="J3213">
        <f>IF(INDEX(L_ID,ROW()-4)="","",IF(SUMPRODUCT((P_ID=INDEX(L_ID,ROW()-4))*(P_StatusN="INACTIVE"))&gt;0,1,0))</f>
        <v/>
      </c>
    </row>
    <row r="3214">
      <c r="A3214">
        <f>IF(INDEX(L_ID,ROW()-4)="","",IF(COUNTIF(P_ID,INDEX(L_ID,ROW()-4))&gt;0,1,0))</f>
        <v/>
      </c>
      <c r="B3214">
        <f>IF(INDEX(P_Type,ROW()-4)="","",TRIM(UPPER(INDEX(P_Type,ROW()-4))))</f>
        <v/>
      </c>
      <c r="D3214">
        <f>IF(INDEX(L_Type,ROW()-4)="","",TRIM(UPPER(INDEX(L_Type,ROW()-4))))</f>
        <v/>
      </c>
      <c r="E3214">
        <f>IF(INDEX(P_Status,ROW()-4)="","",TRIM(UPPER(INDEX(P_Status,ROW()-4))))</f>
        <v/>
      </c>
      <c r="G3214">
        <f>IF(INDEX(L_Status,ROW()-4)="","",TRIM(UPPER(INDEX(L_Status,ROW()-4))))</f>
        <v/>
      </c>
      <c r="J3214">
        <f>IF(INDEX(L_ID,ROW()-4)="","",IF(SUMPRODUCT((P_ID=INDEX(L_ID,ROW()-4))*(P_StatusN="INACTIVE"))&gt;0,1,0))</f>
        <v/>
      </c>
    </row>
    <row r="3215">
      <c r="A3215">
        <f>IF(INDEX(L_ID,ROW()-4)="","",IF(COUNTIF(P_ID,INDEX(L_ID,ROW()-4))&gt;0,1,0))</f>
        <v/>
      </c>
      <c r="B3215">
        <f>IF(INDEX(P_Type,ROW()-4)="","",TRIM(UPPER(INDEX(P_Type,ROW()-4))))</f>
        <v/>
      </c>
      <c r="D3215">
        <f>IF(INDEX(L_Type,ROW()-4)="","",TRIM(UPPER(INDEX(L_Type,ROW()-4))))</f>
        <v/>
      </c>
      <c r="E3215">
        <f>IF(INDEX(P_Status,ROW()-4)="","",TRIM(UPPER(INDEX(P_Status,ROW()-4))))</f>
        <v/>
      </c>
      <c r="G3215">
        <f>IF(INDEX(L_Status,ROW()-4)="","",TRIM(UPPER(INDEX(L_Status,ROW()-4))))</f>
        <v/>
      </c>
      <c r="J3215">
        <f>IF(INDEX(L_ID,ROW()-4)="","",IF(SUMPRODUCT((P_ID=INDEX(L_ID,ROW()-4))*(P_StatusN="INACTIVE"))&gt;0,1,0))</f>
        <v/>
      </c>
    </row>
    <row r="3216">
      <c r="A3216">
        <f>IF(INDEX(L_ID,ROW()-4)="","",IF(COUNTIF(P_ID,INDEX(L_ID,ROW()-4))&gt;0,1,0))</f>
        <v/>
      </c>
      <c r="B3216">
        <f>IF(INDEX(P_Type,ROW()-4)="","",TRIM(UPPER(INDEX(P_Type,ROW()-4))))</f>
        <v/>
      </c>
      <c r="D3216">
        <f>IF(INDEX(L_Type,ROW()-4)="","",TRIM(UPPER(INDEX(L_Type,ROW()-4))))</f>
        <v/>
      </c>
      <c r="E3216">
        <f>IF(INDEX(P_Status,ROW()-4)="","",TRIM(UPPER(INDEX(P_Status,ROW()-4))))</f>
        <v/>
      </c>
      <c r="G3216">
        <f>IF(INDEX(L_Status,ROW()-4)="","",TRIM(UPPER(INDEX(L_Status,ROW()-4))))</f>
        <v/>
      </c>
      <c r="J3216">
        <f>IF(INDEX(L_ID,ROW()-4)="","",IF(SUMPRODUCT((P_ID=INDEX(L_ID,ROW()-4))*(P_StatusN="INACTIVE"))&gt;0,1,0))</f>
        <v/>
      </c>
    </row>
    <row r="3217">
      <c r="A3217">
        <f>IF(INDEX(L_ID,ROW()-4)="","",IF(COUNTIF(P_ID,INDEX(L_ID,ROW()-4))&gt;0,1,0))</f>
        <v/>
      </c>
      <c r="B3217">
        <f>IF(INDEX(P_Type,ROW()-4)="","",TRIM(UPPER(INDEX(P_Type,ROW()-4))))</f>
        <v/>
      </c>
      <c r="D3217">
        <f>IF(INDEX(L_Type,ROW()-4)="","",TRIM(UPPER(INDEX(L_Type,ROW()-4))))</f>
        <v/>
      </c>
      <c r="E3217">
        <f>IF(INDEX(P_Status,ROW()-4)="","",TRIM(UPPER(INDEX(P_Status,ROW()-4))))</f>
        <v/>
      </c>
      <c r="G3217">
        <f>IF(INDEX(L_Status,ROW()-4)="","",TRIM(UPPER(INDEX(L_Status,ROW()-4))))</f>
        <v/>
      </c>
      <c r="J3217">
        <f>IF(INDEX(L_ID,ROW()-4)="","",IF(SUMPRODUCT((P_ID=INDEX(L_ID,ROW()-4))*(P_StatusN="INACTIVE"))&gt;0,1,0))</f>
        <v/>
      </c>
    </row>
    <row r="3218">
      <c r="A3218">
        <f>IF(INDEX(L_ID,ROW()-4)="","",IF(COUNTIF(P_ID,INDEX(L_ID,ROW()-4))&gt;0,1,0))</f>
        <v/>
      </c>
      <c r="B3218">
        <f>IF(INDEX(P_Type,ROW()-4)="","",TRIM(UPPER(INDEX(P_Type,ROW()-4))))</f>
        <v/>
      </c>
      <c r="D3218">
        <f>IF(INDEX(L_Type,ROW()-4)="","",TRIM(UPPER(INDEX(L_Type,ROW()-4))))</f>
        <v/>
      </c>
      <c r="E3218">
        <f>IF(INDEX(P_Status,ROW()-4)="","",TRIM(UPPER(INDEX(P_Status,ROW()-4))))</f>
        <v/>
      </c>
      <c r="G3218">
        <f>IF(INDEX(L_Status,ROW()-4)="","",TRIM(UPPER(INDEX(L_Status,ROW()-4))))</f>
        <v/>
      </c>
      <c r="J3218">
        <f>IF(INDEX(L_ID,ROW()-4)="","",IF(SUMPRODUCT((P_ID=INDEX(L_ID,ROW()-4))*(P_StatusN="INACTIVE"))&gt;0,1,0))</f>
        <v/>
      </c>
    </row>
    <row r="3219">
      <c r="A3219">
        <f>IF(INDEX(L_ID,ROW()-4)="","",IF(COUNTIF(P_ID,INDEX(L_ID,ROW()-4))&gt;0,1,0))</f>
        <v/>
      </c>
      <c r="B3219">
        <f>IF(INDEX(P_Type,ROW()-4)="","",TRIM(UPPER(INDEX(P_Type,ROW()-4))))</f>
        <v/>
      </c>
      <c r="D3219">
        <f>IF(INDEX(L_Type,ROW()-4)="","",TRIM(UPPER(INDEX(L_Type,ROW()-4))))</f>
        <v/>
      </c>
      <c r="E3219">
        <f>IF(INDEX(P_Status,ROW()-4)="","",TRIM(UPPER(INDEX(P_Status,ROW()-4))))</f>
        <v/>
      </c>
      <c r="G3219">
        <f>IF(INDEX(L_Status,ROW()-4)="","",TRIM(UPPER(INDEX(L_Status,ROW()-4))))</f>
        <v/>
      </c>
      <c r="J3219">
        <f>IF(INDEX(L_ID,ROW()-4)="","",IF(SUMPRODUCT((P_ID=INDEX(L_ID,ROW()-4))*(P_StatusN="INACTIVE"))&gt;0,1,0))</f>
        <v/>
      </c>
    </row>
    <row r="3220">
      <c r="A3220">
        <f>IF(INDEX(L_ID,ROW()-4)="","",IF(COUNTIF(P_ID,INDEX(L_ID,ROW()-4))&gt;0,1,0))</f>
        <v/>
      </c>
      <c r="B3220">
        <f>IF(INDEX(P_Type,ROW()-4)="","",TRIM(UPPER(INDEX(P_Type,ROW()-4))))</f>
        <v/>
      </c>
      <c r="D3220">
        <f>IF(INDEX(L_Type,ROW()-4)="","",TRIM(UPPER(INDEX(L_Type,ROW()-4))))</f>
        <v/>
      </c>
      <c r="E3220">
        <f>IF(INDEX(P_Status,ROW()-4)="","",TRIM(UPPER(INDEX(P_Status,ROW()-4))))</f>
        <v/>
      </c>
      <c r="G3220">
        <f>IF(INDEX(L_Status,ROW()-4)="","",TRIM(UPPER(INDEX(L_Status,ROW()-4))))</f>
        <v/>
      </c>
      <c r="J3220">
        <f>IF(INDEX(L_ID,ROW()-4)="","",IF(SUMPRODUCT((P_ID=INDEX(L_ID,ROW()-4))*(P_StatusN="INACTIVE"))&gt;0,1,0))</f>
        <v/>
      </c>
    </row>
    <row r="3221">
      <c r="A3221">
        <f>IF(INDEX(L_ID,ROW()-4)="","",IF(COUNTIF(P_ID,INDEX(L_ID,ROW()-4))&gt;0,1,0))</f>
        <v/>
      </c>
      <c r="B3221">
        <f>IF(INDEX(P_Type,ROW()-4)="","",TRIM(UPPER(INDEX(P_Type,ROW()-4))))</f>
        <v/>
      </c>
      <c r="D3221">
        <f>IF(INDEX(L_Type,ROW()-4)="","",TRIM(UPPER(INDEX(L_Type,ROW()-4))))</f>
        <v/>
      </c>
      <c r="E3221">
        <f>IF(INDEX(P_Status,ROW()-4)="","",TRIM(UPPER(INDEX(P_Status,ROW()-4))))</f>
        <v/>
      </c>
      <c r="G3221">
        <f>IF(INDEX(L_Status,ROW()-4)="","",TRIM(UPPER(INDEX(L_Status,ROW()-4))))</f>
        <v/>
      </c>
      <c r="J3221">
        <f>IF(INDEX(L_ID,ROW()-4)="","",IF(SUMPRODUCT((P_ID=INDEX(L_ID,ROW()-4))*(P_StatusN="INACTIVE"))&gt;0,1,0))</f>
        <v/>
      </c>
    </row>
    <row r="3222">
      <c r="A3222">
        <f>IF(INDEX(L_ID,ROW()-4)="","",IF(COUNTIF(P_ID,INDEX(L_ID,ROW()-4))&gt;0,1,0))</f>
        <v/>
      </c>
      <c r="B3222">
        <f>IF(INDEX(P_Type,ROW()-4)="","",TRIM(UPPER(INDEX(P_Type,ROW()-4))))</f>
        <v/>
      </c>
      <c r="D3222">
        <f>IF(INDEX(L_Type,ROW()-4)="","",TRIM(UPPER(INDEX(L_Type,ROW()-4))))</f>
        <v/>
      </c>
      <c r="E3222">
        <f>IF(INDEX(P_Status,ROW()-4)="","",TRIM(UPPER(INDEX(P_Status,ROW()-4))))</f>
        <v/>
      </c>
      <c r="G3222">
        <f>IF(INDEX(L_Status,ROW()-4)="","",TRIM(UPPER(INDEX(L_Status,ROW()-4))))</f>
        <v/>
      </c>
      <c r="J3222">
        <f>IF(INDEX(L_ID,ROW()-4)="","",IF(SUMPRODUCT((P_ID=INDEX(L_ID,ROW()-4))*(P_StatusN="INACTIVE"))&gt;0,1,0))</f>
        <v/>
      </c>
    </row>
    <row r="3223">
      <c r="A3223">
        <f>IF(INDEX(L_ID,ROW()-4)="","",IF(COUNTIF(P_ID,INDEX(L_ID,ROW()-4))&gt;0,1,0))</f>
        <v/>
      </c>
      <c r="B3223">
        <f>IF(INDEX(P_Type,ROW()-4)="","",TRIM(UPPER(INDEX(P_Type,ROW()-4))))</f>
        <v/>
      </c>
      <c r="D3223">
        <f>IF(INDEX(L_Type,ROW()-4)="","",TRIM(UPPER(INDEX(L_Type,ROW()-4))))</f>
        <v/>
      </c>
      <c r="E3223">
        <f>IF(INDEX(P_Status,ROW()-4)="","",TRIM(UPPER(INDEX(P_Status,ROW()-4))))</f>
        <v/>
      </c>
      <c r="G3223">
        <f>IF(INDEX(L_Status,ROW()-4)="","",TRIM(UPPER(INDEX(L_Status,ROW()-4))))</f>
        <v/>
      </c>
      <c r="J3223">
        <f>IF(INDEX(L_ID,ROW()-4)="","",IF(SUMPRODUCT((P_ID=INDEX(L_ID,ROW()-4))*(P_StatusN="INACTIVE"))&gt;0,1,0))</f>
        <v/>
      </c>
    </row>
    <row r="3224">
      <c r="A3224">
        <f>IF(INDEX(L_ID,ROW()-4)="","",IF(COUNTIF(P_ID,INDEX(L_ID,ROW()-4))&gt;0,1,0))</f>
        <v/>
      </c>
      <c r="B3224">
        <f>IF(INDEX(P_Type,ROW()-4)="","",TRIM(UPPER(INDEX(P_Type,ROW()-4))))</f>
        <v/>
      </c>
      <c r="D3224">
        <f>IF(INDEX(L_Type,ROW()-4)="","",TRIM(UPPER(INDEX(L_Type,ROW()-4))))</f>
        <v/>
      </c>
      <c r="E3224">
        <f>IF(INDEX(P_Status,ROW()-4)="","",TRIM(UPPER(INDEX(P_Status,ROW()-4))))</f>
        <v/>
      </c>
      <c r="G3224">
        <f>IF(INDEX(L_Status,ROW()-4)="","",TRIM(UPPER(INDEX(L_Status,ROW()-4))))</f>
        <v/>
      </c>
      <c r="J3224">
        <f>IF(INDEX(L_ID,ROW()-4)="","",IF(SUMPRODUCT((P_ID=INDEX(L_ID,ROW()-4))*(P_StatusN="INACTIVE"))&gt;0,1,0))</f>
        <v/>
      </c>
    </row>
    <row r="3225">
      <c r="A3225">
        <f>IF(INDEX(L_ID,ROW()-4)="","",IF(COUNTIF(P_ID,INDEX(L_ID,ROW()-4))&gt;0,1,0))</f>
        <v/>
      </c>
      <c r="B3225">
        <f>IF(INDEX(P_Type,ROW()-4)="","",TRIM(UPPER(INDEX(P_Type,ROW()-4))))</f>
        <v/>
      </c>
      <c r="D3225">
        <f>IF(INDEX(L_Type,ROW()-4)="","",TRIM(UPPER(INDEX(L_Type,ROW()-4))))</f>
        <v/>
      </c>
      <c r="E3225">
        <f>IF(INDEX(P_Status,ROW()-4)="","",TRIM(UPPER(INDEX(P_Status,ROW()-4))))</f>
        <v/>
      </c>
      <c r="G3225">
        <f>IF(INDEX(L_Status,ROW()-4)="","",TRIM(UPPER(INDEX(L_Status,ROW()-4))))</f>
        <v/>
      </c>
      <c r="J3225">
        <f>IF(INDEX(L_ID,ROW()-4)="","",IF(SUMPRODUCT((P_ID=INDEX(L_ID,ROW()-4))*(P_StatusN="INACTIVE"))&gt;0,1,0))</f>
        <v/>
      </c>
    </row>
    <row r="3226">
      <c r="A3226">
        <f>IF(INDEX(L_ID,ROW()-4)="","",IF(COUNTIF(P_ID,INDEX(L_ID,ROW()-4))&gt;0,1,0))</f>
        <v/>
      </c>
      <c r="B3226">
        <f>IF(INDEX(P_Type,ROW()-4)="","",TRIM(UPPER(INDEX(P_Type,ROW()-4))))</f>
        <v/>
      </c>
      <c r="D3226">
        <f>IF(INDEX(L_Type,ROW()-4)="","",TRIM(UPPER(INDEX(L_Type,ROW()-4))))</f>
        <v/>
      </c>
      <c r="E3226">
        <f>IF(INDEX(P_Status,ROW()-4)="","",TRIM(UPPER(INDEX(P_Status,ROW()-4))))</f>
        <v/>
      </c>
      <c r="G3226">
        <f>IF(INDEX(L_Status,ROW()-4)="","",TRIM(UPPER(INDEX(L_Status,ROW()-4))))</f>
        <v/>
      </c>
      <c r="J3226">
        <f>IF(INDEX(L_ID,ROW()-4)="","",IF(SUMPRODUCT((P_ID=INDEX(L_ID,ROW()-4))*(P_StatusN="INACTIVE"))&gt;0,1,0))</f>
        <v/>
      </c>
    </row>
    <row r="3227">
      <c r="A3227">
        <f>IF(INDEX(L_ID,ROW()-4)="","",IF(COUNTIF(P_ID,INDEX(L_ID,ROW()-4))&gt;0,1,0))</f>
        <v/>
      </c>
      <c r="B3227">
        <f>IF(INDEX(P_Type,ROW()-4)="","",TRIM(UPPER(INDEX(P_Type,ROW()-4))))</f>
        <v/>
      </c>
      <c r="D3227">
        <f>IF(INDEX(L_Type,ROW()-4)="","",TRIM(UPPER(INDEX(L_Type,ROW()-4))))</f>
        <v/>
      </c>
      <c r="E3227">
        <f>IF(INDEX(P_Status,ROW()-4)="","",TRIM(UPPER(INDEX(P_Status,ROW()-4))))</f>
        <v/>
      </c>
      <c r="G3227">
        <f>IF(INDEX(L_Status,ROW()-4)="","",TRIM(UPPER(INDEX(L_Status,ROW()-4))))</f>
        <v/>
      </c>
      <c r="J3227">
        <f>IF(INDEX(L_ID,ROW()-4)="","",IF(SUMPRODUCT((P_ID=INDEX(L_ID,ROW()-4))*(P_StatusN="INACTIVE"))&gt;0,1,0))</f>
        <v/>
      </c>
    </row>
    <row r="3228">
      <c r="A3228">
        <f>IF(INDEX(L_ID,ROW()-4)="","",IF(COUNTIF(P_ID,INDEX(L_ID,ROW()-4))&gt;0,1,0))</f>
        <v/>
      </c>
      <c r="B3228">
        <f>IF(INDEX(P_Type,ROW()-4)="","",TRIM(UPPER(INDEX(P_Type,ROW()-4))))</f>
        <v/>
      </c>
      <c r="D3228">
        <f>IF(INDEX(L_Type,ROW()-4)="","",TRIM(UPPER(INDEX(L_Type,ROW()-4))))</f>
        <v/>
      </c>
      <c r="E3228">
        <f>IF(INDEX(P_Status,ROW()-4)="","",TRIM(UPPER(INDEX(P_Status,ROW()-4))))</f>
        <v/>
      </c>
      <c r="G3228">
        <f>IF(INDEX(L_Status,ROW()-4)="","",TRIM(UPPER(INDEX(L_Status,ROW()-4))))</f>
        <v/>
      </c>
      <c r="J3228">
        <f>IF(INDEX(L_ID,ROW()-4)="","",IF(SUMPRODUCT((P_ID=INDEX(L_ID,ROW()-4))*(P_StatusN="INACTIVE"))&gt;0,1,0))</f>
        <v/>
      </c>
    </row>
    <row r="3229">
      <c r="A3229">
        <f>IF(INDEX(L_ID,ROW()-4)="","",IF(COUNTIF(P_ID,INDEX(L_ID,ROW()-4))&gt;0,1,0))</f>
        <v/>
      </c>
      <c r="B3229">
        <f>IF(INDEX(P_Type,ROW()-4)="","",TRIM(UPPER(INDEX(P_Type,ROW()-4))))</f>
        <v/>
      </c>
      <c r="D3229">
        <f>IF(INDEX(L_Type,ROW()-4)="","",TRIM(UPPER(INDEX(L_Type,ROW()-4))))</f>
        <v/>
      </c>
      <c r="E3229">
        <f>IF(INDEX(P_Status,ROW()-4)="","",TRIM(UPPER(INDEX(P_Status,ROW()-4))))</f>
        <v/>
      </c>
      <c r="G3229">
        <f>IF(INDEX(L_Status,ROW()-4)="","",TRIM(UPPER(INDEX(L_Status,ROW()-4))))</f>
        <v/>
      </c>
      <c r="J3229">
        <f>IF(INDEX(L_ID,ROW()-4)="","",IF(SUMPRODUCT((P_ID=INDEX(L_ID,ROW()-4))*(P_StatusN="INACTIVE"))&gt;0,1,0))</f>
        <v/>
      </c>
    </row>
    <row r="3230">
      <c r="A3230">
        <f>IF(INDEX(L_ID,ROW()-4)="","",IF(COUNTIF(P_ID,INDEX(L_ID,ROW()-4))&gt;0,1,0))</f>
        <v/>
      </c>
      <c r="B3230">
        <f>IF(INDEX(P_Type,ROW()-4)="","",TRIM(UPPER(INDEX(P_Type,ROW()-4))))</f>
        <v/>
      </c>
      <c r="D3230">
        <f>IF(INDEX(L_Type,ROW()-4)="","",TRIM(UPPER(INDEX(L_Type,ROW()-4))))</f>
        <v/>
      </c>
      <c r="E3230">
        <f>IF(INDEX(P_Status,ROW()-4)="","",TRIM(UPPER(INDEX(P_Status,ROW()-4))))</f>
        <v/>
      </c>
      <c r="G3230">
        <f>IF(INDEX(L_Status,ROW()-4)="","",TRIM(UPPER(INDEX(L_Status,ROW()-4))))</f>
        <v/>
      </c>
      <c r="J3230">
        <f>IF(INDEX(L_ID,ROW()-4)="","",IF(SUMPRODUCT((P_ID=INDEX(L_ID,ROW()-4))*(P_StatusN="INACTIVE"))&gt;0,1,0))</f>
        <v/>
      </c>
    </row>
    <row r="3231">
      <c r="A3231">
        <f>IF(INDEX(L_ID,ROW()-4)="","",IF(COUNTIF(P_ID,INDEX(L_ID,ROW()-4))&gt;0,1,0))</f>
        <v/>
      </c>
      <c r="B3231">
        <f>IF(INDEX(P_Type,ROW()-4)="","",TRIM(UPPER(INDEX(P_Type,ROW()-4))))</f>
        <v/>
      </c>
      <c r="D3231">
        <f>IF(INDEX(L_Type,ROW()-4)="","",TRIM(UPPER(INDEX(L_Type,ROW()-4))))</f>
        <v/>
      </c>
      <c r="E3231">
        <f>IF(INDEX(P_Status,ROW()-4)="","",TRIM(UPPER(INDEX(P_Status,ROW()-4))))</f>
        <v/>
      </c>
      <c r="G3231">
        <f>IF(INDEX(L_Status,ROW()-4)="","",TRIM(UPPER(INDEX(L_Status,ROW()-4))))</f>
        <v/>
      </c>
      <c r="J3231">
        <f>IF(INDEX(L_ID,ROW()-4)="","",IF(SUMPRODUCT((P_ID=INDEX(L_ID,ROW()-4))*(P_StatusN="INACTIVE"))&gt;0,1,0))</f>
        <v/>
      </c>
    </row>
    <row r="3232">
      <c r="A3232">
        <f>IF(INDEX(L_ID,ROW()-4)="","",IF(COUNTIF(P_ID,INDEX(L_ID,ROW()-4))&gt;0,1,0))</f>
        <v/>
      </c>
      <c r="B3232">
        <f>IF(INDEX(P_Type,ROW()-4)="","",TRIM(UPPER(INDEX(P_Type,ROW()-4))))</f>
        <v/>
      </c>
      <c r="D3232">
        <f>IF(INDEX(L_Type,ROW()-4)="","",TRIM(UPPER(INDEX(L_Type,ROW()-4))))</f>
        <v/>
      </c>
      <c r="E3232">
        <f>IF(INDEX(P_Status,ROW()-4)="","",TRIM(UPPER(INDEX(P_Status,ROW()-4))))</f>
        <v/>
      </c>
      <c r="G3232">
        <f>IF(INDEX(L_Status,ROW()-4)="","",TRIM(UPPER(INDEX(L_Status,ROW()-4))))</f>
        <v/>
      </c>
      <c r="J3232">
        <f>IF(INDEX(L_ID,ROW()-4)="","",IF(SUMPRODUCT((P_ID=INDEX(L_ID,ROW()-4))*(P_StatusN="INACTIVE"))&gt;0,1,0))</f>
        <v/>
      </c>
    </row>
    <row r="3233">
      <c r="A3233">
        <f>IF(INDEX(L_ID,ROW()-4)="","",IF(COUNTIF(P_ID,INDEX(L_ID,ROW()-4))&gt;0,1,0))</f>
        <v/>
      </c>
      <c r="B3233">
        <f>IF(INDEX(P_Type,ROW()-4)="","",TRIM(UPPER(INDEX(P_Type,ROW()-4))))</f>
        <v/>
      </c>
      <c r="D3233">
        <f>IF(INDEX(L_Type,ROW()-4)="","",TRIM(UPPER(INDEX(L_Type,ROW()-4))))</f>
        <v/>
      </c>
      <c r="E3233">
        <f>IF(INDEX(P_Status,ROW()-4)="","",TRIM(UPPER(INDEX(P_Status,ROW()-4))))</f>
        <v/>
      </c>
      <c r="G3233">
        <f>IF(INDEX(L_Status,ROW()-4)="","",TRIM(UPPER(INDEX(L_Status,ROW()-4))))</f>
        <v/>
      </c>
      <c r="J3233">
        <f>IF(INDEX(L_ID,ROW()-4)="","",IF(SUMPRODUCT((P_ID=INDEX(L_ID,ROW()-4))*(P_StatusN="INACTIVE"))&gt;0,1,0))</f>
        <v/>
      </c>
    </row>
    <row r="3234">
      <c r="A3234">
        <f>IF(INDEX(L_ID,ROW()-4)="","",IF(COUNTIF(P_ID,INDEX(L_ID,ROW()-4))&gt;0,1,0))</f>
        <v/>
      </c>
      <c r="B3234">
        <f>IF(INDEX(P_Type,ROW()-4)="","",TRIM(UPPER(INDEX(P_Type,ROW()-4))))</f>
        <v/>
      </c>
      <c r="D3234">
        <f>IF(INDEX(L_Type,ROW()-4)="","",TRIM(UPPER(INDEX(L_Type,ROW()-4))))</f>
        <v/>
      </c>
      <c r="E3234">
        <f>IF(INDEX(P_Status,ROW()-4)="","",TRIM(UPPER(INDEX(P_Status,ROW()-4))))</f>
        <v/>
      </c>
      <c r="G3234">
        <f>IF(INDEX(L_Status,ROW()-4)="","",TRIM(UPPER(INDEX(L_Status,ROW()-4))))</f>
        <v/>
      </c>
      <c r="J3234">
        <f>IF(INDEX(L_ID,ROW()-4)="","",IF(SUMPRODUCT((P_ID=INDEX(L_ID,ROW()-4))*(P_StatusN="INACTIVE"))&gt;0,1,0))</f>
        <v/>
      </c>
    </row>
    <row r="3235">
      <c r="A3235">
        <f>IF(INDEX(L_ID,ROW()-4)="","",IF(COUNTIF(P_ID,INDEX(L_ID,ROW()-4))&gt;0,1,0))</f>
        <v/>
      </c>
      <c r="B3235">
        <f>IF(INDEX(P_Type,ROW()-4)="","",TRIM(UPPER(INDEX(P_Type,ROW()-4))))</f>
        <v/>
      </c>
      <c r="D3235">
        <f>IF(INDEX(L_Type,ROW()-4)="","",TRIM(UPPER(INDEX(L_Type,ROW()-4))))</f>
        <v/>
      </c>
      <c r="E3235">
        <f>IF(INDEX(P_Status,ROW()-4)="","",TRIM(UPPER(INDEX(P_Status,ROW()-4))))</f>
        <v/>
      </c>
      <c r="G3235">
        <f>IF(INDEX(L_Status,ROW()-4)="","",TRIM(UPPER(INDEX(L_Status,ROW()-4))))</f>
        <v/>
      </c>
      <c r="J3235">
        <f>IF(INDEX(L_ID,ROW()-4)="","",IF(SUMPRODUCT((P_ID=INDEX(L_ID,ROW()-4))*(P_StatusN="INACTIVE"))&gt;0,1,0))</f>
        <v/>
      </c>
    </row>
    <row r="3236">
      <c r="A3236">
        <f>IF(INDEX(L_ID,ROW()-4)="","",IF(COUNTIF(P_ID,INDEX(L_ID,ROW()-4))&gt;0,1,0))</f>
        <v/>
      </c>
      <c r="B3236">
        <f>IF(INDEX(P_Type,ROW()-4)="","",TRIM(UPPER(INDEX(P_Type,ROW()-4))))</f>
        <v/>
      </c>
      <c r="D3236">
        <f>IF(INDEX(L_Type,ROW()-4)="","",TRIM(UPPER(INDEX(L_Type,ROW()-4))))</f>
        <v/>
      </c>
      <c r="E3236">
        <f>IF(INDEX(P_Status,ROW()-4)="","",TRIM(UPPER(INDEX(P_Status,ROW()-4))))</f>
        <v/>
      </c>
      <c r="G3236">
        <f>IF(INDEX(L_Status,ROW()-4)="","",TRIM(UPPER(INDEX(L_Status,ROW()-4))))</f>
        <v/>
      </c>
      <c r="J3236">
        <f>IF(INDEX(L_ID,ROW()-4)="","",IF(SUMPRODUCT((P_ID=INDEX(L_ID,ROW()-4))*(P_StatusN="INACTIVE"))&gt;0,1,0))</f>
        <v/>
      </c>
    </row>
    <row r="3237">
      <c r="A3237">
        <f>IF(INDEX(L_ID,ROW()-4)="","",IF(COUNTIF(P_ID,INDEX(L_ID,ROW()-4))&gt;0,1,0))</f>
        <v/>
      </c>
      <c r="B3237">
        <f>IF(INDEX(P_Type,ROW()-4)="","",TRIM(UPPER(INDEX(P_Type,ROW()-4))))</f>
        <v/>
      </c>
      <c r="D3237">
        <f>IF(INDEX(L_Type,ROW()-4)="","",TRIM(UPPER(INDEX(L_Type,ROW()-4))))</f>
        <v/>
      </c>
      <c r="E3237">
        <f>IF(INDEX(P_Status,ROW()-4)="","",TRIM(UPPER(INDEX(P_Status,ROW()-4))))</f>
        <v/>
      </c>
      <c r="G3237">
        <f>IF(INDEX(L_Status,ROW()-4)="","",TRIM(UPPER(INDEX(L_Status,ROW()-4))))</f>
        <v/>
      </c>
      <c r="J3237">
        <f>IF(INDEX(L_ID,ROW()-4)="","",IF(SUMPRODUCT((P_ID=INDEX(L_ID,ROW()-4))*(P_StatusN="INACTIVE"))&gt;0,1,0))</f>
        <v/>
      </c>
    </row>
    <row r="3238">
      <c r="A3238">
        <f>IF(INDEX(L_ID,ROW()-4)="","",IF(COUNTIF(P_ID,INDEX(L_ID,ROW()-4))&gt;0,1,0))</f>
        <v/>
      </c>
      <c r="B3238">
        <f>IF(INDEX(P_Type,ROW()-4)="","",TRIM(UPPER(INDEX(P_Type,ROW()-4))))</f>
        <v/>
      </c>
      <c r="D3238">
        <f>IF(INDEX(L_Type,ROW()-4)="","",TRIM(UPPER(INDEX(L_Type,ROW()-4))))</f>
        <v/>
      </c>
      <c r="E3238">
        <f>IF(INDEX(P_Status,ROW()-4)="","",TRIM(UPPER(INDEX(P_Status,ROW()-4))))</f>
        <v/>
      </c>
      <c r="G3238">
        <f>IF(INDEX(L_Status,ROW()-4)="","",TRIM(UPPER(INDEX(L_Status,ROW()-4))))</f>
        <v/>
      </c>
      <c r="J3238">
        <f>IF(INDEX(L_ID,ROW()-4)="","",IF(SUMPRODUCT((P_ID=INDEX(L_ID,ROW()-4))*(P_StatusN="INACTIVE"))&gt;0,1,0))</f>
        <v/>
      </c>
    </row>
    <row r="3239">
      <c r="A3239">
        <f>IF(INDEX(L_ID,ROW()-4)="","",IF(COUNTIF(P_ID,INDEX(L_ID,ROW()-4))&gt;0,1,0))</f>
        <v/>
      </c>
      <c r="B3239">
        <f>IF(INDEX(P_Type,ROW()-4)="","",TRIM(UPPER(INDEX(P_Type,ROW()-4))))</f>
        <v/>
      </c>
      <c r="D3239">
        <f>IF(INDEX(L_Type,ROW()-4)="","",TRIM(UPPER(INDEX(L_Type,ROW()-4))))</f>
        <v/>
      </c>
      <c r="E3239">
        <f>IF(INDEX(P_Status,ROW()-4)="","",TRIM(UPPER(INDEX(P_Status,ROW()-4))))</f>
        <v/>
      </c>
      <c r="G3239">
        <f>IF(INDEX(L_Status,ROW()-4)="","",TRIM(UPPER(INDEX(L_Status,ROW()-4))))</f>
        <v/>
      </c>
      <c r="J3239">
        <f>IF(INDEX(L_ID,ROW()-4)="","",IF(SUMPRODUCT((P_ID=INDEX(L_ID,ROW()-4))*(P_StatusN="INACTIVE"))&gt;0,1,0))</f>
        <v/>
      </c>
    </row>
    <row r="3240">
      <c r="A3240">
        <f>IF(INDEX(L_ID,ROW()-4)="","",IF(COUNTIF(P_ID,INDEX(L_ID,ROW()-4))&gt;0,1,0))</f>
        <v/>
      </c>
      <c r="B3240">
        <f>IF(INDEX(P_Type,ROW()-4)="","",TRIM(UPPER(INDEX(P_Type,ROW()-4))))</f>
        <v/>
      </c>
      <c r="D3240">
        <f>IF(INDEX(L_Type,ROW()-4)="","",TRIM(UPPER(INDEX(L_Type,ROW()-4))))</f>
        <v/>
      </c>
      <c r="E3240">
        <f>IF(INDEX(P_Status,ROW()-4)="","",TRIM(UPPER(INDEX(P_Status,ROW()-4))))</f>
        <v/>
      </c>
      <c r="G3240">
        <f>IF(INDEX(L_Status,ROW()-4)="","",TRIM(UPPER(INDEX(L_Status,ROW()-4))))</f>
        <v/>
      </c>
      <c r="J3240">
        <f>IF(INDEX(L_ID,ROW()-4)="","",IF(SUMPRODUCT((P_ID=INDEX(L_ID,ROW()-4))*(P_StatusN="INACTIVE"))&gt;0,1,0))</f>
        <v/>
      </c>
    </row>
    <row r="3241">
      <c r="A3241">
        <f>IF(INDEX(L_ID,ROW()-4)="","",IF(COUNTIF(P_ID,INDEX(L_ID,ROW()-4))&gt;0,1,0))</f>
        <v/>
      </c>
      <c r="B3241">
        <f>IF(INDEX(P_Type,ROW()-4)="","",TRIM(UPPER(INDEX(P_Type,ROW()-4))))</f>
        <v/>
      </c>
      <c r="D3241">
        <f>IF(INDEX(L_Type,ROW()-4)="","",TRIM(UPPER(INDEX(L_Type,ROW()-4))))</f>
        <v/>
      </c>
      <c r="E3241">
        <f>IF(INDEX(P_Status,ROW()-4)="","",TRIM(UPPER(INDEX(P_Status,ROW()-4))))</f>
        <v/>
      </c>
      <c r="G3241">
        <f>IF(INDEX(L_Status,ROW()-4)="","",TRIM(UPPER(INDEX(L_Status,ROW()-4))))</f>
        <v/>
      </c>
      <c r="J3241">
        <f>IF(INDEX(L_ID,ROW()-4)="","",IF(SUMPRODUCT((P_ID=INDEX(L_ID,ROW()-4))*(P_StatusN="INACTIVE"))&gt;0,1,0))</f>
        <v/>
      </c>
    </row>
    <row r="3242">
      <c r="A3242">
        <f>IF(INDEX(L_ID,ROW()-4)="","",IF(COUNTIF(P_ID,INDEX(L_ID,ROW()-4))&gt;0,1,0))</f>
        <v/>
      </c>
      <c r="B3242">
        <f>IF(INDEX(P_Type,ROW()-4)="","",TRIM(UPPER(INDEX(P_Type,ROW()-4))))</f>
        <v/>
      </c>
      <c r="D3242">
        <f>IF(INDEX(L_Type,ROW()-4)="","",TRIM(UPPER(INDEX(L_Type,ROW()-4))))</f>
        <v/>
      </c>
      <c r="E3242">
        <f>IF(INDEX(P_Status,ROW()-4)="","",TRIM(UPPER(INDEX(P_Status,ROW()-4))))</f>
        <v/>
      </c>
      <c r="G3242">
        <f>IF(INDEX(L_Status,ROW()-4)="","",TRIM(UPPER(INDEX(L_Status,ROW()-4))))</f>
        <v/>
      </c>
      <c r="J3242">
        <f>IF(INDEX(L_ID,ROW()-4)="","",IF(SUMPRODUCT((P_ID=INDEX(L_ID,ROW()-4))*(P_StatusN="INACTIVE"))&gt;0,1,0))</f>
        <v/>
      </c>
    </row>
    <row r="3243">
      <c r="A3243">
        <f>IF(INDEX(L_ID,ROW()-4)="","",IF(COUNTIF(P_ID,INDEX(L_ID,ROW()-4))&gt;0,1,0))</f>
        <v/>
      </c>
      <c r="B3243">
        <f>IF(INDEX(P_Type,ROW()-4)="","",TRIM(UPPER(INDEX(P_Type,ROW()-4))))</f>
        <v/>
      </c>
      <c r="D3243">
        <f>IF(INDEX(L_Type,ROW()-4)="","",TRIM(UPPER(INDEX(L_Type,ROW()-4))))</f>
        <v/>
      </c>
      <c r="E3243">
        <f>IF(INDEX(P_Status,ROW()-4)="","",TRIM(UPPER(INDEX(P_Status,ROW()-4))))</f>
        <v/>
      </c>
      <c r="G3243">
        <f>IF(INDEX(L_Status,ROW()-4)="","",TRIM(UPPER(INDEX(L_Status,ROW()-4))))</f>
        <v/>
      </c>
      <c r="J3243">
        <f>IF(INDEX(L_ID,ROW()-4)="","",IF(SUMPRODUCT((P_ID=INDEX(L_ID,ROW()-4))*(P_StatusN="INACTIVE"))&gt;0,1,0))</f>
        <v/>
      </c>
    </row>
    <row r="3244">
      <c r="A3244">
        <f>IF(INDEX(L_ID,ROW()-4)="","",IF(COUNTIF(P_ID,INDEX(L_ID,ROW()-4))&gt;0,1,0))</f>
        <v/>
      </c>
      <c r="B3244">
        <f>IF(INDEX(P_Type,ROW()-4)="","",TRIM(UPPER(INDEX(P_Type,ROW()-4))))</f>
        <v/>
      </c>
      <c r="D3244">
        <f>IF(INDEX(L_Type,ROW()-4)="","",TRIM(UPPER(INDEX(L_Type,ROW()-4))))</f>
        <v/>
      </c>
      <c r="E3244">
        <f>IF(INDEX(P_Status,ROW()-4)="","",TRIM(UPPER(INDEX(P_Status,ROW()-4))))</f>
        <v/>
      </c>
      <c r="G3244">
        <f>IF(INDEX(L_Status,ROW()-4)="","",TRIM(UPPER(INDEX(L_Status,ROW()-4))))</f>
        <v/>
      </c>
      <c r="J3244">
        <f>IF(INDEX(L_ID,ROW()-4)="","",IF(SUMPRODUCT((P_ID=INDEX(L_ID,ROW()-4))*(P_StatusN="INACTIVE"))&gt;0,1,0))</f>
        <v/>
      </c>
    </row>
    <row r="3245">
      <c r="A3245">
        <f>IF(INDEX(L_ID,ROW()-4)="","",IF(COUNTIF(P_ID,INDEX(L_ID,ROW()-4))&gt;0,1,0))</f>
        <v/>
      </c>
      <c r="B3245">
        <f>IF(INDEX(P_Type,ROW()-4)="","",TRIM(UPPER(INDEX(P_Type,ROW()-4))))</f>
        <v/>
      </c>
      <c r="D3245">
        <f>IF(INDEX(L_Type,ROW()-4)="","",TRIM(UPPER(INDEX(L_Type,ROW()-4))))</f>
        <v/>
      </c>
      <c r="E3245">
        <f>IF(INDEX(P_Status,ROW()-4)="","",TRIM(UPPER(INDEX(P_Status,ROW()-4))))</f>
        <v/>
      </c>
      <c r="G3245">
        <f>IF(INDEX(L_Status,ROW()-4)="","",TRIM(UPPER(INDEX(L_Status,ROW()-4))))</f>
        <v/>
      </c>
      <c r="J3245">
        <f>IF(INDEX(L_ID,ROW()-4)="","",IF(SUMPRODUCT((P_ID=INDEX(L_ID,ROW()-4))*(P_StatusN="INACTIVE"))&gt;0,1,0))</f>
        <v/>
      </c>
    </row>
    <row r="3246">
      <c r="A3246">
        <f>IF(INDEX(L_ID,ROW()-4)="","",IF(COUNTIF(P_ID,INDEX(L_ID,ROW()-4))&gt;0,1,0))</f>
        <v/>
      </c>
      <c r="B3246">
        <f>IF(INDEX(P_Type,ROW()-4)="","",TRIM(UPPER(INDEX(P_Type,ROW()-4))))</f>
        <v/>
      </c>
      <c r="D3246">
        <f>IF(INDEX(L_Type,ROW()-4)="","",TRIM(UPPER(INDEX(L_Type,ROW()-4))))</f>
        <v/>
      </c>
      <c r="E3246">
        <f>IF(INDEX(P_Status,ROW()-4)="","",TRIM(UPPER(INDEX(P_Status,ROW()-4))))</f>
        <v/>
      </c>
      <c r="G3246">
        <f>IF(INDEX(L_Status,ROW()-4)="","",TRIM(UPPER(INDEX(L_Status,ROW()-4))))</f>
        <v/>
      </c>
      <c r="J3246">
        <f>IF(INDEX(L_ID,ROW()-4)="","",IF(SUMPRODUCT((P_ID=INDEX(L_ID,ROW()-4))*(P_StatusN="INACTIVE"))&gt;0,1,0))</f>
        <v/>
      </c>
    </row>
    <row r="3247">
      <c r="A3247">
        <f>IF(INDEX(L_ID,ROW()-4)="","",IF(COUNTIF(P_ID,INDEX(L_ID,ROW()-4))&gt;0,1,0))</f>
        <v/>
      </c>
      <c r="B3247">
        <f>IF(INDEX(P_Type,ROW()-4)="","",TRIM(UPPER(INDEX(P_Type,ROW()-4))))</f>
        <v/>
      </c>
      <c r="D3247">
        <f>IF(INDEX(L_Type,ROW()-4)="","",TRIM(UPPER(INDEX(L_Type,ROW()-4))))</f>
        <v/>
      </c>
      <c r="E3247">
        <f>IF(INDEX(P_Status,ROW()-4)="","",TRIM(UPPER(INDEX(P_Status,ROW()-4))))</f>
        <v/>
      </c>
      <c r="G3247">
        <f>IF(INDEX(L_Status,ROW()-4)="","",TRIM(UPPER(INDEX(L_Status,ROW()-4))))</f>
        <v/>
      </c>
      <c r="J3247">
        <f>IF(INDEX(L_ID,ROW()-4)="","",IF(SUMPRODUCT((P_ID=INDEX(L_ID,ROW()-4))*(P_StatusN="INACTIVE"))&gt;0,1,0))</f>
        <v/>
      </c>
    </row>
    <row r="3248">
      <c r="A3248">
        <f>IF(INDEX(L_ID,ROW()-4)="","",IF(COUNTIF(P_ID,INDEX(L_ID,ROW()-4))&gt;0,1,0))</f>
        <v/>
      </c>
      <c r="B3248">
        <f>IF(INDEX(P_Type,ROW()-4)="","",TRIM(UPPER(INDEX(P_Type,ROW()-4))))</f>
        <v/>
      </c>
      <c r="D3248">
        <f>IF(INDEX(L_Type,ROW()-4)="","",TRIM(UPPER(INDEX(L_Type,ROW()-4))))</f>
        <v/>
      </c>
      <c r="E3248">
        <f>IF(INDEX(P_Status,ROW()-4)="","",TRIM(UPPER(INDEX(P_Status,ROW()-4))))</f>
        <v/>
      </c>
      <c r="G3248">
        <f>IF(INDEX(L_Status,ROW()-4)="","",TRIM(UPPER(INDEX(L_Status,ROW()-4))))</f>
        <v/>
      </c>
      <c r="J3248">
        <f>IF(INDEX(L_ID,ROW()-4)="","",IF(SUMPRODUCT((P_ID=INDEX(L_ID,ROW()-4))*(P_StatusN="INACTIVE"))&gt;0,1,0))</f>
        <v/>
      </c>
    </row>
    <row r="3249">
      <c r="A3249">
        <f>IF(INDEX(L_ID,ROW()-4)="","",IF(COUNTIF(P_ID,INDEX(L_ID,ROW()-4))&gt;0,1,0))</f>
        <v/>
      </c>
      <c r="B3249">
        <f>IF(INDEX(P_Type,ROW()-4)="","",TRIM(UPPER(INDEX(P_Type,ROW()-4))))</f>
        <v/>
      </c>
      <c r="D3249">
        <f>IF(INDEX(L_Type,ROW()-4)="","",TRIM(UPPER(INDEX(L_Type,ROW()-4))))</f>
        <v/>
      </c>
      <c r="E3249">
        <f>IF(INDEX(P_Status,ROW()-4)="","",TRIM(UPPER(INDEX(P_Status,ROW()-4))))</f>
        <v/>
      </c>
      <c r="G3249">
        <f>IF(INDEX(L_Status,ROW()-4)="","",TRIM(UPPER(INDEX(L_Status,ROW()-4))))</f>
        <v/>
      </c>
      <c r="J3249">
        <f>IF(INDEX(L_ID,ROW()-4)="","",IF(SUMPRODUCT((P_ID=INDEX(L_ID,ROW()-4))*(P_StatusN="INACTIVE"))&gt;0,1,0))</f>
        <v/>
      </c>
    </row>
    <row r="3250">
      <c r="A3250">
        <f>IF(INDEX(L_ID,ROW()-4)="","",IF(COUNTIF(P_ID,INDEX(L_ID,ROW()-4))&gt;0,1,0))</f>
        <v/>
      </c>
      <c r="B3250">
        <f>IF(INDEX(P_Type,ROW()-4)="","",TRIM(UPPER(INDEX(P_Type,ROW()-4))))</f>
        <v/>
      </c>
      <c r="D3250">
        <f>IF(INDEX(L_Type,ROW()-4)="","",TRIM(UPPER(INDEX(L_Type,ROW()-4))))</f>
        <v/>
      </c>
      <c r="E3250">
        <f>IF(INDEX(P_Status,ROW()-4)="","",TRIM(UPPER(INDEX(P_Status,ROW()-4))))</f>
        <v/>
      </c>
      <c r="G3250">
        <f>IF(INDEX(L_Status,ROW()-4)="","",TRIM(UPPER(INDEX(L_Status,ROW()-4))))</f>
        <v/>
      </c>
      <c r="J3250">
        <f>IF(INDEX(L_ID,ROW()-4)="","",IF(SUMPRODUCT((P_ID=INDEX(L_ID,ROW()-4))*(P_StatusN="INACTIVE"))&gt;0,1,0))</f>
        <v/>
      </c>
    </row>
    <row r="3251">
      <c r="A3251">
        <f>IF(INDEX(L_ID,ROW()-4)="","",IF(COUNTIF(P_ID,INDEX(L_ID,ROW()-4))&gt;0,1,0))</f>
        <v/>
      </c>
      <c r="B3251">
        <f>IF(INDEX(P_Type,ROW()-4)="","",TRIM(UPPER(INDEX(P_Type,ROW()-4))))</f>
        <v/>
      </c>
      <c r="D3251">
        <f>IF(INDEX(L_Type,ROW()-4)="","",TRIM(UPPER(INDEX(L_Type,ROW()-4))))</f>
        <v/>
      </c>
      <c r="E3251">
        <f>IF(INDEX(P_Status,ROW()-4)="","",TRIM(UPPER(INDEX(P_Status,ROW()-4))))</f>
        <v/>
      </c>
      <c r="G3251">
        <f>IF(INDEX(L_Status,ROW()-4)="","",TRIM(UPPER(INDEX(L_Status,ROW()-4))))</f>
        <v/>
      </c>
      <c r="J3251">
        <f>IF(INDEX(L_ID,ROW()-4)="","",IF(SUMPRODUCT((P_ID=INDEX(L_ID,ROW()-4))*(P_StatusN="INACTIVE"))&gt;0,1,0))</f>
        <v/>
      </c>
    </row>
    <row r="3252">
      <c r="A3252">
        <f>IF(INDEX(L_ID,ROW()-4)="","",IF(COUNTIF(P_ID,INDEX(L_ID,ROW()-4))&gt;0,1,0))</f>
        <v/>
      </c>
      <c r="B3252">
        <f>IF(INDEX(P_Type,ROW()-4)="","",TRIM(UPPER(INDEX(P_Type,ROW()-4))))</f>
        <v/>
      </c>
      <c r="D3252">
        <f>IF(INDEX(L_Type,ROW()-4)="","",TRIM(UPPER(INDEX(L_Type,ROW()-4))))</f>
        <v/>
      </c>
      <c r="E3252">
        <f>IF(INDEX(P_Status,ROW()-4)="","",TRIM(UPPER(INDEX(P_Status,ROW()-4))))</f>
        <v/>
      </c>
      <c r="G3252">
        <f>IF(INDEX(L_Status,ROW()-4)="","",TRIM(UPPER(INDEX(L_Status,ROW()-4))))</f>
        <v/>
      </c>
      <c r="J3252">
        <f>IF(INDEX(L_ID,ROW()-4)="","",IF(SUMPRODUCT((P_ID=INDEX(L_ID,ROW()-4))*(P_StatusN="INACTIVE"))&gt;0,1,0))</f>
        <v/>
      </c>
    </row>
    <row r="3253">
      <c r="A3253">
        <f>IF(INDEX(L_ID,ROW()-4)="","",IF(COUNTIF(P_ID,INDEX(L_ID,ROW()-4))&gt;0,1,0))</f>
        <v/>
      </c>
      <c r="B3253">
        <f>IF(INDEX(P_Type,ROW()-4)="","",TRIM(UPPER(INDEX(P_Type,ROW()-4))))</f>
        <v/>
      </c>
      <c r="D3253">
        <f>IF(INDEX(L_Type,ROW()-4)="","",TRIM(UPPER(INDEX(L_Type,ROW()-4))))</f>
        <v/>
      </c>
      <c r="E3253">
        <f>IF(INDEX(P_Status,ROW()-4)="","",TRIM(UPPER(INDEX(P_Status,ROW()-4))))</f>
        <v/>
      </c>
      <c r="G3253">
        <f>IF(INDEX(L_Status,ROW()-4)="","",TRIM(UPPER(INDEX(L_Status,ROW()-4))))</f>
        <v/>
      </c>
      <c r="J3253">
        <f>IF(INDEX(L_ID,ROW()-4)="","",IF(SUMPRODUCT((P_ID=INDEX(L_ID,ROW()-4))*(P_StatusN="INACTIVE"))&gt;0,1,0))</f>
        <v/>
      </c>
    </row>
    <row r="3254">
      <c r="A3254">
        <f>IF(INDEX(L_ID,ROW()-4)="","",IF(COUNTIF(P_ID,INDEX(L_ID,ROW()-4))&gt;0,1,0))</f>
        <v/>
      </c>
      <c r="B3254">
        <f>IF(INDEX(P_Type,ROW()-4)="","",TRIM(UPPER(INDEX(P_Type,ROW()-4))))</f>
        <v/>
      </c>
      <c r="D3254">
        <f>IF(INDEX(L_Type,ROW()-4)="","",TRIM(UPPER(INDEX(L_Type,ROW()-4))))</f>
        <v/>
      </c>
      <c r="E3254">
        <f>IF(INDEX(P_Status,ROW()-4)="","",TRIM(UPPER(INDEX(P_Status,ROW()-4))))</f>
        <v/>
      </c>
      <c r="G3254">
        <f>IF(INDEX(L_Status,ROW()-4)="","",TRIM(UPPER(INDEX(L_Status,ROW()-4))))</f>
        <v/>
      </c>
      <c r="J3254">
        <f>IF(INDEX(L_ID,ROW()-4)="","",IF(SUMPRODUCT((P_ID=INDEX(L_ID,ROW()-4))*(P_StatusN="INACTIVE"))&gt;0,1,0))</f>
        <v/>
      </c>
    </row>
    <row r="3255">
      <c r="A3255">
        <f>IF(INDEX(L_ID,ROW()-4)="","",IF(COUNTIF(P_ID,INDEX(L_ID,ROW()-4))&gt;0,1,0))</f>
        <v/>
      </c>
      <c r="B3255">
        <f>IF(INDEX(P_Type,ROW()-4)="","",TRIM(UPPER(INDEX(P_Type,ROW()-4))))</f>
        <v/>
      </c>
      <c r="D3255">
        <f>IF(INDEX(L_Type,ROW()-4)="","",TRIM(UPPER(INDEX(L_Type,ROW()-4))))</f>
        <v/>
      </c>
      <c r="E3255">
        <f>IF(INDEX(P_Status,ROW()-4)="","",TRIM(UPPER(INDEX(P_Status,ROW()-4))))</f>
        <v/>
      </c>
      <c r="G3255">
        <f>IF(INDEX(L_Status,ROW()-4)="","",TRIM(UPPER(INDEX(L_Status,ROW()-4))))</f>
        <v/>
      </c>
      <c r="J3255">
        <f>IF(INDEX(L_ID,ROW()-4)="","",IF(SUMPRODUCT((P_ID=INDEX(L_ID,ROW()-4))*(P_StatusN="INACTIVE"))&gt;0,1,0))</f>
        <v/>
      </c>
    </row>
    <row r="3256">
      <c r="A3256">
        <f>IF(INDEX(L_ID,ROW()-4)="","",IF(COUNTIF(P_ID,INDEX(L_ID,ROW()-4))&gt;0,1,0))</f>
        <v/>
      </c>
      <c r="B3256">
        <f>IF(INDEX(P_Type,ROW()-4)="","",TRIM(UPPER(INDEX(P_Type,ROW()-4))))</f>
        <v/>
      </c>
      <c r="D3256">
        <f>IF(INDEX(L_Type,ROW()-4)="","",TRIM(UPPER(INDEX(L_Type,ROW()-4))))</f>
        <v/>
      </c>
      <c r="E3256">
        <f>IF(INDEX(P_Status,ROW()-4)="","",TRIM(UPPER(INDEX(P_Status,ROW()-4))))</f>
        <v/>
      </c>
      <c r="G3256">
        <f>IF(INDEX(L_Status,ROW()-4)="","",TRIM(UPPER(INDEX(L_Status,ROW()-4))))</f>
        <v/>
      </c>
      <c r="J3256">
        <f>IF(INDEX(L_ID,ROW()-4)="","",IF(SUMPRODUCT((P_ID=INDEX(L_ID,ROW()-4))*(P_StatusN="INACTIVE"))&gt;0,1,0))</f>
        <v/>
      </c>
    </row>
    <row r="3257">
      <c r="A3257">
        <f>IF(INDEX(L_ID,ROW()-4)="","",IF(COUNTIF(P_ID,INDEX(L_ID,ROW()-4))&gt;0,1,0))</f>
        <v/>
      </c>
      <c r="B3257">
        <f>IF(INDEX(P_Type,ROW()-4)="","",TRIM(UPPER(INDEX(P_Type,ROW()-4))))</f>
        <v/>
      </c>
      <c r="D3257">
        <f>IF(INDEX(L_Type,ROW()-4)="","",TRIM(UPPER(INDEX(L_Type,ROW()-4))))</f>
        <v/>
      </c>
      <c r="E3257">
        <f>IF(INDEX(P_Status,ROW()-4)="","",TRIM(UPPER(INDEX(P_Status,ROW()-4))))</f>
        <v/>
      </c>
      <c r="G3257">
        <f>IF(INDEX(L_Status,ROW()-4)="","",TRIM(UPPER(INDEX(L_Status,ROW()-4))))</f>
        <v/>
      </c>
      <c r="J3257">
        <f>IF(INDEX(L_ID,ROW()-4)="","",IF(SUMPRODUCT((P_ID=INDEX(L_ID,ROW()-4))*(P_StatusN="INACTIVE"))&gt;0,1,0))</f>
        <v/>
      </c>
    </row>
    <row r="3258">
      <c r="A3258">
        <f>IF(INDEX(L_ID,ROW()-4)="","",IF(COUNTIF(P_ID,INDEX(L_ID,ROW()-4))&gt;0,1,0))</f>
        <v/>
      </c>
      <c r="B3258">
        <f>IF(INDEX(P_Type,ROW()-4)="","",TRIM(UPPER(INDEX(P_Type,ROW()-4))))</f>
        <v/>
      </c>
      <c r="D3258">
        <f>IF(INDEX(L_Type,ROW()-4)="","",TRIM(UPPER(INDEX(L_Type,ROW()-4))))</f>
        <v/>
      </c>
      <c r="E3258">
        <f>IF(INDEX(P_Status,ROW()-4)="","",TRIM(UPPER(INDEX(P_Status,ROW()-4))))</f>
        <v/>
      </c>
      <c r="G3258">
        <f>IF(INDEX(L_Status,ROW()-4)="","",TRIM(UPPER(INDEX(L_Status,ROW()-4))))</f>
        <v/>
      </c>
      <c r="J3258">
        <f>IF(INDEX(L_ID,ROW()-4)="","",IF(SUMPRODUCT((P_ID=INDEX(L_ID,ROW()-4))*(P_StatusN="INACTIVE"))&gt;0,1,0))</f>
        <v/>
      </c>
    </row>
    <row r="3259">
      <c r="A3259">
        <f>IF(INDEX(L_ID,ROW()-4)="","",IF(COUNTIF(P_ID,INDEX(L_ID,ROW()-4))&gt;0,1,0))</f>
        <v/>
      </c>
      <c r="B3259">
        <f>IF(INDEX(P_Type,ROW()-4)="","",TRIM(UPPER(INDEX(P_Type,ROW()-4))))</f>
        <v/>
      </c>
      <c r="D3259">
        <f>IF(INDEX(L_Type,ROW()-4)="","",TRIM(UPPER(INDEX(L_Type,ROW()-4))))</f>
        <v/>
      </c>
      <c r="E3259">
        <f>IF(INDEX(P_Status,ROW()-4)="","",TRIM(UPPER(INDEX(P_Status,ROW()-4))))</f>
        <v/>
      </c>
      <c r="G3259">
        <f>IF(INDEX(L_Status,ROW()-4)="","",TRIM(UPPER(INDEX(L_Status,ROW()-4))))</f>
        <v/>
      </c>
      <c r="J3259">
        <f>IF(INDEX(L_ID,ROW()-4)="","",IF(SUMPRODUCT((P_ID=INDEX(L_ID,ROW()-4))*(P_StatusN="INACTIVE"))&gt;0,1,0))</f>
        <v/>
      </c>
    </row>
    <row r="3260">
      <c r="A3260">
        <f>IF(INDEX(L_ID,ROW()-4)="","",IF(COUNTIF(P_ID,INDEX(L_ID,ROW()-4))&gt;0,1,0))</f>
        <v/>
      </c>
      <c r="B3260">
        <f>IF(INDEX(P_Type,ROW()-4)="","",TRIM(UPPER(INDEX(P_Type,ROW()-4))))</f>
        <v/>
      </c>
      <c r="D3260">
        <f>IF(INDEX(L_Type,ROW()-4)="","",TRIM(UPPER(INDEX(L_Type,ROW()-4))))</f>
        <v/>
      </c>
      <c r="E3260">
        <f>IF(INDEX(P_Status,ROW()-4)="","",TRIM(UPPER(INDEX(P_Status,ROW()-4))))</f>
        <v/>
      </c>
      <c r="G3260">
        <f>IF(INDEX(L_Status,ROW()-4)="","",TRIM(UPPER(INDEX(L_Status,ROW()-4))))</f>
        <v/>
      </c>
      <c r="J3260">
        <f>IF(INDEX(L_ID,ROW()-4)="","",IF(SUMPRODUCT((P_ID=INDEX(L_ID,ROW()-4))*(P_StatusN="INACTIVE"))&gt;0,1,0))</f>
        <v/>
      </c>
    </row>
    <row r="3261">
      <c r="A3261">
        <f>IF(INDEX(L_ID,ROW()-4)="","",IF(COUNTIF(P_ID,INDEX(L_ID,ROW()-4))&gt;0,1,0))</f>
        <v/>
      </c>
      <c r="B3261">
        <f>IF(INDEX(P_Type,ROW()-4)="","",TRIM(UPPER(INDEX(P_Type,ROW()-4))))</f>
        <v/>
      </c>
      <c r="D3261">
        <f>IF(INDEX(L_Type,ROW()-4)="","",TRIM(UPPER(INDEX(L_Type,ROW()-4))))</f>
        <v/>
      </c>
      <c r="E3261">
        <f>IF(INDEX(P_Status,ROW()-4)="","",TRIM(UPPER(INDEX(P_Status,ROW()-4))))</f>
        <v/>
      </c>
      <c r="G3261">
        <f>IF(INDEX(L_Status,ROW()-4)="","",TRIM(UPPER(INDEX(L_Status,ROW()-4))))</f>
        <v/>
      </c>
      <c r="J3261">
        <f>IF(INDEX(L_ID,ROW()-4)="","",IF(SUMPRODUCT((P_ID=INDEX(L_ID,ROW()-4))*(P_StatusN="INACTIVE"))&gt;0,1,0))</f>
        <v/>
      </c>
    </row>
    <row r="3262">
      <c r="A3262">
        <f>IF(INDEX(L_ID,ROW()-4)="","",IF(COUNTIF(P_ID,INDEX(L_ID,ROW()-4))&gt;0,1,0))</f>
        <v/>
      </c>
      <c r="B3262">
        <f>IF(INDEX(P_Type,ROW()-4)="","",TRIM(UPPER(INDEX(P_Type,ROW()-4))))</f>
        <v/>
      </c>
      <c r="D3262">
        <f>IF(INDEX(L_Type,ROW()-4)="","",TRIM(UPPER(INDEX(L_Type,ROW()-4))))</f>
        <v/>
      </c>
      <c r="E3262">
        <f>IF(INDEX(P_Status,ROW()-4)="","",TRIM(UPPER(INDEX(P_Status,ROW()-4))))</f>
        <v/>
      </c>
      <c r="G3262">
        <f>IF(INDEX(L_Status,ROW()-4)="","",TRIM(UPPER(INDEX(L_Status,ROW()-4))))</f>
        <v/>
      </c>
      <c r="J3262">
        <f>IF(INDEX(L_ID,ROW()-4)="","",IF(SUMPRODUCT((P_ID=INDEX(L_ID,ROW()-4))*(P_StatusN="INACTIVE"))&gt;0,1,0))</f>
        <v/>
      </c>
    </row>
    <row r="3263">
      <c r="A3263">
        <f>IF(INDEX(L_ID,ROW()-4)="","",IF(COUNTIF(P_ID,INDEX(L_ID,ROW()-4))&gt;0,1,0))</f>
        <v/>
      </c>
      <c r="B3263">
        <f>IF(INDEX(P_Type,ROW()-4)="","",TRIM(UPPER(INDEX(P_Type,ROW()-4))))</f>
        <v/>
      </c>
      <c r="D3263">
        <f>IF(INDEX(L_Type,ROW()-4)="","",TRIM(UPPER(INDEX(L_Type,ROW()-4))))</f>
        <v/>
      </c>
      <c r="E3263">
        <f>IF(INDEX(P_Status,ROW()-4)="","",TRIM(UPPER(INDEX(P_Status,ROW()-4))))</f>
        <v/>
      </c>
      <c r="G3263">
        <f>IF(INDEX(L_Status,ROW()-4)="","",TRIM(UPPER(INDEX(L_Status,ROW()-4))))</f>
        <v/>
      </c>
      <c r="J3263">
        <f>IF(INDEX(L_ID,ROW()-4)="","",IF(SUMPRODUCT((P_ID=INDEX(L_ID,ROW()-4))*(P_StatusN="INACTIVE"))&gt;0,1,0))</f>
        <v/>
      </c>
    </row>
    <row r="3264">
      <c r="A3264">
        <f>IF(INDEX(L_ID,ROW()-4)="","",IF(COUNTIF(P_ID,INDEX(L_ID,ROW()-4))&gt;0,1,0))</f>
        <v/>
      </c>
      <c r="B3264">
        <f>IF(INDEX(P_Type,ROW()-4)="","",TRIM(UPPER(INDEX(P_Type,ROW()-4))))</f>
        <v/>
      </c>
      <c r="D3264">
        <f>IF(INDEX(L_Type,ROW()-4)="","",TRIM(UPPER(INDEX(L_Type,ROW()-4))))</f>
        <v/>
      </c>
      <c r="E3264">
        <f>IF(INDEX(P_Status,ROW()-4)="","",TRIM(UPPER(INDEX(P_Status,ROW()-4))))</f>
        <v/>
      </c>
      <c r="G3264">
        <f>IF(INDEX(L_Status,ROW()-4)="","",TRIM(UPPER(INDEX(L_Status,ROW()-4))))</f>
        <v/>
      </c>
      <c r="J3264">
        <f>IF(INDEX(L_ID,ROW()-4)="","",IF(SUMPRODUCT((P_ID=INDEX(L_ID,ROW()-4))*(P_StatusN="INACTIVE"))&gt;0,1,0))</f>
        <v/>
      </c>
    </row>
    <row r="3265">
      <c r="A3265">
        <f>IF(INDEX(L_ID,ROW()-4)="","",IF(COUNTIF(P_ID,INDEX(L_ID,ROW()-4))&gt;0,1,0))</f>
        <v/>
      </c>
      <c r="B3265">
        <f>IF(INDEX(P_Type,ROW()-4)="","",TRIM(UPPER(INDEX(P_Type,ROW()-4))))</f>
        <v/>
      </c>
      <c r="D3265">
        <f>IF(INDEX(L_Type,ROW()-4)="","",TRIM(UPPER(INDEX(L_Type,ROW()-4))))</f>
        <v/>
      </c>
      <c r="E3265">
        <f>IF(INDEX(P_Status,ROW()-4)="","",TRIM(UPPER(INDEX(P_Status,ROW()-4))))</f>
        <v/>
      </c>
      <c r="G3265">
        <f>IF(INDEX(L_Status,ROW()-4)="","",TRIM(UPPER(INDEX(L_Status,ROW()-4))))</f>
        <v/>
      </c>
      <c r="J3265">
        <f>IF(INDEX(L_ID,ROW()-4)="","",IF(SUMPRODUCT((P_ID=INDEX(L_ID,ROW()-4))*(P_StatusN="INACTIVE"))&gt;0,1,0))</f>
        <v/>
      </c>
    </row>
    <row r="3266">
      <c r="A3266">
        <f>IF(INDEX(L_ID,ROW()-4)="","",IF(COUNTIF(P_ID,INDEX(L_ID,ROW()-4))&gt;0,1,0))</f>
        <v/>
      </c>
      <c r="B3266">
        <f>IF(INDEX(P_Type,ROW()-4)="","",TRIM(UPPER(INDEX(P_Type,ROW()-4))))</f>
        <v/>
      </c>
      <c r="D3266">
        <f>IF(INDEX(L_Type,ROW()-4)="","",TRIM(UPPER(INDEX(L_Type,ROW()-4))))</f>
        <v/>
      </c>
      <c r="E3266">
        <f>IF(INDEX(P_Status,ROW()-4)="","",TRIM(UPPER(INDEX(P_Status,ROW()-4))))</f>
        <v/>
      </c>
      <c r="G3266">
        <f>IF(INDEX(L_Status,ROW()-4)="","",TRIM(UPPER(INDEX(L_Status,ROW()-4))))</f>
        <v/>
      </c>
      <c r="J3266">
        <f>IF(INDEX(L_ID,ROW()-4)="","",IF(SUMPRODUCT((P_ID=INDEX(L_ID,ROW()-4))*(P_StatusN="INACTIVE"))&gt;0,1,0))</f>
        <v/>
      </c>
    </row>
    <row r="3267">
      <c r="A3267">
        <f>IF(INDEX(L_ID,ROW()-4)="","",IF(COUNTIF(P_ID,INDEX(L_ID,ROW()-4))&gt;0,1,0))</f>
        <v/>
      </c>
      <c r="B3267">
        <f>IF(INDEX(P_Type,ROW()-4)="","",TRIM(UPPER(INDEX(P_Type,ROW()-4))))</f>
        <v/>
      </c>
      <c r="D3267">
        <f>IF(INDEX(L_Type,ROW()-4)="","",TRIM(UPPER(INDEX(L_Type,ROW()-4))))</f>
        <v/>
      </c>
      <c r="E3267">
        <f>IF(INDEX(P_Status,ROW()-4)="","",TRIM(UPPER(INDEX(P_Status,ROW()-4))))</f>
        <v/>
      </c>
      <c r="G3267">
        <f>IF(INDEX(L_Status,ROW()-4)="","",TRIM(UPPER(INDEX(L_Status,ROW()-4))))</f>
        <v/>
      </c>
      <c r="J3267">
        <f>IF(INDEX(L_ID,ROW()-4)="","",IF(SUMPRODUCT((P_ID=INDEX(L_ID,ROW()-4))*(P_StatusN="INACTIVE"))&gt;0,1,0))</f>
        <v/>
      </c>
    </row>
    <row r="3268">
      <c r="A3268">
        <f>IF(INDEX(L_ID,ROW()-4)="","",IF(COUNTIF(P_ID,INDEX(L_ID,ROW()-4))&gt;0,1,0))</f>
        <v/>
      </c>
      <c r="B3268">
        <f>IF(INDEX(P_Type,ROW()-4)="","",TRIM(UPPER(INDEX(P_Type,ROW()-4))))</f>
        <v/>
      </c>
      <c r="D3268">
        <f>IF(INDEX(L_Type,ROW()-4)="","",TRIM(UPPER(INDEX(L_Type,ROW()-4))))</f>
        <v/>
      </c>
      <c r="E3268">
        <f>IF(INDEX(P_Status,ROW()-4)="","",TRIM(UPPER(INDEX(P_Status,ROW()-4))))</f>
        <v/>
      </c>
      <c r="G3268">
        <f>IF(INDEX(L_Status,ROW()-4)="","",TRIM(UPPER(INDEX(L_Status,ROW()-4))))</f>
        <v/>
      </c>
      <c r="J3268">
        <f>IF(INDEX(L_ID,ROW()-4)="","",IF(SUMPRODUCT((P_ID=INDEX(L_ID,ROW()-4))*(P_StatusN="INACTIVE"))&gt;0,1,0))</f>
        <v/>
      </c>
    </row>
    <row r="3269">
      <c r="A3269">
        <f>IF(INDEX(L_ID,ROW()-4)="","",IF(COUNTIF(P_ID,INDEX(L_ID,ROW()-4))&gt;0,1,0))</f>
        <v/>
      </c>
      <c r="B3269">
        <f>IF(INDEX(P_Type,ROW()-4)="","",TRIM(UPPER(INDEX(P_Type,ROW()-4))))</f>
        <v/>
      </c>
      <c r="D3269">
        <f>IF(INDEX(L_Type,ROW()-4)="","",TRIM(UPPER(INDEX(L_Type,ROW()-4))))</f>
        <v/>
      </c>
      <c r="E3269">
        <f>IF(INDEX(P_Status,ROW()-4)="","",TRIM(UPPER(INDEX(P_Status,ROW()-4))))</f>
        <v/>
      </c>
      <c r="G3269">
        <f>IF(INDEX(L_Status,ROW()-4)="","",TRIM(UPPER(INDEX(L_Status,ROW()-4))))</f>
        <v/>
      </c>
      <c r="J3269">
        <f>IF(INDEX(L_ID,ROW()-4)="","",IF(SUMPRODUCT((P_ID=INDEX(L_ID,ROW()-4))*(P_StatusN="INACTIVE"))&gt;0,1,0))</f>
        <v/>
      </c>
    </row>
    <row r="3270">
      <c r="A3270">
        <f>IF(INDEX(L_ID,ROW()-4)="","",IF(COUNTIF(P_ID,INDEX(L_ID,ROW()-4))&gt;0,1,0))</f>
        <v/>
      </c>
      <c r="B3270">
        <f>IF(INDEX(P_Type,ROW()-4)="","",TRIM(UPPER(INDEX(P_Type,ROW()-4))))</f>
        <v/>
      </c>
      <c r="D3270">
        <f>IF(INDEX(L_Type,ROW()-4)="","",TRIM(UPPER(INDEX(L_Type,ROW()-4))))</f>
        <v/>
      </c>
      <c r="E3270">
        <f>IF(INDEX(P_Status,ROW()-4)="","",TRIM(UPPER(INDEX(P_Status,ROW()-4))))</f>
        <v/>
      </c>
      <c r="G3270">
        <f>IF(INDEX(L_Status,ROW()-4)="","",TRIM(UPPER(INDEX(L_Status,ROW()-4))))</f>
        <v/>
      </c>
      <c r="J3270">
        <f>IF(INDEX(L_ID,ROW()-4)="","",IF(SUMPRODUCT((P_ID=INDEX(L_ID,ROW()-4))*(P_StatusN="INACTIVE"))&gt;0,1,0))</f>
        <v/>
      </c>
    </row>
    <row r="3271">
      <c r="A3271">
        <f>IF(INDEX(L_ID,ROW()-4)="","",IF(COUNTIF(P_ID,INDEX(L_ID,ROW()-4))&gt;0,1,0))</f>
        <v/>
      </c>
      <c r="B3271">
        <f>IF(INDEX(P_Type,ROW()-4)="","",TRIM(UPPER(INDEX(P_Type,ROW()-4))))</f>
        <v/>
      </c>
      <c r="D3271">
        <f>IF(INDEX(L_Type,ROW()-4)="","",TRIM(UPPER(INDEX(L_Type,ROW()-4))))</f>
        <v/>
      </c>
      <c r="E3271">
        <f>IF(INDEX(P_Status,ROW()-4)="","",TRIM(UPPER(INDEX(P_Status,ROW()-4))))</f>
        <v/>
      </c>
      <c r="G3271">
        <f>IF(INDEX(L_Status,ROW()-4)="","",TRIM(UPPER(INDEX(L_Status,ROW()-4))))</f>
        <v/>
      </c>
      <c r="J3271">
        <f>IF(INDEX(L_ID,ROW()-4)="","",IF(SUMPRODUCT((P_ID=INDEX(L_ID,ROW()-4))*(P_StatusN="INACTIVE"))&gt;0,1,0))</f>
        <v/>
      </c>
    </row>
    <row r="3272">
      <c r="A3272">
        <f>IF(INDEX(L_ID,ROW()-4)="","",IF(COUNTIF(P_ID,INDEX(L_ID,ROW()-4))&gt;0,1,0))</f>
        <v/>
      </c>
      <c r="B3272">
        <f>IF(INDEX(P_Type,ROW()-4)="","",TRIM(UPPER(INDEX(P_Type,ROW()-4))))</f>
        <v/>
      </c>
      <c r="D3272">
        <f>IF(INDEX(L_Type,ROW()-4)="","",TRIM(UPPER(INDEX(L_Type,ROW()-4))))</f>
        <v/>
      </c>
      <c r="E3272">
        <f>IF(INDEX(P_Status,ROW()-4)="","",TRIM(UPPER(INDEX(P_Status,ROW()-4))))</f>
        <v/>
      </c>
      <c r="G3272">
        <f>IF(INDEX(L_Status,ROW()-4)="","",TRIM(UPPER(INDEX(L_Status,ROW()-4))))</f>
        <v/>
      </c>
      <c r="J3272">
        <f>IF(INDEX(L_ID,ROW()-4)="","",IF(SUMPRODUCT((P_ID=INDEX(L_ID,ROW()-4))*(P_StatusN="INACTIVE"))&gt;0,1,0))</f>
        <v/>
      </c>
    </row>
    <row r="3273">
      <c r="A3273">
        <f>IF(INDEX(L_ID,ROW()-4)="","",IF(COUNTIF(P_ID,INDEX(L_ID,ROW()-4))&gt;0,1,0))</f>
        <v/>
      </c>
      <c r="B3273">
        <f>IF(INDEX(P_Type,ROW()-4)="","",TRIM(UPPER(INDEX(P_Type,ROW()-4))))</f>
        <v/>
      </c>
      <c r="D3273">
        <f>IF(INDEX(L_Type,ROW()-4)="","",TRIM(UPPER(INDEX(L_Type,ROW()-4))))</f>
        <v/>
      </c>
      <c r="E3273">
        <f>IF(INDEX(P_Status,ROW()-4)="","",TRIM(UPPER(INDEX(P_Status,ROW()-4))))</f>
        <v/>
      </c>
      <c r="G3273">
        <f>IF(INDEX(L_Status,ROW()-4)="","",TRIM(UPPER(INDEX(L_Status,ROW()-4))))</f>
        <v/>
      </c>
      <c r="J3273">
        <f>IF(INDEX(L_ID,ROW()-4)="","",IF(SUMPRODUCT((P_ID=INDEX(L_ID,ROW()-4))*(P_StatusN="INACTIVE"))&gt;0,1,0))</f>
        <v/>
      </c>
    </row>
    <row r="3274">
      <c r="A3274">
        <f>IF(INDEX(L_ID,ROW()-4)="","",IF(COUNTIF(P_ID,INDEX(L_ID,ROW()-4))&gt;0,1,0))</f>
        <v/>
      </c>
      <c r="B3274">
        <f>IF(INDEX(P_Type,ROW()-4)="","",TRIM(UPPER(INDEX(P_Type,ROW()-4))))</f>
        <v/>
      </c>
      <c r="D3274">
        <f>IF(INDEX(L_Type,ROW()-4)="","",TRIM(UPPER(INDEX(L_Type,ROW()-4))))</f>
        <v/>
      </c>
      <c r="E3274">
        <f>IF(INDEX(P_Status,ROW()-4)="","",TRIM(UPPER(INDEX(P_Status,ROW()-4))))</f>
        <v/>
      </c>
      <c r="G3274">
        <f>IF(INDEX(L_Status,ROW()-4)="","",TRIM(UPPER(INDEX(L_Status,ROW()-4))))</f>
        <v/>
      </c>
      <c r="J3274">
        <f>IF(INDEX(L_ID,ROW()-4)="","",IF(SUMPRODUCT((P_ID=INDEX(L_ID,ROW()-4))*(P_StatusN="INACTIVE"))&gt;0,1,0))</f>
        <v/>
      </c>
    </row>
    <row r="3275">
      <c r="A3275">
        <f>IF(INDEX(L_ID,ROW()-4)="","",IF(COUNTIF(P_ID,INDEX(L_ID,ROW()-4))&gt;0,1,0))</f>
        <v/>
      </c>
      <c r="B3275">
        <f>IF(INDEX(P_Type,ROW()-4)="","",TRIM(UPPER(INDEX(P_Type,ROW()-4))))</f>
        <v/>
      </c>
      <c r="D3275">
        <f>IF(INDEX(L_Type,ROW()-4)="","",TRIM(UPPER(INDEX(L_Type,ROW()-4))))</f>
        <v/>
      </c>
      <c r="E3275">
        <f>IF(INDEX(P_Status,ROW()-4)="","",TRIM(UPPER(INDEX(P_Status,ROW()-4))))</f>
        <v/>
      </c>
      <c r="G3275">
        <f>IF(INDEX(L_Status,ROW()-4)="","",TRIM(UPPER(INDEX(L_Status,ROW()-4))))</f>
        <v/>
      </c>
      <c r="J3275">
        <f>IF(INDEX(L_ID,ROW()-4)="","",IF(SUMPRODUCT((P_ID=INDEX(L_ID,ROW()-4))*(P_StatusN="INACTIVE"))&gt;0,1,0))</f>
        <v/>
      </c>
    </row>
    <row r="3276">
      <c r="A3276">
        <f>IF(INDEX(L_ID,ROW()-4)="","",IF(COUNTIF(P_ID,INDEX(L_ID,ROW()-4))&gt;0,1,0))</f>
        <v/>
      </c>
      <c r="B3276">
        <f>IF(INDEX(P_Type,ROW()-4)="","",TRIM(UPPER(INDEX(P_Type,ROW()-4))))</f>
        <v/>
      </c>
      <c r="D3276">
        <f>IF(INDEX(L_Type,ROW()-4)="","",TRIM(UPPER(INDEX(L_Type,ROW()-4))))</f>
        <v/>
      </c>
      <c r="E3276">
        <f>IF(INDEX(P_Status,ROW()-4)="","",TRIM(UPPER(INDEX(P_Status,ROW()-4))))</f>
        <v/>
      </c>
      <c r="G3276">
        <f>IF(INDEX(L_Status,ROW()-4)="","",TRIM(UPPER(INDEX(L_Status,ROW()-4))))</f>
        <v/>
      </c>
      <c r="J3276">
        <f>IF(INDEX(L_ID,ROW()-4)="","",IF(SUMPRODUCT((P_ID=INDEX(L_ID,ROW()-4))*(P_StatusN="INACTIVE"))&gt;0,1,0))</f>
        <v/>
      </c>
    </row>
    <row r="3277">
      <c r="A3277">
        <f>IF(INDEX(L_ID,ROW()-4)="","",IF(COUNTIF(P_ID,INDEX(L_ID,ROW()-4))&gt;0,1,0))</f>
        <v/>
      </c>
      <c r="B3277">
        <f>IF(INDEX(P_Type,ROW()-4)="","",TRIM(UPPER(INDEX(P_Type,ROW()-4))))</f>
        <v/>
      </c>
      <c r="D3277">
        <f>IF(INDEX(L_Type,ROW()-4)="","",TRIM(UPPER(INDEX(L_Type,ROW()-4))))</f>
        <v/>
      </c>
      <c r="E3277">
        <f>IF(INDEX(P_Status,ROW()-4)="","",TRIM(UPPER(INDEX(P_Status,ROW()-4))))</f>
        <v/>
      </c>
      <c r="G3277">
        <f>IF(INDEX(L_Status,ROW()-4)="","",TRIM(UPPER(INDEX(L_Status,ROW()-4))))</f>
        <v/>
      </c>
      <c r="J3277">
        <f>IF(INDEX(L_ID,ROW()-4)="","",IF(SUMPRODUCT((P_ID=INDEX(L_ID,ROW()-4))*(P_StatusN="INACTIVE"))&gt;0,1,0))</f>
        <v/>
      </c>
    </row>
    <row r="3278">
      <c r="A3278">
        <f>IF(INDEX(L_ID,ROW()-4)="","",IF(COUNTIF(P_ID,INDEX(L_ID,ROW()-4))&gt;0,1,0))</f>
        <v/>
      </c>
      <c r="B3278">
        <f>IF(INDEX(P_Type,ROW()-4)="","",TRIM(UPPER(INDEX(P_Type,ROW()-4))))</f>
        <v/>
      </c>
      <c r="D3278">
        <f>IF(INDEX(L_Type,ROW()-4)="","",TRIM(UPPER(INDEX(L_Type,ROW()-4))))</f>
        <v/>
      </c>
      <c r="E3278">
        <f>IF(INDEX(P_Status,ROW()-4)="","",TRIM(UPPER(INDEX(P_Status,ROW()-4))))</f>
        <v/>
      </c>
      <c r="G3278">
        <f>IF(INDEX(L_Status,ROW()-4)="","",TRIM(UPPER(INDEX(L_Status,ROW()-4))))</f>
        <v/>
      </c>
      <c r="J3278">
        <f>IF(INDEX(L_ID,ROW()-4)="","",IF(SUMPRODUCT((P_ID=INDEX(L_ID,ROW()-4))*(P_StatusN="INACTIVE"))&gt;0,1,0))</f>
        <v/>
      </c>
    </row>
    <row r="3279">
      <c r="A3279">
        <f>IF(INDEX(L_ID,ROW()-4)="","",IF(COUNTIF(P_ID,INDEX(L_ID,ROW()-4))&gt;0,1,0))</f>
        <v/>
      </c>
      <c r="B3279">
        <f>IF(INDEX(P_Type,ROW()-4)="","",TRIM(UPPER(INDEX(P_Type,ROW()-4))))</f>
        <v/>
      </c>
      <c r="D3279">
        <f>IF(INDEX(L_Type,ROW()-4)="","",TRIM(UPPER(INDEX(L_Type,ROW()-4))))</f>
        <v/>
      </c>
      <c r="E3279">
        <f>IF(INDEX(P_Status,ROW()-4)="","",TRIM(UPPER(INDEX(P_Status,ROW()-4))))</f>
        <v/>
      </c>
      <c r="G3279">
        <f>IF(INDEX(L_Status,ROW()-4)="","",TRIM(UPPER(INDEX(L_Status,ROW()-4))))</f>
        <v/>
      </c>
      <c r="J3279">
        <f>IF(INDEX(L_ID,ROW()-4)="","",IF(SUMPRODUCT((P_ID=INDEX(L_ID,ROW()-4))*(P_StatusN="INACTIVE"))&gt;0,1,0))</f>
        <v/>
      </c>
    </row>
    <row r="3280">
      <c r="A3280">
        <f>IF(INDEX(L_ID,ROW()-4)="","",IF(COUNTIF(P_ID,INDEX(L_ID,ROW()-4))&gt;0,1,0))</f>
        <v/>
      </c>
      <c r="B3280">
        <f>IF(INDEX(P_Type,ROW()-4)="","",TRIM(UPPER(INDEX(P_Type,ROW()-4))))</f>
        <v/>
      </c>
      <c r="D3280">
        <f>IF(INDEX(L_Type,ROW()-4)="","",TRIM(UPPER(INDEX(L_Type,ROW()-4))))</f>
        <v/>
      </c>
      <c r="E3280">
        <f>IF(INDEX(P_Status,ROW()-4)="","",TRIM(UPPER(INDEX(P_Status,ROW()-4))))</f>
        <v/>
      </c>
      <c r="G3280">
        <f>IF(INDEX(L_Status,ROW()-4)="","",TRIM(UPPER(INDEX(L_Status,ROW()-4))))</f>
        <v/>
      </c>
      <c r="J3280">
        <f>IF(INDEX(L_ID,ROW()-4)="","",IF(SUMPRODUCT((P_ID=INDEX(L_ID,ROW()-4))*(P_StatusN="INACTIVE"))&gt;0,1,0))</f>
        <v/>
      </c>
    </row>
    <row r="3281">
      <c r="A3281">
        <f>IF(INDEX(L_ID,ROW()-4)="","",IF(COUNTIF(P_ID,INDEX(L_ID,ROW()-4))&gt;0,1,0))</f>
        <v/>
      </c>
      <c r="B3281">
        <f>IF(INDEX(P_Type,ROW()-4)="","",TRIM(UPPER(INDEX(P_Type,ROW()-4))))</f>
        <v/>
      </c>
      <c r="D3281">
        <f>IF(INDEX(L_Type,ROW()-4)="","",TRIM(UPPER(INDEX(L_Type,ROW()-4))))</f>
        <v/>
      </c>
      <c r="E3281">
        <f>IF(INDEX(P_Status,ROW()-4)="","",TRIM(UPPER(INDEX(P_Status,ROW()-4))))</f>
        <v/>
      </c>
      <c r="G3281">
        <f>IF(INDEX(L_Status,ROW()-4)="","",TRIM(UPPER(INDEX(L_Status,ROW()-4))))</f>
        <v/>
      </c>
      <c r="J3281">
        <f>IF(INDEX(L_ID,ROW()-4)="","",IF(SUMPRODUCT((P_ID=INDEX(L_ID,ROW()-4))*(P_StatusN="INACTIVE"))&gt;0,1,0))</f>
        <v/>
      </c>
    </row>
    <row r="3282">
      <c r="A3282">
        <f>IF(INDEX(L_ID,ROW()-4)="","",IF(COUNTIF(P_ID,INDEX(L_ID,ROW()-4))&gt;0,1,0))</f>
        <v/>
      </c>
      <c r="B3282">
        <f>IF(INDEX(P_Type,ROW()-4)="","",TRIM(UPPER(INDEX(P_Type,ROW()-4))))</f>
        <v/>
      </c>
      <c r="D3282">
        <f>IF(INDEX(L_Type,ROW()-4)="","",TRIM(UPPER(INDEX(L_Type,ROW()-4))))</f>
        <v/>
      </c>
      <c r="E3282">
        <f>IF(INDEX(P_Status,ROW()-4)="","",TRIM(UPPER(INDEX(P_Status,ROW()-4))))</f>
        <v/>
      </c>
      <c r="G3282">
        <f>IF(INDEX(L_Status,ROW()-4)="","",TRIM(UPPER(INDEX(L_Status,ROW()-4))))</f>
        <v/>
      </c>
      <c r="J3282">
        <f>IF(INDEX(L_ID,ROW()-4)="","",IF(SUMPRODUCT((P_ID=INDEX(L_ID,ROW()-4))*(P_StatusN="INACTIVE"))&gt;0,1,0))</f>
        <v/>
      </c>
    </row>
    <row r="3283">
      <c r="A3283">
        <f>IF(INDEX(L_ID,ROW()-4)="","",IF(COUNTIF(P_ID,INDEX(L_ID,ROW()-4))&gt;0,1,0))</f>
        <v/>
      </c>
      <c r="B3283">
        <f>IF(INDEX(P_Type,ROW()-4)="","",TRIM(UPPER(INDEX(P_Type,ROW()-4))))</f>
        <v/>
      </c>
      <c r="D3283">
        <f>IF(INDEX(L_Type,ROW()-4)="","",TRIM(UPPER(INDEX(L_Type,ROW()-4))))</f>
        <v/>
      </c>
      <c r="E3283">
        <f>IF(INDEX(P_Status,ROW()-4)="","",TRIM(UPPER(INDEX(P_Status,ROW()-4))))</f>
        <v/>
      </c>
      <c r="G3283">
        <f>IF(INDEX(L_Status,ROW()-4)="","",TRIM(UPPER(INDEX(L_Status,ROW()-4))))</f>
        <v/>
      </c>
      <c r="J3283">
        <f>IF(INDEX(L_ID,ROW()-4)="","",IF(SUMPRODUCT((P_ID=INDEX(L_ID,ROW()-4))*(P_StatusN="INACTIVE"))&gt;0,1,0))</f>
        <v/>
      </c>
    </row>
    <row r="3284">
      <c r="A3284">
        <f>IF(INDEX(L_ID,ROW()-4)="","",IF(COUNTIF(P_ID,INDEX(L_ID,ROW()-4))&gt;0,1,0))</f>
        <v/>
      </c>
      <c r="B3284">
        <f>IF(INDEX(P_Type,ROW()-4)="","",TRIM(UPPER(INDEX(P_Type,ROW()-4))))</f>
        <v/>
      </c>
      <c r="D3284">
        <f>IF(INDEX(L_Type,ROW()-4)="","",TRIM(UPPER(INDEX(L_Type,ROW()-4))))</f>
        <v/>
      </c>
      <c r="E3284">
        <f>IF(INDEX(P_Status,ROW()-4)="","",TRIM(UPPER(INDEX(P_Status,ROW()-4))))</f>
        <v/>
      </c>
      <c r="G3284">
        <f>IF(INDEX(L_Status,ROW()-4)="","",TRIM(UPPER(INDEX(L_Status,ROW()-4))))</f>
        <v/>
      </c>
      <c r="J3284">
        <f>IF(INDEX(L_ID,ROW()-4)="","",IF(SUMPRODUCT((P_ID=INDEX(L_ID,ROW()-4))*(P_StatusN="INACTIVE"))&gt;0,1,0))</f>
        <v/>
      </c>
    </row>
    <row r="3285">
      <c r="A3285">
        <f>IF(INDEX(L_ID,ROW()-4)="","",IF(COUNTIF(P_ID,INDEX(L_ID,ROW()-4))&gt;0,1,0))</f>
        <v/>
      </c>
      <c r="B3285">
        <f>IF(INDEX(P_Type,ROW()-4)="","",TRIM(UPPER(INDEX(P_Type,ROW()-4))))</f>
        <v/>
      </c>
      <c r="D3285">
        <f>IF(INDEX(L_Type,ROW()-4)="","",TRIM(UPPER(INDEX(L_Type,ROW()-4))))</f>
        <v/>
      </c>
      <c r="E3285">
        <f>IF(INDEX(P_Status,ROW()-4)="","",TRIM(UPPER(INDEX(P_Status,ROW()-4))))</f>
        <v/>
      </c>
      <c r="G3285">
        <f>IF(INDEX(L_Status,ROW()-4)="","",TRIM(UPPER(INDEX(L_Status,ROW()-4))))</f>
        <v/>
      </c>
      <c r="J3285">
        <f>IF(INDEX(L_ID,ROW()-4)="","",IF(SUMPRODUCT((P_ID=INDEX(L_ID,ROW()-4))*(P_StatusN="INACTIVE"))&gt;0,1,0))</f>
        <v/>
      </c>
    </row>
    <row r="3286">
      <c r="A3286">
        <f>IF(INDEX(L_ID,ROW()-4)="","",IF(COUNTIF(P_ID,INDEX(L_ID,ROW()-4))&gt;0,1,0))</f>
        <v/>
      </c>
      <c r="B3286">
        <f>IF(INDEX(P_Type,ROW()-4)="","",TRIM(UPPER(INDEX(P_Type,ROW()-4))))</f>
        <v/>
      </c>
      <c r="D3286">
        <f>IF(INDEX(L_Type,ROW()-4)="","",TRIM(UPPER(INDEX(L_Type,ROW()-4))))</f>
        <v/>
      </c>
      <c r="E3286">
        <f>IF(INDEX(P_Status,ROW()-4)="","",TRIM(UPPER(INDEX(P_Status,ROW()-4))))</f>
        <v/>
      </c>
      <c r="G3286">
        <f>IF(INDEX(L_Status,ROW()-4)="","",TRIM(UPPER(INDEX(L_Status,ROW()-4))))</f>
        <v/>
      </c>
      <c r="J3286">
        <f>IF(INDEX(L_ID,ROW()-4)="","",IF(SUMPRODUCT((P_ID=INDEX(L_ID,ROW()-4))*(P_StatusN="INACTIVE"))&gt;0,1,0))</f>
        <v/>
      </c>
    </row>
    <row r="3287">
      <c r="A3287">
        <f>IF(INDEX(L_ID,ROW()-4)="","",IF(COUNTIF(P_ID,INDEX(L_ID,ROW()-4))&gt;0,1,0))</f>
        <v/>
      </c>
      <c r="B3287">
        <f>IF(INDEX(P_Type,ROW()-4)="","",TRIM(UPPER(INDEX(P_Type,ROW()-4))))</f>
        <v/>
      </c>
      <c r="D3287">
        <f>IF(INDEX(L_Type,ROW()-4)="","",TRIM(UPPER(INDEX(L_Type,ROW()-4))))</f>
        <v/>
      </c>
      <c r="E3287">
        <f>IF(INDEX(P_Status,ROW()-4)="","",TRIM(UPPER(INDEX(P_Status,ROW()-4))))</f>
        <v/>
      </c>
      <c r="G3287">
        <f>IF(INDEX(L_Status,ROW()-4)="","",TRIM(UPPER(INDEX(L_Status,ROW()-4))))</f>
        <v/>
      </c>
      <c r="J3287">
        <f>IF(INDEX(L_ID,ROW()-4)="","",IF(SUMPRODUCT((P_ID=INDEX(L_ID,ROW()-4))*(P_StatusN="INACTIVE"))&gt;0,1,0))</f>
        <v/>
      </c>
    </row>
    <row r="3288">
      <c r="A3288">
        <f>IF(INDEX(L_ID,ROW()-4)="","",IF(COUNTIF(P_ID,INDEX(L_ID,ROW()-4))&gt;0,1,0))</f>
        <v/>
      </c>
      <c r="B3288">
        <f>IF(INDEX(P_Type,ROW()-4)="","",TRIM(UPPER(INDEX(P_Type,ROW()-4))))</f>
        <v/>
      </c>
      <c r="D3288">
        <f>IF(INDEX(L_Type,ROW()-4)="","",TRIM(UPPER(INDEX(L_Type,ROW()-4))))</f>
        <v/>
      </c>
      <c r="E3288">
        <f>IF(INDEX(P_Status,ROW()-4)="","",TRIM(UPPER(INDEX(P_Status,ROW()-4))))</f>
        <v/>
      </c>
      <c r="G3288">
        <f>IF(INDEX(L_Status,ROW()-4)="","",TRIM(UPPER(INDEX(L_Status,ROW()-4))))</f>
        <v/>
      </c>
      <c r="J3288">
        <f>IF(INDEX(L_ID,ROW()-4)="","",IF(SUMPRODUCT((P_ID=INDEX(L_ID,ROW()-4))*(P_StatusN="INACTIVE"))&gt;0,1,0))</f>
        <v/>
      </c>
    </row>
    <row r="3289">
      <c r="A3289">
        <f>IF(INDEX(L_ID,ROW()-4)="","",IF(COUNTIF(P_ID,INDEX(L_ID,ROW()-4))&gt;0,1,0))</f>
        <v/>
      </c>
      <c r="B3289">
        <f>IF(INDEX(P_Type,ROW()-4)="","",TRIM(UPPER(INDEX(P_Type,ROW()-4))))</f>
        <v/>
      </c>
      <c r="D3289">
        <f>IF(INDEX(L_Type,ROW()-4)="","",TRIM(UPPER(INDEX(L_Type,ROW()-4))))</f>
        <v/>
      </c>
      <c r="E3289">
        <f>IF(INDEX(P_Status,ROW()-4)="","",TRIM(UPPER(INDEX(P_Status,ROW()-4))))</f>
        <v/>
      </c>
      <c r="G3289">
        <f>IF(INDEX(L_Status,ROW()-4)="","",TRIM(UPPER(INDEX(L_Status,ROW()-4))))</f>
        <v/>
      </c>
      <c r="J3289">
        <f>IF(INDEX(L_ID,ROW()-4)="","",IF(SUMPRODUCT((P_ID=INDEX(L_ID,ROW()-4))*(P_StatusN="INACTIVE"))&gt;0,1,0))</f>
        <v/>
      </c>
    </row>
    <row r="3290">
      <c r="A3290">
        <f>IF(INDEX(L_ID,ROW()-4)="","",IF(COUNTIF(P_ID,INDEX(L_ID,ROW()-4))&gt;0,1,0))</f>
        <v/>
      </c>
      <c r="B3290">
        <f>IF(INDEX(P_Type,ROW()-4)="","",TRIM(UPPER(INDEX(P_Type,ROW()-4))))</f>
        <v/>
      </c>
      <c r="D3290">
        <f>IF(INDEX(L_Type,ROW()-4)="","",TRIM(UPPER(INDEX(L_Type,ROW()-4))))</f>
        <v/>
      </c>
      <c r="E3290">
        <f>IF(INDEX(P_Status,ROW()-4)="","",TRIM(UPPER(INDEX(P_Status,ROW()-4))))</f>
        <v/>
      </c>
      <c r="G3290">
        <f>IF(INDEX(L_Status,ROW()-4)="","",TRIM(UPPER(INDEX(L_Status,ROW()-4))))</f>
        <v/>
      </c>
      <c r="J3290">
        <f>IF(INDEX(L_ID,ROW()-4)="","",IF(SUMPRODUCT((P_ID=INDEX(L_ID,ROW()-4))*(P_StatusN="INACTIVE"))&gt;0,1,0))</f>
        <v/>
      </c>
    </row>
    <row r="3291">
      <c r="A3291">
        <f>IF(INDEX(L_ID,ROW()-4)="","",IF(COUNTIF(P_ID,INDEX(L_ID,ROW()-4))&gt;0,1,0))</f>
        <v/>
      </c>
      <c r="B3291">
        <f>IF(INDEX(P_Type,ROW()-4)="","",TRIM(UPPER(INDEX(P_Type,ROW()-4))))</f>
        <v/>
      </c>
      <c r="D3291">
        <f>IF(INDEX(L_Type,ROW()-4)="","",TRIM(UPPER(INDEX(L_Type,ROW()-4))))</f>
        <v/>
      </c>
      <c r="E3291">
        <f>IF(INDEX(P_Status,ROW()-4)="","",TRIM(UPPER(INDEX(P_Status,ROW()-4))))</f>
        <v/>
      </c>
      <c r="G3291">
        <f>IF(INDEX(L_Status,ROW()-4)="","",TRIM(UPPER(INDEX(L_Status,ROW()-4))))</f>
        <v/>
      </c>
      <c r="J3291">
        <f>IF(INDEX(L_ID,ROW()-4)="","",IF(SUMPRODUCT((P_ID=INDEX(L_ID,ROW()-4))*(P_StatusN="INACTIVE"))&gt;0,1,0))</f>
        <v/>
      </c>
    </row>
    <row r="3292">
      <c r="A3292">
        <f>IF(INDEX(L_ID,ROW()-4)="","",IF(COUNTIF(P_ID,INDEX(L_ID,ROW()-4))&gt;0,1,0))</f>
        <v/>
      </c>
      <c r="B3292">
        <f>IF(INDEX(P_Type,ROW()-4)="","",TRIM(UPPER(INDEX(P_Type,ROW()-4))))</f>
        <v/>
      </c>
      <c r="D3292">
        <f>IF(INDEX(L_Type,ROW()-4)="","",TRIM(UPPER(INDEX(L_Type,ROW()-4))))</f>
        <v/>
      </c>
      <c r="E3292">
        <f>IF(INDEX(P_Status,ROW()-4)="","",TRIM(UPPER(INDEX(P_Status,ROW()-4))))</f>
        <v/>
      </c>
      <c r="G3292">
        <f>IF(INDEX(L_Status,ROW()-4)="","",TRIM(UPPER(INDEX(L_Status,ROW()-4))))</f>
        <v/>
      </c>
      <c r="J3292">
        <f>IF(INDEX(L_ID,ROW()-4)="","",IF(SUMPRODUCT((P_ID=INDEX(L_ID,ROW()-4))*(P_StatusN="INACTIVE"))&gt;0,1,0))</f>
        <v/>
      </c>
    </row>
    <row r="3293">
      <c r="A3293">
        <f>IF(INDEX(L_ID,ROW()-4)="","",IF(COUNTIF(P_ID,INDEX(L_ID,ROW()-4))&gt;0,1,0))</f>
        <v/>
      </c>
      <c r="B3293">
        <f>IF(INDEX(P_Type,ROW()-4)="","",TRIM(UPPER(INDEX(P_Type,ROW()-4))))</f>
        <v/>
      </c>
      <c r="D3293">
        <f>IF(INDEX(L_Type,ROW()-4)="","",TRIM(UPPER(INDEX(L_Type,ROW()-4))))</f>
        <v/>
      </c>
      <c r="E3293">
        <f>IF(INDEX(P_Status,ROW()-4)="","",TRIM(UPPER(INDEX(P_Status,ROW()-4))))</f>
        <v/>
      </c>
      <c r="G3293">
        <f>IF(INDEX(L_Status,ROW()-4)="","",TRIM(UPPER(INDEX(L_Status,ROW()-4))))</f>
        <v/>
      </c>
      <c r="J3293">
        <f>IF(INDEX(L_ID,ROW()-4)="","",IF(SUMPRODUCT((P_ID=INDEX(L_ID,ROW()-4))*(P_StatusN="INACTIVE"))&gt;0,1,0))</f>
        <v/>
      </c>
    </row>
    <row r="3294">
      <c r="A3294">
        <f>IF(INDEX(L_ID,ROW()-4)="","",IF(COUNTIF(P_ID,INDEX(L_ID,ROW()-4))&gt;0,1,0))</f>
        <v/>
      </c>
      <c r="B3294">
        <f>IF(INDEX(P_Type,ROW()-4)="","",TRIM(UPPER(INDEX(P_Type,ROW()-4))))</f>
        <v/>
      </c>
      <c r="D3294">
        <f>IF(INDEX(L_Type,ROW()-4)="","",TRIM(UPPER(INDEX(L_Type,ROW()-4))))</f>
        <v/>
      </c>
      <c r="E3294">
        <f>IF(INDEX(P_Status,ROW()-4)="","",TRIM(UPPER(INDEX(P_Status,ROW()-4))))</f>
        <v/>
      </c>
      <c r="G3294">
        <f>IF(INDEX(L_Status,ROW()-4)="","",TRIM(UPPER(INDEX(L_Status,ROW()-4))))</f>
        <v/>
      </c>
      <c r="J3294">
        <f>IF(INDEX(L_ID,ROW()-4)="","",IF(SUMPRODUCT((P_ID=INDEX(L_ID,ROW()-4))*(P_StatusN="INACTIVE"))&gt;0,1,0))</f>
        <v/>
      </c>
    </row>
    <row r="3295">
      <c r="A3295">
        <f>IF(INDEX(L_ID,ROW()-4)="","",IF(COUNTIF(P_ID,INDEX(L_ID,ROW()-4))&gt;0,1,0))</f>
        <v/>
      </c>
      <c r="B3295">
        <f>IF(INDEX(P_Type,ROW()-4)="","",TRIM(UPPER(INDEX(P_Type,ROW()-4))))</f>
        <v/>
      </c>
      <c r="D3295">
        <f>IF(INDEX(L_Type,ROW()-4)="","",TRIM(UPPER(INDEX(L_Type,ROW()-4))))</f>
        <v/>
      </c>
      <c r="E3295">
        <f>IF(INDEX(P_Status,ROW()-4)="","",TRIM(UPPER(INDEX(P_Status,ROW()-4))))</f>
        <v/>
      </c>
      <c r="G3295">
        <f>IF(INDEX(L_Status,ROW()-4)="","",TRIM(UPPER(INDEX(L_Status,ROW()-4))))</f>
        <v/>
      </c>
      <c r="J3295">
        <f>IF(INDEX(L_ID,ROW()-4)="","",IF(SUMPRODUCT((P_ID=INDEX(L_ID,ROW()-4))*(P_StatusN="INACTIVE"))&gt;0,1,0))</f>
        <v/>
      </c>
    </row>
    <row r="3296">
      <c r="A3296">
        <f>IF(INDEX(L_ID,ROW()-4)="","",IF(COUNTIF(P_ID,INDEX(L_ID,ROW()-4))&gt;0,1,0))</f>
        <v/>
      </c>
      <c r="B3296">
        <f>IF(INDEX(P_Type,ROW()-4)="","",TRIM(UPPER(INDEX(P_Type,ROW()-4))))</f>
        <v/>
      </c>
      <c r="D3296">
        <f>IF(INDEX(L_Type,ROW()-4)="","",TRIM(UPPER(INDEX(L_Type,ROW()-4))))</f>
        <v/>
      </c>
      <c r="E3296">
        <f>IF(INDEX(P_Status,ROW()-4)="","",TRIM(UPPER(INDEX(P_Status,ROW()-4))))</f>
        <v/>
      </c>
      <c r="G3296">
        <f>IF(INDEX(L_Status,ROW()-4)="","",TRIM(UPPER(INDEX(L_Status,ROW()-4))))</f>
        <v/>
      </c>
      <c r="J3296">
        <f>IF(INDEX(L_ID,ROW()-4)="","",IF(SUMPRODUCT((P_ID=INDEX(L_ID,ROW()-4))*(P_StatusN="INACTIVE"))&gt;0,1,0))</f>
        <v/>
      </c>
    </row>
    <row r="3297">
      <c r="A3297">
        <f>IF(INDEX(L_ID,ROW()-4)="","",IF(COUNTIF(P_ID,INDEX(L_ID,ROW()-4))&gt;0,1,0))</f>
        <v/>
      </c>
      <c r="B3297">
        <f>IF(INDEX(P_Type,ROW()-4)="","",TRIM(UPPER(INDEX(P_Type,ROW()-4))))</f>
        <v/>
      </c>
      <c r="D3297">
        <f>IF(INDEX(L_Type,ROW()-4)="","",TRIM(UPPER(INDEX(L_Type,ROW()-4))))</f>
        <v/>
      </c>
      <c r="E3297">
        <f>IF(INDEX(P_Status,ROW()-4)="","",TRIM(UPPER(INDEX(P_Status,ROW()-4))))</f>
        <v/>
      </c>
      <c r="G3297">
        <f>IF(INDEX(L_Status,ROW()-4)="","",TRIM(UPPER(INDEX(L_Status,ROW()-4))))</f>
        <v/>
      </c>
      <c r="J3297">
        <f>IF(INDEX(L_ID,ROW()-4)="","",IF(SUMPRODUCT((P_ID=INDEX(L_ID,ROW()-4))*(P_StatusN="INACTIVE"))&gt;0,1,0))</f>
        <v/>
      </c>
    </row>
    <row r="3298">
      <c r="A3298">
        <f>IF(INDEX(L_ID,ROW()-4)="","",IF(COUNTIF(P_ID,INDEX(L_ID,ROW()-4))&gt;0,1,0))</f>
        <v/>
      </c>
      <c r="B3298">
        <f>IF(INDEX(P_Type,ROW()-4)="","",TRIM(UPPER(INDEX(P_Type,ROW()-4))))</f>
        <v/>
      </c>
      <c r="D3298">
        <f>IF(INDEX(L_Type,ROW()-4)="","",TRIM(UPPER(INDEX(L_Type,ROW()-4))))</f>
        <v/>
      </c>
      <c r="E3298">
        <f>IF(INDEX(P_Status,ROW()-4)="","",TRIM(UPPER(INDEX(P_Status,ROW()-4))))</f>
        <v/>
      </c>
      <c r="G3298">
        <f>IF(INDEX(L_Status,ROW()-4)="","",TRIM(UPPER(INDEX(L_Status,ROW()-4))))</f>
        <v/>
      </c>
      <c r="J3298">
        <f>IF(INDEX(L_ID,ROW()-4)="","",IF(SUMPRODUCT((P_ID=INDEX(L_ID,ROW()-4))*(P_StatusN="INACTIVE"))&gt;0,1,0))</f>
        <v/>
      </c>
    </row>
    <row r="3299">
      <c r="A3299">
        <f>IF(INDEX(L_ID,ROW()-4)="","",IF(COUNTIF(P_ID,INDEX(L_ID,ROW()-4))&gt;0,1,0))</f>
        <v/>
      </c>
      <c r="B3299">
        <f>IF(INDEX(P_Type,ROW()-4)="","",TRIM(UPPER(INDEX(P_Type,ROW()-4))))</f>
        <v/>
      </c>
      <c r="D3299">
        <f>IF(INDEX(L_Type,ROW()-4)="","",TRIM(UPPER(INDEX(L_Type,ROW()-4))))</f>
        <v/>
      </c>
      <c r="E3299">
        <f>IF(INDEX(P_Status,ROW()-4)="","",TRIM(UPPER(INDEX(P_Status,ROW()-4))))</f>
        <v/>
      </c>
      <c r="G3299">
        <f>IF(INDEX(L_Status,ROW()-4)="","",TRIM(UPPER(INDEX(L_Status,ROW()-4))))</f>
        <v/>
      </c>
      <c r="J3299">
        <f>IF(INDEX(L_ID,ROW()-4)="","",IF(SUMPRODUCT((P_ID=INDEX(L_ID,ROW()-4))*(P_StatusN="INACTIVE"))&gt;0,1,0))</f>
        <v/>
      </c>
    </row>
    <row r="3300">
      <c r="A3300">
        <f>IF(INDEX(L_ID,ROW()-4)="","",IF(COUNTIF(P_ID,INDEX(L_ID,ROW()-4))&gt;0,1,0))</f>
        <v/>
      </c>
      <c r="B3300">
        <f>IF(INDEX(P_Type,ROW()-4)="","",TRIM(UPPER(INDEX(P_Type,ROW()-4))))</f>
        <v/>
      </c>
      <c r="D3300">
        <f>IF(INDEX(L_Type,ROW()-4)="","",TRIM(UPPER(INDEX(L_Type,ROW()-4))))</f>
        <v/>
      </c>
      <c r="E3300">
        <f>IF(INDEX(P_Status,ROW()-4)="","",TRIM(UPPER(INDEX(P_Status,ROW()-4))))</f>
        <v/>
      </c>
      <c r="G3300">
        <f>IF(INDEX(L_Status,ROW()-4)="","",TRIM(UPPER(INDEX(L_Status,ROW()-4))))</f>
        <v/>
      </c>
      <c r="J3300">
        <f>IF(INDEX(L_ID,ROW()-4)="","",IF(SUMPRODUCT((P_ID=INDEX(L_ID,ROW()-4))*(P_StatusN="INACTIVE"))&gt;0,1,0))</f>
        <v/>
      </c>
    </row>
    <row r="3301">
      <c r="A3301">
        <f>IF(INDEX(L_ID,ROW()-4)="","",IF(COUNTIF(P_ID,INDEX(L_ID,ROW()-4))&gt;0,1,0))</f>
        <v/>
      </c>
      <c r="B3301">
        <f>IF(INDEX(P_Type,ROW()-4)="","",TRIM(UPPER(INDEX(P_Type,ROW()-4))))</f>
        <v/>
      </c>
      <c r="D3301">
        <f>IF(INDEX(L_Type,ROW()-4)="","",TRIM(UPPER(INDEX(L_Type,ROW()-4))))</f>
        <v/>
      </c>
      <c r="E3301">
        <f>IF(INDEX(P_Status,ROW()-4)="","",TRIM(UPPER(INDEX(P_Status,ROW()-4))))</f>
        <v/>
      </c>
      <c r="G3301">
        <f>IF(INDEX(L_Status,ROW()-4)="","",TRIM(UPPER(INDEX(L_Status,ROW()-4))))</f>
        <v/>
      </c>
      <c r="J3301">
        <f>IF(INDEX(L_ID,ROW()-4)="","",IF(SUMPRODUCT((P_ID=INDEX(L_ID,ROW()-4))*(P_StatusN="INACTIVE"))&gt;0,1,0))</f>
        <v/>
      </c>
    </row>
    <row r="3302">
      <c r="A3302">
        <f>IF(INDEX(L_ID,ROW()-4)="","",IF(COUNTIF(P_ID,INDEX(L_ID,ROW()-4))&gt;0,1,0))</f>
        <v/>
      </c>
      <c r="B3302">
        <f>IF(INDEX(P_Type,ROW()-4)="","",TRIM(UPPER(INDEX(P_Type,ROW()-4))))</f>
        <v/>
      </c>
      <c r="D3302">
        <f>IF(INDEX(L_Type,ROW()-4)="","",TRIM(UPPER(INDEX(L_Type,ROW()-4))))</f>
        <v/>
      </c>
      <c r="E3302">
        <f>IF(INDEX(P_Status,ROW()-4)="","",TRIM(UPPER(INDEX(P_Status,ROW()-4))))</f>
        <v/>
      </c>
      <c r="G3302">
        <f>IF(INDEX(L_Status,ROW()-4)="","",TRIM(UPPER(INDEX(L_Status,ROW()-4))))</f>
        <v/>
      </c>
      <c r="J3302">
        <f>IF(INDEX(L_ID,ROW()-4)="","",IF(SUMPRODUCT((P_ID=INDEX(L_ID,ROW()-4))*(P_StatusN="INACTIVE"))&gt;0,1,0))</f>
        <v/>
      </c>
    </row>
    <row r="3303">
      <c r="A3303">
        <f>IF(INDEX(L_ID,ROW()-4)="","",IF(COUNTIF(P_ID,INDEX(L_ID,ROW()-4))&gt;0,1,0))</f>
        <v/>
      </c>
      <c r="B3303">
        <f>IF(INDEX(P_Type,ROW()-4)="","",TRIM(UPPER(INDEX(P_Type,ROW()-4))))</f>
        <v/>
      </c>
      <c r="D3303">
        <f>IF(INDEX(L_Type,ROW()-4)="","",TRIM(UPPER(INDEX(L_Type,ROW()-4))))</f>
        <v/>
      </c>
      <c r="E3303">
        <f>IF(INDEX(P_Status,ROW()-4)="","",TRIM(UPPER(INDEX(P_Status,ROW()-4))))</f>
        <v/>
      </c>
      <c r="G3303">
        <f>IF(INDEX(L_Status,ROW()-4)="","",TRIM(UPPER(INDEX(L_Status,ROW()-4))))</f>
        <v/>
      </c>
      <c r="J3303">
        <f>IF(INDEX(L_ID,ROW()-4)="","",IF(SUMPRODUCT((P_ID=INDEX(L_ID,ROW()-4))*(P_StatusN="INACTIVE"))&gt;0,1,0))</f>
        <v/>
      </c>
    </row>
    <row r="3304">
      <c r="A3304">
        <f>IF(INDEX(L_ID,ROW()-4)="","",IF(COUNTIF(P_ID,INDEX(L_ID,ROW()-4))&gt;0,1,0))</f>
        <v/>
      </c>
      <c r="B3304">
        <f>IF(INDEX(P_Type,ROW()-4)="","",TRIM(UPPER(INDEX(P_Type,ROW()-4))))</f>
        <v/>
      </c>
      <c r="D3304">
        <f>IF(INDEX(L_Type,ROW()-4)="","",TRIM(UPPER(INDEX(L_Type,ROW()-4))))</f>
        <v/>
      </c>
      <c r="E3304">
        <f>IF(INDEX(P_Status,ROW()-4)="","",TRIM(UPPER(INDEX(P_Status,ROW()-4))))</f>
        <v/>
      </c>
      <c r="G3304">
        <f>IF(INDEX(L_Status,ROW()-4)="","",TRIM(UPPER(INDEX(L_Status,ROW()-4))))</f>
        <v/>
      </c>
      <c r="J3304">
        <f>IF(INDEX(L_ID,ROW()-4)="","",IF(SUMPRODUCT((P_ID=INDEX(L_ID,ROW()-4))*(P_StatusN="INACTIVE"))&gt;0,1,0))</f>
        <v/>
      </c>
    </row>
    <row r="3305">
      <c r="A3305">
        <f>IF(INDEX(L_ID,ROW()-4)="","",IF(COUNTIF(P_ID,INDEX(L_ID,ROW()-4))&gt;0,1,0))</f>
        <v/>
      </c>
      <c r="B3305">
        <f>IF(INDEX(P_Type,ROW()-4)="","",TRIM(UPPER(INDEX(P_Type,ROW()-4))))</f>
        <v/>
      </c>
      <c r="D3305">
        <f>IF(INDEX(L_Type,ROW()-4)="","",TRIM(UPPER(INDEX(L_Type,ROW()-4))))</f>
        <v/>
      </c>
      <c r="E3305">
        <f>IF(INDEX(P_Status,ROW()-4)="","",TRIM(UPPER(INDEX(P_Status,ROW()-4))))</f>
        <v/>
      </c>
      <c r="G3305">
        <f>IF(INDEX(L_Status,ROW()-4)="","",TRIM(UPPER(INDEX(L_Status,ROW()-4))))</f>
        <v/>
      </c>
      <c r="J3305">
        <f>IF(INDEX(L_ID,ROW()-4)="","",IF(SUMPRODUCT((P_ID=INDEX(L_ID,ROW()-4))*(P_StatusN="INACTIVE"))&gt;0,1,0))</f>
        <v/>
      </c>
    </row>
    <row r="3306">
      <c r="A3306">
        <f>IF(INDEX(L_ID,ROW()-4)="","",IF(COUNTIF(P_ID,INDEX(L_ID,ROW()-4))&gt;0,1,0))</f>
        <v/>
      </c>
      <c r="B3306">
        <f>IF(INDEX(P_Type,ROW()-4)="","",TRIM(UPPER(INDEX(P_Type,ROW()-4))))</f>
        <v/>
      </c>
      <c r="D3306">
        <f>IF(INDEX(L_Type,ROW()-4)="","",TRIM(UPPER(INDEX(L_Type,ROW()-4))))</f>
        <v/>
      </c>
      <c r="E3306">
        <f>IF(INDEX(P_Status,ROW()-4)="","",TRIM(UPPER(INDEX(P_Status,ROW()-4))))</f>
        <v/>
      </c>
      <c r="G3306">
        <f>IF(INDEX(L_Status,ROW()-4)="","",TRIM(UPPER(INDEX(L_Status,ROW()-4))))</f>
        <v/>
      </c>
      <c r="J3306">
        <f>IF(INDEX(L_ID,ROW()-4)="","",IF(SUMPRODUCT((P_ID=INDEX(L_ID,ROW()-4))*(P_StatusN="INACTIVE"))&gt;0,1,0))</f>
        <v/>
      </c>
    </row>
    <row r="3307">
      <c r="A3307">
        <f>IF(INDEX(L_ID,ROW()-4)="","",IF(COUNTIF(P_ID,INDEX(L_ID,ROW()-4))&gt;0,1,0))</f>
        <v/>
      </c>
      <c r="B3307">
        <f>IF(INDEX(P_Type,ROW()-4)="","",TRIM(UPPER(INDEX(P_Type,ROW()-4))))</f>
        <v/>
      </c>
      <c r="D3307">
        <f>IF(INDEX(L_Type,ROW()-4)="","",TRIM(UPPER(INDEX(L_Type,ROW()-4))))</f>
        <v/>
      </c>
      <c r="E3307">
        <f>IF(INDEX(P_Status,ROW()-4)="","",TRIM(UPPER(INDEX(P_Status,ROW()-4))))</f>
        <v/>
      </c>
      <c r="G3307">
        <f>IF(INDEX(L_Status,ROW()-4)="","",TRIM(UPPER(INDEX(L_Status,ROW()-4))))</f>
        <v/>
      </c>
      <c r="J3307">
        <f>IF(INDEX(L_ID,ROW()-4)="","",IF(SUMPRODUCT((P_ID=INDEX(L_ID,ROW()-4))*(P_StatusN="INACTIVE"))&gt;0,1,0))</f>
        <v/>
      </c>
    </row>
    <row r="3308">
      <c r="A3308">
        <f>IF(INDEX(L_ID,ROW()-4)="","",IF(COUNTIF(P_ID,INDEX(L_ID,ROW()-4))&gt;0,1,0))</f>
        <v/>
      </c>
      <c r="B3308">
        <f>IF(INDEX(P_Type,ROW()-4)="","",TRIM(UPPER(INDEX(P_Type,ROW()-4))))</f>
        <v/>
      </c>
      <c r="D3308">
        <f>IF(INDEX(L_Type,ROW()-4)="","",TRIM(UPPER(INDEX(L_Type,ROW()-4))))</f>
        <v/>
      </c>
      <c r="E3308">
        <f>IF(INDEX(P_Status,ROW()-4)="","",TRIM(UPPER(INDEX(P_Status,ROW()-4))))</f>
        <v/>
      </c>
      <c r="G3308">
        <f>IF(INDEX(L_Status,ROW()-4)="","",TRIM(UPPER(INDEX(L_Status,ROW()-4))))</f>
        <v/>
      </c>
      <c r="J3308">
        <f>IF(INDEX(L_ID,ROW()-4)="","",IF(SUMPRODUCT((P_ID=INDEX(L_ID,ROW()-4))*(P_StatusN="INACTIVE"))&gt;0,1,0))</f>
        <v/>
      </c>
    </row>
    <row r="3309">
      <c r="A3309">
        <f>IF(INDEX(L_ID,ROW()-4)="","",IF(COUNTIF(P_ID,INDEX(L_ID,ROW()-4))&gt;0,1,0))</f>
        <v/>
      </c>
      <c r="B3309">
        <f>IF(INDEX(P_Type,ROW()-4)="","",TRIM(UPPER(INDEX(P_Type,ROW()-4))))</f>
        <v/>
      </c>
      <c r="D3309">
        <f>IF(INDEX(L_Type,ROW()-4)="","",TRIM(UPPER(INDEX(L_Type,ROW()-4))))</f>
        <v/>
      </c>
      <c r="E3309">
        <f>IF(INDEX(P_Status,ROW()-4)="","",TRIM(UPPER(INDEX(P_Status,ROW()-4))))</f>
        <v/>
      </c>
      <c r="G3309">
        <f>IF(INDEX(L_Status,ROW()-4)="","",TRIM(UPPER(INDEX(L_Status,ROW()-4))))</f>
        <v/>
      </c>
      <c r="J3309">
        <f>IF(INDEX(L_ID,ROW()-4)="","",IF(SUMPRODUCT((P_ID=INDEX(L_ID,ROW()-4))*(P_StatusN="INACTIVE"))&gt;0,1,0))</f>
        <v/>
      </c>
    </row>
    <row r="3310">
      <c r="A3310">
        <f>IF(INDEX(L_ID,ROW()-4)="","",IF(COUNTIF(P_ID,INDEX(L_ID,ROW()-4))&gt;0,1,0))</f>
        <v/>
      </c>
      <c r="B3310">
        <f>IF(INDEX(P_Type,ROW()-4)="","",TRIM(UPPER(INDEX(P_Type,ROW()-4))))</f>
        <v/>
      </c>
      <c r="D3310">
        <f>IF(INDEX(L_Type,ROW()-4)="","",TRIM(UPPER(INDEX(L_Type,ROW()-4))))</f>
        <v/>
      </c>
      <c r="E3310">
        <f>IF(INDEX(P_Status,ROW()-4)="","",TRIM(UPPER(INDEX(P_Status,ROW()-4))))</f>
        <v/>
      </c>
      <c r="G3310">
        <f>IF(INDEX(L_Status,ROW()-4)="","",TRIM(UPPER(INDEX(L_Status,ROW()-4))))</f>
        <v/>
      </c>
      <c r="J3310">
        <f>IF(INDEX(L_ID,ROW()-4)="","",IF(SUMPRODUCT((P_ID=INDEX(L_ID,ROW()-4))*(P_StatusN="INACTIVE"))&gt;0,1,0))</f>
        <v/>
      </c>
    </row>
    <row r="3311">
      <c r="A3311">
        <f>IF(INDEX(L_ID,ROW()-4)="","",IF(COUNTIF(P_ID,INDEX(L_ID,ROW()-4))&gt;0,1,0))</f>
        <v/>
      </c>
      <c r="B3311">
        <f>IF(INDEX(P_Type,ROW()-4)="","",TRIM(UPPER(INDEX(P_Type,ROW()-4))))</f>
        <v/>
      </c>
      <c r="D3311">
        <f>IF(INDEX(L_Type,ROW()-4)="","",TRIM(UPPER(INDEX(L_Type,ROW()-4))))</f>
        <v/>
      </c>
      <c r="E3311">
        <f>IF(INDEX(P_Status,ROW()-4)="","",TRIM(UPPER(INDEX(P_Status,ROW()-4))))</f>
        <v/>
      </c>
      <c r="G3311">
        <f>IF(INDEX(L_Status,ROW()-4)="","",TRIM(UPPER(INDEX(L_Status,ROW()-4))))</f>
        <v/>
      </c>
      <c r="J3311">
        <f>IF(INDEX(L_ID,ROW()-4)="","",IF(SUMPRODUCT((P_ID=INDEX(L_ID,ROW()-4))*(P_StatusN="INACTIVE"))&gt;0,1,0))</f>
        <v/>
      </c>
    </row>
    <row r="3312">
      <c r="A3312">
        <f>IF(INDEX(L_ID,ROW()-4)="","",IF(COUNTIF(P_ID,INDEX(L_ID,ROW()-4))&gt;0,1,0))</f>
        <v/>
      </c>
      <c r="B3312">
        <f>IF(INDEX(P_Type,ROW()-4)="","",TRIM(UPPER(INDEX(P_Type,ROW()-4))))</f>
        <v/>
      </c>
      <c r="D3312">
        <f>IF(INDEX(L_Type,ROW()-4)="","",TRIM(UPPER(INDEX(L_Type,ROW()-4))))</f>
        <v/>
      </c>
      <c r="E3312">
        <f>IF(INDEX(P_Status,ROW()-4)="","",TRIM(UPPER(INDEX(P_Status,ROW()-4))))</f>
        <v/>
      </c>
      <c r="G3312">
        <f>IF(INDEX(L_Status,ROW()-4)="","",TRIM(UPPER(INDEX(L_Status,ROW()-4))))</f>
        <v/>
      </c>
      <c r="J3312">
        <f>IF(INDEX(L_ID,ROW()-4)="","",IF(SUMPRODUCT((P_ID=INDEX(L_ID,ROW()-4))*(P_StatusN="INACTIVE"))&gt;0,1,0))</f>
        <v/>
      </c>
    </row>
    <row r="3313">
      <c r="A3313">
        <f>IF(INDEX(L_ID,ROW()-4)="","",IF(COUNTIF(P_ID,INDEX(L_ID,ROW()-4))&gt;0,1,0))</f>
        <v/>
      </c>
      <c r="B3313">
        <f>IF(INDEX(P_Type,ROW()-4)="","",TRIM(UPPER(INDEX(P_Type,ROW()-4))))</f>
        <v/>
      </c>
      <c r="D3313">
        <f>IF(INDEX(L_Type,ROW()-4)="","",TRIM(UPPER(INDEX(L_Type,ROW()-4))))</f>
        <v/>
      </c>
      <c r="E3313">
        <f>IF(INDEX(P_Status,ROW()-4)="","",TRIM(UPPER(INDEX(P_Status,ROW()-4))))</f>
        <v/>
      </c>
      <c r="G3313">
        <f>IF(INDEX(L_Status,ROW()-4)="","",TRIM(UPPER(INDEX(L_Status,ROW()-4))))</f>
        <v/>
      </c>
      <c r="J3313">
        <f>IF(INDEX(L_ID,ROW()-4)="","",IF(SUMPRODUCT((P_ID=INDEX(L_ID,ROW()-4))*(P_StatusN="INACTIVE"))&gt;0,1,0))</f>
        <v/>
      </c>
    </row>
    <row r="3314">
      <c r="A3314">
        <f>IF(INDEX(L_ID,ROW()-4)="","",IF(COUNTIF(P_ID,INDEX(L_ID,ROW()-4))&gt;0,1,0))</f>
        <v/>
      </c>
      <c r="B3314">
        <f>IF(INDEX(P_Type,ROW()-4)="","",TRIM(UPPER(INDEX(P_Type,ROW()-4))))</f>
        <v/>
      </c>
      <c r="D3314">
        <f>IF(INDEX(L_Type,ROW()-4)="","",TRIM(UPPER(INDEX(L_Type,ROW()-4))))</f>
        <v/>
      </c>
      <c r="E3314">
        <f>IF(INDEX(P_Status,ROW()-4)="","",TRIM(UPPER(INDEX(P_Status,ROW()-4))))</f>
        <v/>
      </c>
      <c r="G3314">
        <f>IF(INDEX(L_Status,ROW()-4)="","",TRIM(UPPER(INDEX(L_Status,ROW()-4))))</f>
        <v/>
      </c>
      <c r="J3314">
        <f>IF(INDEX(L_ID,ROW()-4)="","",IF(SUMPRODUCT((P_ID=INDEX(L_ID,ROW()-4))*(P_StatusN="INACTIVE"))&gt;0,1,0))</f>
        <v/>
      </c>
    </row>
    <row r="3315">
      <c r="A3315">
        <f>IF(INDEX(L_ID,ROW()-4)="","",IF(COUNTIF(P_ID,INDEX(L_ID,ROW()-4))&gt;0,1,0))</f>
        <v/>
      </c>
      <c r="B3315">
        <f>IF(INDEX(P_Type,ROW()-4)="","",TRIM(UPPER(INDEX(P_Type,ROW()-4))))</f>
        <v/>
      </c>
      <c r="D3315">
        <f>IF(INDEX(L_Type,ROW()-4)="","",TRIM(UPPER(INDEX(L_Type,ROW()-4))))</f>
        <v/>
      </c>
      <c r="E3315">
        <f>IF(INDEX(P_Status,ROW()-4)="","",TRIM(UPPER(INDEX(P_Status,ROW()-4))))</f>
        <v/>
      </c>
      <c r="G3315">
        <f>IF(INDEX(L_Status,ROW()-4)="","",TRIM(UPPER(INDEX(L_Status,ROW()-4))))</f>
        <v/>
      </c>
      <c r="J3315">
        <f>IF(INDEX(L_ID,ROW()-4)="","",IF(SUMPRODUCT((P_ID=INDEX(L_ID,ROW()-4))*(P_StatusN="INACTIVE"))&gt;0,1,0))</f>
        <v/>
      </c>
    </row>
    <row r="3316">
      <c r="A3316">
        <f>IF(INDEX(L_ID,ROW()-4)="","",IF(COUNTIF(P_ID,INDEX(L_ID,ROW()-4))&gt;0,1,0))</f>
        <v/>
      </c>
      <c r="B3316">
        <f>IF(INDEX(P_Type,ROW()-4)="","",TRIM(UPPER(INDEX(P_Type,ROW()-4))))</f>
        <v/>
      </c>
      <c r="D3316">
        <f>IF(INDEX(L_Type,ROW()-4)="","",TRIM(UPPER(INDEX(L_Type,ROW()-4))))</f>
        <v/>
      </c>
      <c r="E3316">
        <f>IF(INDEX(P_Status,ROW()-4)="","",TRIM(UPPER(INDEX(P_Status,ROW()-4))))</f>
        <v/>
      </c>
      <c r="G3316">
        <f>IF(INDEX(L_Status,ROW()-4)="","",TRIM(UPPER(INDEX(L_Status,ROW()-4))))</f>
        <v/>
      </c>
      <c r="J3316">
        <f>IF(INDEX(L_ID,ROW()-4)="","",IF(SUMPRODUCT((P_ID=INDEX(L_ID,ROW()-4))*(P_StatusN="INACTIVE"))&gt;0,1,0))</f>
        <v/>
      </c>
    </row>
    <row r="3317">
      <c r="A3317">
        <f>IF(INDEX(L_ID,ROW()-4)="","",IF(COUNTIF(P_ID,INDEX(L_ID,ROW()-4))&gt;0,1,0))</f>
        <v/>
      </c>
      <c r="B3317">
        <f>IF(INDEX(P_Type,ROW()-4)="","",TRIM(UPPER(INDEX(P_Type,ROW()-4))))</f>
        <v/>
      </c>
      <c r="D3317">
        <f>IF(INDEX(L_Type,ROW()-4)="","",TRIM(UPPER(INDEX(L_Type,ROW()-4))))</f>
        <v/>
      </c>
      <c r="E3317">
        <f>IF(INDEX(P_Status,ROW()-4)="","",TRIM(UPPER(INDEX(P_Status,ROW()-4))))</f>
        <v/>
      </c>
      <c r="G3317">
        <f>IF(INDEX(L_Status,ROW()-4)="","",TRIM(UPPER(INDEX(L_Status,ROW()-4))))</f>
        <v/>
      </c>
      <c r="J3317">
        <f>IF(INDEX(L_ID,ROW()-4)="","",IF(SUMPRODUCT((P_ID=INDEX(L_ID,ROW()-4))*(P_StatusN="INACTIVE"))&gt;0,1,0))</f>
        <v/>
      </c>
    </row>
    <row r="3318">
      <c r="A3318">
        <f>IF(INDEX(L_ID,ROW()-4)="","",IF(COUNTIF(P_ID,INDEX(L_ID,ROW()-4))&gt;0,1,0))</f>
        <v/>
      </c>
      <c r="B3318">
        <f>IF(INDEX(P_Type,ROW()-4)="","",TRIM(UPPER(INDEX(P_Type,ROW()-4))))</f>
        <v/>
      </c>
      <c r="D3318">
        <f>IF(INDEX(L_Type,ROW()-4)="","",TRIM(UPPER(INDEX(L_Type,ROW()-4))))</f>
        <v/>
      </c>
      <c r="E3318">
        <f>IF(INDEX(P_Status,ROW()-4)="","",TRIM(UPPER(INDEX(P_Status,ROW()-4))))</f>
        <v/>
      </c>
      <c r="G3318">
        <f>IF(INDEX(L_Status,ROW()-4)="","",TRIM(UPPER(INDEX(L_Status,ROW()-4))))</f>
        <v/>
      </c>
      <c r="J3318">
        <f>IF(INDEX(L_ID,ROW()-4)="","",IF(SUMPRODUCT((P_ID=INDEX(L_ID,ROW()-4))*(P_StatusN="INACTIVE"))&gt;0,1,0))</f>
        <v/>
      </c>
    </row>
    <row r="3319">
      <c r="A3319">
        <f>IF(INDEX(L_ID,ROW()-4)="","",IF(COUNTIF(P_ID,INDEX(L_ID,ROW()-4))&gt;0,1,0))</f>
        <v/>
      </c>
      <c r="B3319">
        <f>IF(INDEX(P_Type,ROW()-4)="","",TRIM(UPPER(INDEX(P_Type,ROW()-4))))</f>
        <v/>
      </c>
      <c r="D3319">
        <f>IF(INDEX(L_Type,ROW()-4)="","",TRIM(UPPER(INDEX(L_Type,ROW()-4))))</f>
        <v/>
      </c>
      <c r="E3319">
        <f>IF(INDEX(P_Status,ROW()-4)="","",TRIM(UPPER(INDEX(P_Status,ROW()-4))))</f>
        <v/>
      </c>
      <c r="G3319">
        <f>IF(INDEX(L_Status,ROW()-4)="","",TRIM(UPPER(INDEX(L_Status,ROW()-4))))</f>
        <v/>
      </c>
      <c r="J3319">
        <f>IF(INDEX(L_ID,ROW()-4)="","",IF(SUMPRODUCT((P_ID=INDEX(L_ID,ROW()-4))*(P_StatusN="INACTIVE"))&gt;0,1,0))</f>
        <v/>
      </c>
    </row>
    <row r="3320">
      <c r="A3320">
        <f>IF(INDEX(L_ID,ROW()-4)="","",IF(COUNTIF(P_ID,INDEX(L_ID,ROW()-4))&gt;0,1,0))</f>
        <v/>
      </c>
      <c r="B3320">
        <f>IF(INDEX(P_Type,ROW()-4)="","",TRIM(UPPER(INDEX(P_Type,ROW()-4))))</f>
        <v/>
      </c>
      <c r="D3320">
        <f>IF(INDEX(L_Type,ROW()-4)="","",TRIM(UPPER(INDEX(L_Type,ROW()-4))))</f>
        <v/>
      </c>
      <c r="E3320">
        <f>IF(INDEX(P_Status,ROW()-4)="","",TRIM(UPPER(INDEX(P_Status,ROW()-4))))</f>
        <v/>
      </c>
      <c r="G3320">
        <f>IF(INDEX(L_Status,ROW()-4)="","",TRIM(UPPER(INDEX(L_Status,ROW()-4))))</f>
        <v/>
      </c>
      <c r="J3320">
        <f>IF(INDEX(L_ID,ROW()-4)="","",IF(SUMPRODUCT((P_ID=INDEX(L_ID,ROW()-4))*(P_StatusN="INACTIVE"))&gt;0,1,0))</f>
        <v/>
      </c>
    </row>
    <row r="3321">
      <c r="A3321">
        <f>IF(INDEX(L_ID,ROW()-4)="","",IF(COUNTIF(P_ID,INDEX(L_ID,ROW()-4))&gt;0,1,0))</f>
        <v/>
      </c>
      <c r="B3321">
        <f>IF(INDEX(P_Type,ROW()-4)="","",TRIM(UPPER(INDEX(P_Type,ROW()-4))))</f>
        <v/>
      </c>
      <c r="D3321">
        <f>IF(INDEX(L_Type,ROW()-4)="","",TRIM(UPPER(INDEX(L_Type,ROW()-4))))</f>
        <v/>
      </c>
      <c r="E3321">
        <f>IF(INDEX(P_Status,ROW()-4)="","",TRIM(UPPER(INDEX(P_Status,ROW()-4))))</f>
        <v/>
      </c>
      <c r="G3321">
        <f>IF(INDEX(L_Status,ROW()-4)="","",TRIM(UPPER(INDEX(L_Status,ROW()-4))))</f>
        <v/>
      </c>
      <c r="J3321">
        <f>IF(INDEX(L_ID,ROW()-4)="","",IF(SUMPRODUCT((P_ID=INDEX(L_ID,ROW()-4))*(P_StatusN="INACTIVE"))&gt;0,1,0))</f>
        <v/>
      </c>
    </row>
    <row r="3322">
      <c r="A3322">
        <f>IF(INDEX(L_ID,ROW()-4)="","",IF(COUNTIF(P_ID,INDEX(L_ID,ROW()-4))&gt;0,1,0))</f>
        <v/>
      </c>
      <c r="B3322">
        <f>IF(INDEX(P_Type,ROW()-4)="","",TRIM(UPPER(INDEX(P_Type,ROW()-4))))</f>
        <v/>
      </c>
      <c r="D3322">
        <f>IF(INDEX(L_Type,ROW()-4)="","",TRIM(UPPER(INDEX(L_Type,ROW()-4))))</f>
        <v/>
      </c>
      <c r="E3322">
        <f>IF(INDEX(P_Status,ROW()-4)="","",TRIM(UPPER(INDEX(P_Status,ROW()-4))))</f>
        <v/>
      </c>
      <c r="G3322">
        <f>IF(INDEX(L_Status,ROW()-4)="","",TRIM(UPPER(INDEX(L_Status,ROW()-4))))</f>
        <v/>
      </c>
      <c r="J3322">
        <f>IF(INDEX(L_ID,ROW()-4)="","",IF(SUMPRODUCT((P_ID=INDEX(L_ID,ROW()-4))*(P_StatusN="INACTIVE"))&gt;0,1,0))</f>
        <v/>
      </c>
    </row>
    <row r="3323">
      <c r="A3323">
        <f>IF(INDEX(L_ID,ROW()-4)="","",IF(COUNTIF(P_ID,INDEX(L_ID,ROW()-4))&gt;0,1,0))</f>
        <v/>
      </c>
      <c r="B3323">
        <f>IF(INDEX(P_Type,ROW()-4)="","",TRIM(UPPER(INDEX(P_Type,ROW()-4))))</f>
        <v/>
      </c>
      <c r="D3323">
        <f>IF(INDEX(L_Type,ROW()-4)="","",TRIM(UPPER(INDEX(L_Type,ROW()-4))))</f>
        <v/>
      </c>
      <c r="E3323">
        <f>IF(INDEX(P_Status,ROW()-4)="","",TRIM(UPPER(INDEX(P_Status,ROW()-4))))</f>
        <v/>
      </c>
      <c r="G3323">
        <f>IF(INDEX(L_Status,ROW()-4)="","",TRIM(UPPER(INDEX(L_Status,ROW()-4))))</f>
        <v/>
      </c>
      <c r="J3323">
        <f>IF(INDEX(L_ID,ROW()-4)="","",IF(SUMPRODUCT((P_ID=INDEX(L_ID,ROW()-4))*(P_StatusN="INACTIVE"))&gt;0,1,0))</f>
        <v/>
      </c>
    </row>
    <row r="3324">
      <c r="A3324">
        <f>IF(INDEX(L_ID,ROW()-4)="","",IF(COUNTIF(P_ID,INDEX(L_ID,ROW()-4))&gt;0,1,0))</f>
        <v/>
      </c>
      <c r="B3324">
        <f>IF(INDEX(P_Type,ROW()-4)="","",TRIM(UPPER(INDEX(P_Type,ROW()-4))))</f>
        <v/>
      </c>
      <c r="D3324">
        <f>IF(INDEX(L_Type,ROW()-4)="","",TRIM(UPPER(INDEX(L_Type,ROW()-4))))</f>
        <v/>
      </c>
      <c r="E3324">
        <f>IF(INDEX(P_Status,ROW()-4)="","",TRIM(UPPER(INDEX(P_Status,ROW()-4))))</f>
        <v/>
      </c>
      <c r="G3324">
        <f>IF(INDEX(L_Status,ROW()-4)="","",TRIM(UPPER(INDEX(L_Status,ROW()-4))))</f>
        <v/>
      </c>
      <c r="J3324">
        <f>IF(INDEX(L_ID,ROW()-4)="","",IF(SUMPRODUCT((P_ID=INDEX(L_ID,ROW()-4))*(P_StatusN="INACTIVE"))&gt;0,1,0))</f>
        <v/>
      </c>
    </row>
    <row r="3325">
      <c r="A3325">
        <f>IF(INDEX(L_ID,ROW()-4)="","",IF(COUNTIF(P_ID,INDEX(L_ID,ROW()-4))&gt;0,1,0))</f>
        <v/>
      </c>
      <c r="B3325">
        <f>IF(INDEX(P_Type,ROW()-4)="","",TRIM(UPPER(INDEX(P_Type,ROW()-4))))</f>
        <v/>
      </c>
      <c r="D3325">
        <f>IF(INDEX(L_Type,ROW()-4)="","",TRIM(UPPER(INDEX(L_Type,ROW()-4))))</f>
        <v/>
      </c>
      <c r="E3325">
        <f>IF(INDEX(P_Status,ROW()-4)="","",TRIM(UPPER(INDEX(P_Status,ROW()-4))))</f>
        <v/>
      </c>
      <c r="G3325">
        <f>IF(INDEX(L_Status,ROW()-4)="","",TRIM(UPPER(INDEX(L_Status,ROW()-4))))</f>
        <v/>
      </c>
      <c r="J3325">
        <f>IF(INDEX(L_ID,ROW()-4)="","",IF(SUMPRODUCT((P_ID=INDEX(L_ID,ROW()-4))*(P_StatusN="INACTIVE"))&gt;0,1,0))</f>
        <v/>
      </c>
    </row>
    <row r="3326">
      <c r="A3326">
        <f>IF(INDEX(L_ID,ROW()-4)="","",IF(COUNTIF(P_ID,INDEX(L_ID,ROW()-4))&gt;0,1,0))</f>
        <v/>
      </c>
      <c r="B3326">
        <f>IF(INDEX(P_Type,ROW()-4)="","",TRIM(UPPER(INDEX(P_Type,ROW()-4))))</f>
        <v/>
      </c>
      <c r="D3326">
        <f>IF(INDEX(L_Type,ROW()-4)="","",TRIM(UPPER(INDEX(L_Type,ROW()-4))))</f>
        <v/>
      </c>
      <c r="E3326">
        <f>IF(INDEX(P_Status,ROW()-4)="","",TRIM(UPPER(INDEX(P_Status,ROW()-4))))</f>
        <v/>
      </c>
      <c r="G3326">
        <f>IF(INDEX(L_Status,ROW()-4)="","",TRIM(UPPER(INDEX(L_Status,ROW()-4))))</f>
        <v/>
      </c>
      <c r="J3326">
        <f>IF(INDEX(L_ID,ROW()-4)="","",IF(SUMPRODUCT((P_ID=INDEX(L_ID,ROW()-4))*(P_StatusN="INACTIVE"))&gt;0,1,0))</f>
        <v/>
      </c>
    </row>
    <row r="3327">
      <c r="A3327">
        <f>IF(INDEX(L_ID,ROW()-4)="","",IF(COUNTIF(P_ID,INDEX(L_ID,ROW()-4))&gt;0,1,0))</f>
        <v/>
      </c>
      <c r="B3327">
        <f>IF(INDEX(P_Type,ROW()-4)="","",TRIM(UPPER(INDEX(P_Type,ROW()-4))))</f>
        <v/>
      </c>
      <c r="D3327">
        <f>IF(INDEX(L_Type,ROW()-4)="","",TRIM(UPPER(INDEX(L_Type,ROW()-4))))</f>
        <v/>
      </c>
      <c r="E3327">
        <f>IF(INDEX(P_Status,ROW()-4)="","",TRIM(UPPER(INDEX(P_Status,ROW()-4))))</f>
        <v/>
      </c>
      <c r="G3327">
        <f>IF(INDEX(L_Status,ROW()-4)="","",TRIM(UPPER(INDEX(L_Status,ROW()-4))))</f>
        <v/>
      </c>
      <c r="J3327">
        <f>IF(INDEX(L_ID,ROW()-4)="","",IF(SUMPRODUCT((P_ID=INDEX(L_ID,ROW()-4))*(P_StatusN="INACTIVE"))&gt;0,1,0))</f>
        <v/>
      </c>
    </row>
    <row r="3328">
      <c r="A3328">
        <f>IF(INDEX(L_ID,ROW()-4)="","",IF(COUNTIF(P_ID,INDEX(L_ID,ROW()-4))&gt;0,1,0))</f>
        <v/>
      </c>
      <c r="B3328">
        <f>IF(INDEX(P_Type,ROW()-4)="","",TRIM(UPPER(INDEX(P_Type,ROW()-4))))</f>
        <v/>
      </c>
      <c r="D3328">
        <f>IF(INDEX(L_Type,ROW()-4)="","",TRIM(UPPER(INDEX(L_Type,ROW()-4))))</f>
        <v/>
      </c>
      <c r="E3328">
        <f>IF(INDEX(P_Status,ROW()-4)="","",TRIM(UPPER(INDEX(P_Status,ROW()-4))))</f>
        <v/>
      </c>
      <c r="G3328">
        <f>IF(INDEX(L_Status,ROW()-4)="","",TRIM(UPPER(INDEX(L_Status,ROW()-4))))</f>
        <v/>
      </c>
      <c r="J3328">
        <f>IF(INDEX(L_ID,ROW()-4)="","",IF(SUMPRODUCT((P_ID=INDEX(L_ID,ROW()-4))*(P_StatusN="INACTIVE"))&gt;0,1,0))</f>
        <v/>
      </c>
    </row>
    <row r="3329">
      <c r="A3329">
        <f>IF(INDEX(L_ID,ROW()-4)="","",IF(COUNTIF(P_ID,INDEX(L_ID,ROW()-4))&gt;0,1,0))</f>
        <v/>
      </c>
      <c r="B3329">
        <f>IF(INDEX(P_Type,ROW()-4)="","",TRIM(UPPER(INDEX(P_Type,ROW()-4))))</f>
        <v/>
      </c>
      <c r="D3329">
        <f>IF(INDEX(L_Type,ROW()-4)="","",TRIM(UPPER(INDEX(L_Type,ROW()-4))))</f>
        <v/>
      </c>
      <c r="E3329">
        <f>IF(INDEX(P_Status,ROW()-4)="","",TRIM(UPPER(INDEX(P_Status,ROW()-4))))</f>
        <v/>
      </c>
      <c r="G3329">
        <f>IF(INDEX(L_Status,ROW()-4)="","",TRIM(UPPER(INDEX(L_Status,ROW()-4))))</f>
        <v/>
      </c>
      <c r="J3329">
        <f>IF(INDEX(L_ID,ROW()-4)="","",IF(SUMPRODUCT((P_ID=INDEX(L_ID,ROW()-4))*(P_StatusN="INACTIVE"))&gt;0,1,0))</f>
        <v/>
      </c>
    </row>
    <row r="3330">
      <c r="A3330">
        <f>IF(INDEX(L_ID,ROW()-4)="","",IF(COUNTIF(P_ID,INDEX(L_ID,ROW()-4))&gt;0,1,0))</f>
        <v/>
      </c>
      <c r="B3330">
        <f>IF(INDEX(P_Type,ROW()-4)="","",TRIM(UPPER(INDEX(P_Type,ROW()-4))))</f>
        <v/>
      </c>
      <c r="D3330">
        <f>IF(INDEX(L_Type,ROW()-4)="","",TRIM(UPPER(INDEX(L_Type,ROW()-4))))</f>
        <v/>
      </c>
      <c r="E3330">
        <f>IF(INDEX(P_Status,ROW()-4)="","",TRIM(UPPER(INDEX(P_Status,ROW()-4))))</f>
        <v/>
      </c>
      <c r="G3330">
        <f>IF(INDEX(L_Status,ROW()-4)="","",TRIM(UPPER(INDEX(L_Status,ROW()-4))))</f>
        <v/>
      </c>
      <c r="J3330">
        <f>IF(INDEX(L_ID,ROW()-4)="","",IF(SUMPRODUCT((P_ID=INDEX(L_ID,ROW()-4))*(P_StatusN="INACTIVE"))&gt;0,1,0))</f>
        <v/>
      </c>
    </row>
    <row r="3331">
      <c r="A3331">
        <f>IF(INDEX(L_ID,ROW()-4)="","",IF(COUNTIF(P_ID,INDEX(L_ID,ROW()-4))&gt;0,1,0))</f>
        <v/>
      </c>
      <c r="B3331">
        <f>IF(INDEX(P_Type,ROW()-4)="","",TRIM(UPPER(INDEX(P_Type,ROW()-4))))</f>
        <v/>
      </c>
      <c r="D3331">
        <f>IF(INDEX(L_Type,ROW()-4)="","",TRIM(UPPER(INDEX(L_Type,ROW()-4))))</f>
        <v/>
      </c>
      <c r="E3331">
        <f>IF(INDEX(P_Status,ROW()-4)="","",TRIM(UPPER(INDEX(P_Status,ROW()-4))))</f>
        <v/>
      </c>
      <c r="G3331">
        <f>IF(INDEX(L_Status,ROW()-4)="","",TRIM(UPPER(INDEX(L_Status,ROW()-4))))</f>
        <v/>
      </c>
      <c r="J3331">
        <f>IF(INDEX(L_ID,ROW()-4)="","",IF(SUMPRODUCT((P_ID=INDEX(L_ID,ROW()-4))*(P_StatusN="INACTIVE"))&gt;0,1,0))</f>
        <v/>
      </c>
    </row>
    <row r="3332">
      <c r="A3332">
        <f>IF(INDEX(L_ID,ROW()-4)="","",IF(COUNTIF(P_ID,INDEX(L_ID,ROW()-4))&gt;0,1,0))</f>
        <v/>
      </c>
      <c r="B3332">
        <f>IF(INDEX(P_Type,ROW()-4)="","",TRIM(UPPER(INDEX(P_Type,ROW()-4))))</f>
        <v/>
      </c>
      <c r="D3332">
        <f>IF(INDEX(L_Type,ROW()-4)="","",TRIM(UPPER(INDEX(L_Type,ROW()-4))))</f>
        <v/>
      </c>
      <c r="E3332">
        <f>IF(INDEX(P_Status,ROW()-4)="","",TRIM(UPPER(INDEX(P_Status,ROW()-4))))</f>
        <v/>
      </c>
      <c r="G3332">
        <f>IF(INDEX(L_Status,ROW()-4)="","",TRIM(UPPER(INDEX(L_Status,ROW()-4))))</f>
        <v/>
      </c>
      <c r="J3332">
        <f>IF(INDEX(L_ID,ROW()-4)="","",IF(SUMPRODUCT((P_ID=INDEX(L_ID,ROW()-4))*(P_StatusN="INACTIVE"))&gt;0,1,0))</f>
        <v/>
      </c>
    </row>
    <row r="3333">
      <c r="A3333">
        <f>IF(INDEX(L_ID,ROW()-4)="","",IF(COUNTIF(P_ID,INDEX(L_ID,ROW()-4))&gt;0,1,0))</f>
        <v/>
      </c>
      <c r="B3333">
        <f>IF(INDEX(P_Type,ROW()-4)="","",TRIM(UPPER(INDEX(P_Type,ROW()-4))))</f>
        <v/>
      </c>
      <c r="D3333">
        <f>IF(INDEX(L_Type,ROW()-4)="","",TRIM(UPPER(INDEX(L_Type,ROW()-4))))</f>
        <v/>
      </c>
      <c r="E3333">
        <f>IF(INDEX(P_Status,ROW()-4)="","",TRIM(UPPER(INDEX(P_Status,ROW()-4))))</f>
        <v/>
      </c>
      <c r="G3333">
        <f>IF(INDEX(L_Status,ROW()-4)="","",TRIM(UPPER(INDEX(L_Status,ROW()-4))))</f>
        <v/>
      </c>
      <c r="J3333">
        <f>IF(INDEX(L_ID,ROW()-4)="","",IF(SUMPRODUCT((P_ID=INDEX(L_ID,ROW()-4))*(P_StatusN="INACTIVE"))&gt;0,1,0))</f>
        <v/>
      </c>
    </row>
    <row r="3334">
      <c r="A3334">
        <f>IF(INDEX(L_ID,ROW()-4)="","",IF(COUNTIF(P_ID,INDEX(L_ID,ROW()-4))&gt;0,1,0))</f>
        <v/>
      </c>
      <c r="B3334">
        <f>IF(INDEX(P_Type,ROW()-4)="","",TRIM(UPPER(INDEX(P_Type,ROW()-4))))</f>
        <v/>
      </c>
      <c r="D3334">
        <f>IF(INDEX(L_Type,ROW()-4)="","",TRIM(UPPER(INDEX(L_Type,ROW()-4))))</f>
        <v/>
      </c>
      <c r="E3334">
        <f>IF(INDEX(P_Status,ROW()-4)="","",TRIM(UPPER(INDEX(P_Status,ROW()-4))))</f>
        <v/>
      </c>
      <c r="G3334">
        <f>IF(INDEX(L_Status,ROW()-4)="","",TRIM(UPPER(INDEX(L_Status,ROW()-4))))</f>
        <v/>
      </c>
      <c r="J3334">
        <f>IF(INDEX(L_ID,ROW()-4)="","",IF(SUMPRODUCT((P_ID=INDEX(L_ID,ROW()-4))*(P_StatusN="INACTIVE"))&gt;0,1,0))</f>
        <v/>
      </c>
    </row>
    <row r="3335">
      <c r="A3335">
        <f>IF(INDEX(L_ID,ROW()-4)="","",IF(COUNTIF(P_ID,INDEX(L_ID,ROW()-4))&gt;0,1,0))</f>
        <v/>
      </c>
      <c r="B3335">
        <f>IF(INDEX(P_Type,ROW()-4)="","",TRIM(UPPER(INDEX(P_Type,ROW()-4))))</f>
        <v/>
      </c>
      <c r="D3335">
        <f>IF(INDEX(L_Type,ROW()-4)="","",TRIM(UPPER(INDEX(L_Type,ROW()-4))))</f>
        <v/>
      </c>
      <c r="E3335">
        <f>IF(INDEX(P_Status,ROW()-4)="","",TRIM(UPPER(INDEX(P_Status,ROW()-4))))</f>
        <v/>
      </c>
      <c r="G3335">
        <f>IF(INDEX(L_Status,ROW()-4)="","",TRIM(UPPER(INDEX(L_Status,ROW()-4))))</f>
        <v/>
      </c>
      <c r="J3335">
        <f>IF(INDEX(L_ID,ROW()-4)="","",IF(SUMPRODUCT((P_ID=INDEX(L_ID,ROW()-4))*(P_StatusN="INACTIVE"))&gt;0,1,0))</f>
        <v/>
      </c>
    </row>
    <row r="3336">
      <c r="A3336">
        <f>IF(INDEX(L_ID,ROW()-4)="","",IF(COUNTIF(P_ID,INDEX(L_ID,ROW()-4))&gt;0,1,0))</f>
        <v/>
      </c>
      <c r="B3336">
        <f>IF(INDEX(P_Type,ROW()-4)="","",TRIM(UPPER(INDEX(P_Type,ROW()-4))))</f>
        <v/>
      </c>
      <c r="D3336">
        <f>IF(INDEX(L_Type,ROW()-4)="","",TRIM(UPPER(INDEX(L_Type,ROW()-4))))</f>
        <v/>
      </c>
      <c r="E3336">
        <f>IF(INDEX(P_Status,ROW()-4)="","",TRIM(UPPER(INDEX(P_Status,ROW()-4))))</f>
        <v/>
      </c>
      <c r="G3336">
        <f>IF(INDEX(L_Status,ROW()-4)="","",TRIM(UPPER(INDEX(L_Status,ROW()-4))))</f>
        <v/>
      </c>
      <c r="J3336">
        <f>IF(INDEX(L_ID,ROW()-4)="","",IF(SUMPRODUCT((P_ID=INDEX(L_ID,ROW()-4))*(P_StatusN="INACTIVE"))&gt;0,1,0))</f>
        <v/>
      </c>
    </row>
    <row r="3337">
      <c r="A3337">
        <f>IF(INDEX(L_ID,ROW()-4)="","",IF(COUNTIF(P_ID,INDEX(L_ID,ROW()-4))&gt;0,1,0))</f>
        <v/>
      </c>
      <c r="B3337">
        <f>IF(INDEX(P_Type,ROW()-4)="","",TRIM(UPPER(INDEX(P_Type,ROW()-4))))</f>
        <v/>
      </c>
      <c r="D3337">
        <f>IF(INDEX(L_Type,ROW()-4)="","",TRIM(UPPER(INDEX(L_Type,ROW()-4))))</f>
        <v/>
      </c>
      <c r="E3337">
        <f>IF(INDEX(P_Status,ROW()-4)="","",TRIM(UPPER(INDEX(P_Status,ROW()-4))))</f>
        <v/>
      </c>
      <c r="G3337">
        <f>IF(INDEX(L_Status,ROW()-4)="","",TRIM(UPPER(INDEX(L_Status,ROW()-4))))</f>
        <v/>
      </c>
      <c r="J3337">
        <f>IF(INDEX(L_ID,ROW()-4)="","",IF(SUMPRODUCT((P_ID=INDEX(L_ID,ROW()-4))*(P_StatusN="INACTIVE"))&gt;0,1,0))</f>
        <v/>
      </c>
    </row>
    <row r="3338">
      <c r="A3338">
        <f>IF(INDEX(L_ID,ROW()-4)="","",IF(COUNTIF(P_ID,INDEX(L_ID,ROW()-4))&gt;0,1,0))</f>
        <v/>
      </c>
      <c r="B3338">
        <f>IF(INDEX(P_Type,ROW()-4)="","",TRIM(UPPER(INDEX(P_Type,ROW()-4))))</f>
        <v/>
      </c>
      <c r="D3338">
        <f>IF(INDEX(L_Type,ROW()-4)="","",TRIM(UPPER(INDEX(L_Type,ROW()-4))))</f>
        <v/>
      </c>
      <c r="E3338">
        <f>IF(INDEX(P_Status,ROW()-4)="","",TRIM(UPPER(INDEX(P_Status,ROW()-4))))</f>
        <v/>
      </c>
      <c r="G3338">
        <f>IF(INDEX(L_Status,ROW()-4)="","",TRIM(UPPER(INDEX(L_Status,ROW()-4))))</f>
        <v/>
      </c>
      <c r="J3338">
        <f>IF(INDEX(L_ID,ROW()-4)="","",IF(SUMPRODUCT((P_ID=INDEX(L_ID,ROW()-4))*(P_StatusN="INACTIVE"))&gt;0,1,0))</f>
        <v/>
      </c>
    </row>
    <row r="3339">
      <c r="A3339">
        <f>IF(INDEX(L_ID,ROW()-4)="","",IF(COUNTIF(P_ID,INDEX(L_ID,ROW()-4))&gt;0,1,0))</f>
        <v/>
      </c>
      <c r="B3339">
        <f>IF(INDEX(P_Type,ROW()-4)="","",TRIM(UPPER(INDEX(P_Type,ROW()-4))))</f>
        <v/>
      </c>
      <c r="D3339">
        <f>IF(INDEX(L_Type,ROW()-4)="","",TRIM(UPPER(INDEX(L_Type,ROW()-4))))</f>
        <v/>
      </c>
      <c r="E3339">
        <f>IF(INDEX(P_Status,ROW()-4)="","",TRIM(UPPER(INDEX(P_Status,ROW()-4))))</f>
        <v/>
      </c>
      <c r="G3339">
        <f>IF(INDEX(L_Status,ROW()-4)="","",TRIM(UPPER(INDEX(L_Status,ROW()-4))))</f>
        <v/>
      </c>
      <c r="J3339">
        <f>IF(INDEX(L_ID,ROW()-4)="","",IF(SUMPRODUCT((P_ID=INDEX(L_ID,ROW()-4))*(P_StatusN="INACTIVE"))&gt;0,1,0))</f>
        <v/>
      </c>
    </row>
    <row r="3340">
      <c r="A3340">
        <f>IF(INDEX(L_ID,ROW()-4)="","",IF(COUNTIF(P_ID,INDEX(L_ID,ROW()-4))&gt;0,1,0))</f>
        <v/>
      </c>
      <c r="B3340">
        <f>IF(INDEX(P_Type,ROW()-4)="","",TRIM(UPPER(INDEX(P_Type,ROW()-4))))</f>
        <v/>
      </c>
      <c r="D3340">
        <f>IF(INDEX(L_Type,ROW()-4)="","",TRIM(UPPER(INDEX(L_Type,ROW()-4))))</f>
        <v/>
      </c>
      <c r="E3340">
        <f>IF(INDEX(P_Status,ROW()-4)="","",TRIM(UPPER(INDEX(P_Status,ROW()-4))))</f>
        <v/>
      </c>
      <c r="G3340">
        <f>IF(INDEX(L_Status,ROW()-4)="","",TRIM(UPPER(INDEX(L_Status,ROW()-4))))</f>
        <v/>
      </c>
      <c r="J3340">
        <f>IF(INDEX(L_ID,ROW()-4)="","",IF(SUMPRODUCT((P_ID=INDEX(L_ID,ROW()-4))*(P_StatusN="INACTIVE"))&gt;0,1,0))</f>
        <v/>
      </c>
    </row>
    <row r="3341">
      <c r="A3341">
        <f>IF(INDEX(L_ID,ROW()-4)="","",IF(COUNTIF(P_ID,INDEX(L_ID,ROW()-4))&gt;0,1,0))</f>
        <v/>
      </c>
      <c r="B3341">
        <f>IF(INDEX(P_Type,ROW()-4)="","",TRIM(UPPER(INDEX(P_Type,ROW()-4))))</f>
        <v/>
      </c>
      <c r="D3341">
        <f>IF(INDEX(L_Type,ROW()-4)="","",TRIM(UPPER(INDEX(L_Type,ROW()-4))))</f>
        <v/>
      </c>
      <c r="E3341">
        <f>IF(INDEX(P_Status,ROW()-4)="","",TRIM(UPPER(INDEX(P_Status,ROW()-4))))</f>
        <v/>
      </c>
      <c r="G3341">
        <f>IF(INDEX(L_Status,ROW()-4)="","",TRIM(UPPER(INDEX(L_Status,ROW()-4))))</f>
        <v/>
      </c>
      <c r="J3341">
        <f>IF(INDEX(L_ID,ROW()-4)="","",IF(SUMPRODUCT((P_ID=INDEX(L_ID,ROW()-4))*(P_StatusN="INACTIVE"))&gt;0,1,0))</f>
        <v/>
      </c>
    </row>
    <row r="3342">
      <c r="A3342">
        <f>IF(INDEX(L_ID,ROW()-4)="","",IF(COUNTIF(P_ID,INDEX(L_ID,ROW()-4))&gt;0,1,0))</f>
        <v/>
      </c>
      <c r="B3342">
        <f>IF(INDEX(P_Type,ROW()-4)="","",TRIM(UPPER(INDEX(P_Type,ROW()-4))))</f>
        <v/>
      </c>
      <c r="D3342">
        <f>IF(INDEX(L_Type,ROW()-4)="","",TRIM(UPPER(INDEX(L_Type,ROW()-4))))</f>
        <v/>
      </c>
      <c r="E3342">
        <f>IF(INDEX(P_Status,ROW()-4)="","",TRIM(UPPER(INDEX(P_Status,ROW()-4))))</f>
        <v/>
      </c>
      <c r="G3342">
        <f>IF(INDEX(L_Status,ROW()-4)="","",TRIM(UPPER(INDEX(L_Status,ROW()-4))))</f>
        <v/>
      </c>
      <c r="J3342">
        <f>IF(INDEX(L_ID,ROW()-4)="","",IF(SUMPRODUCT((P_ID=INDEX(L_ID,ROW()-4))*(P_StatusN="INACTIVE"))&gt;0,1,0))</f>
        <v/>
      </c>
    </row>
    <row r="3343">
      <c r="A3343">
        <f>IF(INDEX(L_ID,ROW()-4)="","",IF(COUNTIF(P_ID,INDEX(L_ID,ROW()-4))&gt;0,1,0))</f>
        <v/>
      </c>
      <c r="B3343">
        <f>IF(INDEX(P_Type,ROW()-4)="","",TRIM(UPPER(INDEX(P_Type,ROW()-4))))</f>
        <v/>
      </c>
      <c r="D3343">
        <f>IF(INDEX(L_Type,ROW()-4)="","",TRIM(UPPER(INDEX(L_Type,ROW()-4))))</f>
        <v/>
      </c>
      <c r="E3343">
        <f>IF(INDEX(P_Status,ROW()-4)="","",TRIM(UPPER(INDEX(P_Status,ROW()-4))))</f>
        <v/>
      </c>
      <c r="G3343">
        <f>IF(INDEX(L_Status,ROW()-4)="","",TRIM(UPPER(INDEX(L_Status,ROW()-4))))</f>
        <v/>
      </c>
      <c r="J3343">
        <f>IF(INDEX(L_ID,ROW()-4)="","",IF(SUMPRODUCT((P_ID=INDEX(L_ID,ROW()-4))*(P_StatusN="INACTIVE"))&gt;0,1,0))</f>
        <v/>
      </c>
    </row>
    <row r="3344">
      <c r="A3344">
        <f>IF(INDEX(L_ID,ROW()-4)="","",IF(COUNTIF(P_ID,INDEX(L_ID,ROW()-4))&gt;0,1,0))</f>
        <v/>
      </c>
      <c r="B3344">
        <f>IF(INDEX(P_Type,ROW()-4)="","",TRIM(UPPER(INDEX(P_Type,ROW()-4))))</f>
        <v/>
      </c>
      <c r="D3344">
        <f>IF(INDEX(L_Type,ROW()-4)="","",TRIM(UPPER(INDEX(L_Type,ROW()-4))))</f>
        <v/>
      </c>
      <c r="E3344">
        <f>IF(INDEX(P_Status,ROW()-4)="","",TRIM(UPPER(INDEX(P_Status,ROW()-4))))</f>
        <v/>
      </c>
      <c r="G3344">
        <f>IF(INDEX(L_Status,ROW()-4)="","",TRIM(UPPER(INDEX(L_Status,ROW()-4))))</f>
        <v/>
      </c>
      <c r="J3344">
        <f>IF(INDEX(L_ID,ROW()-4)="","",IF(SUMPRODUCT((P_ID=INDEX(L_ID,ROW()-4))*(P_StatusN="INACTIVE"))&gt;0,1,0))</f>
        <v/>
      </c>
    </row>
    <row r="3345">
      <c r="A3345">
        <f>IF(INDEX(L_ID,ROW()-4)="","",IF(COUNTIF(P_ID,INDEX(L_ID,ROW()-4))&gt;0,1,0))</f>
        <v/>
      </c>
      <c r="B3345">
        <f>IF(INDEX(P_Type,ROW()-4)="","",TRIM(UPPER(INDEX(P_Type,ROW()-4))))</f>
        <v/>
      </c>
      <c r="D3345">
        <f>IF(INDEX(L_Type,ROW()-4)="","",TRIM(UPPER(INDEX(L_Type,ROW()-4))))</f>
        <v/>
      </c>
      <c r="E3345">
        <f>IF(INDEX(P_Status,ROW()-4)="","",TRIM(UPPER(INDEX(P_Status,ROW()-4))))</f>
        <v/>
      </c>
      <c r="G3345">
        <f>IF(INDEX(L_Status,ROW()-4)="","",TRIM(UPPER(INDEX(L_Status,ROW()-4))))</f>
        <v/>
      </c>
      <c r="J3345">
        <f>IF(INDEX(L_ID,ROW()-4)="","",IF(SUMPRODUCT((P_ID=INDEX(L_ID,ROW()-4))*(P_StatusN="INACTIVE"))&gt;0,1,0))</f>
        <v/>
      </c>
    </row>
    <row r="3346">
      <c r="A3346">
        <f>IF(INDEX(L_ID,ROW()-4)="","",IF(COUNTIF(P_ID,INDEX(L_ID,ROW()-4))&gt;0,1,0))</f>
        <v/>
      </c>
      <c r="B3346">
        <f>IF(INDEX(P_Type,ROW()-4)="","",TRIM(UPPER(INDEX(P_Type,ROW()-4))))</f>
        <v/>
      </c>
      <c r="D3346">
        <f>IF(INDEX(L_Type,ROW()-4)="","",TRIM(UPPER(INDEX(L_Type,ROW()-4))))</f>
        <v/>
      </c>
      <c r="E3346">
        <f>IF(INDEX(P_Status,ROW()-4)="","",TRIM(UPPER(INDEX(P_Status,ROW()-4))))</f>
        <v/>
      </c>
      <c r="G3346">
        <f>IF(INDEX(L_Status,ROW()-4)="","",TRIM(UPPER(INDEX(L_Status,ROW()-4))))</f>
        <v/>
      </c>
      <c r="J3346">
        <f>IF(INDEX(L_ID,ROW()-4)="","",IF(SUMPRODUCT((P_ID=INDEX(L_ID,ROW()-4))*(P_StatusN="INACTIVE"))&gt;0,1,0))</f>
        <v/>
      </c>
    </row>
    <row r="3347">
      <c r="A3347">
        <f>IF(INDEX(L_ID,ROW()-4)="","",IF(COUNTIF(P_ID,INDEX(L_ID,ROW()-4))&gt;0,1,0))</f>
        <v/>
      </c>
      <c r="B3347">
        <f>IF(INDEX(P_Type,ROW()-4)="","",TRIM(UPPER(INDEX(P_Type,ROW()-4))))</f>
        <v/>
      </c>
      <c r="D3347">
        <f>IF(INDEX(L_Type,ROW()-4)="","",TRIM(UPPER(INDEX(L_Type,ROW()-4))))</f>
        <v/>
      </c>
      <c r="E3347">
        <f>IF(INDEX(P_Status,ROW()-4)="","",TRIM(UPPER(INDEX(P_Status,ROW()-4))))</f>
        <v/>
      </c>
      <c r="G3347">
        <f>IF(INDEX(L_Status,ROW()-4)="","",TRIM(UPPER(INDEX(L_Status,ROW()-4))))</f>
        <v/>
      </c>
      <c r="J3347">
        <f>IF(INDEX(L_ID,ROW()-4)="","",IF(SUMPRODUCT((P_ID=INDEX(L_ID,ROW()-4))*(P_StatusN="INACTIVE"))&gt;0,1,0))</f>
        <v/>
      </c>
    </row>
    <row r="3348">
      <c r="A3348">
        <f>IF(INDEX(L_ID,ROW()-4)="","",IF(COUNTIF(P_ID,INDEX(L_ID,ROW()-4))&gt;0,1,0))</f>
        <v/>
      </c>
      <c r="B3348">
        <f>IF(INDEX(P_Type,ROW()-4)="","",TRIM(UPPER(INDEX(P_Type,ROW()-4))))</f>
        <v/>
      </c>
      <c r="D3348">
        <f>IF(INDEX(L_Type,ROW()-4)="","",TRIM(UPPER(INDEX(L_Type,ROW()-4))))</f>
        <v/>
      </c>
      <c r="E3348">
        <f>IF(INDEX(P_Status,ROW()-4)="","",TRIM(UPPER(INDEX(P_Status,ROW()-4))))</f>
        <v/>
      </c>
      <c r="G3348">
        <f>IF(INDEX(L_Status,ROW()-4)="","",TRIM(UPPER(INDEX(L_Status,ROW()-4))))</f>
        <v/>
      </c>
      <c r="J3348">
        <f>IF(INDEX(L_ID,ROW()-4)="","",IF(SUMPRODUCT((P_ID=INDEX(L_ID,ROW()-4))*(P_StatusN="INACTIVE"))&gt;0,1,0))</f>
        <v/>
      </c>
    </row>
    <row r="3349">
      <c r="A3349">
        <f>IF(INDEX(L_ID,ROW()-4)="","",IF(COUNTIF(P_ID,INDEX(L_ID,ROW()-4))&gt;0,1,0))</f>
        <v/>
      </c>
      <c r="B3349">
        <f>IF(INDEX(P_Type,ROW()-4)="","",TRIM(UPPER(INDEX(P_Type,ROW()-4))))</f>
        <v/>
      </c>
      <c r="D3349">
        <f>IF(INDEX(L_Type,ROW()-4)="","",TRIM(UPPER(INDEX(L_Type,ROW()-4))))</f>
        <v/>
      </c>
      <c r="E3349">
        <f>IF(INDEX(P_Status,ROW()-4)="","",TRIM(UPPER(INDEX(P_Status,ROW()-4))))</f>
        <v/>
      </c>
      <c r="G3349">
        <f>IF(INDEX(L_Status,ROW()-4)="","",TRIM(UPPER(INDEX(L_Status,ROW()-4))))</f>
        <v/>
      </c>
      <c r="J3349">
        <f>IF(INDEX(L_ID,ROW()-4)="","",IF(SUMPRODUCT((P_ID=INDEX(L_ID,ROW()-4))*(P_StatusN="INACTIVE"))&gt;0,1,0))</f>
        <v/>
      </c>
    </row>
    <row r="3350">
      <c r="A3350">
        <f>IF(INDEX(L_ID,ROW()-4)="","",IF(COUNTIF(P_ID,INDEX(L_ID,ROW()-4))&gt;0,1,0))</f>
        <v/>
      </c>
      <c r="B3350">
        <f>IF(INDEX(P_Type,ROW()-4)="","",TRIM(UPPER(INDEX(P_Type,ROW()-4))))</f>
        <v/>
      </c>
      <c r="D3350">
        <f>IF(INDEX(L_Type,ROW()-4)="","",TRIM(UPPER(INDEX(L_Type,ROW()-4))))</f>
        <v/>
      </c>
      <c r="E3350">
        <f>IF(INDEX(P_Status,ROW()-4)="","",TRIM(UPPER(INDEX(P_Status,ROW()-4))))</f>
        <v/>
      </c>
      <c r="G3350">
        <f>IF(INDEX(L_Status,ROW()-4)="","",TRIM(UPPER(INDEX(L_Status,ROW()-4))))</f>
        <v/>
      </c>
      <c r="J3350">
        <f>IF(INDEX(L_ID,ROW()-4)="","",IF(SUMPRODUCT((P_ID=INDEX(L_ID,ROW()-4))*(P_StatusN="INACTIVE"))&gt;0,1,0))</f>
        <v/>
      </c>
    </row>
    <row r="3351">
      <c r="A3351">
        <f>IF(INDEX(L_ID,ROW()-4)="","",IF(COUNTIF(P_ID,INDEX(L_ID,ROW()-4))&gt;0,1,0))</f>
        <v/>
      </c>
      <c r="B3351">
        <f>IF(INDEX(P_Type,ROW()-4)="","",TRIM(UPPER(INDEX(P_Type,ROW()-4))))</f>
        <v/>
      </c>
      <c r="D3351">
        <f>IF(INDEX(L_Type,ROW()-4)="","",TRIM(UPPER(INDEX(L_Type,ROW()-4))))</f>
        <v/>
      </c>
      <c r="E3351">
        <f>IF(INDEX(P_Status,ROW()-4)="","",TRIM(UPPER(INDEX(P_Status,ROW()-4))))</f>
        <v/>
      </c>
      <c r="G3351">
        <f>IF(INDEX(L_Status,ROW()-4)="","",TRIM(UPPER(INDEX(L_Status,ROW()-4))))</f>
        <v/>
      </c>
      <c r="J3351">
        <f>IF(INDEX(L_ID,ROW()-4)="","",IF(SUMPRODUCT((P_ID=INDEX(L_ID,ROW()-4))*(P_StatusN="INACTIVE"))&gt;0,1,0))</f>
        <v/>
      </c>
    </row>
    <row r="3352">
      <c r="A3352">
        <f>IF(INDEX(L_ID,ROW()-4)="","",IF(COUNTIF(P_ID,INDEX(L_ID,ROW()-4))&gt;0,1,0))</f>
        <v/>
      </c>
      <c r="B3352">
        <f>IF(INDEX(P_Type,ROW()-4)="","",TRIM(UPPER(INDEX(P_Type,ROW()-4))))</f>
        <v/>
      </c>
      <c r="D3352">
        <f>IF(INDEX(L_Type,ROW()-4)="","",TRIM(UPPER(INDEX(L_Type,ROW()-4))))</f>
        <v/>
      </c>
      <c r="E3352">
        <f>IF(INDEX(P_Status,ROW()-4)="","",TRIM(UPPER(INDEX(P_Status,ROW()-4))))</f>
        <v/>
      </c>
      <c r="G3352">
        <f>IF(INDEX(L_Status,ROW()-4)="","",TRIM(UPPER(INDEX(L_Status,ROW()-4))))</f>
        <v/>
      </c>
      <c r="J3352">
        <f>IF(INDEX(L_ID,ROW()-4)="","",IF(SUMPRODUCT((P_ID=INDEX(L_ID,ROW()-4))*(P_StatusN="INACTIVE"))&gt;0,1,0))</f>
        <v/>
      </c>
    </row>
    <row r="3353">
      <c r="A3353">
        <f>IF(INDEX(L_ID,ROW()-4)="","",IF(COUNTIF(P_ID,INDEX(L_ID,ROW()-4))&gt;0,1,0))</f>
        <v/>
      </c>
      <c r="B3353">
        <f>IF(INDEX(P_Type,ROW()-4)="","",TRIM(UPPER(INDEX(P_Type,ROW()-4))))</f>
        <v/>
      </c>
      <c r="D3353">
        <f>IF(INDEX(L_Type,ROW()-4)="","",TRIM(UPPER(INDEX(L_Type,ROW()-4))))</f>
        <v/>
      </c>
      <c r="E3353">
        <f>IF(INDEX(P_Status,ROW()-4)="","",TRIM(UPPER(INDEX(P_Status,ROW()-4))))</f>
        <v/>
      </c>
      <c r="G3353">
        <f>IF(INDEX(L_Status,ROW()-4)="","",TRIM(UPPER(INDEX(L_Status,ROW()-4))))</f>
        <v/>
      </c>
      <c r="J3353">
        <f>IF(INDEX(L_ID,ROW()-4)="","",IF(SUMPRODUCT((P_ID=INDEX(L_ID,ROW()-4))*(P_StatusN="INACTIVE"))&gt;0,1,0))</f>
        <v/>
      </c>
    </row>
    <row r="3354">
      <c r="A3354">
        <f>IF(INDEX(L_ID,ROW()-4)="","",IF(COUNTIF(P_ID,INDEX(L_ID,ROW()-4))&gt;0,1,0))</f>
        <v/>
      </c>
      <c r="B3354">
        <f>IF(INDEX(P_Type,ROW()-4)="","",TRIM(UPPER(INDEX(P_Type,ROW()-4))))</f>
        <v/>
      </c>
      <c r="D3354">
        <f>IF(INDEX(L_Type,ROW()-4)="","",TRIM(UPPER(INDEX(L_Type,ROW()-4))))</f>
        <v/>
      </c>
      <c r="E3354">
        <f>IF(INDEX(P_Status,ROW()-4)="","",TRIM(UPPER(INDEX(P_Status,ROW()-4))))</f>
        <v/>
      </c>
      <c r="G3354">
        <f>IF(INDEX(L_Status,ROW()-4)="","",TRIM(UPPER(INDEX(L_Status,ROW()-4))))</f>
        <v/>
      </c>
      <c r="J3354">
        <f>IF(INDEX(L_ID,ROW()-4)="","",IF(SUMPRODUCT((P_ID=INDEX(L_ID,ROW()-4))*(P_StatusN="INACTIVE"))&gt;0,1,0))</f>
        <v/>
      </c>
    </row>
    <row r="3355">
      <c r="A3355">
        <f>IF(INDEX(L_ID,ROW()-4)="","",IF(COUNTIF(P_ID,INDEX(L_ID,ROW()-4))&gt;0,1,0))</f>
        <v/>
      </c>
      <c r="B3355">
        <f>IF(INDEX(P_Type,ROW()-4)="","",TRIM(UPPER(INDEX(P_Type,ROW()-4))))</f>
        <v/>
      </c>
      <c r="D3355">
        <f>IF(INDEX(L_Type,ROW()-4)="","",TRIM(UPPER(INDEX(L_Type,ROW()-4))))</f>
        <v/>
      </c>
      <c r="E3355">
        <f>IF(INDEX(P_Status,ROW()-4)="","",TRIM(UPPER(INDEX(P_Status,ROW()-4))))</f>
        <v/>
      </c>
      <c r="G3355">
        <f>IF(INDEX(L_Status,ROW()-4)="","",TRIM(UPPER(INDEX(L_Status,ROW()-4))))</f>
        <v/>
      </c>
      <c r="J3355">
        <f>IF(INDEX(L_ID,ROW()-4)="","",IF(SUMPRODUCT((P_ID=INDEX(L_ID,ROW()-4))*(P_StatusN="INACTIVE"))&gt;0,1,0))</f>
        <v/>
      </c>
    </row>
    <row r="3356">
      <c r="A3356">
        <f>IF(INDEX(L_ID,ROW()-4)="","",IF(COUNTIF(P_ID,INDEX(L_ID,ROW()-4))&gt;0,1,0))</f>
        <v/>
      </c>
      <c r="B3356">
        <f>IF(INDEX(P_Type,ROW()-4)="","",TRIM(UPPER(INDEX(P_Type,ROW()-4))))</f>
        <v/>
      </c>
      <c r="D3356">
        <f>IF(INDEX(L_Type,ROW()-4)="","",TRIM(UPPER(INDEX(L_Type,ROW()-4))))</f>
        <v/>
      </c>
      <c r="E3356">
        <f>IF(INDEX(P_Status,ROW()-4)="","",TRIM(UPPER(INDEX(P_Status,ROW()-4))))</f>
        <v/>
      </c>
      <c r="G3356">
        <f>IF(INDEX(L_Status,ROW()-4)="","",TRIM(UPPER(INDEX(L_Status,ROW()-4))))</f>
        <v/>
      </c>
      <c r="J3356">
        <f>IF(INDEX(L_ID,ROW()-4)="","",IF(SUMPRODUCT((P_ID=INDEX(L_ID,ROW()-4))*(P_StatusN="INACTIVE"))&gt;0,1,0))</f>
        <v/>
      </c>
    </row>
    <row r="3357">
      <c r="A3357">
        <f>IF(INDEX(L_ID,ROW()-4)="","",IF(COUNTIF(P_ID,INDEX(L_ID,ROW()-4))&gt;0,1,0))</f>
        <v/>
      </c>
      <c r="B3357">
        <f>IF(INDEX(P_Type,ROW()-4)="","",TRIM(UPPER(INDEX(P_Type,ROW()-4))))</f>
        <v/>
      </c>
      <c r="D3357">
        <f>IF(INDEX(L_Type,ROW()-4)="","",TRIM(UPPER(INDEX(L_Type,ROW()-4))))</f>
        <v/>
      </c>
      <c r="E3357">
        <f>IF(INDEX(P_Status,ROW()-4)="","",TRIM(UPPER(INDEX(P_Status,ROW()-4))))</f>
        <v/>
      </c>
      <c r="G3357">
        <f>IF(INDEX(L_Status,ROW()-4)="","",TRIM(UPPER(INDEX(L_Status,ROW()-4))))</f>
        <v/>
      </c>
      <c r="J3357">
        <f>IF(INDEX(L_ID,ROW()-4)="","",IF(SUMPRODUCT((P_ID=INDEX(L_ID,ROW()-4))*(P_StatusN="INACTIVE"))&gt;0,1,0))</f>
        <v/>
      </c>
    </row>
    <row r="3358">
      <c r="A3358">
        <f>IF(INDEX(L_ID,ROW()-4)="","",IF(COUNTIF(P_ID,INDEX(L_ID,ROW()-4))&gt;0,1,0))</f>
        <v/>
      </c>
      <c r="B3358">
        <f>IF(INDEX(P_Type,ROW()-4)="","",TRIM(UPPER(INDEX(P_Type,ROW()-4))))</f>
        <v/>
      </c>
      <c r="D3358">
        <f>IF(INDEX(L_Type,ROW()-4)="","",TRIM(UPPER(INDEX(L_Type,ROW()-4))))</f>
        <v/>
      </c>
      <c r="E3358">
        <f>IF(INDEX(P_Status,ROW()-4)="","",TRIM(UPPER(INDEX(P_Status,ROW()-4))))</f>
        <v/>
      </c>
      <c r="G3358">
        <f>IF(INDEX(L_Status,ROW()-4)="","",TRIM(UPPER(INDEX(L_Status,ROW()-4))))</f>
        <v/>
      </c>
      <c r="J3358">
        <f>IF(INDEX(L_ID,ROW()-4)="","",IF(SUMPRODUCT((P_ID=INDEX(L_ID,ROW()-4))*(P_StatusN="INACTIVE"))&gt;0,1,0))</f>
        <v/>
      </c>
    </row>
    <row r="3359">
      <c r="A3359">
        <f>IF(INDEX(L_ID,ROW()-4)="","",IF(COUNTIF(P_ID,INDEX(L_ID,ROW()-4))&gt;0,1,0))</f>
        <v/>
      </c>
      <c r="B3359">
        <f>IF(INDEX(P_Type,ROW()-4)="","",TRIM(UPPER(INDEX(P_Type,ROW()-4))))</f>
        <v/>
      </c>
      <c r="D3359">
        <f>IF(INDEX(L_Type,ROW()-4)="","",TRIM(UPPER(INDEX(L_Type,ROW()-4))))</f>
        <v/>
      </c>
      <c r="E3359">
        <f>IF(INDEX(P_Status,ROW()-4)="","",TRIM(UPPER(INDEX(P_Status,ROW()-4))))</f>
        <v/>
      </c>
      <c r="G3359">
        <f>IF(INDEX(L_Status,ROW()-4)="","",TRIM(UPPER(INDEX(L_Status,ROW()-4))))</f>
        <v/>
      </c>
      <c r="J3359">
        <f>IF(INDEX(L_ID,ROW()-4)="","",IF(SUMPRODUCT((P_ID=INDEX(L_ID,ROW()-4))*(P_StatusN="INACTIVE"))&gt;0,1,0))</f>
        <v/>
      </c>
    </row>
    <row r="3360">
      <c r="A3360">
        <f>IF(INDEX(L_ID,ROW()-4)="","",IF(COUNTIF(P_ID,INDEX(L_ID,ROW()-4))&gt;0,1,0))</f>
        <v/>
      </c>
      <c r="B3360">
        <f>IF(INDEX(P_Type,ROW()-4)="","",TRIM(UPPER(INDEX(P_Type,ROW()-4))))</f>
        <v/>
      </c>
      <c r="D3360">
        <f>IF(INDEX(L_Type,ROW()-4)="","",TRIM(UPPER(INDEX(L_Type,ROW()-4))))</f>
        <v/>
      </c>
      <c r="E3360">
        <f>IF(INDEX(P_Status,ROW()-4)="","",TRIM(UPPER(INDEX(P_Status,ROW()-4))))</f>
        <v/>
      </c>
      <c r="G3360">
        <f>IF(INDEX(L_Status,ROW()-4)="","",TRIM(UPPER(INDEX(L_Status,ROW()-4))))</f>
        <v/>
      </c>
      <c r="J3360">
        <f>IF(INDEX(L_ID,ROW()-4)="","",IF(SUMPRODUCT((P_ID=INDEX(L_ID,ROW()-4))*(P_StatusN="INACTIVE"))&gt;0,1,0))</f>
        <v/>
      </c>
    </row>
    <row r="3361">
      <c r="A3361">
        <f>IF(INDEX(L_ID,ROW()-4)="","",IF(COUNTIF(P_ID,INDEX(L_ID,ROW()-4))&gt;0,1,0))</f>
        <v/>
      </c>
      <c r="B3361">
        <f>IF(INDEX(P_Type,ROW()-4)="","",TRIM(UPPER(INDEX(P_Type,ROW()-4))))</f>
        <v/>
      </c>
      <c r="D3361">
        <f>IF(INDEX(L_Type,ROW()-4)="","",TRIM(UPPER(INDEX(L_Type,ROW()-4))))</f>
        <v/>
      </c>
      <c r="E3361">
        <f>IF(INDEX(P_Status,ROW()-4)="","",TRIM(UPPER(INDEX(P_Status,ROW()-4))))</f>
        <v/>
      </c>
      <c r="G3361">
        <f>IF(INDEX(L_Status,ROW()-4)="","",TRIM(UPPER(INDEX(L_Status,ROW()-4))))</f>
        <v/>
      </c>
      <c r="J3361">
        <f>IF(INDEX(L_ID,ROW()-4)="","",IF(SUMPRODUCT((P_ID=INDEX(L_ID,ROW()-4))*(P_StatusN="INACTIVE"))&gt;0,1,0))</f>
        <v/>
      </c>
    </row>
    <row r="3362">
      <c r="A3362">
        <f>IF(INDEX(L_ID,ROW()-4)="","",IF(COUNTIF(P_ID,INDEX(L_ID,ROW()-4))&gt;0,1,0))</f>
        <v/>
      </c>
      <c r="B3362">
        <f>IF(INDEX(P_Type,ROW()-4)="","",TRIM(UPPER(INDEX(P_Type,ROW()-4))))</f>
        <v/>
      </c>
      <c r="D3362">
        <f>IF(INDEX(L_Type,ROW()-4)="","",TRIM(UPPER(INDEX(L_Type,ROW()-4))))</f>
        <v/>
      </c>
      <c r="E3362">
        <f>IF(INDEX(P_Status,ROW()-4)="","",TRIM(UPPER(INDEX(P_Status,ROW()-4))))</f>
        <v/>
      </c>
      <c r="G3362">
        <f>IF(INDEX(L_Status,ROW()-4)="","",TRIM(UPPER(INDEX(L_Status,ROW()-4))))</f>
        <v/>
      </c>
      <c r="J3362">
        <f>IF(INDEX(L_ID,ROW()-4)="","",IF(SUMPRODUCT((P_ID=INDEX(L_ID,ROW()-4))*(P_StatusN="INACTIVE"))&gt;0,1,0))</f>
        <v/>
      </c>
    </row>
    <row r="3363">
      <c r="A3363">
        <f>IF(INDEX(L_ID,ROW()-4)="","",IF(COUNTIF(P_ID,INDEX(L_ID,ROW()-4))&gt;0,1,0))</f>
        <v/>
      </c>
      <c r="B3363">
        <f>IF(INDEX(P_Type,ROW()-4)="","",TRIM(UPPER(INDEX(P_Type,ROW()-4))))</f>
        <v/>
      </c>
      <c r="D3363">
        <f>IF(INDEX(L_Type,ROW()-4)="","",TRIM(UPPER(INDEX(L_Type,ROW()-4))))</f>
        <v/>
      </c>
      <c r="E3363">
        <f>IF(INDEX(P_Status,ROW()-4)="","",TRIM(UPPER(INDEX(P_Status,ROW()-4))))</f>
        <v/>
      </c>
      <c r="G3363">
        <f>IF(INDEX(L_Status,ROW()-4)="","",TRIM(UPPER(INDEX(L_Status,ROW()-4))))</f>
        <v/>
      </c>
      <c r="J3363">
        <f>IF(INDEX(L_ID,ROW()-4)="","",IF(SUMPRODUCT((P_ID=INDEX(L_ID,ROW()-4))*(P_StatusN="INACTIVE"))&gt;0,1,0))</f>
        <v/>
      </c>
    </row>
    <row r="3364">
      <c r="A3364">
        <f>IF(INDEX(L_ID,ROW()-4)="","",IF(COUNTIF(P_ID,INDEX(L_ID,ROW()-4))&gt;0,1,0))</f>
        <v/>
      </c>
      <c r="B3364">
        <f>IF(INDEX(P_Type,ROW()-4)="","",TRIM(UPPER(INDEX(P_Type,ROW()-4))))</f>
        <v/>
      </c>
      <c r="D3364">
        <f>IF(INDEX(L_Type,ROW()-4)="","",TRIM(UPPER(INDEX(L_Type,ROW()-4))))</f>
        <v/>
      </c>
      <c r="E3364">
        <f>IF(INDEX(P_Status,ROW()-4)="","",TRIM(UPPER(INDEX(P_Status,ROW()-4))))</f>
        <v/>
      </c>
      <c r="G3364">
        <f>IF(INDEX(L_Status,ROW()-4)="","",TRIM(UPPER(INDEX(L_Status,ROW()-4))))</f>
        <v/>
      </c>
      <c r="J3364">
        <f>IF(INDEX(L_ID,ROW()-4)="","",IF(SUMPRODUCT((P_ID=INDEX(L_ID,ROW()-4))*(P_StatusN="INACTIVE"))&gt;0,1,0))</f>
        <v/>
      </c>
    </row>
    <row r="3365">
      <c r="A3365">
        <f>IF(INDEX(L_ID,ROW()-4)="","",IF(COUNTIF(P_ID,INDEX(L_ID,ROW()-4))&gt;0,1,0))</f>
        <v/>
      </c>
      <c r="B3365">
        <f>IF(INDEX(P_Type,ROW()-4)="","",TRIM(UPPER(INDEX(P_Type,ROW()-4))))</f>
        <v/>
      </c>
      <c r="D3365">
        <f>IF(INDEX(L_Type,ROW()-4)="","",TRIM(UPPER(INDEX(L_Type,ROW()-4))))</f>
        <v/>
      </c>
      <c r="E3365">
        <f>IF(INDEX(P_Status,ROW()-4)="","",TRIM(UPPER(INDEX(P_Status,ROW()-4))))</f>
        <v/>
      </c>
      <c r="G3365">
        <f>IF(INDEX(L_Status,ROW()-4)="","",TRIM(UPPER(INDEX(L_Status,ROW()-4))))</f>
        <v/>
      </c>
      <c r="J3365">
        <f>IF(INDEX(L_ID,ROW()-4)="","",IF(SUMPRODUCT((P_ID=INDEX(L_ID,ROW()-4))*(P_StatusN="INACTIVE"))&gt;0,1,0))</f>
        <v/>
      </c>
    </row>
    <row r="3366">
      <c r="A3366">
        <f>IF(INDEX(L_ID,ROW()-4)="","",IF(COUNTIF(P_ID,INDEX(L_ID,ROW()-4))&gt;0,1,0))</f>
        <v/>
      </c>
      <c r="B3366">
        <f>IF(INDEX(P_Type,ROW()-4)="","",TRIM(UPPER(INDEX(P_Type,ROW()-4))))</f>
        <v/>
      </c>
      <c r="D3366">
        <f>IF(INDEX(L_Type,ROW()-4)="","",TRIM(UPPER(INDEX(L_Type,ROW()-4))))</f>
        <v/>
      </c>
      <c r="E3366">
        <f>IF(INDEX(P_Status,ROW()-4)="","",TRIM(UPPER(INDEX(P_Status,ROW()-4))))</f>
        <v/>
      </c>
      <c r="G3366">
        <f>IF(INDEX(L_Status,ROW()-4)="","",TRIM(UPPER(INDEX(L_Status,ROW()-4))))</f>
        <v/>
      </c>
      <c r="J3366">
        <f>IF(INDEX(L_ID,ROW()-4)="","",IF(SUMPRODUCT((P_ID=INDEX(L_ID,ROW()-4))*(P_StatusN="INACTIVE"))&gt;0,1,0))</f>
        <v/>
      </c>
    </row>
    <row r="3367">
      <c r="A3367">
        <f>IF(INDEX(L_ID,ROW()-4)="","",IF(COUNTIF(P_ID,INDEX(L_ID,ROW()-4))&gt;0,1,0))</f>
        <v/>
      </c>
      <c r="B3367">
        <f>IF(INDEX(P_Type,ROW()-4)="","",TRIM(UPPER(INDEX(P_Type,ROW()-4))))</f>
        <v/>
      </c>
      <c r="D3367">
        <f>IF(INDEX(L_Type,ROW()-4)="","",TRIM(UPPER(INDEX(L_Type,ROW()-4))))</f>
        <v/>
      </c>
      <c r="E3367">
        <f>IF(INDEX(P_Status,ROW()-4)="","",TRIM(UPPER(INDEX(P_Status,ROW()-4))))</f>
        <v/>
      </c>
      <c r="G3367">
        <f>IF(INDEX(L_Status,ROW()-4)="","",TRIM(UPPER(INDEX(L_Status,ROW()-4))))</f>
        <v/>
      </c>
      <c r="J3367">
        <f>IF(INDEX(L_ID,ROW()-4)="","",IF(SUMPRODUCT((P_ID=INDEX(L_ID,ROW()-4))*(P_StatusN="INACTIVE"))&gt;0,1,0))</f>
        <v/>
      </c>
    </row>
    <row r="3368">
      <c r="A3368">
        <f>IF(INDEX(L_ID,ROW()-4)="","",IF(COUNTIF(P_ID,INDEX(L_ID,ROW()-4))&gt;0,1,0))</f>
        <v/>
      </c>
      <c r="B3368">
        <f>IF(INDEX(P_Type,ROW()-4)="","",TRIM(UPPER(INDEX(P_Type,ROW()-4))))</f>
        <v/>
      </c>
      <c r="D3368">
        <f>IF(INDEX(L_Type,ROW()-4)="","",TRIM(UPPER(INDEX(L_Type,ROW()-4))))</f>
        <v/>
      </c>
      <c r="E3368">
        <f>IF(INDEX(P_Status,ROW()-4)="","",TRIM(UPPER(INDEX(P_Status,ROW()-4))))</f>
        <v/>
      </c>
      <c r="G3368">
        <f>IF(INDEX(L_Status,ROW()-4)="","",TRIM(UPPER(INDEX(L_Status,ROW()-4))))</f>
        <v/>
      </c>
      <c r="J3368">
        <f>IF(INDEX(L_ID,ROW()-4)="","",IF(SUMPRODUCT((P_ID=INDEX(L_ID,ROW()-4))*(P_StatusN="INACTIVE"))&gt;0,1,0))</f>
        <v/>
      </c>
    </row>
    <row r="3369">
      <c r="A3369">
        <f>IF(INDEX(L_ID,ROW()-4)="","",IF(COUNTIF(P_ID,INDEX(L_ID,ROW()-4))&gt;0,1,0))</f>
        <v/>
      </c>
      <c r="B3369">
        <f>IF(INDEX(P_Type,ROW()-4)="","",TRIM(UPPER(INDEX(P_Type,ROW()-4))))</f>
        <v/>
      </c>
      <c r="D3369">
        <f>IF(INDEX(L_Type,ROW()-4)="","",TRIM(UPPER(INDEX(L_Type,ROW()-4))))</f>
        <v/>
      </c>
      <c r="E3369">
        <f>IF(INDEX(P_Status,ROW()-4)="","",TRIM(UPPER(INDEX(P_Status,ROW()-4))))</f>
        <v/>
      </c>
      <c r="G3369">
        <f>IF(INDEX(L_Status,ROW()-4)="","",TRIM(UPPER(INDEX(L_Status,ROW()-4))))</f>
        <v/>
      </c>
      <c r="J3369">
        <f>IF(INDEX(L_ID,ROW()-4)="","",IF(SUMPRODUCT((P_ID=INDEX(L_ID,ROW()-4))*(P_StatusN="INACTIVE"))&gt;0,1,0))</f>
        <v/>
      </c>
    </row>
    <row r="3370">
      <c r="A3370">
        <f>IF(INDEX(L_ID,ROW()-4)="","",IF(COUNTIF(P_ID,INDEX(L_ID,ROW()-4))&gt;0,1,0))</f>
        <v/>
      </c>
      <c r="B3370">
        <f>IF(INDEX(P_Type,ROW()-4)="","",TRIM(UPPER(INDEX(P_Type,ROW()-4))))</f>
        <v/>
      </c>
      <c r="D3370">
        <f>IF(INDEX(L_Type,ROW()-4)="","",TRIM(UPPER(INDEX(L_Type,ROW()-4))))</f>
        <v/>
      </c>
      <c r="E3370">
        <f>IF(INDEX(P_Status,ROW()-4)="","",TRIM(UPPER(INDEX(P_Status,ROW()-4))))</f>
        <v/>
      </c>
      <c r="G3370">
        <f>IF(INDEX(L_Status,ROW()-4)="","",TRIM(UPPER(INDEX(L_Status,ROW()-4))))</f>
        <v/>
      </c>
      <c r="J3370">
        <f>IF(INDEX(L_ID,ROW()-4)="","",IF(SUMPRODUCT((P_ID=INDEX(L_ID,ROW()-4))*(P_StatusN="INACTIVE"))&gt;0,1,0))</f>
        <v/>
      </c>
    </row>
    <row r="3371">
      <c r="A3371">
        <f>IF(INDEX(L_ID,ROW()-4)="","",IF(COUNTIF(P_ID,INDEX(L_ID,ROW()-4))&gt;0,1,0))</f>
        <v/>
      </c>
      <c r="B3371">
        <f>IF(INDEX(P_Type,ROW()-4)="","",TRIM(UPPER(INDEX(P_Type,ROW()-4))))</f>
        <v/>
      </c>
      <c r="D3371">
        <f>IF(INDEX(L_Type,ROW()-4)="","",TRIM(UPPER(INDEX(L_Type,ROW()-4))))</f>
        <v/>
      </c>
      <c r="E3371">
        <f>IF(INDEX(P_Status,ROW()-4)="","",TRIM(UPPER(INDEX(P_Status,ROW()-4))))</f>
        <v/>
      </c>
      <c r="G3371">
        <f>IF(INDEX(L_Status,ROW()-4)="","",TRIM(UPPER(INDEX(L_Status,ROW()-4))))</f>
        <v/>
      </c>
      <c r="J3371">
        <f>IF(INDEX(L_ID,ROW()-4)="","",IF(SUMPRODUCT((P_ID=INDEX(L_ID,ROW()-4))*(P_StatusN="INACTIVE"))&gt;0,1,0))</f>
        <v/>
      </c>
    </row>
    <row r="3372">
      <c r="A3372">
        <f>IF(INDEX(L_ID,ROW()-4)="","",IF(COUNTIF(P_ID,INDEX(L_ID,ROW()-4))&gt;0,1,0))</f>
        <v/>
      </c>
      <c r="B3372">
        <f>IF(INDEX(P_Type,ROW()-4)="","",TRIM(UPPER(INDEX(P_Type,ROW()-4))))</f>
        <v/>
      </c>
      <c r="D3372">
        <f>IF(INDEX(L_Type,ROW()-4)="","",TRIM(UPPER(INDEX(L_Type,ROW()-4))))</f>
        <v/>
      </c>
      <c r="E3372">
        <f>IF(INDEX(P_Status,ROW()-4)="","",TRIM(UPPER(INDEX(P_Status,ROW()-4))))</f>
        <v/>
      </c>
      <c r="G3372">
        <f>IF(INDEX(L_Status,ROW()-4)="","",TRIM(UPPER(INDEX(L_Status,ROW()-4))))</f>
        <v/>
      </c>
      <c r="J3372">
        <f>IF(INDEX(L_ID,ROW()-4)="","",IF(SUMPRODUCT((P_ID=INDEX(L_ID,ROW()-4))*(P_StatusN="INACTIVE"))&gt;0,1,0))</f>
        <v/>
      </c>
    </row>
    <row r="3373">
      <c r="A3373">
        <f>IF(INDEX(L_ID,ROW()-4)="","",IF(COUNTIF(P_ID,INDEX(L_ID,ROW()-4))&gt;0,1,0))</f>
        <v/>
      </c>
      <c r="B3373">
        <f>IF(INDEX(P_Type,ROW()-4)="","",TRIM(UPPER(INDEX(P_Type,ROW()-4))))</f>
        <v/>
      </c>
      <c r="D3373">
        <f>IF(INDEX(L_Type,ROW()-4)="","",TRIM(UPPER(INDEX(L_Type,ROW()-4))))</f>
        <v/>
      </c>
      <c r="E3373">
        <f>IF(INDEX(P_Status,ROW()-4)="","",TRIM(UPPER(INDEX(P_Status,ROW()-4))))</f>
        <v/>
      </c>
      <c r="G3373">
        <f>IF(INDEX(L_Status,ROW()-4)="","",TRIM(UPPER(INDEX(L_Status,ROW()-4))))</f>
        <v/>
      </c>
      <c r="J3373">
        <f>IF(INDEX(L_ID,ROW()-4)="","",IF(SUMPRODUCT((P_ID=INDEX(L_ID,ROW()-4))*(P_StatusN="INACTIVE"))&gt;0,1,0))</f>
        <v/>
      </c>
    </row>
    <row r="3374">
      <c r="A3374">
        <f>IF(INDEX(L_ID,ROW()-4)="","",IF(COUNTIF(P_ID,INDEX(L_ID,ROW()-4))&gt;0,1,0))</f>
        <v/>
      </c>
      <c r="B3374">
        <f>IF(INDEX(P_Type,ROW()-4)="","",TRIM(UPPER(INDEX(P_Type,ROW()-4))))</f>
        <v/>
      </c>
      <c r="D3374">
        <f>IF(INDEX(L_Type,ROW()-4)="","",TRIM(UPPER(INDEX(L_Type,ROW()-4))))</f>
        <v/>
      </c>
      <c r="E3374">
        <f>IF(INDEX(P_Status,ROW()-4)="","",TRIM(UPPER(INDEX(P_Status,ROW()-4))))</f>
        <v/>
      </c>
      <c r="G3374">
        <f>IF(INDEX(L_Status,ROW()-4)="","",TRIM(UPPER(INDEX(L_Status,ROW()-4))))</f>
        <v/>
      </c>
      <c r="J3374">
        <f>IF(INDEX(L_ID,ROW()-4)="","",IF(SUMPRODUCT((P_ID=INDEX(L_ID,ROW()-4))*(P_StatusN="INACTIVE"))&gt;0,1,0))</f>
        <v/>
      </c>
    </row>
    <row r="3375">
      <c r="A3375">
        <f>IF(INDEX(L_ID,ROW()-4)="","",IF(COUNTIF(P_ID,INDEX(L_ID,ROW()-4))&gt;0,1,0))</f>
        <v/>
      </c>
      <c r="B3375">
        <f>IF(INDEX(P_Type,ROW()-4)="","",TRIM(UPPER(INDEX(P_Type,ROW()-4))))</f>
        <v/>
      </c>
      <c r="D3375">
        <f>IF(INDEX(L_Type,ROW()-4)="","",TRIM(UPPER(INDEX(L_Type,ROW()-4))))</f>
        <v/>
      </c>
      <c r="E3375">
        <f>IF(INDEX(P_Status,ROW()-4)="","",TRIM(UPPER(INDEX(P_Status,ROW()-4))))</f>
        <v/>
      </c>
      <c r="G3375">
        <f>IF(INDEX(L_Status,ROW()-4)="","",TRIM(UPPER(INDEX(L_Status,ROW()-4))))</f>
        <v/>
      </c>
      <c r="J3375">
        <f>IF(INDEX(L_ID,ROW()-4)="","",IF(SUMPRODUCT((P_ID=INDEX(L_ID,ROW()-4))*(P_StatusN="INACTIVE"))&gt;0,1,0))</f>
        <v/>
      </c>
    </row>
    <row r="3376">
      <c r="A3376">
        <f>IF(INDEX(L_ID,ROW()-4)="","",IF(COUNTIF(P_ID,INDEX(L_ID,ROW()-4))&gt;0,1,0))</f>
        <v/>
      </c>
      <c r="B3376">
        <f>IF(INDEX(P_Type,ROW()-4)="","",TRIM(UPPER(INDEX(P_Type,ROW()-4))))</f>
        <v/>
      </c>
      <c r="D3376">
        <f>IF(INDEX(L_Type,ROW()-4)="","",TRIM(UPPER(INDEX(L_Type,ROW()-4))))</f>
        <v/>
      </c>
      <c r="E3376">
        <f>IF(INDEX(P_Status,ROW()-4)="","",TRIM(UPPER(INDEX(P_Status,ROW()-4))))</f>
        <v/>
      </c>
      <c r="G3376">
        <f>IF(INDEX(L_Status,ROW()-4)="","",TRIM(UPPER(INDEX(L_Status,ROW()-4))))</f>
        <v/>
      </c>
      <c r="J3376">
        <f>IF(INDEX(L_ID,ROW()-4)="","",IF(SUMPRODUCT((P_ID=INDEX(L_ID,ROW()-4))*(P_StatusN="INACTIVE"))&gt;0,1,0))</f>
        <v/>
      </c>
    </row>
    <row r="3377">
      <c r="A3377">
        <f>IF(INDEX(L_ID,ROW()-4)="","",IF(COUNTIF(P_ID,INDEX(L_ID,ROW()-4))&gt;0,1,0))</f>
        <v/>
      </c>
      <c r="B3377">
        <f>IF(INDEX(P_Type,ROW()-4)="","",TRIM(UPPER(INDEX(P_Type,ROW()-4))))</f>
        <v/>
      </c>
      <c r="D3377">
        <f>IF(INDEX(L_Type,ROW()-4)="","",TRIM(UPPER(INDEX(L_Type,ROW()-4))))</f>
        <v/>
      </c>
      <c r="E3377">
        <f>IF(INDEX(P_Status,ROW()-4)="","",TRIM(UPPER(INDEX(P_Status,ROW()-4))))</f>
        <v/>
      </c>
      <c r="G3377">
        <f>IF(INDEX(L_Status,ROW()-4)="","",TRIM(UPPER(INDEX(L_Status,ROW()-4))))</f>
        <v/>
      </c>
      <c r="J3377">
        <f>IF(INDEX(L_ID,ROW()-4)="","",IF(SUMPRODUCT((P_ID=INDEX(L_ID,ROW()-4))*(P_StatusN="INACTIVE"))&gt;0,1,0))</f>
        <v/>
      </c>
    </row>
    <row r="3378">
      <c r="A3378">
        <f>IF(INDEX(L_ID,ROW()-4)="","",IF(COUNTIF(P_ID,INDEX(L_ID,ROW()-4))&gt;0,1,0))</f>
        <v/>
      </c>
      <c r="B3378">
        <f>IF(INDEX(P_Type,ROW()-4)="","",TRIM(UPPER(INDEX(P_Type,ROW()-4))))</f>
        <v/>
      </c>
      <c r="D3378">
        <f>IF(INDEX(L_Type,ROW()-4)="","",TRIM(UPPER(INDEX(L_Type,ROW()-4))))</f>
        <v/>
      </c>
      <c r="E3378">
        <f>IF(INDEX(P_Status,ROW()-4)="","",TRIM(UPPER(INDEX(P_Status,ROW()-4))))</f>
        <v/>
      </c>
      <c r="G3378">
        <f>IF(INDEX(L_Status,ROW()-4)="","",TRIM(UPPER(INDEX(L_Status,ROW()-4))))</f>
        <v/>
      </c>
      <c r="J3378">
        <f>IF(INDEX(L_ID,ROW()-4)="","",IF(SUMPRODUCT((P_ID=INDEX(L_ID,ROW()-4))*(P_StatusN="INACTIVE"))&gt;0,1,0))</f>
        <v/>
      </c>
    </row>
    <row r="3379">
      <c r="A3379">
        <f>IF(INDEX(L_ID,ROW()-4)="","",IF(COUNTIF(P_ID,INDEX(L_ID,ROW()-4))&gt;0,1,0))</f>
        <v/>
      </c>
      <c r="B3379">
        <f>IF(INDEX(P_Type,ROW()-4)="","",TRIM(UPPER(INDEX(P_Type,ROW()-4))))</f>
        <v/>
      </c>
      <c r="D3379">
        <f>IF(INDEX(L_Type,ROW()-4)="","",TRIM(UPPER(INDEX(L_Type,ROW()-4))))</f>
        <v/>
      </c>
      <c r="E3379">
        <f>IF(INDEX(P_Status,ROW()-4)="","",TRIM(UPPER(INDEX(P_Status,ROW()-4))))</f>
        <v/>
      </c>
      <c r="G3379">
        <f>IF(INDEX(L_Status,ROW()-4)="","",TRIM(UPPER(INDEX(L_Status,ROW()-4))))</f>
        <v/>
      </c>
      <c r="J3379">
        <f>IF(INDEX(L_ID,ROW()-4)="","",IF(SUMPRODUCT((P_ID=INDEX(L_ID,ROW()-4))*(P_StatusN="INACTIVE"))&gt;0,1,0))</f>
        <v/>
      </c>
    </row>
    <row r="3380">
      <c r="A3380">
        <f>IF(INDEX(L_ID,ROW()-4)="","",IF(COUNTIF(P_ID,INDEX(L_ID,ROW()-4))&gt;0,1,0))</f>
        <v/>
      </c>
      <c r="B3380">
        <f>IF(INDEX(P_Type,ROW()-4)="","",TRIM(UPPER(INDEX(P_Type,ROW()-4))))</f>
        <v/>
      </c>
      <c r="D3380">
        <f>IF(INDEX(L_Type,ROW()-4)="","",TRIM(UPPER(INDEX(L_Type,ROW()-4))))</f>
        <v/>
      </c>
      <c r="E3380">
        <f>IF(INDEX(P_Status,ROW()-4)="","",TRIM(UPPER(INDEX(P_Status,ROW()-4))))</f>
        <v/>
      </c>
      <c r="G3380">
        <f>IF(INDEX(L_Status,ROW()-4)="","",TRIM(UPPER(INDEX(L_Status,ROW()-4))))</f>
        <v/>
      </c>
      <c r="J3380">
        <f>IF(INDEX(L_ID,ROW()-4)="","",IF(SUMPRODUCT((P_ID=INDEX(L_ID,ROW()-4))*(P_StatusN="INACTIVE"))&gt;0,1,0))</f>
        <v/>
      </c>
    </row>
    <row r="3381">
      <c r="A3381">
        <f>IF(INDEX(L_ID,ROW()-4)="","",IF(COUNTIF(P_ID,INDEX(L_ID,ROW()-4))&gt;0,1,0))</f>
        <v/>
      </c>
      <c r="B3381">
        <f>IF(INDEX(P_Type,ROW()-4)="","",TRIM(UPPER(INDEX(P_Type,ROW()-4))))</f>
        <v/>
      </c>
      <c r="D3381">
        <f>IF(INDEX(L_Type,ROW()-4)="","",TRIM(UPPER(INDEX(L_Type,ROW()-4))))</f>
        <v/>
      </c>
      <c r="E3381">
        <f>IF(INDEX(P_Status,ROW()-4)="","",TRIM(UPPER(INDEX(P_Status,ROW()-4))))</f>
        <v/>
      </c>
      <c r="G3381">
        <f>IF(INDEX(L_Status,ROW()-4)="","",TRIM(UPPER(INDEX(L_Status,ROW()-4))))</f>
        <v/>
      </c>
      <c r="J3381">
        <f>IF(INDEX(L_ID,ROW()-4)="","",IF(SUMPRODUCT((P_ID=INDEX(L_ID,ROW()-4))*(P_StatusN="INACTIVE"))&gt;0,1,0))</f>
        <v/>
      </c>
    </row>
    <row r="3382">
      <c r="A3382">
        <f>IF(INDEX(L_ID,ROW()-4)="","",IF(COUNTIF(P_ID,INDEX(L_ID,ROW()-4))&gt;0,1,0))</f>
        <v/>
      </c>
      <c r="B3382">
        <f>IF(INDEX(P_Type,ROW()-4)="","",TRIM(UPPER(INDEX(P_Type,ROW()-4))))</f>
        <v/>
      </c>
      <c r="D3382">
        <f>IF(INDEX(L_Type,ROW()-4)="","",TRIM(UPPER(INDEX(L_Type,ROW()-4))))</f>
        <v/>
      </c>
      <c r="E3382">
        <f>IF(INDEX(P_Status,ROW()-4)="","",TRIM(UPPER(INDEX(P_Status,ROW()-4))))</f>
        <v/>
      </c>
      <c r="G3382">
        <f>IF(INDEX(L_Status,ROW()-4)="","",TRIM(UPPER(INDEX(L_Status,ROW()-4))))</f>
        <v/>
      </c>
      <c r="J3382">
        <f>IF(INDEX(L_ID,ROW()-4)="","",IF(SUMPRODUCT((P_ID=INDEX(L_ID,ROW()-4))*(P_StatusN="INACTIVE"))&gt;0,1,0))</f>
        <v/>
      </c>
    </row>
    <row r="3383">
      <c r="A3383">
        <f>IF(INDEX(L_ID,ROW()-4)="","",IF(COUNTIF(P_ID,INDEX(L_ID,ROW()-4))&gt;0,1,0))</f>
        <v/>
      </c>
      <c r="B3383">
        <f>IF(INDEX(P_Type,ROW()-4)="","",TRIM(UPPER(INDEX(P_Type,ROW()-4))))</f>
        <v/>
      </c>
      <c r="D3383">
        <f>IF(INDEX(L_Type,ROW()-4)="","",TRIM(UPPER(INDEX(L_Type,ROW()-4))))</f>
        <v/>
      </c>
      <c r="E3383">
        <f>IF(INDEX(P_Status,ROW()-4)="","",TRIM(UPPER(INDEX(P_Status,ROW()-4))))</f>
        <v/>
      </c>
      <c r="G3383">
        <f>IF(INDEX(L_Status,ROW()-4)="","",TRIM(UPPER(INDEX(L_Status,ROW()-4))))</f>
        <v/>
      </c>
      <c r="J3383">
        <f>IF(INDEX(L_ID,ROW()-4)="","",IF(SUMPRODUCT((P_ID=INDEX(L_ID,ROW()-4))*(P_StatusN="INACTIVE"))&gt;0,1,0))</f>
        <v/>
      </c>
    </row>
    <row r="3384">
      <c r="A3384">
        <f>IF(INDEX(L_ID,ROW()-4)="","",IF(COUNTIF(P_ID,INDEX(L_ID,ROW()-4))&gt;0,1,0))</f>
        <v/>
      </c>
      <c r="B3384">
        <f>IF(INDEX(P_Type,ROW()-4)="","",TRIM(UPPER(INDEX(P_Type,ROW()-4))))</f>
        <v/>
      </c>
      <c r="D3384">
        <f>IF(INDEX(L_Type,ROW()-4)="","",TRIM(UPPER(INDEX(L_Type,ROW()-4))))</f>
        <v/>
      </c>
      <c r="E3384">
        <f>IF(INDEX(P_Status,ROW()-4)="","",TRIM(UPPER(INDEX(P_Status,ROW()-4))))</f>
        <v/>
      </c>
      <c r="G3384">
        <f>IF(INDEX(L_Status,ROW()-4)="","",TRIM(UPPER(INDEX(L_Status,ROW()-4))))</f>
        <v/>
      </c>
      <c r="J3384">
        <f>IF(INDEX(L_ID,ROW()-4)="","",IF(SUMPRODUCT((P_ID=INDEX(L_ID,ROW()-4))*(P_StatusN="INACTIVE"))&gt;0,1,0))</f>
        <v/>
      </c>
    </row>
    <row r="3385">
      <c r="A3385">
        <f>IF(INDEX(L_ID,ROW()-4)="","",IF(COUNTIF(P_ID,INDEX(L_ID,ROW()-4))&gt;0,1,0))</f>
        <v/>
      </c>
      <c r="B3385">
        <f>IF(INDEX(P_Type,ROW()-4)="","",TRIM(UPPER(INDEX(P_Type,ROW()-4))))</f>
        <v/>
      </c>
      <c r="D3385">
        <f>IF(INDEX(L_Type,ROW()-4)="","",TRIM(UPPER(INDEX(L_Type,ROW()-4))))</f>
        <v/>
      </c>
      <c r="E3385">
        <f>IF(INDEX(P_Status,ROW()-4)="","",TRIM(UPPER(INDEX(P_Status,ROW()-4))))</f>
        <v/>
      </c>
      <c r="G3385">
        <f>IF(INDEX(L_Status,ROW()-4)="","",TRIM(UPPER(INDEX(L_Status,ROW()-4))))</f>
        <v/>
      </c>
      <c r="J3385">
        <f>IF(INDEX(L_ID,ROW()-4)="","",IF(SUMPRODUCT((P_ID=INDEX(L_ID,ROW()-4))*(P_StatusN="INACTIVE"))&gt;0,1,0))</f>
        <v/>
      </c>
    </row>
    <row r="3386">
      <c r="A3386">
        <f>IF(INDEX(L_ID,ROW()-4)="","",IF(COUNTIF(P_ID,INDEX(L_ID,ROW()-4))&gt;0,1,0))</f>
        <v/>
      </c>
      <c r="B3386">
        <f>IF(INDEX(P_Type,ROW()-4)="","",TRIM(UPPER(INDEX(P_Type,ROW()-4))))</f>
        <v/>
      </c>
      <c r="D3386">
        <f>IF(INDEX(L_Type,ROW()-4)="","",TRIM(UPPER(INDEX(L_Type,ROW()-4))))</f>
        <v/>
      </c>
      <c r="E3386">
        <f>IF(INDEX(P_Status,ROW()-4)="","",TRIM(UPPER(INDEX(P_Status,ROW()-4))))</f>
        <v/>
      </c>
      <c r="G3386">
        <f>IF(INDEX(L_Status,ROW()-4)="","",TRIM(UPPER(INDEX(L_Status,ROW()-4))))</f>
        <v/>
      </c>
      <c r="J3386">
        <f>IF(INDEX(L_ID,ROW()-4)="","",IF(SUMPRODUCT((P_ID=INDEX(L_ID,ROW()-4))*(P_StatusN="INACTIVE"))&gt;0,1,0))</f>
        <v/>
      </c>
    </row>
    <row r="3387">
      <c r="A3387">
        <f>IF(INDEX(L_ID,ROW()-4)="","",IF(COUNTIF(P_ID,INDEX(L_ID,ROW()-4))&gt;0,1,0))</f>
        <v/>
      </c>
      <c r="B3387">
        <f>IF(INDEX(P_Type,ROW()-4)="","",TRIM(UPPER(INDEX(P_Type,ROW()-4))))</f>
        <v/>
      </c>
      <c r="D3387">
        <f>IF(INDEX(L_Type,ROW()-4)="","",TRIM(UPPER(INDEX(L_Type,ROW()-4))))</f>
        <v/>
      </c>
      <c r="E3387">
        <f>IF(INDEX(P_Status,ROW()-4)="","",TRIM(UPPER(INDEX(P_Status,ROW()-4))))</f>
        <v/>
      </c>
      <c r="G3387">
        <f>IF(INDEX(L_Status,ROW()-4)="","",TRIM(UPPER(INDEX(L_Status,ROW()-4))))</f>
        <v/>
      </c>
      <c r="J3387">
        <f>IF(INDEX(L_ID,ROW()-4)="","",IF(SUMPRODUCT((P_ID=INDEX(L_ID,ROW()-4))*(P_StatusN="INACTIVE"))&gt;0,1,0))</f>
        <v/>
      </c>
    </row>
    <row r="3388">
      <c r="A3388">
        <f>IF(INDEX(L_ID,ROW()-4)="","",IF(COUNTIF(P_ID,INDEX(L_ID,ROW()-4))&gt;0,1,0))</f>
        <v/>
      </c>
      <c r="B3388">
        <f>IF(INDEX(P_Type,ROW()-4)="","",TRIM(UPPER(INDEX(P_Type,ROW()-4))))</f>
        <v/>
      </c>
      <c r="D3388">
        <f>IF(INDEX(L_Type,ROW()-4)="","",TRIM(UPPER(INDEX(L_Type,ROW()-4))))</f>
        <v/>
      </c>
      <c r="E3388">
        <f>IF(INDEX(P_Status,ROW()-4)="","",TRIM(UPPER(INDEX(P_Status,ROW()-4))))</f>
        <v/>
      </c>
      <c r="G3388">
        <f>IF(INDEX(L_Status,ROW()-4)="","",TRIM(UPPER(INDEX(L_Status,ROW()-4))))</f>
        <v/>
      </c>
      <c r="J3388">
        <f>IF(INDEX(L_ID,ROW()-4)="","",IF(SUMPRODUCT((P_ID=INDEX(L_ID,ROW()-4))*(P_StatusN="INACTIVE"))&gt;0,1,0))</f>
        <v/>
      </c>
    </row>
    <row r="3389">
      <c r="A3389">
        <f>IF(INDEX(L_ID,ROW()-4)="","",IF(COUNTIF(P_ID,INDEX(L_ID,ROW()-4))&gt;0,1,0))</f>
        <v/>
      </c>
      <c r="B3389">
        <f>IF(INDEX(P_Type,ROW()-4)="","",TRIM(UPPER(INDEX(P_Type,ROW()-4))))</f>
        <v/>
      </c>
      <c r="D3389">
        <f>IF(INDEX(L_Type,ROW()-4)="","",TRIM(UPPER(INDEX(L_Type,ROW()-4))))</f>
        <v/>
      </c>
      <c r="E3389">
        <f>IF(INDEX(P_Status,ROW()-4)="","",TRIM(UPPER(INDEX(P_Status,ROW()-4))))</f>
        <v/>
      </c>
      <c r="G3389">
        <f>IF(INDEX(L_Status,ROW()-4)="","",TRIM(UPPER(INDEX(L_Status,ROW()-4))))</f>
        <v/>
      </c>
      <c r="J3389">
        <f>IF(INDEX(L_ID,ROW()-4)="","",IF(SUMPRODUCT((P_ID=INDEX(L_ID,ROW()-4))*(P_StatusN="INACTIVE"))&gt;0,1,0))</f>
        <v/>
      </c>
    </row>
    <row r="3390">
      <c r="A3390">
        <f>IF(INDEX(L_ID,ROW()-4)="","",IF(COUNTIF(P_ID,INDEX(L_ID,ROW()-4))&gt;0,1,0))</f>
        <v/>
      </c>
      <c r="B3390">
        <f>IF(INDEX(P_Type,ROW()-4)="","",TRIM(UPPER(INDEX(P_Type,ROW()-4))))</f>
        <v/>
      </c>
      <c r="D3390">
        <f>IF(INDEX(L_Type,ROW()-4)="","",TRIM(UPPER(INDEX(L_Type,ROW()-4))))</f>
        <v/>
      </c>
      <c r="E3390">
        <f>IF(INDEX(P_Status,ROW()-4)="","",TRIM(UPPER(INDEX(P_Status,ROW()-4))))</f>
        <v/>
      </c>
      <c r="G3390">
        <f>IF(INDEX(L_Status,ROW()-4)="","",TRIM(UPPER(INDEX(L_Status,ROW()-4))))</f>
        <v/>
      </c>
      <c r="J3390">
        <f>IF(INDEX(L_ID,ROW()-4)="","",IF(SUMPRODUCT((P_ID=INDEX(L_ID,ROW()-4))*(P_StatusN="INACTIVE"))&gt;0,1,0))</f>
        <v/>
      </c>
    </row>
    <row r="3391">
      <c r="A3391">
        <f>IF(INDEX(L_ID,ROW()-4)="","",IF(COUNTIF(P_ID,INDEX(L_ID,ROW()-4))&gt;0,1,0))</f>
        <v/>
      </c>
      <c r="B3391">
        <f>IF(INDEX(P_Type,ROW()-4)="","",TRIM(UPPER(INDEX(P_Type,ROW()-4))))</f>
        <v/>
      </c>
      <c r="D3391">
        <f>IF(INDEX(L_Type,ROW()-4)="","",TRIM(UPPER(INDEX(L_Type,ROW()-4))))</f>
        <v/>
      </c>
      <c r="E3391">
        <f>IF(INDEX(P_Status,ROW()-4)="","",TRIM(UPPER(INDEX(P_Status,ROW()-4))))</f>
        <v/>
      </c>
      <c r="G3391">
        <f>IF(INDEX(L_Status,ROW()-4)="","",TRIM(UPPER(INDEX(L_Status,ROW()-4))))</f>
        <v/>
      </c>
      <c r="J3391">
        <f>IF(INDEX(L_ID,ROW()-4)="","",IF(SUMPRODUCT((P_ID=INDEX(L_ID,ROW()-4))*(P_StatusN="INACTIVE"))&gt;0,1,0))</f>
        <v/>
      </c>
    </row>
    <row r="3392">
      <c r="A3392">
        <f>IF(INDEX(L_ID,ROW()-4)="","",IF(COUNTIF(P_ID,INDEX(L_ID,ROW()-4))&gt;0,1,0))</f>
        <v/>
      </c>
      <c r="B3392">
        <f>IF(INDEX(P_Type,ROW()-4)="","",TRIM(UPPER(INDEX(P_Type,ROW()-4))))</f>
        <v/>
      </c>
      <c r="D3392">
        <f>IF(INDEX(L_Type,ROW()-4)="","",TRIM(UPPER(INDEX(L_Type,ROW()-4))))</f>
        <v/>
      </c>
      <c r="E3392">
        <f>IF(INDEX(P_Status,ROW()-4)="","",TRIM(UPPER(INDEX(P_Status,ROW()-4))))</f>
        <v/>
      </c>
      <c r="G3392">
        <f>IF(INDEX(L_Status,ROW()-4)="","",TRIM(UPPER(INDEX(L_Status,ROW()-4))))</f>
        <v/>
      </c>
      <c r="J3392">
        <f>IF(INDEX(L_ID,ROW()-4)="","",IF(SUMPRODUCT((P_ID=INDEX(L_ID,ROW()-4))*(P_StatusN="INACTIVE"))&gt;0,1,0))</f>
        <v/>
      </c>
    </row>
    <row r="3393">
      <c r="A3393">
        <f>IF(INDEX(L_ID,ROW()-4)="","",IF(COUNTIF(P_ID,INDEX(L_ID,ROW()-4))&gt;0,1,0))</f>
        <v/>
      </c>
      <c r="B3393">
        <f>IF(INDEX(P_Type,ROW()-4)="","",TRIM(UPPER(INDEX(P_Type,ROW()-4))))</f>
        <v/>
      </c>
      <c r="D3393">
        <f>IF(INDEX(L_Type,ROW()-4)="","",TRIM(UPPER(INDEX(L_Type,ROW()-4))))</f>
        <v/>
      </c>
      <c r="E3393">
        <f>IF(INDEX(P_Status,ROW()-4)="","",TRIM(UPPER(INDEX(P_Status,ROW()-4))))</f>
        <v/>
      </c>
      <c r="G3393">
        <f>IF(INDEX(L_Status,ROW()-4)="","",TRIM(UPPER(INDEX(L_Status,ROW()-4))))</f>
        <v/>
      </c>
      <c r="J3393">
        <f>IF(INDEX(L_ID,ROW()-4)="","",IF(SUMPRODUCT((P_ID=INDEX(L_ID,ROW()-4))*(P_StatusN="INACTIVE"))&gt;0,1,0))</f>
        <v/>
      </c>
    </row>
    <row r="3394">
      <c r="A3394">
        <f>IF(INDEX(L_ID,ROW()-4)="","",IF(COUNTIF(P_ID,INDEX(L_ID,ROW()-4))&gt;0,1,0))</f>
        <v/>
      </c>
      <c r="B3394">
        <f>IF(INDEX(P_Type,ROW()-4)="","",TRIM(UPPER(INDEX(P_Type,ROW()-4))))</f>
        <v/>
      </c>
      <c r="D3394">
        <f>IF(INDEX(L_Type,ROW()-4)="","",TRIM(UPPER(INDEX(L_Type,ROW()-4))))</f>
        <v/>
      </c>
      <c r="E3394">
        <f>IF(INDEX(P_Status,ROW()-4)="","",TRIM(UPPER(INDEX(P_Status,ROW()-4))))</f>
        <v/>
      </c>
      <c r="G3394">
        <f>IF(INDEX(L_Status,ROW()-4)="","",TRIM(UPPER(INDEX(L_Status,ROW()-4))))</f>
        <v/>
      </c>
      <c r="J3394">
        <f>IF(INDEX(L_ID,ROW()-4)="","",IF(SUMPRODUCT((P_ID=INDEX(L_ID,ROW()-4))*(P_StatusN="INACTIVE"))&gt;0,1,0))</f>
        <v/>
      </c>
    </row>
    <row r="3395">
      <c r="A3395">
        <f>IF(INDEX(L_ID,ROW()-4)="","",IF(COUNTIF(P_ID,INDEX(L_ID,ROW()-4))&gt;0,1,0))</f>
        <v/>
      </c>
      <c r="B3395">
        <f>IF(INDEX(P_Type,ROW()-4)="","",TRIM(UPPER(INDEX(P_Type,ROW()-4))))</f>
        <v/>
      </c>
      <c r="D3395">
        <f>IF(INDEX(L_Type,ROW()-4)="","",TRIM(UPPER(INDEX(L_Type,ROW()-4))))</f>
        <v/>
      </c>
      <c r="E3395">
        <f>IF(INDEX(P_Status,ROW()-4)="","",TRIM(UPPER(INDEX(P_Status,ROW()-4))))</f>
        <v/>
      </c>
      <c r="G3395">
        <f>IF(INDEX(L_Status,ROW()-4)="","",TRIM(UPPER(INDEX(L_Status,ROW()-4))))</f>
        <v/>
      </c>
      <c r="J3395">
        <f>IF(INDEX(L_ID,ROW()-4)="","",IF(SUMPRODUCT((P_ID=INDEX(L_ID,ROW()-4))*(P_StatusN="INACTIVE"))&gt;0,1,0))</f>
        <v/>
      </c>
    </row>
    <row r="3396">
      <c r="A3396">
        <f>IF(INDEX(L_ID,ROW()-4)="","",IF(COUNTIF(P_ID,INDEX(L_ID,ROW()-4))&gt;0,1,0))</f>
        <v/>
      </c>
      <c r="B3396">
        <f>IF(INDEX(P_Type,ROW()-4)="","",TRIM(UPPER(INDEX(P_Type,ROW()-4))))</f>
        <v/>
      </c>
      <c r="D3396">
        <f>IF(INDEX(L_Type,ROW()-4)="","",TRIM(UPPER(INDEX(L_Type,ROW()-4))))</f>
        <v/>
      </c>
      <c r="E3396">
        <f>IF(INDEX(P_Status,ROW()-4)="","",TRIM(UPPER(INDEX(P_Status,ROW()-4))))</f>
        <v/>
      </c>
      <c r="G3396">
        <f>IF(INDEX(L_Status,ROW()-4)="","",TRIM(UPPER(INDEX(L_Status,ROW()-4))))</f>
        <v/>
      </c>
      <c r="J3396">
        <f>IF(INDEX(L_ID,ROW()-4)="","",IF(SUMPRODUCT((P_ID=INDEX(L_ID,ROW()-4))*(P_StatusN="INACTIVE"))&gt;0,1,0))</f>
        <v/>
      </c>
    </row>
    <row r="3397">
      <c r="A3397">
        <f>IF(INDEX(L_ID,ROW()-4)="","",IF(COUNTIF(P_ID,INDEX(L_ID,ROW()-4))&gt;0,1,0))</f>
        <v/>
      </c>
      <c r="B3397">
        <f>IF(INDEX(P_Type,ROW()-4)="","",TRIM(UPPER(INDEX(P_Type,ROW()-4))))</f>
        <v/>
      </c>
      <c r="D3397">
        <f>IF(INDEX(L_Type,ROW()-4)="","",TRIM(UPPER(INDEX(L_Type,ROW()-4))))</f>
        <v/>
      </c>
      <c r="E3397">
        <f>IF(INDEX(P_Status,ROW()-4)="","",TRIM(UPPER(INDEX(P_Status,ROW()-4))))</f>
        <v/>
      </c>
      <c r="G3397">
        <f>IF(INDEX(L_Status,ROW()-4)="","",TRIM(UPPER(INDEX(L_Status,ROW()-4))))</f>
        <v/>
      </c>
      <c r="J3397">
        <f>IF(INDEX(L_ID,ROW()-4)="","",IF(SUMPRODUCT((P_ID=INDEX(L_ID,ROW()-4))*(P_StatusN="INACTIVE"))&gt;0,1,0))</f>
        <v/>
      </c>
    </row>
    <row r="3398">
      <c r="A3398">
        <f>IF(INDEX(L_ID,ROW()-4)="","",IF(COUNTIF(P_ID,INDEX(L_ID,ROW()-4))&gt;0,1,0))</f>
        <v/>
      </c>
      <c r="B3398">
        <f>IF(INDEX(P_Type,ROW()-4)="","",TRIM(UPPER(INDEX(P_Type,ROW()-4))))</f>
        <v/>
      </c>
      <c r="D3398">
        <f>IF(INDEX(L_Type,ROW()-4)="","",TRIM(UPPER(INDEX(L_Type,ROW()-4))))</f>
        <v/>
      </c>
      <c r="E3398">
        <f>IF(INDEX(P_Status,ROW()-4)="","",TRIM(UPPER(INDEX(P_Status,ROW()-4))))</f>
        <v/>
      </c>
      <c r="G3398">
        <f>IF(INDEX(L_Status,ROW()-4)="","",TRIM(UPPER(INDEX(L_Status,ROW()-4))))</f>
        <v/>
      </c>
      <c r="J3398">
        <f>IF(INDEX(L_ID,ROW()-4)="","",IF(SUMPRODUCT((P_ID=INDEX(L_ID,ROW()-4))*(P_StatusN="INACTIVE"))&gt;0,1,0))</f>
        <v/>
      </c>
    </row>
    <row r="3399">
      <c r="A3399">
        <f>IF(INDEX(L_ID,ROW()-4)="","",IF(COUNTIF(P_ID,INDEX(L_ID,ROW()-4))&gt;0,1,0))</f>
        <v/>
      </c>
      <c r="B3399">
        <f>IF(INDEX(P_Type,ROW()-4)="","",TRIM(UPPER(INDEX(P_Type,ROW()-4))))</f>
        <v/>
      </c>
      <c r="D3399">
        <f>IF(INDEX(L_Type,ROW()-4)="","",TRIM(UPPER(INDEX(L_Type,ROW()-4))))</f>
        <v/>
      </c>
      <c r="E3399">
        <f>IF(INDEX(P_Status,ROW()-4)="","",TRIM(UPPER(INDEX(P_Status,ROW()-4))))</f>
        <v/>
      </c>
      <c r="G3399">
        <f>IF(INDEX(L_Status,ROW()-4)="","",TRIM(UPPER(INDEX(L_Status,ROW()-4))))</f>
        <v/>
      </c>
      <c r="J3399">
        <f>IF(INDEX(L_ID,ROW()-4)="","",IF(SUMPRODUCT((P_ID=INDEX(L_ID,ROW()-4))*(P_StatusN="INACTIVE"))&gt;0,1,0))</f>
        <v/>
      </c>
    </row>
    <row r="3400">
      <c r="A3400">
        <f>IF(INDEX(L_ID,ROW()-4)="","",IF(COUNTIF(P_ID,INDEX(L_ID,ROW()-4))&gt;0,1,0))</f>
        <v/>
      </c>
      <c r="B3400">
        <f>IF(INDEX(P_Type,ROW()-4)="","",TRIM(UPPER(INDEX(P_Type,ROW()-4))))</f>
        <v/>
      </c>
      <c r="D3400">
        <f>IF(INDEX(L_Type,ROW()-4)="","",TRIM(UPPER(INDEX(L_Type,ROW()-4))))</f>
        <v/>
      </c>
      <c r="E3400">
        <f>IF(INDEX(P_Status,ROW()-4)="","",TRIM(UPPER(INDEX(P_Status,ROW()-4))))</f>
        <v/>
      </c>
      <c r="G3400">
        <f>IF(INDEX(L_Status,ROW()-4)="","",TRIM(UPPER(INDEX(L_Status,ROW()-4))))</f>
        <v/>
      </c>
      <c r="J3400">
        <f>IF(INDEX(L_ID,ROW()-4)="","",IF(SUMPRODUCT((P_ID=INDEX(L_ID,ROW()-4))*(P_StatusN="INACTIVE"))&gt;0,1,0))</f>
        <v/>
      </c>
    </row>
    <row r="3401">
      <c r="A3401">
        <f>IF(INDEX(L_ID,ROW()-4)="","",IF(COUNTIF(P_ID,INDEX(L_ID,ROW()-4))&gt;0,1,0))</f>
        <v/>
      </c>
      <c r="B3401">
        <f>IF(INDEX(P_Type,ROW()-4)="","",TRIM(UPPER(INDEX(P_Type,ROW()-4))))</f>
        <v/>
      </c>
      <c r="D3401">
        <f>IF(INDEX(L_Type,ROW()-4)="","",TRIM(UPPER(INDEX(L_Type,ROW()-4))))</f>
        <v/>
      </c>
      <c r="E3401">
        <f>IF(INDEX(P_Status,ROW()-4)="","",TRIM(UPPER(INDEX(P_Status,ROW()-4))))</f>
        <v/>
      </c>
      <c r="G3401">
        <f>IF(INDEX(L_Status,ROW()-4)="","",TRIM(UPPER(INDEX(L_Status,ROW()-4))))</f>
        <v/>
      </c>
      <c r="J3401">
        <f>IF(INDEX(L_ID,ROW()-4)="","",IF(SUMPRODUCT((P_ID=INDEX(L_ID,ROW()-4))*(P_StatusN="INACTIVE"))&gt;0,1,0))</f>
        <v/>
      </c>
    </row>
    <row r="3402">
      <c r="A3402">
        <f>IF(INDEX(L_ID,ROW()-4)="","",IF(COUNTIF(P_ID,INDEX(L_ID,ROW()-4))&gt;0,1,0))</f>
        <v/>
      </c>
      <c r="B3402">
        <f>IF(INDEX(P_Type,ROW()-4)="","",TRIM(UPPER(INDEX(P_Type,ROW()-4))))</f>
        <v/>
      </c>
      <c r="D3402">
        <f>IF(INDEX(L_Type,ROW()-4)="","",TRIM(UPPER(INDEX(L_Type,ROW()-4))))</f>
        <v/>
      </c>
      <c r="E3402">
        <f>IF(INDEX(P_Status,ROW()-4)="","",TRIM(UPPER(INDEX(P_Status,ROW()-4))))</f>
        <v/>
      </c>
      <c r="G3402">
        <f>IF(INDEX(L_Status,ROW()-4)="","",TRIM(UPPER(INDEX(L_Status,ROW()-4))))</f>
        <v/>
      </c>
      <c r="J3402">
        <f>IF(INDEX(L_ID,ROW()-4)="","",IF(SUMPRODUCT((P_ID=INDEX(L_ID,ROW()-4))*(P_StatusN="INACTIVE"))&gt;0,1,0))</f>
        <v/>
      </c>
    </row>
    <row r="3403">
      <c r="A3403">
        <f>IF(INDEX(L_ID,ROW()-4)="","",IF(COUNTIF(P_ID,INDEX(L_ID,ROW()-4))&gt;0,1,0))</f>
        <v/>
      </c>
      <c r="B3403">
        <f>IF(INDEX(P_Type,ROW()-4)="","",TRIM(UPPER(INDEX(P_Type,ROW()-4))))</f>
        <v/>
      </c>
      <c r="D3403">
        <f>IF(INDEX(L_Type,ROW()-4)="","",TRIM(UPPER(INDEX(L_Type,ROW()-4))))</f>
        <v/>
      </c>
      <c r="E3403">
        <f>IF(INDEX(P_Status,ROW()-4)="","",TRIM(UPPER(INDEX(P_Status,ROW()-4))))</f>
        <v/>
      </c>
      <c r="G3403">
        <f>IF(INDEX(L_Status,ROW()-4)="","",TRIM(UPPER(INDEX(L_Status,ROW()-4))))</f>
        <v/>
      </c>
      <c r="J3403">
        <f>IF(INDEX(L_ID,ROW()-4)="","",IF(SUMPRODUCT((P_ID=INDEX(L_ID,ROW()-4))*(P_StatusN="INACTIVE"))&gt;0,1,0))</f>
        <v/>
      </c>
    </row>
    <row r="3404">
      <c r="A3404">
        <f>IF(INDEX(L_ID,ROW()-4)="","",IF(COUNTIF(P_ID,INDEX(L_ID,ROW()-4))&gt;0,1,0))</f>
        <v/>
      </c>
      <c r="B3404">
        <f>IF(INDEX(P_Type,ROW()-4)="","",TRIM(UPPER(INDEX(P_Type,ROW()-4))))</f>
        <v/>
      </c>
      <c r="D3404">
        <f>IF(INDEX(L_Type,ROW()-4)="","",TRIM(UPPER(INDEX(L_Type,ROW()-4))))</f>
        <v/>
      </c>
      <c r="E3404">
        <f>IF(INDEX(P_Status,ROW()-4)="","",TRIM(UPPER(INDEX(P_Status,ROW()-4))))</f>
        <v/>
      </c>
      <c r="G3404">
        <f>IF(INDEX(L_Status,ROW()-4)="","",TRIM(UPPER(INDEX(L_Status,ROW()-4))))</f>
        <v/>
      </c>
      <c r="J3404">
        <f>IF(INDEX(L_ID,ROW()-4)="","",IF(SUMPRODUCT((P_ID=INDEX(L_ID,ROW()-4))*(P_StatusN="INACTIVE"))&gt;0,1,0))</f>
        <v/>
      </c>
    </row>
    <row r="3405">
      <c r="A3405">
        <f>IF(INDEX(L_ID,ROW()-4)="","",IF(COUNTIF(P_ID,INDEX(L_ID,ROW()-4))&gt;0,1,0))</f>
        <v/>
      </c>
      <c r="B3405">
        <f>IF(INDEX(P_Type,ROW()-4)="","",TRIM(UPPER(INDEX(P_Type,ROW()-4))))</f>
        <v/>
      </c>
      <c r="D3405">
        <f>IF(INDEX(L_Type,ROW()-4)="","",TRIM(UPPER(INDEX(L_Type,ROW()-4))))</f>
        <v/>
      </c>
      <c r="E3405">
        <f>IF(INDEX(P_Status,ROW()-4)="","",TRIM(UPPER(INDEX(P_Status,ROW()-4))))</f>
        <v/>
      </c>
      <c r="G3405">
        <f>IF(INDEX(L_Status,ROW()-4)="","",TRIM(UPPER(INDEX(L_Status,ROW()-4))))</f>
        <v/>
      </c>
      <c r="J3405">
        <f>IF(INDEX(L_ID,ROW()-4)="","",IF(SUMPRODUCT((P_ID=INDEX(L_ID,ROW()-4))*(P_StatusN="INACTIVE"))&gt;0,1,0))</f>
        <v/>
      </c>
    </row>
    <row r="3406">
      <c r="A3406">
        <f>IF(INDEX(L_ID,ROW()-4)="","",IF(COUNTIF(P_ID,INDEX(L_ID,ROW()-4))&gt;0,1,0))</f>
        <v/>
      </c>
      <c r="B3406">
        <f>IF(INDEX(P_Type,ROW()-4)="","",TRIM(UPPER(INDEX(P_Type,ROW()-4))))</f>
        <v/>
      </c>
      <c r="D3406">
        <f>IF(INDEX(L_Type,ROW()-4)="","",TRIM(UPPER(INDEX(L_Type,ROW()-4))))</f>
        <v/>
      </c>
      <c r="E3406">
        <f>IF(INDEX(P_Status,ROW()-4)="","",TRIM(UPPER(INDEX(P_Status,ROW()-4))))</f>
        <v/>
      </c>
      <c r="G3406">
        <f>IF(INDEX(L_Status,ROW()-4)="","",TRIM(UPPER(INDEX(L_Status,ROW()-4))))</f>
        <v/>
      </c>
      <c r="J3406">
        <f>IF(INDEX(L_ID,ROW()-4)="","",IF(SUMPRODUCT((P_ID=INDEX(L_ID,ROW()-4))*(P_StatusN="INACTIVE"))&gt;0,1,0))</f>
        <v/>
      </c>
    </row>
    <row r="3407">
      <c r="A3407">
        <f>IF(INDEX(L_ID,ROW()-4)="","",IF(COUNTIF(P_ID,INDEX(L_ID,ROW()-4))&gt;0,1,0))</f>
        <v/>
      </c>
      <c r="B3407">
        <f>IF(INDEX(P_Type,ROW()-4)="","",TRIM(UPPER(INDEX(P_Type,ROW()-4))))</f>
        <v/>
      </c>
      <c r="D3407">
        <f>IF(INDEX(L_Type,ROW()-4)="","",TRIM(UPPER(INDEX(L_Type,ROW()-4))))</f>
        <v/>
      </c>
      <c r="E3407">
        <f>IF(INDEX(P_Status,ROW()-4)="","",TRIM(UPPER(INDEX(P_Status,ROW()-4))))</f>
        <v/>
      </c>
      <c r="G3407">
        <f>IF(INDEX(L_Status,ROW()-4)="","",TRIM(UPPER(INDEX(L_Status,ROW()-4))))</f>
        <v/>
      </c>
      <c r="J3407">
        <f>IF(INDEX(L_ID,ROW()-4)="","",IF(SUMPRODUCT((P_ID=INDEX(L_ID,ROW()-4))*(P_StatusN="INACTIVE"))&gt;0,1,0))</f>
        <v/>
      </c>
    </row>
    <row r="3408">
      <c r="A3408">
        <f>IF(INDEX(L_ID,ROW()-4)="","",IF(COUNTIF(P_ID,INDEX(L_ID,ROW()-4))&gt;0,1,0))</f>
        <v/>
      </c>
      <c r="B3408">
        <f>IF(INDEX(P_Type,ROW()-4)="","",TRIM(UPPER(INDEX(P_Type,ROW()-4))))</f>
        <v/>
      </c>
      <c r="D3408">
        <f>IF(INDEX(L_Type,ROW()-4)="","",TRIM(UPPER(INDEX(L_Type,ROW()-4))))</f>
        <v/>
      </c>
      <c r="E3408">
        <f>IF(INDEX(P_Status,ROW()-4)="","",TRIM(UPPER(INDEX(P_Status,ROW()-4))))</f>
        <v/>
      </c>
      <c r="G3408">
        <f>IF(INDEX(L_Status,ROW()-4)="","",TRIM(UPPER(INDEX(L_Status,ROW()-4))))</f>
        <v/>
      </c>
      <c r="J3408">
        <f>IF(INDEX(L_ID,ROW()-4)="","",IF(SUMPRODUCT((P_ID=INDEX(L_ID,ROW()-4))*(P_StatusN="INACTIVE"))&gt;0,1,0))</f>
        <v/>
      </c>
    </row>
    <row r="3409">
      <c r="A3409">
        <f>IF(INDEX(L_ID,ROW()-4)="","",IF(COUNTIF(P_ID,INDEX(L_ID,ROW()-4))&gt;0,1,0))</f>
        <v/>
      </c>
      <c r="B3409">
        <f>IF(INDEX(P_Type,ROW()-4)="","",TRIM(UPPER(INDEX(P_Type,ROW()-4))))</f>
        <v/>
      </c>
      <c r="D3409">
        <f>IF(INDEX(L_Type,ROW()-4)="","",TRIM(UPPER(INDEX(L_Type,ROW()-4))))</f>
        <v/>
      </c>
      <c r="E3409">
        <f>IF(INDEX(P_Status,ROW()-4)="","",TRIM(UPPER(INDEX(P_Status,ROW()-4))))</f>
        <v/>
      </c>
      <c r="G3409">
        <f>IF(INDEX(L_Status,ROW()-4)="","",TRIM(UPPER(INDEX(L_Status,ROW()-4))))</f>
        <v/>
      </c>
      <c r="J3409">
        <f>IF(INDEX(L_ID,ROW()-4)="","",IF(SUMPRODUCT((P_ID=INDEX(L_ID,ROW()-4))*(P_StatusN="INACTIVE"))&gt;0,1,0))</f>
        <v/>
      </c>
    </row>
    <row r="3410">
      <c r="A3410">
        <f>IF(INDEX(L_ID,ROW()-4)="","",IF(COUNTIF(P_ID,INDEX(L_ID,ROW()-4))&gt;0,1,0))</f>
        <v/>
      </c>
      <c r="B3410">
        <f>IF(INDEX(P_Type,ROW()-4)="","",TRIM(UPPER(INDEX(P_Type,ROW()-4))))</f>
        <v/>
      </c>
      <c r="D3410">
        <f>IF(INDEX(L_Type,ROW()-4)="","",TRIM(UPPER(INDEX(L_Type,ROW()-4))))</f>
        <v/>
      </c>
      <c r="E3410">
        <f>IF(INDEX(P_Status,ROW()-4)="","",TRIM(UPPER(INDEX(P_Status,ROW()-4))))</f>
        <v/>
      </c>
      <c r="G3410">
        <f>IF(INDEX(L_Status,ROW()-4)="","",TRIM(UPPER(INDEX(L_Status,ROW()-4))))</f>
        <v/>
      </c>
      <c r="J3410">
        <f>IF(INDEX(L_ID,ROW()-4)="","",IF(SUMPRODUCT((P_ID=INDEX(L_ID,ROW()-4))*(P_StatusN="INACTIVE"))&gt;0,1,0))</f>
        <v/>
      </c>
    </row>
    <row r="3411">
      <c r="A3411">
        <f>IF(INDEX(L_ID,ROW()-4)="","",IF(COUNTIF(P_ID,INDEX(L_ID,ROW()-4))&gt;0,1,0))</f>
        <v/>
      </c>
      <c r="B3411">
        <f>IF(INDEX(P_Type,ROW()-4)="","",TRIM(UPPER(INDEX(P_Type,ROW()-4))))</f>
        <v/>
      </c>
      <c r="D3411">
        <f>IF(INDEX(L_Type,ROW()-4)="","",TRIM(UPPER(INDEX(L_Type,ROW()-4))))</f>
        <v/>
      </c>
      <c r="E3411">
        <f>IF(INDEX(P_Status,ROW()-4)="","",TRIM(UPPER(INDEX(P_Status,ROW()-4))))</f>
        <v/>
      </c>
      <c r="G3411">
        <f>IF(INDEX(L_Status,ROW()-4)="","",TRIM(UPPER(INDEX(L_Status,ROW()-4))))</f>
        <v/>
      </c>
      <c r="J3411">
        <f>IF(INDEX(L_ID,ROW()-4)="","",IF(SUMPRODUCT((P_ID=INDEX(L_ID,ROW()-4))*(P_StatusN="INACTIVE"))&gt;0,1,0))</f>
        <v/>
      </c>
    </row>
    <row r="3412">
      <c r="A3412">
        <f>IF(INDEX(L_ID,ROW()-4)="","",IF(COUNTIF(P_ID,INDEX(L_ID,ROW()-4))&gt;0,1,0))</f>
        <v/>
      </c>
      <c r="B3412">
        <f>IF(INDEX(P_Type,ROW()-4)="","",TRIM(UPPER(INDEX(P_Type,ROW()-4))))</f>
        <v/>
      </c>
      <c r="D3412">
        <f>IF(INDEX(L_Type,ROW()-4)="","",TRIM(UPPER(INDEX(L_Type,ROW()-4))))</f>
        <v/>
      </c>
      <c r="E3412">
        <f>IF(INDEX(P_Status,ROW()-4)="","",TRIM(UPPER(INDEX(P_Status,ROW()-4))))</f>
        <v/>
      </c>
      <c r="G3412">
        <f>IF(INDEX(L_Status,ROW()-4)="","",TRIM(UPPER(INDEX(L_Status,ROW()-4))))</f>
        <v/>
      </c>
      <c r="J3412">
        <f>IF(INDEX(L_ID,ROW()-4)="","",IF(SUMPRODUCT((P_ID=INDEX(L_ID,ROW()-4))*(P_StatusN="INACTIVE"))&gt;0,1,0))</f>
        <v/>
      </c>
    </row>
    <row r="3413">
      <c r="A3413">
        <f>IF(INDEX(L_ID,ROW()-4)="","",IF(COUNTIF(P_ID,INDEX(L_ID,ROW()-4))&gt;0,1,0))</f>
        <v/>
      </c>
      <c r="B3413">
        <f>IF(INDEX(P_Type,ROW()-4)="","",TRIM(UPPER(INDEX(P_Type,ROW()-4))))</f>
        <v/>
      </c>
      <c r="D3413">
        <f>IF(INDEX(L_Type,ROW()-4)="","",TRIM(UPPER(INDEX(L_Type,ROW()-4))))</f>
        <v/>
      </c>
      <c r="E3413">
        <f>IF(INDEX(P_Status,ROW()-4)="","",TRIM(UPPER(INDEX(P_Status,ROW()-4))))</f>
        <v/>
      </c>
      <c r="G3413">
        <f>IF(INDEX(L_Status,ROW()-4)="","",TRIM(UPPER(INDEX(L_Status,ROW()-4))))</f>
        <v/>
      </c>
      <c r="J3413">
        <f>IF(INDEX(L_ID,ROW()-4)="","",IF(SUMPRODUCT((P_ID=INDEX(L_ID,ROW()-4))*(P_StatusN="INACTIVE"))&gt;0,1,0))</f>
        <v/>
      </c>
    </row>
    <row r="3414">
      <c r="A3414">
        <f>IF(INDEX(L_ID,ROW()-4)="","",IF(COUNTIF(P_ID,INDEX(L_ID,ROW()-4))&gt;0,1,0))</f>
        <v/>
      </c>
      <c r="B3414">
        <f>IF(INDEX(P_Type,ROW()-4)="","",TRIM(UPPER(INDEX(P_Type,ROW()-4))))</f>
        <v/>
      </c>
      <c r="D3414">
        <f>IF(INDEX(L_Type,ROW()-4)="","",TRIM(UPPER(INDEX(L_Type,ROW()-4))))</f>
        <v/>
      </c>
      <c r="E3414">
        <f>IF(INDEX(P_Status,ROW()-4)="","",TRIM(UPPER(INDEX(P_Status,ROW()-4))))</f>
        <v/>
      </c>
      <c r="G3414">
        <f>IF(INDEX(L_Status,ROW()-4)="","",TRIM(UPPER(INDEX(L_Status,ROW()-4))))</f>
        <v/>
      </c>
      <c r="J3414">
        <f>IF(INDEX(L_ID,ROW()-4)="","",IF(SUMPRODUCT((P_ID=INDEX(L_ID,ROW()-4))*(P_StatusN="INACTIVE"))&gt;0,1,0))</f>
        <v/>
      </c>
    </row>
    <row r="3415">
      <c r="A3415">
        <f>IF(INDEX(L_ID,ROW()-4)="","",IF(COUNTIF(P_ID,INDEX(L_ID,ROW()-4))&gt;0,1,0))</f>
        <v/>
      </c>
      <c r="B3415">
        <f>IF(INDEX(P_Type,ROW()-4)="","",TRIM(UPPER(INDEX(P_Type,ROW()-4))))</f>
        <v/>
      </c>
      <c r="D3415">
        <f>IF(INDEX(L_Type,ROW()-4)="","",TRIM(UPPER(INDEX(L_Type,ROW()-4))))</f>
        <v/>
      </c>
      <c r="E3415">
        <f>IF(INDEX(P_Status,ROW()-4)="","",TRIM(UPPER(INDEX(P_Status,ROW()-4))))</f>
        <v/>
      </c>
      <c r="G3415">
        <f>IF(INDEX(L_Status,ROW()-4)="","",TRIM(UPPER(INDEX(L_Status,ROW()-4))))</f>
        <v/>
      </c>
      <c r="J3415">
        <f>IF(INDEX(L_ID,ROW()-4)="","",IF(SUMPRODUCT((P_ID=INDEX(L_ID,ROW()-4))*(P_StatusN="INACTIVE"))&gt;0,1,0))</f>
        <v/>
      </c>
    </row>
    <row r="3416">
      <c r="A3416">
        <f>IF(INDEX(L_ID,ROW()-4)="","",IF(COUNTIF(P_ID,INDEX(L_ID,ROW()-4))&gt;0,1,0))</f>
        <v/>
      </c>
      <c r="B3416">
        <f>IF(INDEX(P_Type,ROW()-4)="","",TRIM(UPPER(INDEX(P_Type,ROW()-4))))</f>
        <v/>
      </c>
      <c r="D3416">
        <f>IF(INDEX(L_Type,ROW()-4)="","",TRIM(UPPER(INDEX(L_Type,ROW()-4))))</f>
        <v/>
      </c>
      <c r="E3416">
        <f>IF(INDEX(P_Status,ROW()-4)="","",TRIM(UPPER(INDEX(P_Status,ROW()-4))))</f>
        <v/>
      </c>
      <c r="G3416">
        <f>IF(INDEX(L_Status,ROW()-4)="","",TRIM(UPPER(INDEX(L_Status,ROW()-4))))</f>
        <v/>
      </c>
      <c r="J3416">
        <f>IF(INDEX(L_ID,ROW()-4)="","",IF(SUMPRODUCT((P_ID=INDEX(L_ID,ROW()-4))*(P_StatusN="INACTIVE"))&gt;0,1,0))</f>
        <v/>
      </c>
    </row>
    <row r="3417">
      <c r="A3417">
        <f>IF(INDEX(L_ID,ROW()-4)="","",IF(COUNTIF(P_ID,INDEX(L_ID,ROW()-4))&gt;0,1,0))</f>
        <v/>
      </c>
      <c r="B3417">
        <f>IF(INDEX(P_Type,ROW()-4)="","",TRIM(UPPER(INDEX(P_Type,ROW()-4))))</f>
        <v/>
      </c>
      <c r="D3417">
        <f>IF(INDEX(L_Type,ROW()-4)="","",TRIM(UPPER(INDEX(L_Type,ROW()-4))))</f>
        <v/>
      </c>
      <c r="E3417">
        <f>IF(INDEX(P_Status,ROW()-4)="","",TRIM(UPPER(INDEX(P_Status,ROW()-4))))</f>
        <v/>
      </c>
      <c r="G3417">
        <f>IF(INDEX(L_Status,ROW()-4)="","",TRIM(UPPER(INDEX(L_Status,ROW()-4))))</f>
        <v/>
      </c>
      <c r="J3417">
        <f>IF(INDEX(L_ID,ROW()-4)="","",IF(SUMPRODUCT((P_ID=INDEX(L_ID,ROW()-4))*(P_StatusN="INACTIVE"))&gt;0,1,0))</f>
        <v/>
      </c>
    </row>
    <row r="3418">
      <c r="A3418">
        <f>IF(INDEX(L_ID,ROW()-4)="","",IF(COUNTIF(P_ID,INDEX(L_ID,ROW()-4))&gt;0,1,0))</f>
        <v/>
      </c>
      <c r="B3418">
        <f>IF(INDEX(P_Type,ROW()-4)="","",TRIM(UPPER(INDEX(P_Type,ROW()-4))))</f>
        <v/>
      </c>
      <c r="D3418">
        <f>IF(INDEX(L_Type,ROW()-4)="","",TRIM(UPPER(INDEX(L_Type,ROW()-4))))</f>
        <v/>
      </c>
      <c r="E3418">
        <f>IF(INDEX(P_Status,ROW()-4)="","",TRIM(UPPER(INDEX(P_Status,ROW()-4))))</f>
        <v/>
      </c>
      <c r="G3418">
        <f>IF(INDEX(L_Status,ROW()-4)="","",TRIM(UPPER(INDEX(L_Status,ROW()-4))))</f>
        <v/>
      </c>
      <c r="J3418">
        <f>IF(INDEX(L_ID,ROW()-4)="","",IF(SUMPRODUCT((P_ID=INDEX(L_ID,ROW()-4))*(P_StatusN="INACTIVE"))&gt;0,1,0))</f>
        <v/>
      </c>
    </row>
    <row r="3419">
      <c r="A3419">
        <f>IF(INDEX(L_ID,ROW()-4)="","",IF(COUNTIF(P_ID,INDEX(L_ID,ROW()-4))&gt;0,1,0))</f>
        <v/>
      </c>
      <c r="B3419">
        <f>IF(INDEX(P_Type,ROW()-4)="","",TRIM(UPPER(INDEX(P_Type,ROW()-4))))</f>
        <v/>
      </c>
      <c r="D3419">
        <f>IF(INDEX(L_Type,ROW()-4)="","",TRIM(UPPER(INDEX(L_Type,ROW()-4))))</f>
        <v/>
      </c>
      <c r="E3419">
        <f>IF(INDEX(P_Status,ROW()-4)="","",TRIM(UPPER(INDEX(P_Status,ROW()-4))))</f>
        <v/>
      </c>
      <c r="G3419">
        <f>IF(INDEX(L_Status,ROW()-4)="","",TRIM(UPPER(INDEX(L_Status,ROW()-4))))</f>
        <v/>
      </c>
      <c r="J3419">
        <f>IF(INDEX(L_ID,ROW()-4)="","",IF(SUMPRODUCT((P_ID=INDEX(L_ID,ROW()-4))*(P_StatusN="INACTIVE"))&gt;0,1,0))</f>
        <v/>
      </c>
    </row>
    <row r="3420">
      <c r="A3420">
        <f>IF(INDEX(L_ID,ROW()-4)="","",IF(COUNTIF(P_ID,INDEX(L_ID,ROW()-4))&gt;0,1,0))</f>
        <v/>
      </c>
      <c r="B3420">
        <f>IF(INDEX(P_Type,ROW()-4)="","",TRIM(UPPER(INDEX(P_Type,ROW()-4))))</f>
        <v/>
      </c>
      <c r="D3420">
        <f>IF(INDEX(L_Type,ROW()-4)="","",TRIM(UPPER(INDEX(L_Type,ROW()-4))))</f>
        <v/>
      </c>
      <c r="E3420">
        <f>IF(INDEX(P_Status,ROW()-4)="","",TRIM(UPPER(INDEX(P_Status,ROW()-4))))</f>
        <v/>
      </c>
      <c r="G3420">
        <f>IF(INDEX(L_Status,ROW()-4)="","",TRIM(UPPER(INDEX(L_Status,ROW()-4))))</f>
        <v/>
      </c>
      <c r="J3420">
        <f>IF(INDEX(L_ID,ROW()-4)="","",IF(SUMPRODUCT((P_ID=INDEX(L_ID,ROW()-4))*(P_StatusN="INACTIVE"))&gt;0,1,0))</f>
        <v/>
      </c>
    </row>
    <row r="3421">
      <c r="A3421">
        <f>IF(INDEX(L_ID,ROW()-4)="","",IF(COUNTIF(P_ID,INDEX(L_ID,ROW()-4))&gt;0,1,0))</f>
        <v/>
      </c>
      <c r="B3421">
        <f>IF(INDEX(P_Type,ROW()-4)="","",TRIM(UPPER(INDEX(P_Type,ROW()-4))))</f>
        <v/>
      </c>
      <c r="D3421">
        <f>IF(INDEX(L_Type,ROW()-4)="","",TRIM(UPPER(INDEX(L_Type,ROW()-4))))</f>
        <v/>
      </c>
      <c r="E3421">
        <f>IF(INDEX(P_Status,ROW()-4)="","",TRIM(UPPER(INDEX(P_Status,ROW()-4))))</f>
        <v/>
      </c>
      <c r="G3421">
        <f>IF(INDEX(L_Status,ROW()-4)="","",TRIM(UPPER(INDEX(L_Status,ROW()-4))))</f>
        <v/>
      </c>
      <c r="J3421">
        <f>IF(INDEX(L_ID,ROW()-4)="","",IF(SUMPRODUCT((P_ID=INDEX(L_ID,ROW()-4))*(P_StatusN="INACTIVE"))&gt;0,1,0))</f>
        <v/>
      </c>
    </row>
    <row r="3422">
      <c r="A3422">
        <f>IF(INDEX(L_ID,ROW()-4)="","",IF(COUNTIF(P_ID,INDEX(L_ID,ROW()-4))&gt;0,1,0))</f>
        <v/>
      </c>
      <c r="B3422">
        <f>IF(INDEX(P_Type,ROW()-4)="","",TRIM(UPPER(INDEX(P_Type,ROW()-4))))</f>
        <v/>
      </c>
      <c r="D3422">
        <f>IF(INDEX(L_Type,ROW()-4)="","",TRIM(UPPER(INDEX(L_Type,ROW()-4))))</f>
        <v/>
      </c>
      <c r="E3422">
        <f>IF(INDEX(P_Status,ROW()-4)="","",TRIM(UPPER(INDEX(P_Status,ROW()-4))))</f>
        <v/>
      </c>
      <c r="G3422">
        <f>IF(INDEX(L_Status,ROW()-4)="","",TRIM(UPPER(INDEX(L_Status,ROW()-4))))</f>
        <v/>
      </c>
      <c r="J3422">
        <f>IF(INDEX(L_ID,ROW()-4)="","",IF(SUMPRODUCT((P_ID=INDEX(L_ID,ROW()-4))*(P_StatusN="INACTIVE"))&gt;0,1,0))</f>
        <v/>
      </c>
    </row>
    <row r="3423">
      <c r="A3423">
        <f>IF(INDEX(L_ID,ROW()-4)="","",IF(COUNTIF(P_ID,INDEX(L_ID,ROW()-4))&gt;0,1,0))</f>
        <v/>
      </c>
      <c r="B3423">
        <f>IF(INDEX(P_Type,ROW()-4)="","",TRIM(UPPER(INDEX(P_Type,ROW()-4))))</f>
        <v/>
      </c>
      <c r="D3423">
        <f>IF(INDEX(L_Type,ROW()-4)="","",TRIM(UPPER(INDEX(L_Type,ROW()-4))))</f>
        <v/>
      </c>
      <c r="E3423">
        <f>IF(INDEX(P_Status,ROW()-4)="","",TRIM(UPPER(INDEX(P_Status,ROW()-4))))</f>
        <v/>
      </c>
      <c r="G3423">
        <f>IF(INDEX(L_Status,ROW()-4)="","",TRIM(UPPER(INDEX(L_Status,ROW()-4))))</f>
        <v/>
      </c>
      <c r="J3423">
        <f>IF(INDEX(L_ID,ROW()-4)="","",IF(SUMPRODUCT((P_ID=INDEX(L_ID,ROW()-4))*(P_StatusN="INACTIVE"))&gt;0,1,0))</f>
        <v/>
      </c>
    </row>
    <row r="3424">
      <c r="A3424">
        <f>IF(INDEX(L_ID,ROW()-4)="","",IF(COUNTIF(P_ID,INDEX(L_ID,ROW()-4))&gt;0,1,0))</f>
        <v/>
      </c>
      <c r="B3424">
        <f>IF(INDEX(P_Type,ROW()-4)="","",TRIM(UPPER(INDEX(P_Type,ROW()-4))))</f>
        <v/>
      </c>
      <c r="D3424">
        <f>IF(INDEX(L_Type,ROW()-4)="","",TRIM(UPPER(INDEX(L_Type,ROW()-4))))</f>
        <v/>
      </c>
      <c r="E3424">
        <f>IF(INDEX(P_Status,ROW()-4)="","",TRIM(UPPER(INDEX(P_Status,ROW()-4))))</f>
        <v/>
      </c>
      <c r="G3424">
        <f>IF(INDEX(L_Status,ROW()-4)="","",TRIM(UPPER(INDEX(L_Status,ROW()-4))))</f>
        <v/>
      </c>
      <c r="J3424">
        <f>IF(INDEX(L_ID,ROW()-4)="","",IF(SUMPRODUCT((P_ID=INDEX(L_ID,ROW()-4))*(P_StatusN="INACTIVE"))&gt;0,1,0))</f>
        <v/>
      </c>
    </row>
    <row r="3425">
      <c r="A3425">
        <f>IF(INDEX(L_ID,ROW()-4)="","",IF(COUNTIF(P_ID,INDEX(L_ID,ROW()-4))&gt;0,1,0))</f>
        <v/>
      </c>
      <c r="B3425">
        <f>IF(INDEX(P_Type,ROW()-4)="","",TRIM(UPPER(INDEX(P_Type,ROW()-4))))</f>
        <v/>
      </c>
      <c r="D3425">
        <f>IF(INDEX(L_Type,ROW()-4)="","",TRIM(UPPER(INDEX(L_Type,ROW()-4))))</f>
        <v/>
      </c>
      <c r="E3425">
        <f>IF(INDEX(P_Status,ROW()-4)="","",TRIM(UPPER(INDEX(P_Status,ROW()-4))))</f>
        <v/>
      </c>
      <c r="G3425">
        <f>IF(INDEX(L_Status,ROW()-4)="","",TRIM(UPPER(INDEX(L_Status,ROW()-4))))</f>
        <v/>
      </c>
      <c r="J3425">
        <f>IF(INDEX(L_ID,ROW()-4)="","",IF(SUMPRODUCT((P_ID=INDEX(L_ID,ROW()-4))*(P_StatusN="INACTIVE"))&gt;0,1,0))</f>
        <v/>
      </c>
    </row>
    <row r="3426">
      <c r="A3426">
        <f>IF(INDEX(L_ID,ROW()-4)="","",IF(COUNTIF(P_ID,INDEX(L_ID,ROW()-4))&gt;0,1,0))</f>
        <v/>
      </c>
      <c r="B3426">
        <f>IF(INDEX(P_Type,ROW()-4)="","",TRIM(UPPER(INDEX(P_Type,ROW()-4))))</f>
        <v/>
      </c>
      <c r="D3426">
        <f>IF(INDEX(L_Type,ROW()-4)="","",TRIM(UPPER(INDEX(L_Type,ROW()-4))))</f>
        <v/>
      </c>
      <c r="E3426">
        <f>IF(INDEX(P_Status,ROW()-4)="","",TRIM(UPPER(INDEX(P_Status,ROW()-4))))</f>
        <v/>
      </c>
      <c r="G3426">
        <f>IF(INDEX(L_Status,ROW()-4)="","",TRIM(UPPER(INDEX(L_Status,ROW()-4))))</f>
        <v/>
      </c>
      <c r="J3426">
        <f>IF(INDEX(L_ID,ROW()-4)="","",IF(SUMPRODUCT((P_ID=INDEX(L_ID,ROW()-4))*(P_StatusN="INACTIVE"))&gt;0,1,0))</f>
        <v/>
      </c>
    </row>
    <row r="3427">
      <c r="A3427">
        <f>IF(INDEX(L_ID,ROW()-4)="","",IF(COUNTIF(P_ID,INDEX(L_ID,ROW()-4))&gt;0,1,0))</f>
        <v/>
      </c>
      <c r="B3427">
        <f>IF(INDEX(P_Type,ROW()-4)="","",TRIM(UPPER(INDEX(P_Type,ROW()-4))))</f>
        <v/>
      </c>
      <c r="D3427">
        <f>IF(INDEX(L_Type,ROW()-4)="","",TRIM(UPPER(INDEX(L_Type,ROW()-4))))</f>
        <v/>
      </c>
      <c r="E3427">
        <f>IF(INDEX(P_Status,ROW()-4)="","",TRIM(UPPER(INDEX(P_Status,ROW()-4))))</f>
        <v/>
      </c>
      <c r="G3427">
        <f>IF(INDEX(L_Status,ROW()-4)="","",TRIM(UPPER(INDEX(L_Status,ROW()-4))))</f>
        <v/>
      </c>
      <c r="J3427">
        <f>IF(INDEX(L_ID,ROW()-4)="","",IF(SUMPRODUCT((P_ID=INDEX(L_ID,ROW()-4))*(P_StatusN="INACTIVE"))&gt;0,1,0))</f>
        <v/>
      </c>
    </row>
    <row r="3428">
      <c r="A3428">
        <f>IF(INDEX(L_ID,ROW()-4)="","",IF(COUNTIF(P_ID,INDEX(L_ID,ROW()-4))&gt;0,1,0))</f>
        <v/>
      </c>
      <c r="B3428">
        <f>IF(INDEX(P_Type,ROW()-4)="","",TRIM(UPPER(INDEX(P_Type,ROW()-4))))</f>
        <v/>
      </c>
      <c r="D3428">
        <f>IF(INDEX(L_Type,ROW()-4)="","",TRIM(UPPER(INDEX(L_Type,ROW()-4))))</f>
        <v/>
      </c>
      <c r="E3428">
        <f>IF(INDEX(P_Status,ROW()-4)="","",TRIM(UPPER(INDEX(P_Status,ROW()-4))))</f>
        <v/>
      </c>
      <c r="G3428">
        <f>IF(INDEX(L_Status,ROW()-4)="","",TRIM(UPPER(INDEX(L_Status,ROW()-4))))</f>
        <v/>
      </c>
      <c r="J3428">
        <f>IF(INDEX(L_ID,ROW()-4)="","",IF(SUMPRODUCT((P_ID=INDEX(L_ID,ROW()-4))*(P_StatusN="INACTIVE"))&gt;0,1,0))</f>
        <v/>
      </c>
    </row>
    <row r="3429">
      <c r="A3429">
        <f>IF(INDEX(L_ID,ROW()-4)="","",IF(COUNTIF(P_ID,INDEX(L_ID,ROW()-4))&gt;0,1,0))</f>
        <v/>
      </c>
      <c r="B3429">
        <f>IF(INDEX(P_Type,ROW()-4)="","",TRIM(UPPER(INDEX(P_Type,ROW()-4))))</f>
        <v/>
      </c>
      <c r="D3429">
        <f>IF(INDEX(L_Type,ROW()-4)="","",TRIM(UPPER(INDEX(L_Type,ROW()-4))))</f>
        <v/>
      </c>
      <c r="E3429">
        <f>IF(INDEX(P_Status,ROW()-4)="","",TRIM(UPPER(INDEX(P_Status,ROW()-4))))</f>
        <v/>
      </c>
      <c r="G3429">
        <f>IF(INDEX(L_Status,ROW()-4)="","",TRIM(UPPER(INDEX(L_Status,ROW()-4))))</f>
        <v/>
      </c>
      <c r="J3429">
        <f>IF(INDEX(L_ID,ROW()-4)="","",IF(SUMPRODUCT((P_ID=INDEX(L_ID,ROW()-4))*(P_StatusN="INACTIVE"))&gt;0,1,0))</f>
        <v/>
      </c>
    </row>
    <row r="3430">
      <c r="A3430">
        <f>IF(INDEX(L_ID,ROW()-4)="","",IF(COUNTIF(P_ID,INDEX(L_ID,ROW()-4))&gt;0,1,0))</f>
        <v/>
      </c>
      <c r="B3430">
        <f>IF(INDEX(P_Type,ROW()-4)="","",TRIM(UPPER(INDEX(P_Type,ROW()-4))))</f>
        <v/>
      </c>
      <c r="D3430">
        <f>IF(INDEX(L_Type,ROW()-4)="","",TRIM(UPPER(INDEX(L_Type,ROW()-4))))</f>
        <v/>
      </c>
      <c r="E3430">
        <f>IF(INDEX(P_Status,ROW()-4)="","",TRIM(UPPER(INDEX(P_Status,ROW()-4))))</f>
        <v/>
      </c>
      <c r="G3430">
        <f>IF(INDEX(L_Status,ROW()-4)="","",TRIM(UPPER(INDEX(L_Status,ROW()-4))))</f>
        <v/>
      </c>
      <c r="J3430">
        <f>IF(INDEX(L_ID,ROW()-4)="","",IF(SUMPRODUCT((P_ID=INDEX(L_ID,ROW()-4))*(P_StatusN="INACTIVE"))&gt;0,1,0))</f>
        <v/>
      </c>
    </row>
    <row r="3431">
      <c r="A3431">
        <f>IF(INDEX(L_ID,ROW()-4)="","",IF(COUNTIF(P_ID,INDEX(L_ID,ROW()-4))&gt;0,1,0))</f>
        <v/>
      </c>
      <c r="B3431">
        <f>IF(INDEX(P_Type,ROW()-4)="","",TRIM(UPPER(INDEX(P_Type,ROW()-4))))</f>
        <v/>
      </c>
      <c r="D3431">
        <f>IF(INDEX(L_Type,ROW()-4)="","",TRIM(UPPER(INDEX(L_Type,ROW()-4))))</f>
        <v/>
      </c>
      <c r="E3431">
        <f>IF(INDEX(P_Status,ROW()-4)="","",TRIM(UPPER(INDEX(P_Status,ROW()-4))))</f>
        <v/>
      </c>
      <c r="G3431">
        <f>IF(INDEX(L_Status,ROW()-4)="","",TRIM(UPPER(INDEX(L_Status,ROW()-4))))</f>
        <v/>
      </c>
      <c r="J3431">
        <f>IF(INDEX(L_ID,ROW()-4)="","",IF(SUMPRODUCT((P_ID=INDEX(L_ID,ROW()-4))*(P_StatusN="INACTIVE"))&gt;0,1,0))</f>
        <v/>
      </c>
    </row>
    <row r="3432">
      <c r="A3432">
        <f>IF(INDEX(L_ID,ROW()-4)="","",IF(COUNTIF(P_ID,INDEX(L_ID,ROW()-4))&gt;0,1,0))</f>
        <v/>
      </c>
      <c r="B3432">
        <f>IF(INDEX(P_Type,ROW()-4)="","",TRIM(UPPER(INDEX(P_Type,ROW()-4))))</f>
        <v/>
      </c>
      <c r="D3432">
        <f>IF(INDEX(L_Type,ROW()-4)="","",TRIM(UPPER(INDEX(L_Type,ROW()-4))))</f>
        <v/>
      </c>
      <c r="E3432">
        <f>IF(INDEX(P_Status,ROW()-4)="","",TRIM(UPPER(INDEX(P_Status,ROW()-4))))</f>
        <v/>
      </c>
      <c r="G3432">
        <f>IF(INDEX(L_Status,ROW()-4)="","",TRIM(UPPER(INDEX(L_Status,ROW()-4))))</f>
        <v/>
      </c>
      <c r="J3432">
        <f>IF(INDEX(L_ID,ROW()-4)="","",IF(SUMPRODUCT((P_ID=INDEX(L_ID,ROW()-4))*(P_StatusN="INACTIVE"))&gt;0,1,0))</f>
        <v/>
      </c>
    </row>
    <row r="3433">
      <c r="A3433">
        <f>IF(INDEX(L_ID,ROW()-4)="","",IF(COUNTIF(P_ID,INDEX(L_ID,ROW()-4))&gt;0,1,0))</f>
        <v/>
      </c>
      <c r="B3433">
        <f>IF(INDEX(P_Type,ROW()-4)="","",TRIM(UPPER(INDEX(P_Type,ROW()-4))))</f>
        <v/>
      </c>
      <c r="D3433">
        <f>IF(INDEX(L_Type,ROW()-4)="","",TRIM(UPPER(INDEX(L_Type,ROW()-4))))</f>
        <v/>
      </c>
      <c r="E3433">
        <f>IF(INDEX(P_Status,ROW()-4)="","",TRIM(UPPER(INDEX(P_Status,ROW()-4))))</f>
        <v/>
      </c>
      <c r="G3433">
        <f>IF(INDEX(L_Status,ROW()-4)="","",TRIM(UPPER(INDEX(L_Status,ROW()-4))))</f>
        <v/>
      </c>
      <c r="J3433">
        <f>IF(INDEX(L_ID,ROW()-4)="","",IF(SUMPRODUCT((P_ID=INDEX(L_ID,ROW()-4))*(P_StatusN="INACTIVE"))&gt;0,1,0))</f>
        <v/>
      </c>
    </row>
    <row r="3434">
      <c r="A3434">
        <f>IF(INDEX(L_ID,ROW()-4)="","",IF(COUNTIF(P_ID,INDEX(L_ID,ROW()-4))&gt;0,1,0))</f>
        <v/>
      </c>
      <c r="B3434">
        <f>IF(INDEX(P_Type,ROW()-4)="","",TRIM(UPPER(INDEX(P_Type,ROW()-4))))</f>
        <v/>
      </c>
      <c r="D3434">
        <f>IF(INDEX(L_Type,ROW()-4)="","",TRIM(UPPER(INDEX(L_Type,ROW()-4))))</f>
        <v/>
      </c>
      <c r="E3434">
        <f>IF(INDEX(P_Status,ROW()-4)="","",TRIM(UPPER(INDEX(P_Status,ROW()-4))))</f>
        <v/>
      </c>
      <c r="G3434">
        <f>IF(INDEX(L_Status,ROW()-4)="","",TRIM(UPPER(INDEX(L_Status,ROW()-4))))</f>
        <v/>
      </c>
      <c r="J3434">
        <f>IF(INDEX(L_ID,ROW()-4)="","",IF(SUMPRODUCT((P_ID=INDEX(L_ID,ROW()-4))*(P_StatusN="INACTIVE"))&gt;0,1,0))</f>
        <v/>
      </c>
    </row>
    <row r="3435">
      <c r="A3435">
        <f>IF(INDEX(L_ID,ROW()-4)="","",IF(COUNTIF(P_ID,INDEX(L_ID,ROW()-4))&gt;0,1,0))</f>
        <v/>
      </c>
      <c r="B3435">
        <f>IF(INDEX(P_Type,ROW()-4)="","",TRIM(UPPER(INDEX(P_Type,ROW()-4))))</f>
        <v/>
      </c>
      <c r="D3435">
        <f>IF(INDEX(L_Type,ROW()-4)="","",TRIM(UPPER(INDEX(L_Type,ROW()-4))))</f>
        <v/>
      </c>
      <c r="E3435">
        <f>IF(INDEX(P_Status,ROW()-4)="","",TRIM(UPPER(INDEX(P_Status,ROW()-4))))</f>
        <v/>
      </c>
      <c r="G3435">
        <f>IF(INDEX(L_Status,ROW()-4)="","",TRIM(UPPER(INDEX(L_Status,ROW()-4))))</f>
        <v/>
      </c>
      <c r="J3435">
        <f>IF(INDEX(L_ID,ROW()-4)="","",IF(SUMPRODUCT((P_ID=INDEX(L_ID,ROW()-4))*(P_StatusN="INACTIVE"))&gt;0,1,0))</f>
        <v/>
      </c>
    </row>
    <row r="3436">
      <c r="A3436">
        <f>IF(INDEX(L_ID,ROW()-4)="","",IF(COUNTIF(P_ID,INDEX(L_ID,ROW()-4))&gt;0,1,0))</f>
        <v/>
      </c>
      <c r="B3436">
        <f>IF(INDEX(P_Type,ROW()-4)="","",TRIM(UPPER(INDEX(P_Type,ROW()-4))))</f>
        <v/>
      </c>
      <c r="D3436">
        <f>IF(INDEX(L_Type,ROW()-4)="","",TRIM(UPPER(INDEX(L_Type,ROW()-4))))</f>
        <v/>
      </c>
      <c r="E3436">
        <f>IF(INDEX(P_Status,ROW()-4)="","",TRIM(UPPER(INDEX(P_Status,ROW()-4))))</f>
        <v/>
      </c>
      <c r="G3436">
        <f>IF(INDEX(L_Status,ROW()-4)="","",TRIM(UPPER(INDEX(L_Status,ROW()-4))))</f>
        <v/>
      </c>
      <c r="J3436">
        <f>IF(INDEX(L_ID,ROW()-4)="","",IF(SUMPRODUCT((P_ID=INDEX(L_ID,ROW()-4))*(P_StatusN="INACTIVE"))&gt;0,1,0))</f>
        <v/>
      </c>
    </row>
    <row r="3437">
      <c r="A3437">
        <f>IF(INDEX(L_ID,ROW()-4)="","",IF(COUNTIF(P_ID,INDEX(L_ID,ROW()-4))&gt;0,1,0))</f>
        <v/>
      </c>
      <c r="B3437">
        <f>IF(INDEX(P_Type,ROW()-4)="","",TRIM(UPPER(INDEX(P_Type,ROW()-4))))</f>
        <v/>
      </c>
      <c r="D3437">
        <f>IF(INDEX(L_Type,ROW()-4)="","",TRIM(UPPER(INDEX(L_Type,ROW()-4))))</f>
        <v/>
      </c>
      <c r="E3437">
        <f>IF(INDEX(P_Status,ROW()-4)="","",TRIM(UPPER(INDEX(P_Status,ROW()-4))))</f>
        <v/>
      </c>
      <c r="G3437">
        <f>IF(INDEX(L_Status,ROW()-4)="","",TRIM(UPPER(INDEX(L_Status,ROW()-4))))</f>
        <v/>
      </c>
      <c r="J3437">
        <f>IF(INDEX(L_ID,ROW()-4)="","",IF(SUMPRODUCT((P_ID=INDEX(L_ID,ROW()-4))*(P_StatusN="INACTIVE"))&gt;0,1,0))</f>
        <v/>
      </c>
    </row>
    <row r="3438">
      <c r="A3438">
        <f>IF(INDEX(L_ID,ROW()-4)="","",IF(COUNTIF(P_ID,INDEX(L_ID,ROW()-4))&gt;0,1,0))</f>
        <v/>
      </c>
      <c r="B3438">
        <f>IF(INDEX(P_Type,ROW()-4)="","",TRIM(UPPER(INDEX(P_Type,ROW()-4))))</f>
        <v/>
      </c>
      <c r="D3438">
        <f>IF(INDEX(L_Type,ROW()-4)="","",TRIM(UPPER(INDEX(L_Type,ROW()-4))))</f>
        <v/>
      </c>
      <c r="E3438">
        <f>IF(INDEX(P_Status,ROW()-4)="","",TRIM(UPPER(INDEX(P_Status,ROW()-4))))</f>
        <v/>
      </c>
      <c r="G3438">
        <f>IF(INDEX(L_Status,ROW()-4)="","",TRIM(UPPER(INDEX(L_Status,ROW()-4))))</f>
        <v/>
      </c>
      <c r="J3438">
        <f>IF(INDEX(L_ID,ROW()-4)="","",IF(SUMPRODUCT((P_ID=INDEX(L_ID,ROW()-4))*(P_StatusN="INACTIVE"))&gt;0,1,0))</f>
        <v/>
      </c>
    </row>
    <row r="3439">
      <c r="A3439">
        <f>IF(INDEX(L_ID,ROW()-4)="","",IF(COUNTIF(P_ID,INDEX(L_ID,ROW()-4))&gt;0,1,0))</f>
        <v/>
      </c>
      <c r="B3439">
        <f>IF(INDEX(P_Type,ROW()-4)="","",TRIM(UPPER(INDEX(P_Type,ROW()-4))))</f>
        <v/>
      </c>
      <c r="D3439">
        <f>IF(INDEX(L_Type,ROW()-4)="","",TRIM(UPPER(INDEX(L_Type,ROW()-4))))</f>
        <v/>
      </c>
      <c r="E3439">
        <f>IF(INDEX(P_Status,ROW()-4)="","",TRIM(UPPER(INDEX(P_Status,ROW()-4))))</f>
        <v/>
      </c>
      <c r="G3439">
        <f>IF(INDEX(L_Status,ROW()-4)="","",TRIM(UPPER(INDEX(L_Status,ROW()-4))))</f>
        <v/>
      </c>
      <c r="J3439">
        <f>IF(INDEX(L_ID,ROW()-4)="","",IF(SUMPRODUCT((P_ID=INDEX(L_ID,ROW()-4))*(P_StatusN="INACTIVE"))&gt;0,1,0))</f>
        <v/>
      </c>
    </row>
    <row r="3440">
      <c r="A3440">
        <f>IF(INDEX(L_ID,ROW()-4)="","",IF(COUNTIF(P_ID,INDEX(L_ID,ROW()-4))&gt;0,1,0))</f>
        <v/>
      </c>
      <c r="B3440">
        <f>IF(INDEX(P_Type,ROW()-4)="","",TRIM(UPPER(INDEX(P_Type,ROW()-4))))</f>
        <v/>
      </c>
      <c r="D3440">
        <f>IF(INDEX(L_Type,ROW()-4)="","",TRIM(UPPER(INDEX(L_Type,ROW()-4))))</f>
        <v/>
      </c>
      <c r="E3440">
        <f>IF(INDEX(P_Status,ROW()-4)="","",TRIM(UPPER(INDEX(P_Status,ROW()-4))))</f>
        <v/>
      </c>
      <c r="G3440">
        <f>IF(INDEX(L_Status,ROW()-4)="","",TRIM(UPPER(INDEX(L_Status,ROW()-4))))</f>
        <v/>
      </c>
      <c r="J3440">
        <f>IF(INDEX(L_ID,ROW()-4)="","",IF(SUMPRODUCT((P_ID=INDEX(L_ID,ROW()-4))*(P_StatusN="INACTIVE"))&gt;0,1,0))</f>
        <v/>
      </c>
    </row>
    <row r="3441">
      <c r="A3441">
        <f>IF(INDEX(L_ID,ROW()-4)="","",IF(COUNTIF(P_ID,INDEX(L_ID,ROW()-4))&gt;0,1,0))</f>
        <v/>
      </c>
      <c r="B3441">
        <f>IF(INDEX(P_Type,ROW()-4)="","",TRIM(UPPER(INDEX(P_Type,ROW()-4))))</f>
        <v/>
      </c>
      <c r="D3441">
        <f>IF(INDEX(L_Type,ROW()-4)="","",TRIM(UPPER(INDEX(L_Type,ROW()-4))))</f>
        <v/>
      </c>
      <c r="E3441">
        <f>IF(INDEX(P_Status,ROW()-4)="","",TRIM(UPPER(INDEX(P_Status,ROW()-4))))</f>
        <v/>
      </c>
      <c r="G3441">
        <f>IF(INDEX(L_Status,ROW()-4)="","",TRIM(UPPER(INDEX(L_Status,ROW()-4))))</f>
        <v/>
      </c>
      <c r="J3441">
        <f>IF(INDEX(L_ID,ROW()-4)="","",IF(SUMPRODUCT((P_ID=INDEX(L_ID,ROW()-4))*(P_StatusN="INACTIVE"))&gt;0,1,0))</f>
        <v/>
      </c>
    </row>
    <row r="3442">
      <c r="A3442">
        <f>IF(INDEX(L_ID,ROW()-4)="","",IF(COUNTIF(P_ID,INDEX(L_ID,ROW()-4))&gt;0,1,0))</f>
        <v/>
      </c>
      <c r="B3442">
        <f>IF(INDEX(P_Type,ROW()-4)="","",TRIM(UPPER(INDEX(P_Type,ROW()-4))))</f>
        <v/>
      </c>
      <c r="D3442">
        <f>IF(INDEX(L_Type,ROW()-4)="","",TRIM(UPPER(INDEX(L_Type,ROW()-4))))</f>
        <v/>
      </c>
      <c r="E3442">
        <f>IF(INDEX(P_Status,ROW()-4)="","",TRIM(UPPER(INDEX(P_Status,ROW()-4))))</f>
        <v/>
      </c>
      <c r="G3442">
        <f>IF(INDEX(L_Status,ROW()-4)="","",TRIM(UPPER(INDEX(L_Status,ROW()-4))))</f>
        <v/>
      </c>
      <c r="J3442">
        <f>IF(INDEX(L_ID,ROW()-4)="","",IF(SUMPRODUCT((P_ID=INDEX(L_ID,ROW()-4))*(P_StatusN="INACTIVE"))&gt;0,1,0))</f>
        <v/>
      </c>
    </row>
    <row r="3443">
      <c r="A3443">
        <f>IF(INDEX(L_ID,ROW()-4)="","",IF(COUNTIF(P_ID,INDEX(L_ID,ROW()-4))&gt;0,1,0))</f>
        <v/>
      </c>
      <c r="B3443">
        <f>IF(INDEX(P_Type,ROW()-4)="","",TRIM(UPPER(INDEX(P_Type,ROW()-4))))</f>
        <v/>
      </c>
      <c r="D3443">
        <f>IF(INDEX(L_Type,ROW()-4)="","",TRIM(UPPER(INDEX(L_Type,ROW()-4))))</f>
        <v/>
      </c>
      <c r="E3443">
        <f>IF(INDEX(P_Status,ROW()-4)="","",TRIM(UPPER(INDEX(P_Status,ROW()-4))))</f>
        <v/>
      </c>
      <c r="G3443">
        <f>IF(INDEX(L_Status,ROW()-4)="","",TRIM(UPPER(INDEX(L_Status,ROW()-4))))</f>
        <v/>
      </c>
      <c r="J3443">
        <f>IF(INDEX(L_ID,ROW()-4)="","",IF(SUMPRODUCT((P_ID=INDEX(L_ID,ROW()-4))*(P_StatusN="INACTIVE"))&gt;0,1,0))</f>
        <v/>
      </c>
    </row>
    <row r="3444">
      <c r="A3444">
        <f>IF(INDEX(L_ID,ROW()-4)="","",IF(COUNTIF(P_ID,INDEX(L_ID,ROW()-4))&gt;0,1,0))</f>
        <v/>
      </c>
      <c r="B3444">
        <f>IF(INDEX(P_Type,ROW()-4)="","",TRIM(UPPER(INDEX(P_Type,ROW()-4))))</f>
        <v/>
      </c>
      <c r="D3444">
        <f>IF(INDEX(L_Type,ROW()-4)="","",TRIM(UPPER(INDEX(L_Type,ROW()-4))))</f>
        <v/>
      </c>
      <c r="E3444">
        <f>IF(INDEX(P_Status,ROW()-4)="","",TRIM(UPPER(INDEX(P_Status,ROW()-4))))</f>
        <v/>
      </c>
      <c r="G3444">
        <f>IF(INDEX(L_Status,ROW()-4)="","",TRIM(UPPER(INDEX(L_Status,ROW()-4))))</f>
        <v/>
      </c>
      <c r="J3444">
        <f>IF(INDEX(L_ID,ROW()-4)="","",IF(SUMPRODUCT((P_ID=INDEX(L_ID,ROW()-4))*(P_StatusN="INACTIVE"))&gt;0,1,0))</f>
        <v/>
      </c>
    </row>
    <row r="3445">
      <c r="A3445">
        <f>IF(INDEX(L_ID,ROW()-4)="","",IF(COUNTIF(P_ID,INDEX(L_ID,ROW()-4))&gt;0,1,0))</f>
        <v/>
      </c>
      <c r="B3445">
        <f>IF(INDEX(P_Type,ROW()-4)="","",TRIM(UPPER(INDEX(P_Type,ROW()-4))))</f>
        <v/>
      </c>
      <c r="D3445">
        <f>IF(INDEX(L_Type,ROW()-4)="","",TRIM(UPPER(INDEX(L_Type,ROW()-4))))</f>
        <v/>
      </c>
      <c r="E3445">
        <f>IF(INDEX(P_Status,ROW()-4)="","",TRIM(UPPER(INDEX(P_Status,ROW()-4))))</f>
        <v/>
      </c>
      <c r="G3445">
        <f>IF(INDEX(L_Status,ROW()-4)="","",TRIM(UPPER(INDEX(L_Status,ROW()-4))))</f>
        <v/>
      </c>
      <c r="J3445">
        <f>IF(INDEX(L_ID,ROW()-4)="","",IF(SUMPRODUCT((P_ID=INDEX(L_ID,ROW()-4))*(P_StatusN="INACTIVE"))&gt;0,1,0))</f>
        <v/>
      </c>
    </row>
    <row r="3446">
      <c r="A3446">
        <f>IF(INDEX(L_ID,ROW()-4)="","",IF(COUNTIF(P_ID,INDEX(L_ID,ROW()-4))&gt;0,1,0))</f>
        <v/>
      </c>
      <c r="B3446">
        <f>IF(INDEX(P_Type,ROW()-4)="","",TRIM(UPPER(INDEX(P_Type,ROW()-4))))</f>
        <v/>
      </c>
      <c r="D3446">
        <f>IF(INDEX(L_Type,ROW()-4)="","",TRIM(UPPER(INDEX(L_Type,ROW()-4))))</f>
        <v/>
      </c>
      <c r="E3446">
        <f>IF(INDEX(P_Status,ROW()-4)="","",TRIM(UPPER(INDEX(P_Status,ROW()-4))))</f>
        <v/>
      </c>
      <c r="G3446">
        <f>IF(INDEX(L_Status,ROW()-4)="","",TRIM(UPPER(INDEX(L_Status,ROW()-4))))</f>
        <v/>
      </c>
      <c r="J3446">
        <f>IF(INDEX(L_ID,ROW()-4)="","",IF(SUMPRODUCT((P_ID=INDEX(L_ID,ROW()-4))*(P_StatusN="INACTIVE"))&gt;0,1,0))</f>
        <v/>
      </c>
    </row>
    <row r="3447">
      <c r="A3447">
        <f>IF(INDEX(L_ID,ROW()-4)="","",IF(COUNTIF(P_ID,INDEX(L_ID,ROW()-4))&gt;0,1,0))</f>
        <v/>
      </c>
      <c r="B3447">
        <f>IF(INDEX(P_Type,ROW()-4)="","",TRIM(UPPER(INDEX(P_Type,ROW()-4))))</f>
        <v/>
      </c>
      <c r="D3447">
        <f>IF(INDEX(L_Type,ROW()-4)="","",TRIM(UPPER(INDEX(L_Type,ROW()-4))))</f>
        <v/>
      </c>
      <c r="E3447">
        <f>IF(INDEX(P_Status,ROW()-4)="","",TRIM(UPPER(INDEX(P_Status,ROW()-4))))</f>
        <v/>
      </c>
      <c r="G3447">
        <f>IF(INDEX(L_Status,ROW()-4)="","",TRIM(UPPER(INDEX(L_Status,ROW()-4))))</f>
        <v/>
      </c>
      <c r="J3447">
        <f>IF(INDEX(L_ID,ROW()-4)="","",IF(SUMPRODUCT((P_ID=INDEX(L_ID,ROW()-4))*(P_StatusN="INACTIVE"))&gt;0,1,0))</f>
        <v/>
      </c>
    </row>
    <row r="3448">
      <c r="A3448">
        <f>IF(INDEX(L_ID,ROW()-4)="","",IF(COUNTIF(P_ID,INDEX(L_ID,ROW()-4))&gt;0,1,0))</f>
        <v/>
      </c>
      <c r="B3448">
        <f>IF(INDEX(P_Type,ROW()-4)="","",TRIM(UPPER(INDEX(P_Type,ROW()-4))))</f>
        <v/>
      </c>
      <c r="D3448">
        <f>IF(INDEX(L_Type,ROW()-4)="","",TRIM(UPPER(INDEX(L_Type,ROW()-4))))</f>
        <v/>
      </c>
      <c r="E3448">
        <f>IF(INDEX(P_Status,ROW()-4)="","",TRIM(UPPER(INDEX(P_Status,ROW()-4))))</f>
        <v/>
      </c>
      <c r="G3448">
        <f>IF(INDEX(L_Status,ROW()-4)="","",TRIM(UPPER(INDEX(L_Status,ROW()-4))))</f>
        <v/>
      </c>
      <c r="J3448">
        <f>IF(INDEX(L_ID,ROW()-4)="","",IF(SUMPRODUCT((P_ID=INDEX(L_ID,ROW()-4))*(P_StatusN="INACTIVE"))&gt;0,1,0))</f>
        <v/>
      </c>
    </row>
    <row r="3449">
      <c r="A3449">
        <f>IF(INDEX(L_ID,ROW()-4)="","",IF(COUNTIF(P_ID,INDEX(L_ID,ROW()-4))&gt;0,1,0))</f>
        <v/>
      </c>
      <c r="B3449">
        <f>IF(INDEX(P_Type,ROW()-4)="","",TRIM(UPPER(INDEX(P_Type,ROW()-4))))</f>
        <v/>
      </c>
      <c r="D3449">
        <f>IF(INDEX(L_Type,ROW()-4)="","",TRIM(UPPER(INDEX(L_Type,ROW()-4))))</f>
        <v/>
      </c>
      <c r="E3449">
        <f>IF(INDEX(P_Status,ROW()-4)="","",TRIM(UPPER(INDEX(P_Status,ROW()-4))))</f>
        <v/>
      </c>
      <c r="G3449">
        <f>IF(INDEX(L_Status,ROW()-4)="","",TRIM(UPPER(INDEX(L_Status,ROW()-4))))</f>
        <v/>
      </c>
      <c r="J3449">
        <f>IF(INDEX(L_ID,ROW()-4)="","",IF(SUMPRODUCT((P_ID=INDEX(L_ID,ROW()-4))*(P_StatusN="INACTIVE"))&gt;0,1,0))</f>
        <v/>
      </c>
    </row>
    <row r="3450">
      <c r="A3450">
        <f>IF(INDEX(L_ID,ROW()-4)="","",IF(COUNTIF(P_ID,INDEX(L_ID,ROW()-4))&gt;0,1,0))</f>
        <v/>
      </c>
      <c r="B3450">
        <f>IF(INDEX(P_Type,ROW()-4)="","",TRIM(UPPER(INDEX(P_Type,ROW()-4))))</f>
        <v/>
      </c>
      <c r="D3450">
        <f>IF(INDEX(L_Type,ROW()-4)="","",TRIM(UPPER(INDEX(L_Type,ROW()-4))))</f>
        <v/>
      </c>
      <c r="E3450">
        <f>IF(INDEX(P_Status,ROW()-4)="","",TRIM(UPPER(INDEX(P_Status,ROW()-4))))</f>
        <v/>
      </c>
      <c r="G3450">
        <f>IF(INDEX(L_Status,ROW()-4)="","",TRIM(UPPER(INDEX(L_Status,ROW()-4))))</f>
        <v/>
      </c>
      <c r="J3450">
        <f>IF(INDEX(L_ID,ROW()-4)="","",IF(SUMPRODUCT((P_ID=INDEX(L_ID,ROW()-4))*(P_StatusN="INACTIVE"))&gt;0,1,0))</f>
        <v/>
      </c>
    </row>
    <row r="3451">
      <c r="A3451">
        <f>IF(INDEX(L_ID,ROW()-4)="","",IF(COUNTIF(P_ID,INDEX(L_ID,ROW()-4))&gt;0,1,0))</f>
        <v/>
      </c>
      <c r="B3451">
        <f>IF(INDEX(P_Type,ROW()-4)="","",TRIM(UPPER(INDEX(P_Type,ROW()-4))))</f>
        <v/>
      </c>
      <c r="D3451">
        <f>IF(INDEX(L_Type,ROW()-4)="","",TRIM(UPPER(INDEX(L_Type,ROW()-4))))</f>
        <v/>
      </c>
      <c r="E3451">
        <f>IF(INDEX(P_Status,ROW()-4)="","",TRIM(UPPER(INDEX(P_Status,ROW()-4))))</f>
        <v/>
      </c>
      <c r="G3451">
        <f>IF(INDEX(L_Status,ROW()-4)="","",TRIM(UPPER(INDEX(L_Status,ROW()-4))))</f>
        <v/>
      </c>
      <c r="J3451">
        <f>IF(INDEX(L_ID,ROW()-4)="","",IF(SUMPRODUCT((P_ID=INDEX(L_ID,ROW()-4))*(P_StatusN="INACTIVE"))&gt;0,1,0))</f>
        <v/>
      </c>
    </row>
    <row r="3452">
      <c r="A3452">
        <f>IF(INDEX(L_ID,ROW()-4)="","",IF(COUNTIF(P_ID,INDEX(L_ID,ROW()-4))&gt;0,1,0))</f>
        <v/>
      </c>
      <c r="B3452">
        <f>IF(INDEX(P_Type,ROW()-4)="","",TRIM(UPPER(INDEX(P_Type,ROW()-4))))</f>
        <v/>
      </c>
      <c r="D3452">
        <f>IF(INDEX(L_Type,ROW()-4)="","",TRIM(UPPER(INDEX(L_Type,ROW()-4))))</f>
        <v/>
      </c>
      <c r="E3452">
        <f>IF(INDEX(P_Status,ROW()-4)="","",TRIM(UPPER(INDEX(P_Status,ROW()-4))))</f>
        <v/>
      </c>
      <c r="G3452">
        <f>IF(INDEX(L_Status,ROW()-4)="","",TRIM(UPPER(INDEX(L_Status,ROW()-4))))</f>
        <v/>
      </c>
      <c r="J3452">
        <f>IF(INDEX(L_ID,ROW()-4)="","",IF(SUMPRODUCT((P_ID=INDEX(L_ID,ROW()-4))*(P_StatusN="INACTIVE"))&gt;0,1,0))</f>
        <v/>
      </c>
    </row>
    <row r="3453">
      <c r="A3453">
        <f>IF(INDEX(L_ID,ROW()-4)="","",IF(COUNTIF(P_ID,INDEX(L_ID,ROW()-4))&gt;0,1,0))</f>
        <v/>
      </c>
      <c r="B3453">
        <f>IF(INDEX(P_Type,ROW()-4)="","",TRIM(UPPER(INDEX(P_Type,ROW()-4))))</f>
        <v/>
      </c>
      <c r="D3453">
        <f>IF(INDEX(L_Type,ROW()-4)="","",TRIM(UPPER(INDEX(L_Type,ROW()-4))))</f>
        <v/>
      </c>
      <c r="E3453">
        <f>IF(INDEX(P_Status,ROW()-4)="","",TRIM(UPPER(INDEX(P_Status,ROW()-4))))</f>
        <v/>
      </c>
      <c r="G3453">
        <f>IF(INDEX(L_Status,ROW()-4)="","",TRIM(UPPER(INDEX(L_Status,ROW()-4))))</f>
        <v/>
      </c>
      <c r="J3453">
        <f>IF(INDEX(L_ID,ROW()-4)="","",IF(SUMPRODUCT((P_ID=INDEX(L_ID,ROW()-4))*(P_StatusN="INACTIVE"))&gt;0,1,0))</f>
        <v/>
      </c>
    </row>
    <row r="3454">
      <c r="A3454">
        <f>IF(INDEX(L_ID,ROW()-4)="","",IF(COUNTIF(P_ID,INDEX(L_ID,ROW()-4))&gt;0,1,0))</f>
        <v/>
      </c>
      <c r="B3454">
        <f>IF(INDEX(P_Type,ROW()-4)="","",TRIM(UPPER(INDEX(P_Type,ROW()-4))))</f>
        <v/>
      </c>
      <c r="D3454">
        <f>IF(INDEX(L_Type,ROW()-4)="","",TRIM(UPPER(INDEX(L_Type,ROW()-4))))</f>
        <v/>
      </c>
      <c r="E3454">
        <f>IF(INDEX(P_Status,ROW()-4)="","",TRIM(UPPER(INDEX(P_Status,ROW()-4))))</f>
        <v/>
      </c>
      <c r="G3454">
        <f>IF(INDEX(L_Status,ROW()-4)="","",TRIM(UPPER(INDEX(L_Status,ROW()-4))))</f>
        <v/>
      </c>
      <c r="J3454">
        <f>IF(INDEX(L_ID,ROW()-4)="","",IF(SUMPRODUCT((P_ID=INDEX(L_ID,ROW()-4))*(P_StatusN="INACTIVE"))&gt;0,1,0))</f>
        <v/>
      </c>
    </row>
    <row r="3455">
      <c r="A3455">
        <f>IF(INDEX(L_ID,ROW()-4)="","",IF(COUNTIF(P_ID,INDEX(L_ID,ROW()-4))&gt;0,1,0))</f>
        <v/>
      </c>
      <c r="B3455">
        <f>IF(INDEX(P_Type,ROW()-4)="","",TRIM(UPPER(INDEX(P_Type,ROW()-4))))</f>
        <v/>
      </c>
      <c r="D3455">
        <f>IF(INDEX(L_Type,ROW()-4)="","",TRIM(UPPER(INDEX(L_Type,ROW()-4))))</f>
        <v/>
      </c>
      <c r="E3455">
        <f>IF(INDEX(P_Status,ROW()-4)="","",TRIM(UPPER(INDEX(P_Status,ROW()-4))))</f>
        <v/>
      </c>
      <c r="G3455">
        <f>IF(INDEX(L_Status,ROW()-4)="","",TRIM(UPPER(INDEX(L_Status,ROW()-4))))</f>
        <v/>
      </c>
      <c r="J3455">
        <f>IF(INDEX(L_ID,ROW()-4)="","",IF(SUMPRODUCT((P_ID=INDEX(L_ID,ROW()-4))*(P_StatusN="INACTIVE"))&gt;0,1,0))</f>
        <v/>
      </c>
    </row>
    <row r="3456">
      <c r="A3456">
        <f>IF(INDEX(L_ID,ROW()-4)="","",IF(COUNTIF(P_ID,INDEX(L_ID,ROW()-4))&gt;0,1,0))</f>
        <v/>
      </c>
      <c r="B3456">
        <f>IF(INDEX(P_Type,ROW()-4)="","",TRIM(UPPER(INDEX(P_Type,ROW()-4))))</f>
        <v/>
      </c>
      <c r="D3456">
        <f>IF(INDEX(L_Type,ROW()-4)="","",TRIM(UPPER(INDEX(L_Type,ROW()-4))))</f>
        <v/>
      </c>
      <c r="E3456">
        <f>IF(INDEX(P_Status,ROW()-4)="","",TRIM(UPPER(INDEX(P_Status,ROW()-4))))</f>
        <v/>
      </c>
      <c r="G3456">
        <f>IF(INDEX(L_Status,ROW()-4)="","",TRIM(UPPER(INDEX(L_Status,ROW()-4))))</f>
        <v/>
      </c>
      <c r="J3456">
        <f>IF(INDEX(L_ID,ROW()-4)="","",IF(SUMPRODUCT((P_ID=INDEX(L_ID,ROW()-4))*(P_StatusN="INACTIVE"))&gt;0,1,0))</f>
        <v/>
      </c>
    </row>
    <row r="3457">
      <c r="A3457">
        <f>IF(INDEX(L_ID,ROW()-4)="","",IF(COUNTIF(P_ID,INDEX(L_ID,ROW()-4))&gt;0,1,0))</f>
        <v/>
      </c>
      <c r="B3457">
        <f>IF(INDEX(P_Type,ROW()-4)="","",TRIM(UPPER(INDEX(P_Type,ROW()-4))))</f>
        <v/>
      </c>
      <c r="D3457">
        <f>IF(INDEX(L_Type,ROW()-4)="","",TRIM(UPPER(INDEX(L_Type,ROW()-4))))</f>
        <v/>
      </c>
      <c r="E3457">
        <f>IF(INDEX(P_Status,ROW()-4)="","",TRIM(UPPER(INDEX(P_Status,ROW()-4))))</f>
        <v/>
      </c>
      <c r="G3457">
        <f>IF(INDEX(L_Status,ROW()-4)="","",TRIM(UPPER(INDEX(L_Status,ROW()-4))))</f>
        <v/>
      </c>
      <c r="J3457">
        <f>IF(INDEX(L_ID,ROW()-4)="","",IF(SUMPRODUCT((P_ID=INDEX(L_ID,ROW()-4))*(P_StatusN="INACTIVE"))&gt;0,1,0))</f>
        <v/>
      </c>
    </row>
    <row r="3458">
      <c r="A3458">
        <f>IF(INDEX(L_ID,ROW()-4)="","",IF(COUNTIF(P_ID,INDEX(L_ID,ROW()-4))&gt;0,1,0))</f>
        <v/>
      </c>
      <c r="B3458">
        <f>IF(INDEX(P_Type,ROW()-4)="","",TRIM(UPPER(INDEX(P_Type,ROW()-4))))</f>
        <v/>
      </c>
      <c r="D3458">
        <f>IF(INDEX(L_Type,ROW()-4)="","",TRIM(UPPER(INDEX(L_Type,ROW()-4))))</f>
        <v/>
      </c>
      <c r="E3458">
        <f>IF(INDEX(P_Status,ROW()-4)="","",TRIM(UPPER(INDEX(P_Status,ROW()-4))))</f>
        <v/>
      </c>
      <c r="G3458">
        <f>IF(INDEX(L_Status,ROW()-4)="","",TRIM(UPPER(INDEX(L_Status,ROW()-4))))</f>
        <v/>
      </c>
      <c r="J3458">
        <f>IF(INDEX(L_ID,ROW()-4)="","",IF(SUMPRODUCT((P_ID=INDEX(L_ID,ROW()-4))*(P_StatusN="INACTIVE"))&gt;0,1,0))</f>
        <v/>
      </c>
    </row>
    <row r="3459">
      <c r="A3459">
        <f>IF(INDEX(L_ID,ROW()-4)="","",IF(COUNTIF(P_ID,INDEX(L_ID,ROW()-4))&gt;0,1,0))</f>
        <v/>
      </c>
      <c r="B3459">
        <f>IF(INDEX(P_Type,ROW()-4)="","",TRIM(UPPER(INDEX(P_Type,ROW()-4))))</f>
        <v/>
      </c>
      <c r="D3459">
        <f>IF(INDEX(L_Type,ROW()-4)="","",TRIM(UPPER(INDEX(L_Type,ROW()-4))))</f>
        <v/>
      </c>
      <c r="E3459">
        <f>IF(INDEX(P_Status,ROW()-4)="","",TRIM(UPPER(INDEX(P_Status,ROW()-4))))</f>
        <v/>
      </c>
      <c r="G3459">
        <f>IF(INDEX(L_Status,ROW()-4)="","",TRIM(UPPER(INDEX(L_Status,ROW()-4))))</f>
        <v/>
      </c>
      <c r="J3459">
        <f>IF(INDEX(L_ID,ROW()-4)="","",IF(SUMPRODUCT((P_ID=INDEX(L_ID,ROW()-4))*(P_StatusN="INACTIVE"))&gt;0,1,0))</f>
        <v/>
      </c>
    </row>
    <row r="3460">
      <c r="A3460">
        <f>IF(INDEX(L_ID,ROW()-4)="","",IF(COUNTIF(P_ID,INDEX(L_ID,ROW()-4))&gt;0,1,0))</f>
        <v/>
      </c>
      <c r="B3460">
        <f>IF(INDEX(P_Type,ROW()-4)="","",TRIM(UPPER(INDEX(P_Type,ROW()-4))))</f>
        <v/>
      </c>
      <c r="D3460">
        <f>IF(INDEX(L_Type,ROW()-4)="","",TRIM(UPPER(INDEX(L_Type,ROW()-4))))</f>
        <v/>
      </c>
      <c r="E3460">
        <f>IF(INDEX(P_Status,ROW()-4)="","",TRIM(UPPER(INDEX(P_Status,ROW()-4))))</f>
        <v/>
      </c>
      <c r="G3460">
        <f>IF(INDEX(L_Status,ROW()-4)="","",TRIM(UPPER(INDEX(L_Status,ROW()-4))))</f>
        <v/>
      </c>
      <c r="J3460">
        <f>IF(INDEX(L_ID,ROW()-4)="","",IF(SUMPRODUCT((P_ID=INDEX(L_ID,ROW()-4))*(P_StatusN="INACTIVE"))&gt;0,1,0))</f>
        <v/>
      </c>
    </row>
    <row r="3461">
      <c r="A3461">
        <f>IF(INDEX(L_ID,ROW()-4)="","",IF(COUNTIF(P_ID,INDEX(L_ID,ROW()-4))&gt;0,1,0))</f>
        <v/>
      </c>
      <c r="B3461">
        <f>IF(INDEX(P_Type,ROW()-4)="","",TRIM(UPPER(INDEX(P_Type,ROW()-4))))</f>
        <v/>
      </c>
      <c r="D3461">
        <f>IF(INDEX(L_Type,ROW()-4)="","",TRIM(UPPER(INDEX(L_Type,ROW()-4))))</f>
        <v/>
      </c>
      <c r="E3461">
        <f>IF(INDEX(P_Status,ROW()-4)="","",TRIM(UPPER(INDEX(P_Status,ROW()-4))))</f>
        <v/>
      </c>
      <c r="G3461">
        <f>IF(INDEX(L_Status,ROW()-4)="","",TRIM(UPPER(INDEX(L_Status,ROW()-4))))</f>
        <v/>
      </c>
      <c r="J3461">
        <f>IF(INDEX(L_ID,ROW()-4)="","",IF(SUMPRODUCT((P_ID=INDEX(L_ID,ROW()-4))*(P_StatusN="INACTIVE"))&gt;0,1,0))</f>
        <v/>
      </c>
    </row>
    <row r="3462">
      <c r="A3462">
        <f>IF(INDEX(L_ID,ROW()-4)="","",IF(COUNTIF(P_ID,INDEX(L_ID,ROW()-4))&gt;0,1,0))</f>
        <v/>
      </c>
      <c r="B3462">
        <f>IF(INDEX(P_Type,ROW()-4)="","",TRIM(UPPER(INDEX(P_Type,ROW()-4))))</f>
        <v/>
      </c>
      <c r="D3462">
        <f>IF(INDEX(L_Type,ROW()-4)="","",TRIM(UPPER(INDEX(L_Type,ROW()-4))))</f>
        <v/>
      </c>
      <c r="E3462">
        <f>IF(INDEX(P_Status,ROW()-4)="","",TRIM(UPPER(INDEX(P_Status,ROW()-4))))</f>
        <v/>
      </c>
      <c r="G3462">
        <f>IF(INDEX(L_Status,ROW()-4)="","",TRIM(UPPER(INDEX(L_Status,ROW()-4))))</f>
        <v/>
      </c>
      <c r="J3462">
        <f>IF(INDEX(L_ID,ROW()-4)="","",IF(SUMPRODUCT((P_ID=INDEX(L_ID,ROW()-4))*(P_StatusN="INACTIVE"))&gt;0,1,0))</f>
        <v/>
      </c>
    </row>
    <row r="3463">
      <c r="A3463">
        <f>IF(INDEX(L_ID,ROW()-4)="","",IF(COUNTIF(P_ID,INDEX(L_ID,ROW()-4))&gt;0,1,0))</f>
        <v/>
      </c>
      <c r="B3463">
        <f>IF(INDEX(P_Type,ROW()-4)="","",TRIM(UPPER(INDEX(P_Type,ROW()-4))))</f>
        <v/>
      </c>
      <c r="D3463">
        <f>IF(INDEX(L_Type,ROW()-4)="","",TRIM(UPPER(INDEX(L_Type,ROW()-4))))</f>
        <v/>
      </c>
      <c r="E3463">
        <f>IF(INDEX(P_Status,ROW()-4)="","",TRIM(UPPER(INDEX(P_Status,ROW()-4))))</f>
        <v/>
      </c>
      <c r="G3463">
        <f>IF(INDEX(L_Status,ROW()-4)="","",TRIM(UPPER(INDEX(L_Status,ROW()-4))))</f>
        <v/>
      </c>
      <c r="J3463">
        <f>IF(INDEX(L_ID,ROW()-4)="","",IF(SUMPRODUCT((P_ID=INDEX(L_ID,ROW()-4))*(P_StatusN="INACTIVE"))&gt;0,1,0))</f>
        <v/>
      </c>
    </row>
    <row r="3464">
      <c r="A3464">
        <f>IF(INDEX(L_ID,ROW()-4)="","",IF(COUNTIF(P_ID,INDEX(L_ID,ROW()-4))&gt;0,1,0))</f>
        <v/>
      </c>
      <c r="B3464">
        <f>IF(INDEX(P_Type,ROW()-4)="","",TRIM(UPPER(INDEX(P_Type,ROW()-4))))</f>
        <v/>
      </c>
      <c r="D3464">
        <f>IF(INDEX(L_Type,ROW()-4)="","",TRIM(UPPER(INDEX(L_Type,ROW()-4))))</f>
        <v/>
      </c>
      <c r="E3464">
        <f>IF(INDEX(P_Status,ROW()-4)="","",TRIM(UPPER(INDEX(P_Status,ROW()-4))))</f>
        <v/>
      </c>
      <c r="G3464">
        <f>IF(INDEX(L_Status,ROW()-4)="","",TRIM(UPPER(INDEX(L_Status,ROW()-4))))</f>
        <v/>
      </c>
      <c r="J3464">
        <f>IF(INDEX(L_ID,ROW()-4)="","",IF(SUMPRODUCT((P_ID=INDEX(L_ID,ROW()-4))*(P_StatusN="INACTIVE"))&gt;0,1,0))</f>
        <v/>
      </c>
    </row>
    <row r="3465">
      <c r="A3465">
        <f>IF(INDEX(L_ID,ROW()-4)="","",IF(COUNTIF(P_ID,INDEX(L_ID,ROW()-4))&gt;0,1,0))</f>
        <v/>
      </c>
      <c r="B3465">
        <f>IF(INDEX(P_Type,ROW()-4)="","",TRIM(UPPER(INDEX(P_Type,ROW()-4))))</f>
        <v/>
      </c>
      <c r="D3465">
        <f>IF(INDEX(L_Type,ROW()-4)="","",TRIM(UPPER(INDEX(L_Type,ROW()-4))))</f>
        <v/>
      </c>
      <c r="E3465">
        <f>IF(INDEX(P_Status,ROW()-4)="","",TRIM(UPPER(INDEX(P_Status,ROW()-4))))</f>
        <v/>
      </c>
      <c r="G3465">
        <f>IF(INDEX(L_Status,ROW()-4)="","",TRIM(UPPER(INDEX(L_Status,ROW()-4))))</f>
        <v/>
      </c>
      <c r="J3465">
        <f>IF(INDEX(L_ID,ROW()-4)="","",IF(SUMPRODUCT((P_ID=INDEX(L_ID,ROW()-4))*(P_StatusN="INACTIVE"))&gt;0,1,0))</f>
        <v/>
      </c>
    </row>
    <row r="3466">
      <c r="A3466">
        <f>IF(INDEX(L_ID,ROW()-4)="","",IF(COUNTIF(P_ID,INDEX(L_ID,ROW()-4))&gt;0,1,0))</f>
        <v/>
      </c>
      <c r="B3466">
        <f>IF(INDEX(P_Type,ROW()-4)="","",TRIM(UPPER(INDEX(P_Type,ROW()-4))))</f>
        <v/>
      </c>
      <c r="D3466">
        <f>IF(INDEX(L_Type,ROW()-4)="","",TRIM(UPPER(INDEX(L_Type,ROW()-4))))</f>
        <v/>
      </c>
      <c r="E3466">
        <f>IF(INDEX(P_Status,ROW()-4)="","",TRIM(UPPER(INDEX(P_Status,ROW()-4))))</f>
        <v/>
      </c>
      <c r="G3466">
        <f>IF(INDEX(L_Status,ROW()-4)="","",TRIM(UPPER(INDEX(L_Status,ROW()-4))))</f>
        <v/>
      </c>
      <c r="J3466">
        <f>IF(INDEX(L_ID,ROW()-4)="","",IF(SUMPRODUCT((P_ID=INDEX(L_ID,ROW()-4))*(P_StatusN="INACTIVE"))&gt;0,1,0))</f>
        <v/>
      </c>
    </row>
    <row r="3467">
      <c r="A3467">
        <f>IF(INDEX(L_ID,ROW()-4)="","",IF(COUNTIF(P_ID,INDEX(L_ID,ROW()-4))&gt;0,1,0))</f>
        <v/>
      </c>
      <c r="B3467">
        <f>IF(INDEX(P_Type,ROW()-4)="","",TRIM(UPPER(INDEX(P_Type,ROW()-4))))</f>
        <v/>
      </c>
      <c r="D3467">
        <f>IF(INDEX(L_Type,ROW()-4)="","",TRIM(UPPER(INDEX(L_Type,ROW()-4))))</f>
        <v/>
      </c>
      <c r="E3467">
        <f>IF(INDEX(P_Status,ROW()-4)="","",TRIM(UPPER(INDEX(P_Status,ROW()-4))))</f>
        <v/>
      </c>
      <c r="G3467">
        <f>IF(INDEX(L_Status,ROW()-4)="","",TRIM(UPPER(INDEX(L_Status,ROW()-4))))</f>
        <v/>
      </c>
      <c r="J3467">
        <f>IF(INDEX(L_ID,ROW()-4)="","",IF(SUMPRODUCT((P_ID=INDEX(L_ID,ROW()-4))*(P_StatusN="INACTIVE"))&gt;0,1,0))</f>
        <v/>
      </c>
    </row>
    <row r="3468">
      <c r="A3468">
        <f>IF(INDEX(L_ID,ROW()-4)="","",IF(COUNTIF(P_ID,INDEX(L_ID,ROW()-4))&gt;0,1,0))</f>
        <v/>
      </c>
      <c r="B3468">
        <f>IF(INDEX(P_Type,ROW()-4)="","",TRIM(UPPER(INDEX(P_Type,ROW()-4))))</f>
        <v/>
      </c>
      <c r="D3468">
        <f>IF(INDEX(L_Type,ROW()-4)="","",TRIM(UPPER(INDEX(L_Type,ROW()-4))))</f>
        <v/>
      </c>
      <c r="E3468">
        <f>IF(INDEX(P_Status,ROW()-4)="","",TRIM(UPPER(INDEX(P_Status,ROW()-4))))</f>
        <v/>
      </c>
      <c r="G3468">
        <f>IF(INDEX(L_Status,ROW()-4)="","",TRIM(UPPER(INDEX(L_Status,ROW()-4))))</f>
        <v/>
      </c>
      <c r="J3468">
        <f>IF(INDEX(L_ID,ROW()-4)="","",IF(SUMPRODUCT((P_ID=INDEX(L_ID,ROW()-4))*(P_StatusN="INACTIVE"))&gt;0,1,0))</f>
        <v/>
      </c>
    </row>
    <row r="3469">
      <c r="A3469">
        <f>IF(INDEX(L_ID,ROW()-4)="","",IF(COUNTIF(P_ID,INDEX(L_ID,ROW()-4))&gt;0,1,0))</f>
        <v/>
      </c>
      <c r="B3469">
        <f>IF(INDEX(P_Type,ROW()-4)="","",TRIM(UPPER(INDEX(P_Type,ROW()-4))))</f>
        <v/>
      </c>
      <c r="D3469">
        <f>IF(INDEX(L_Type,ROW()-4)="","",TRIM(UPPER(INDEX(L_Type,ROW()-4))))</f>
        <v/>
      </c>
      <c r="E3469">
        <f>IF(INDEX(P_Status,ROW()-4)="","",TRIM(UPPER(INDEX(P_Status,ROW()-4))))</f>
        <v/>
      </c>
      <c r="G3469">
        <f>IF(INDEX(L_Status,ROW()-4)="","",TRIM(UPPER(INDEX(L_Status,ROW()-4))))</f>
        <v/>
      </c>
      <c r="J3469">
        <f>IF(INDEX(L_ID,ROW()-4)="","",IF(SUMPRODUCT((P_ID=INDEX(L_ID,ROW()-4))*(P_StatusN="INACTIVE"))&gt;0,1,0))</f>
        <v/>
      </c>
    </row>
    <row r="3470">
      <c r="A3470">
        <f>IF(INDEX(L_ID,ROW()-4)="","",IF(COUNTIF(P_ID,INDEX(L_ID,ROW()-4))&gt;0,1,0))</f>
        <v/>
      </c>
      <c r="B3470">
        <f>IF(INDEX(P_Type,ROW()-4)="","",TRIM(UPPER(INDEX(P_Type,ROW()-4))))</f>
        <v/>
      </c>
      <c r="D3470">
        <f>IF(INDEX(L_Type,ROW()-4)="","",TRIM(UPPER(INDEX(L_Type,ROW()-4))))</f>
        <v/>
      </c>
      <c r="E3470">
        <f>IF(INDEX(P_Status,ROW()-4)="","",TRIM(UPPER(INDEX(P_Status,ROW()-4))))</f>
        <v/>
      </c>
      <c r="G3470">
        <f>IF(INDEX(L_Status,ROW()-4)="","",TRIM(UPPER(INDEX(L_Status,ROW()-4))))</f>
        <v/>
      </c>
      <c r="J3470">
        <f>IF(INDEX(L_ID,ROW()-4)="","",IF(SUMPRODUCT((P_ID=INDEX(L_ID,ROW()-4))*(P_StatusN="INACTIVE"))&gt;0,1,0))</f>
        <v/>
      </c>
    </row>
    <row r="3471">
      <c r="A3471">
        <f>IF(INDEX(L_ID,ROW()-4)="","",IF(COUNTIF(P_ID,INDEX(L_ID,ROW()-4))&gt;0,1,0))</f>
        <v/>
      </c>
      <c r="B3471">
        <f>IF(INDEX(P_Type,ROW()-4)="","",TRIM(UPPER(INDEX(P_Type,ROW()-4))))</f>
        <v/>
      </c>
      <c r="D3471">
        <f>IF(INDEX(L_Type,ROW()-4)="","",TRIM(UPPER(INDEX(L_Type,ROW()-4))))</f>
        <v/>
      </c>
      <c r="E3471">
        <f>IF(INDEX(P_Status,ROW()-4)="","",TRIM(UPPER(INDEX(P_Status,ROW()-4))))</f>
        <v/>
      </c>
      <c r="G3471">
        <f>IF(INDEX(L_Status,ROW()-4)="","",TRIM(UPPER(INDEX(L_Status,ROW()-4))))</f>
        <v/>
      </c>
      <c r="J3471">
        <f>IF(INDEX(L_ID,ROW()-4)="","",IF(SUMPRODUCT((P_ID=INDEX(L_ID,ROW()-4))*(P_StatusN="INACTIVE"))&gt;0,1,0))</f>
        <v/>
      </c>
    </row>
    <row r="3472">
      <c r="A3472">
        <f>IF(INDEX(L_ID,ROW()-4)="","",IF(COUNTIF(P_ID,INDEX(L_ID,ROW()-4))&gt;0,1,0))</f>
        <v/>
      </c>
      <c r="B3472">
        <f>IF(INDEX(P_Type,ROW()-4)="","",TRIM(UPPER(INDEX(P_Type,ROW()-4))))</f>
        <v/>
      </c>
      <c r="D3472">
        <f>IF(INDEX(L_Type,ROW()-4)="","",TRIM(UPPER(INDEX(L_Type,ROW()-4))))</f>
        <v/>
      </c>
      <c r="E3472">
        <f>IF(INDEX(P_Status,ROW()-4)="","",TRIM(UPPER(INDEX(P_Status,ROW()-4))))</f>
        <v/>
      </c>
      <c r="G3472">
        <f>IF(INDEX(L_Status,ROW()-4)="","",TRIM(UPPER(INDEX(L_Status,ROW()-4))))</f>
        <v/>
      </c>
      <c r="J3472">
        <f>IF(INDEX(L_ID,ROW()-4)="","",IF(SUMPRODUCT((P_ID=INDEX(L_ID,ROW()-4))*(P_StatusN="INACTIVE"))&gt;0,1,0))</f>
        <v/>
      </c>
    </row>
    <row r="3473">
      <c r="A3473">
        <f>IF(INDEX(L_ID,ROW()-4)="","",IF(COUNTIF(P_ID,INDEX(L_ID,ROW()-4))&gt;0,1,0))</f>
        <v/>
      </c>
      <c r="B3473">
        <f>IF(INDEX(P_Type,ROW()-4)="","",TRIM(UPPER(INDEX(P_Type,ROW()-4))))</f>
        <v/>
      </c>
      <c r="D3473">
        <f>IF(INDEX(L_Type,ROW()-4)="","",TRIM(UPPER(INDEX(L_Type,ROW()-4))))</f>
        <v/>
      </c>
      <c r="E3473">
        <f>IF(INDEX(P_Status,ROW()-4)="","",TRIM(UPPER(INDEX(P_Status,ROW()-4))))</f>
        <v/>
      </c>
      <c r="G3473">
        <f>IF(INDEX(L_Status,ROW()-4)="","",TRIM(UPPER(INDEX(L_Status,ROW()-4))))</f>
        <v/>
      </c>
      <c r="J3473">
        <f>IF(INDEX(L_ID,ROW()-4)="","",IF(SUMPRODUCT((P_ID=INDEX(L_ID,ROW()-4))*(P_StatusN="INACTIVE"))&gt;0,1,0))</f>
        <v/>
      </c>
    </row>
    <row r="3474">
      <c r="A3474">
        <f>IF(INDEX(L_ID,ROW()-4)="","",IF(COUNTIF(P_ID,INDEX(L_ID,ROW()-4))&gt;0,1,0))</f>
        <v/>
      </c>
      <c r="B3474">
        <f>IF(INDEX(P_Type,ROW()-4)="","",TRIM(UPPER(INDEX(P_Type,ROW()-4))))</f>
        <v/>
      </c>
      <c r="D3474">
        <f>IF(INDEX(L_Type,ROW()-4)="","",TRIM(UPPER(INDEX(L_Type,ROW()-4))))</f>
        <v/>
      </c>
      <c r="E3474">
        <f>IF(INDEX(P_Status,ROW()-4)="","",TRIM(UPPER(INDEX(P_Status,ROW()-4))))</f>
        <v/>
      </c>
      <c r="G3474">
        <f>IF(INDEX(L_Status,ROW()-4)="","",TRIM(UPPER(INDEX(L_Status,ROW()-4))))</f>
        <v/>
      </c>
      <c r="J3474">
        <f>IF(INDEX(L_ID,ROW()-4)="","",IF(SUMPRODUCT((P_ID=INDEX(L_ID,ROW()-4))*(P_StatusN="INACTIVE"))&gt;0,1,0))</f>
        <v/>
      </c>
    </row>
    <row r="3475">
      <c r="A3475">
        <f>IF(INDEX(L_ID,ROW()-4)="","",IF(COUNTIF(P_ID,INDEX(L_ID,ROW()-4))&gt;0,1,0))</f>
        <v/>
      </c>
      <c r="B3475">
        <f>IF(INDEX(P_Type,ROW()-4)="","",TRIM(UPPER(INDEX(P_Type,ROW()-4))))</f>
        <v/>
      </c>
      <c r="D3475">
        <f>IF(INDEX(L_Type,ROW()-4)="","",TRIM(UPPER(INDEX(L_Type,ROW()-4))))</f>
        <v/>
      </c>
      <c r="E3475">
        <f>IF(INDEX(P_Status,ROW()-4)="","",TRIM(UPPER(INDEX(P_Status,ROW()-4))))</f>
        <v/>
      </c>
      <c r="G3475">
        <f>IF(INDEX(L_Status,ROW()-4)="","",TRIM(UPPER(INDEX(L_Status,ROW()-4))))</f>
        <v/>
      </c>
      <c r="J3475">
        <f>IF(INDEX(L_ID,ROW()-4)="","",IF(SUMPRODUCT((P_ID=INDEX(L_ID,ROW()-4))*(P_StatusN="INACTIVE"))&gt;0,1,0))</f>
        <v/>
      </c>
    </row>
    <row r="3476">
      <c r="A3476">
        <f>IF(INDEX(L_ID,ROW()-4)="","",IF(COUNTIF(P_ID,INDEX(L_ID,ROW()-4))&gt;0,1,0))</f>
        <v/>
      </c>
      <c r="B3476">
        <f>IF(INDEX(P_Type,ROW()-4)="","",TRIM(UPPER(INDEX(P_Type,ROW()-4))))</f>
        <v/>
      </c>
      <c r="D3476">
        <f>IF(INDEX(L_Type,ROW()-4)="","",TRIM(UPPER(INDEX(L_Type,ROW()-4))))</f>
        <v/>
      </c>
      <c r="E3476">
        <f>IF(INDEX(P_Status,ROW()-4)="","",TRIM(UPPER(INDEX(P_Status,ROW()-4))))</f>
        <v/>
      </c>
      <c r="G3476">
        <f>IF(INDEX(L_Status,ROW()-4)="","",TRIM(UPPER(INDEX(L_Status,ROW()-4))))</f>
        <v/>
      </c>
      <c r="J3476">
        <f>IF(INDEX(L_ID,ROW()-4)="","",IF(SUMPRODUCT((P_ID=INDEX(L_ID,ROW()-4))*(P_StatusN="INACTIVE"))&gt;0,1,0))</f>
        <v/>
      </c>
    </row>
    <row r="3477">
      <c r="A3477">
        <f>IF(INDEX(L_ID,ROW()-4)="","",IF(COUNTIF(P_ID,INDEX(L_ID,ROW()-4))&gt;0,1,0))</f>
        <v/>
      </c>
      <c r="B3477">
        <f>IF(INDEX(P_Type,ROW()-4)="","",TRIM(UPPER(INDEX(P_Type,ROW()-4))))</f>
        <v/>
      </c>
      <c r="D3477">
        <f>IF(INDEX(L_Type,ROW()-4)="","",TRIM(UPPER(INDEX(L_Type,ROW()-4))))</f>
        <v/>
      </c>
      <c r="E3477">
        <f>IF(INDEX(P_Status,ROW()-4)="","",TRIM(UPPER(INDEX(P_Status,ROW()-4))))</f>
        <v/>
      </c>
      <c r="G3477">
        <f>IF(INDEX(L_Status,ROW()-4)="","",TRIM(UPPER(INDEX(L_Status,ROW()-4))))</f>
        <v/>
      </c>
      <c r="J3477">
        <f>IF(INDEX(L_ID,ROW()-4)="","",IF(SUMPRODUCT((P_ID=INDEX(L_ID,ROW()-4))*(P_StatusN="INACTIVE"))&gt;0,1,0))</f>
        <v/>
      </c>
    </row>
    <row r="3478">
      <c r="A3478">
        <f>IF(INDEX(L_ID,ROW()-4)="","",IF(COUNTIF(P_ID,INDEX(L_ID,ROW()-4))&gt;0,1,0))</f>
        <v/>
      </c>
      <c r="B3478">
        <f>IF(INDEX(P_Type,ROW()-4)="","",TRIM(UPPER(INDEX(P_Type,ROW()-4))))</f>
        <v/>
      </c>
      <c r="D3478">
        <f>IF(INDEX(L_Type,ROW()-4)="","",TRIM(UPPER(INDEX(L_Type,ROW()-4))))</f>
        <v/>
      </c>
      <c r="E3478">
        <f>IF(INDEX(P_Status,ROW()-4)="","",TRIM(UPPER(INDEX(P_Status,ROW()-4))))</f>
        <v/>
      </c>
      <c r="G3478">
        <f>IF(INDEX(L_Status,ROW()-4)="","",TRIM(UPPER(INDEX(L_Status,ROW()-4))))</f>
        <v/>
      </c>
      <c r="J3478">
        <f>IF(INDEX(L_ID,ROW()-4)="","",IF(SUMPRODUCT((P_ID=INDEX(L_ID,ROW()-4))*(P_StatusN="INACTIVE"))&gt;0,1,0))</f>
        <v/>
      </c>
    </row>
    <row r="3479">
      <c r="A3479">
        <f>IF(INDEX(L_ID,ROW()-4)="","",IF(COUNTIF(P_ID,INDEX(L_ID,ROW()-4))&gt;0,1,0))</f>
        <v/>
      </c>
      <c r="B3479">
        <f>IF(INDEX(P_Type,ROW()-4)="","",TRIM(UPPER(INDEX(P_Type,ROW()-4))))</f>
        <v/>
      </c>
      <c r="D3479">
        <f>IF(INDEX(L_Type,ROW()-4)="","",TRIM(UPPER(INDEX(L_Type,ROW()-4))))</f>
        <v/>
      </c>
      <c r="E3479">
        <f>IF(INDEX(P_Status,ROW()-4)="","",TRIM(UPPER(INDEX(P_Status,ROW()-4))))</f>
        <v/>
      </c>
      <c r="G3479">
        <f>IF(INDEX(L_Status,ROW()-4)="","",TRIM(UPPER(INDEX(L_Status,ROW()-4))))</f>
        <v/>
      </c>
      <c r="J3479">
        <f>IF(INDEX(L_ID,ROW()-4)="","",IF(SUMPRODUCT((P_ID=INDEX(L_ID,ROW()-4))*(P_StatusN="INACTIVE"))&gt;0,1,0))</f>
        <v/>
      </c>
    </row>
    <row r="3480">
      <c r="A3480">
        <f>IF(INDEX(L_ID,ROW()-4)="","",IF(COUNTIF(P_ID,INDEX(L_ID,ROW()-4))&gt;0,1,0))</f>
        <v/>
      </c>
      <c r="B3480">
        <f>IF(INDEX(P_Type,ROW()-4)="","",TRIM(UPPER(INDEX(P_Type,ROW()-4))))</f>
        <v/>
      </c>
      <c r="D3480">
        <f>IF(INDEX(L_Type,ROW()-4)="","",TRIM(UPPER(INDEX(L_Type,ROW()-4))))</f>
        <v/>
      </c>
      <c r="E3480">
        <f>IF(INDEX(P_Status,ROW()-4)="","",TRIM(UPPER(INDEX(P_Status,ROW()-4))))</f>
        <v/>
      </c>
      <c r="G3480">
        <f>IF(INDEX(L_Status,ROW()-4)="","",TRIM(UPPER(INDEX(L_Status,ROW()-4))))</f>
        <v/>
      </c>
      <c r="J3480">
        <f>IF(INDEX(L_ID,ROW()-4)="","",IF(SUMPRODUCT((P_ID=INDEX(L_ID,ROW()-4))*(P_StatusN="INACTIVE"))&gt;0,1,0))</f>
        <v/>
      </c>
    </row>
    <row r="3481">
      <c r="A3481">
        <f>IF(INDEX(L_ID,ROW()-4)="","",IF(COUNTIF(P_ID,INDEX(L_ID,ROW()-4))&gt;0,1,0))</f>
        <v/>
      </c>
      <c r="B3481">
        <f>IF(INDEX(P_Type,ROW()-4)="","",TRIM(UPPER(INDEX(P_Type,ROW()-4))))</f>
        <v/>
      </c>
      <c r="D3481">
        <f>IF(INDEX(L_Type,ROW()-4)="","",TRIM(UPPER(INDEX(L_Type,ROW()-4))))</f>
        <v/>
      </c>
      <c r="E3481">
        <f>IF(INDEX(P_Status,ROW()-4)="","",TRIM(UPPER(INDEX(P_Status,ROW()-4))))</f>
        <v/>
      </c>
      <c r="G3481">
        <f>IF(INDEX(L_Status,ROW()-4)="","",TRIM(UPPER(INDEX(L_Status,ROW()-4))))</f>
        <v/>
      </c>
      <c r="J3481">
        <f>IF(INDEX(L_ID,ROW()-4)="","",IF(SUMPRODUCT((P_ID=INDEX(L_ID,ROW()-4))*(P_StatusN="INACTIVE"))&gt;0,1,0))</f>
        <v/>
      </c>
    </row>
    <row r="3482">
      <c r="A3482">
        <f>IF(INDEX(L_ID,ROW()-4)="","",IF(COUNTIF(P_ID,INDEX(L_ID,ROW()-4))&gt;0,1,0))</f>
        <v/>
      </c>
      <c r="B3482">
        <f>IF(INDEX(P_Type,ROW()-4)="","",TRIM(UPPER(INDEX(P_Type,ROW()-4))))</f>
        <v/>
      </c>
      <c r="D3482">
        <f>IF(INDEX(L_Type,ROW()-4)="","",TRIM(UPPER(INDEX(L_Type,ROW()-4))))</f>
        <v/>
      </c>
      <c r="E3482">
        <f>IF(INDEX(P_Status,ROW()-4)="","",TRIM(UPPER(INDEX(P_Status,ROW()-4))))</f>
        <v/>
      </c>
      <c r="G3482">
        <f>IF(INDEX(L_Status,ROW()-4)="","",TRIM(UPPER(INDEX(L_Status,ROW()-4))))</f>
        <v/>
      </c>
      <c r="J3482">
        <f>IF(INDEX(L_ID,ROW()-4)="","",IF(SUMPRODUCT((P_ID=INDEX(L_ID,ROW()-4))*(P_StatusN="INACTIVE"))&gt;0,1,0))</f>
        <v/>
      </c>
    </row>
    <row r="3483">
      <c r="A3483">
        <f>IF(INDEX(L_ID,ROW()-4)="","",IF(COUNTIF(P_ID,INDEX(L_ID,ROW()-4))&gt;0,1,0))</f>
        <v/>
      </c>
      <c r="B3483">
        <f>IF(INDEX(P_Type,ROW()-4)="","",TRIM(UPPER(INDEX(P_Type,ROW()-4))))</f>
        <v/>
      </c>
      <c r="D3483">
        <f>IF(INDEX(L_Type,ROW()-4)="","",TRIM(UPPER(INDEX(L_Type,ROW()-4))))</f>
        <v/>
      </c>
      <c r="E3483">
        <f>IF(INDEX(P_Status,ROW()-4)="","",TRIM(UPPER(INDEX(P_Status,ROW()-4))))</f>
        <v/>
      </c>
      <c r="G3483">
        <f>IF(INDEX(L_Status,ROW()-4)="","",TRIM(UPPER(INDEX(L_Status,ROW()-4))))</f>
        <v/>
      </c>
      <c r="J3483">
        <f>IF(INDEX(L_ID,ROW()-4)="","",IF(SUMPRODUCT((P_ID=INDEX(L_ID,ROW()-4))*(P_StatusN="INACTIVE"))&gt;0,1,0))</f>
        <v/>
      </c>
    </row>
    <row r="3484">
      <c r="A3484">
        <f>IF(INDEX(L_ID,ROW()-4)="","",IF(COUNTIF(P_ID,INDEX(L_ID,ROW()-4))&gt;0,1,0))</f>
        <v/>
      </c>
      <c r="B3484">
        <f>IF(INDEX(P_Type,ROW()-4)="","",TRIM(UPPER(INDEX(P_Type,ROW()-4))))</f>
        <v/>
      </c>
      <c r="D3484">
        <f>IF(INDEX(L_Type,ROW()-4)="","",TRIM(UPPER(INDEX(L_Type,ROW()-4))))</f>
        <v/>
      </c>
      <c r="E3484">
        <f>IF(INDEX(P_Status,ROW()-4)="","",TRIM(UPPER(INDEX(P_Status,ROW()-4))))</f>
        <v/>
      </c>
      <c r="G3484">
        <f>IF(INDEX(L_Status,ROW()-4)="","",TRIM(UPPER(INDEX(L_Status,ROW()-4))))</f>
        <v/>
      </c>
      <c r="J3484">
        <f>IF(INDEX(L_ID,ROW()-4)="","",IF(SUMPRODUCT((P_ID=INDEX(L_ID,ROW()-4))*(P_StatusN="INACTIVE"))&gt;0,1,0))</f>
        <v/>
      </c>
    </row>
    <row r="3485">
      <c r="A3485">
        <f>IF(INDEX(L_ID,ROW()-4)="","",IF(COUNTIF(P_ID,INDEX(L_ID,ROW()-4))&gt;0,1,0))</f>
        <v/>
      </c>
      <c r="B3485">
        <f>IF(INDEX(P_Type,ROW()-4)="","",TRIM(UPPER(INDEX(P_Type,ROW()-4))))</f>
        <v/>
      </c>
      <c r="D3485">
        <f>IF(INDEX(L_Type,ROW()-4)="","",TRIM(UPPER(INDEX(L_Type,ROW()-4))))</f>
        <v/>
      </c>
      <c r="E3485">
        <f>IF(INDEX(P_Status,ROW()-4)="","",TRIM(UPPER(INDEX(P_Status,ROW()-4))))</f>
        <v/>
      </c>
      <c r="G3485">
        <f>IF(INDEX(L_Status,ROW()-4)="","",TRIM(UPPER(INDEX(L_Status,ROW()-4))))</f>
        <v/>
      </c>
      <c r="J3485">
        <f>IF(INDEX(L_ID,ROW()-4)="","",IF(SUMPRODUCT((P_ID=INDEX(L_ID,ROW()-4))*(P_StatusN="INACTIVE"))&gt;0,1,0))</f>
        <v/>
      </c>
    </row>
    <row r="3486">
      <c r="A3486">
        <f>IF(INDEX(L_ID,ROW()-4)="","",IF(COUNTIF(P_ID,INDEX(L_ID,ROW()-4))&gt;0,1,0))</f>
        <v/>
      </c>
      <c r="B3486">
        <f>IF(INDEX(P_Type,ROW()-4)="","",TRIM(UPPER(INDEX(P_Type,ROW()-4))))</f>
        <v/>
      </c>
      <c r="D3486">
        <f>IF(INDEX(L_Type,ROW()-4)="","",TRIM(UPPER(INDEX(L_Type,ROW()-4))))</f>
        <v/>
      </c>
      <c r="E3486">
        <f>IF(INDEX(P_Status,ROW()-4)="","",TRIM(UPPER(INDEX(P_Status,ROW()-4))))</f>
        <v/>
      </c>
      <c r="G3486">
        <f>IF(INDEX(L_Status,ROW()-4)="","",TRIM(UPPER(INDEX(L_Status,ROW()-4))))</f>
        <v/>
      </c>
      <c r="J3486">
        <f>IF(INDEX(L_ID,ROW()-4)="","",IF(SUMPRODUCT((P_ID=INDEX(L_ID,ROW()-4))*(P_StatusN="INACTIVE"))&gt;0,1,0))</f>
        <v/>
      </c>
    </row>
    <row r="3487">
      <c r="A3487">
        <f>IF(INDEX(L_ID,ROW()-4)="","",IF(COUNTIF(P_ID,INDEX(L_ID,ROW()-4))&gt;0,1,0))</f>
        <v/>
      </c>
      <c r="B3487">
        <f>IF(INDEX(P_Type,ROW()-4)="","",TRIM(UPPER(INDEX(P_Type,ROW()-4))))</f>
        <v/>
      </c>
      <c r="D3487">
        <f>IF(INDEX(L_Type,ROW()-4)="","",TRIM(UPPER(INDEX(L_Type,ROW()-4))))</f>
        <v/>
      </c>
      <c r="E3487">
        <f>IF(INDEX(P_Status,ROW()-4)="","",TRIM(UPPER(INDEX(P_Status,ROW()-4))))</f>
        <v/>
      </c>
      <c r="G3487">
        <f>IF(INDEX(L_Status,ROW()-4)="","",TRIM(UPPER(INDEX(L_Status,ROW()-4))))</f>
        <v/>
      </c>
      <c r="J3487">
        <f>IF(INDEX(L_ID,ROW()-4)="","",IF(SUMPRODUCT((P_ID=INDEX(L_ID,ROW()-4))*(P_StatusN="INACTIVE"))&gt;0,1,0))</f>
        <v/>
      </c>
    </row>
    <row r="3488">
      <c r="A3488">
        <f>IF(INDEX(L_ID,ROW()-4)="","",IF(COUNTIF(P_ID,INDEX(L_ID,ROW()-4))&gt;0,1,0))</f>
        <v/>
      </c>
      <c r="B3488">
        <f>IF(INDEX(P_Type,ROW()-4)="","",TRIM(UPPER(INDEX(P_Type,ROW()-4))))</f>
        <v/>
      </c>
      <c r="D3488">
        <f>IF(INDEX(L_Type,ROW()-4)="","",TRIM(UPPER(INDEX(L_Type,ROW()-4))))</f>
        <v/>
      </c>
      <c r="E3488">
        <f>IF(INDEX(P_Status,ROW()-4)="","",TRIM(UPPER(INDEX(P_Status,ROW()-4))))</f>
        <v/>
      </c>
      <c r="G3488">
        <f>IF(INDEX(L_Status,ROW()-4)="","",TRIM(UPPER(INDEX(L_Status,ROW()-4))))</f>
        <v/>
      </c>
      <c r="J3488">
        <f>IF(INDEX(L_ID,ROW()-4)="","",IF(SUMPRODUCT((P_ID=INDEX(L_ID,ROW()-4))*(P_StatusN="INACTIVE"))&gt;0,1,0))</f>
        <v/>
      </c>
    </row>
    <row r="3489">
      <c r="A3489">
        <f>IF(INDEX(L_ID,ROW()-4)="","",IF(COUNTIF(P_ID,INDEX(L_ID,ROW()-4))&gt;0,1,0))</f>
        <v/>
      </c>
      <c r="B3489">
        <f>IF(INDEX(P_Type,ROW()-4)="","",TRIM(UPPER(INDEX(P_Type,ROW()-4))))</f>
        <v/>
      </c>
      <c r="D3489">
        <f>IF(INDEX(L_Type,ROW()-4)="","",TRIM(UPPER(INDEX(L_Type,ROW()-4))))</f>
        <v/>
      </c>
      <c r="E3489">
        <f>IF(INDEX(P_Status,ROW()-4)="","",TRIM(UPPER(INDEX(P_Status,ROW()-4))))</f>
        <v/>
      </c>
      <c r="G3489">
        <f>IF(INDEX(L_Status,ROW()-4)="","",TRIM(UPPER(INDEX(L_Status,ROW()-4))))</f>
        <v/>
      </c>
      <c r="J3489">
        <f>IF(INDEX(L_ID,ROW()-4)="","",IF(SUMPRODUCT((P_ID=INDEX(L_ID,ROW()-4))*(P_StatusN="INACTIVE"))&gt;0,1,0))</f>
        <v/>
      </c>
    </row>
    <row r="3490">
      <c r="A3490">
        <f>IF(INDEX(L_ID,ROW()-4)="","",IF(COUNTIF(P_ID,INDEX(L_ID,ROW()-4))&gt;0,1,0))</f>
        <v/>
      </c>
      <c r="B3490">
        <f>IF(INDEX(P_Type,ROW()-4)="","",TRIM(UPPER(INDEX(P_Type,ROW()-4))))</f>
        <v/>
      </c>
      <c r="D3490">
        <f>IF(INDEX(L_Type,ROW()-4)="","",TRIM(UPPER(INDEX(L_Type,ROW()-4))))</f>
        <v/>
      </c>
      <c r="E3490">
        <f>IF(INDEX(P_Status,ROW()-4)="","",TRIM(UPPER(INDEX(P_Status,ROW()-4))))</f>
        <v/>
      </c>
      <c r="G3490">
        <f>IF(INDEX(L_Status,ROW()-4)="","",TRIM(UPPER(INDEX(L_Status,ROW()-4))))</f>
        <v/>
      </c>
      <c r="J3490">
        <f>IF(INDEX(L_ID,ROW()-4)="","",IF(SUMPRODUCT((P_ID=INDEX(L_ID,ROW()-4))*(P_StatusN="INACTIVE"))&gt;0,1,0))</f>
        <v/>
      </c>
    </row>
    <row r="3491">
      <c r="A3491">
        <f>IF(INDEX(L_ID,ROW()-4)="","",IF(COUNTIF(P_ID,INDEX(L_ID,ROW()-4))&gt;0,1,0))</f>
        <v/>
      </c>
      <c r="B3491">
        <f>IF(INDEX(P_Type,ROW()-4)="","",TRIM(UPPER(INDEX(P_Type,ROW()-4))))</f>
        <v/>
      </c>
      <c r="D3491">
        <f>IF(INDEX(L_Type,ROW()-4)="","",TRIM(UPPER(INDEX(L_Type,ROW()-4))))</f>
        <v/>
      </c>
      <c r="E3491">
        <f>IF(INDEX(P_Status,ROW()-4)="","",TRIM(UPPER(INDEX(P_Status,ROW()-4))))</f>
        <v/>
      </c>
      <c r="G3491">
        <f>IF(INDEX(L_Status,ROW()-4)="","",TRIM(UPPER(INDEX(L_Status,ROW()-4))))</f>
        <v/>
      </c>
      <c r="J3491">
        <f>IF(INDEX(L_ID,ROW()-4)="","",IF(SUMPRODUCT((P_ID=INDEX(L_ID,ROW()-4))*(P_StatusN="INACTIVE"))&gt;0,1,0))</f>
        <v/>
      </c>
    </row>
    <row r="3492">
      <c r="A3492">
        <f>IF(INDEX(L_ID,ROW()-4)="","",IF(COUNTIF(P_ID,INDEX(L_ID,ROW()-4))&gt;0,1,0))</f>
        <v/>
      </c>
      <c r="B3492">
        <f>IF(INDEX(P_Type,ROW()-4)="","",TRIM(UPPER(INDEX(P_Type,ROW()-4))))</f>
        <v/>
      </c>
      <c r="D3492">
        <f>IF(INDEX(L_Type,ROW()-4)="","",TRIM(UPPER(INDEX(L_Type,ROW()-4))))</f>
        <v/>
      </c>
      <c r="E3492">
        <f>IF(INDEX(P_Status,ROW()-4)="","",TRIM(UPPER(INDEX(P_Status,ROW()-4))))</f>
        <v/>
      </c>
      <c r="G3492">
        <f>IF(INDEX(L_Status,ROW()-4)="","",TRIM(UPPER(INDEX(L_Status,ROW()-4))))</f>
        <v/>
      </c>
      <c r="J3492">
        <f>IF(INDEX(L_ID,ROW()-4)="","",IF(SUMPRODUCT((P_ID=INDEX(L_ID,ROW()-4))*(P_StatusN="INACTIVE"))&gt;0,1,0))</f>
        <v/>
      </c>
    </row>
    <row r="3493">
      <c r="A3493">
        <f>IF(INDEX(L_ID,ROW()-4)="","",IF(COUNTIF(P_ID,INDEX(L_ID,ROW()-4))&gt;0,1,0))</f>
        <v/>
      </c>
      <c r="B3493">
        <f>IF(INDEX(P_Type,ROW()-4)="","",TRIM(UPPER(INDEX(P_Type,ROW()-4))))</f>
        <v/>
      </c>
      <c r="D3493">
        <f>IF(INDEX(L_Type,ROW()-4)="","",TRIM(UPPER(INDEX(L_Type,ROW()-4))))</f>
        <v/>
      </c>
      <c r="E3493">
        <f>IF(INDEX(P_Status,ROW()-4)="","",TRIM(UPPER(INDEX(P_Status,ROW()-4))))</f>
        <v/>
      </c>
      <c r="G3493">
        <f>IF(INDEX(L_Status,ROW()-4)="","",TRIM(UPPER(INDEX(L_Status,ROW()-4))))</f>
        <v/>
      </c>
      <c r="J3493">
        <f>IF(INDEX(L_ID,ROW()-4)="","",IF(SUMPRODUCT((P_ID=INDEX(L_ID,ROW()-4))*(P_StatusN="INACTIVE"))&gt;0,1,0))</f>
        <v/>
      </c>
    </row>
    <row r="3494">
      <c r="A3494">
        <f>IF(INDEX(L_ID,ROW()-4)="","",IF(COUNTIF(P_ID,INDEX(L_ID,ROW()-4))&gt;0,1,0))</f>
        <v/>
      </c>
      <c r="B3494">
        <f>IF(INDEX(P_Type,ROW()-4)="","",TRIM(UPPER(INDEX(P_Type,ROW()-4))))</f>
        <v/>
      </c>
      <c r="D3494">
        <f>IF(INDEX(L_Type,ROW()-4)="","",TRIM(UPPER(INDEX(L_Type,ROW()-4))))</f>
        <v/>
      </c>
      <c r="E3494">
        <f>IF(INDEX(P_Status,ROW()-4)="","",TRIM(UPPER(INDEX(P_Status,ROW()-4))))</f>
        <v/>
      </c>
      <c r="G3494">
        <f>IF(INDEX(L_Status,ROW()-4)="","",TRIM(UPPER(INDEX(L_Status,ROW()-4))))</f>
        <v/>
      </c>
      <c r="J3494">
        <f>IF(INDEX(L_ID,ROW()-4)="","",IF(SUMPRODUCT((P_ID=INDEX(L_ID,ROW()-4))*(P_StatusN="INACTIVE"))&gt;0,1,0))</f>
        <v/>
      </c>
    </row>
    <row r="3495">
      <c r="A3495">
        <f>IF(INDEX(L_ID,ROW()-4)="","",IF(COUNTIF(P_ID,INDEX(L_ID,ROW()-4))&gt;0,1,0))</f>
        <v/>
      </c>
      <c r="B3495">
        <f>IF(INDEX(P_Type,ROW()-4)="","",TRIM(UPPER(INDEX(P_Type,ROW()-4))))</f>
        <v/>
      </c>
      <c r="D3495">
        <f>IF(INDEX(L_Type,ROW()-4)="","",TRIM(UPPER(INDEX(L_Type,ROW()-4))))</f>
        <v/>
      </c>
      <c r="E3495">
        <f>IF(INDEX(P_Status,ROW()-4)="","",TRIM(UPPER(INDEX(P_Status,ROW()-4))))</f>
        <v/>
      </c>
      <c r="G3495">
        <f>IF(INDEX(L_Status,ROW()-4)="","",TRIM(UPPER(INDEX(L_Status,ROW()-4))))</f>
        <v/>
      </c>
      <c r="J3495">
        <f>IF(INDEX(L_ID,ROW()-4)="","",IF(SUMPRODUCT((P_ID=INDEX(L_ID,ROW()-4))*(P_StatusN="INACTIVE"))&gt;0,1,0))</f>
        <v/>
      </c>
    </row>
    <row r="3496">
      <c r="A3496">
        <f>IF(INDEX(L_ID,ROW()-4)="","",IF(COUNTIF(P_ID,INDEX(L_ID,ROW()-4))&gt;0,1,0))</f>
        <v/>
      </c>
      <c r="B3496">
        <f>IF(INDEX(P_Type,ROW()-4)="","",TRIM(UPPER(INDEX(P_Type,ROW()-4))))</f>
        <v/>
      </c>
      <c r="D3496">
        <f>IF(INDEX(L_Type,ROW()-4)="","",TRIM(UPPER(INDEX(L_Type,ROW()-4))))</f>
        <v/>
      </c>
      <c r="E3496">
        <f>IF(INDEX(P_Status,ROW()-4)="","",TRIM(UPPER(INDEX(P_Status,ROW()-4))))</f>
        <v/>
      </c>
      <c r="G3496">
        <f>IF(INDEX(L_Status,ROW()-4)="","",TRIM(UPPER(INDEX(L_Status,ROW()-4))))</f>
        <v/>
      </c>
      <c r="J3496">
        <f>IF(INDEX(L_ID,ROW()-4)="","",IF(SUMPRODUCT((P_ID=INDEX(L_ID,ROW()-4))*(P_StatusN="INACTIVE"))&gt;0,1,0))</f>
        <v/>
      </c>
    </row>
    <row r="3497">
      <c r="A3497">
        <f>IF(INDEX(L_ID,ROW()-4)="","",IF(COUNTIF(P_ID,INDEX(L_ID,ROW()-4))&gt;0,1,0))</f>
        <v/>
      </c>
      <c r="B3497">
        <f>IF(INDEX(P_Type,ROW()-4)="","",TRIM(UPPER(INDEX(P_Type,ROW()-4))))</f>
        <v/>
      </c>
      <c r="D3497">
        <f>IF(INDEX(L_Type,ROW()-4)="","",TRIM(UPPER(INDEX(L_Type,ROW()-4))))</f>
        <v/>
      </c>
      <c r="E3497">
        <f>IF(INDEX(P_Status,ROW()-4)="","",TRIM(UPPER(INDEX(P_Status,ROW()-4))))</f>
        <v/>
      </c>
      <c r="G3497">
        <f>IF(INDEX(L_Status,ROW()-4)="","",TRIM(UPPER(INDEX(L_Status,ROW()-4))))</f>
        <v/>
      </c>
      <c r="J3497">
        <f>IF(INDEX(L_ID,ROW()-4)="","",IF(SUMPRODUCT((P_ID=INDEX(L_ID,ROW()-4))*(P_StatusN="INACTIVE"))&gt;0,1,0))</f>
        <v/>
      </c>
    </row>
    <row r="3498">
      <c r="A3498">
        <f>IF(INDEX(L_ID,ROW()-4)="","",IF(COUNTIF(P_ID,INDEX(L_ID,ROW()-4))&gt;0,1,0))</f>
        <v/>
      </c>
      <c r="B3498">
        <f>IF(INDEX(P_Type,ROW()-4)="","",TRIM(UPPER(INDEX(P_Type,ROW()-4))))</f>
        <v/>
      </c>
      <c r="D3498">
        <f>IF(INDEX(L_Type,ROW()-4)="","",TRIM(UPPER(INDEX(L_Type,ROW()-4))))</f>
        <v/>
      </c>
      <c r="E3498">
        <f>IF(INDEX(P_Status,ROW()-4)="","",TRIM(UPPER(INDEX(P_Status,ROW()-4))))</f>
        <v/>
      </c>
      <c r="G3498">
        <f>IF(INDEX(L_Status,ROW()-4)="","",TRIM(UPPER(INDEX(L_Status,ROW()-4))))</f>
        <v/>
      </c>
      <c r="J3498">
        <f>IF(INDEX(L_ID,ROW()-4)="","",IF(SUMPRODUCT((P_ID=INDEX(L_ID,ROW()-4))*(P_StatusN="INACTIVE"))&gt;0,1,0))</f>
        <v/>
      </c>
    </row>
    <row r="3499">
      <c r="A3499">
        <f>IF(INDEX(L_ID,ROW()-4)="","",IF(COUNTIF(P_ID,INDEX(L_ID,ROW()-4))&gt;0,1,0))</f>
        <v/>
      </c>
      <c r="B3499">
        <f>IF(INDEX(P_Type,ROW()-4)="","",TRIM(UPPER(INDEX(P_Type,ROW()-4))))</f>
        <v/>
      </c>
      <c r="D3499">
        <f>IF(INDEX(L_Type,ROW()-4)="","",TRIM(UPPER(INDEX(L_Type,ROW()-4))))</f>
        <v/>
      </c>
      <c r="E3499">
        <f>IF(INDEX(P_Status,ROW()-4)="","",TRIM(UPPER(INDEX(P_Status,ROW()-4))))</f>
        <v/>
      </c>
      <c r="G3499">
        <f>IF(INDEX(L_Status,ROW()-4)="","",TRIM(UPPER(INDEX(L_Status,ROW()-4))))</f>
        <v/>
      </c>
      <c r="J3499">
        <f>IF(INDEX(L_ID,ROW()-4)="","",IF(SUMPRODUCT((P_ID=INDEX(L_ID,ROW()-4))*(P_StatusN="INACTIVE"))&gt;0,1,0))</f>
        <v/>
      </c>
    </row>
    <row r="3500">
      <c r="A3500">
        <f>IF(INDEX(L_ID,ROW()-4)="","",IF(COUNTIF(P_ID,INDEX(L_ID,ROW()-4))&gt;0,1,0))</f>
        <v/>
      </c>
      <c r="B3500">
        <f>IF(INDEX(P_Type,ROW()-4)="","",TRIM(UPPER(INDEX(P_Type,ROW()-4))))</f>
        <v/>
      </c>
      <c r="D3500">
        <f>IF(INDEX(L_Type,ROW()-4)="","",TRIM(UPPER(INDEX(L_Type,ROW()-4))))</f>
        <v/>
      </c>
      <c r="E3500">
        <f>IF(INDEX(P_Status,ROW()-4)="","",TRIM(UPPER(INDEX(P_Status,ROW()-4))))</f>
        <v/>
      </c>
      <c r="G3500">
        <f>IF(INDEX(L_Status,ROW()-4)="","",TRIM(UPPER(INDEX(L_Status,ROW()-4))))</f>
        <v/>
      </c>
      <c r="J3500">
        <f>IF(INDEX(L_ID,ROW()-4)="","",IF(SUMPRODUCT((P_ID=INDEX(L_ID,ROW()-4))*(P_StatusN="INACTIVE"))&gt;0,1,0))</f>
        <v/>
      </c>
    </row>
    <row r="3501">
      <c r="A3501">
        <f>IF(INDEX(L_ID,ROW()-4)="","",IF(COUNTIF(P_ID,INDEX(L_ID,ROW()-4))&gt;0,1,0))</f>
        <v/>
      </c>
      <c r="B3501">
        <f>IF(INDEX(P_Type,ROW()-4)="","",TRIM(UPPER(INDEX(P_Type,ROW()-4))))</f>
        <v/>
      </c>
      <c r="D3501">
        <f>IF(INDEX(L_Type,ROW()-4)="","",TRIM(UPPER(INDEX(L_Type,ROW()-4))))</f>
        <v/>
      </c>
      <c r="E3501">
        <f>IF(INDEX(P_Status,ROW()-4)="","",TRIM(UPPER(INDEX(P_Status,ROW()-4))))</f>
        <v/>
      </c>
      <c r="G3501">
        <f>IF(INDEX(L_Status,ROW()-4)="","",TRIM(UPPER(INDEX(L_Status,ROW()-4))))</f>
        <v/>
      </c>
      <c r="J3501">
        <f>IF(INDEX(L_ID,ROW()-4)="","",IF(SUMPRODUCT((P_ID=INDEX(L_ID,ROW()-4))*(P_StatusN="INACTIVE"))&gt;0,1,0))</f>
        <v/>
      </c>
    </row>
    <row r="3502">
      <c r="A3502">
        <f>IF(INDEX(L_ID,ROW()-4)="","",IF(COUNTIF(P_ID,INDEX(L_ID,ROW()-4))&gt;0,1,0))</f>
        <v/>
      </c>
      <c r="B3502">
        <f>IF(INDEX(P_Type,ROW()-4)="","",TRIM(UPPER(INDEX(P_Type,ROW()-4))))</f>
        <v/>
      </c>
      <c r="D3502">
        <f>IF(INDEX(L_Type,ROW()-4)="","",TRIM(UPPER(INDEX(L_Type,ROW()-4))))</f>
        <v/>
      </c>
      <c r="E3502">
        <f>IF(INDEX(P_Status,ROW()-4)="","",TRIM(UPPER(INDEX(P_Status,ROW()-4))))</f>
        <v/>
      </c>
      <c r="G3502">
        <f>IF(INDEX(L_Status,ROW()-4)="","",TRIM(UPPER(INDEX(L_Status,ROW()-4))))</f>
        <v/>
      </c>
      <c r="J3502">
        <f>IF(INDEX(L_ID,ROW()-4)="","",IF(SUMPRODUCT((P_ID=INDEX(L_ID,ROW()-4))*(P_StatusN="INACTIVE"))&gt;0,1,0))</f>
        <v/>
      </c>
    </row>
    <row r="3503">
      <c r="A3503">
        <f>IF(INDEX(L_ID,ROW()-4)="","",IF(COUNTIF(P_ID,INDEX(L_ID,ROW()-4))&gt;0,1,0))</f>
        <v/>
      </c>
      <c r="B3503">
        <f>IF(INDEX(P_Type,ROW()-4)="","",TRIM(UPPER(INDEX(P_Type,ROW()-4))))</f>
        <v/>
      </c>
      <c r="D3503">
        <f>IF(INDEX(L_Type,ROW()-4)="","",TRIM(UPPER(INDEX(L_Type,ROW()-4))))</f>
        <v/>
      </c>
      <c r="E3503">
        <f>IF(INDEX(P_Status,ROW()-4)="","",TRIM(UPPER(INDEX(P_Status,ROW()-4))))</f>
        <v/>
      </c>
      <c r="G3503">
        <f>IF(INDEX(L_Status,ROW()-4)="","",TRIM(UPPER(INDEX(L_Status,ROW()-4))))</f>
        <v/>
      </c>
      <c r="J3503">
        <f>IF(INDEX(L_ID,ROW()-4)="","",IF(SUMPRODUCT((P_ID=INDEX(L_ID,ROW()-4))*(P_StatusN="INACTIVE"))&gt;0,1,0))</f>
        <v/>
      </c>
    </row>
    <row r="3504">
      <c r="A3504">
        <f>IF(INDEX(L_ID,ROW()-4)="","",IF(COUNTIF(P_ID,INDEX(L_ID,ROW()-4))&gt;0,1,0))</f>
        <v/>
      </c>
      <c r="B3504">
        <f>IF(INDEX(P_Type,ROW()-4)="","",TRIM(UPPER(INDEX(P_Type,ROW()-4))))</f>
        <v/>
      </c>
      <c r="D3504">
        <f>IF(INDEX(L_Type,ROW()-4)="","",TRIM(UPPER(INDEX(L_Type,ROW()-4))))</f>
        <v/>
      </c>
      <c r="E3504">
        <f>IF(INDEX(P_Status,ROW()-4)="","",TRIM(UPPER(INDEX(P_Status,ROW()-4))))</f>
        <v/>
      </c>
      <c r="G3504">
        <f>IF(INDEX(L_Status,ROW()-4)="","",TRIM(UPPER(INDEX(L_Status,ROW()-4))))</f>
        <v/>
      </c>
      <c r="J3504">
        <f>IF(INDEX(L_ID,ROW()-4)="","",IF(SUMPRODUCT((P_ID=INDEX(L_ID,ROW()-4))*(P_StatusN="INACTIVE"))&gt;0,1,0))</f>
        <v/>
      </c>
    </row>
    <row r="3505">
      <c r="A3505">
        <f>IF(INDEX(L_ID,ROW()-4)="","",IF(COUNTIF(P_ID,INDEX(L_ID,ROW()-4))&gt;0,1,0))</f>
        <v/>
      </c>
      <c r="B3505">
        <f>IF(INDEX(P_Type,ROW()-4)="","",TRIM(UPPER(INDEX(P_Type,ROW()-4))))</f>
        <v/>
      </c>
      <c r="D3505">
        <f>IF(INDEX(L_Type,ROW()-4)="","",TRIM(UPPER(INDEX(L_Type,ROW()-4))))</f>
        <v/>
      </c>
      <c r="E3505">
        <f>IF(INDEX(P_Status,ROW()-4)="","",TRIM(UPPER(INDEX(P_Status,ROW()-4))))</f>
        <v/>
      </c>
      <c r="G3505">
        <f>IF(INDEX(L_Status,ROW()-4)="","",TRIM(UPPER(INDEX(L_Status,ROW()-4))))</f>
        <v/>
      </c>
      <c r="J3505">
        <f>IF(INDEX(L_ID,ROW()-4)="","",IF(SUMPRODUCT((P_ID=INDEX(L_ID,ROW()-4))*(P_StatusN="INACTIVE"))&gt;0,1,0))</f>
        <v/>
      </c>
    </row>
    <row r="3506">
      <c r="A3506">
        <f>IF(INDEX(L_ID,ROW()-4)="","",IF(COUNTIF(P_ID,INDEX(L_ID,ROW()-4))&gt;0,1,0))</f>
        <v/>
      </c>
      <c r="B3506">
        <f>IF(INDEX(P_Type,ROW()-4)="","",TRIM(UPPER(INDEX(P_Type,ROW()-4))))</f>
        <v/>
      </c>
      <c r="D3506">
        <f>IF(INDEX(L_Type,ROW()-4)="","",TRIM(UPPER(INDEX(L_Type,ROW()-4))))</f>
        <v/>
      </c>
      <c r="E3506">
        <f>IF(INDEX(P_Status,ROW()-4)="","",TRIM(UPPER(INDEX(P_Status,ROW()-4))))</f>
        <v/>
      </c>
      <c r="G3506">
        <f>IF(INDEX(L_Status,ROW()-4)="","",TRIM(UPPER(INDEX(L_Status,ROW()-4))))</f>
        <v/>
      </c>
      <c r="J3506">
        <f>IF(INDEX(L_ID,ROW()-4)="","",IF(SUMPRODUCT((P_ID=INDEX(L_ID,ROW()-4))*(P_StatusN="INACTIVE"))&gt;0,1,0))</f>
        <v/>
      </c>
    </row>
    <row r="3507">
      <c r="A3507">
        <f>IF(INDEX(L_ID,ROW()-4)="","",IF(COUNTIF(P_ID,INDEX(L_ID,ROW()-4))&gt;0,1,0))</f>
        <v/>
      </c>
      <c r="B3507">
        <f>IF(INDEX(P_Type,ROW()-4)="","",TRIM(UPPER(INDEX(P_Type,ROW()-4))))</f>
        <v/>
      </c>
      <c r="D3507">
        <f>IF(INDEX(L_Type,ROW()-4)="","",TRIM(UPPER(INDEX(L_Type,ROW()-4))))</f>
        <v/>
      </c>
      <c r="E3507">
        <f>IF(INDEX(P_Status,ROW()-4)="","",TRIM(UPPER(INDEX(P_Status,ROW()-4))))</f>
        <v/>
      </c>
      <c r="G3507">
        <f>IF(INDEX(L_Status,ROW()-4)="","",TRIM(UPPER(INDEX(L_Status,ROW()-4))))</f>
        <v/>
      </c>
      <c r="J3507">
        <f>IF(INDEX(L_ID,ROW()-4)="","",IF(SUMPRODUCT((P_ID=INDEX(L_ID,ROW()-4))*(P_StatusN="INACTIVE"))&gt;0,1,0))</f>
        <v/>
      </c>
    </row>
    <row r="3508">
      <c r="A3508">
        <f>IF(INDEX(L_ID,ROW()-4)="","",IF(COUNTIF(P_ID,INDEX(L_ID,ROW()-4))&gt;0,1,0))</f>
        <v/>
      </c>
      <c r="B3508">
        <f>IF(INDEX(P_Type,ROW()-4)="","",TRIM(UPPER(INDEX(P_Type,ROW()-4))))</f>
        <v/>
      </c>
      <c r="D3508">
        <f>IF(INDEX(L_Type,ROW()-4)="","",TRIM(UPPER(INDEX(L_Type,ROW()-4))))</f>
        <v/>
      </c>
      <c r="E3508">
        <f>IF(INDEX(P_Status,ROW()-4)="","",TRIM(UPPER(INDEX(P_Status,ROW()-4))))</f>
        <v/>
      </c>
      <c r="G3508">
        <f>IF(INDEX(L_Status,ROW()-4)="","",TRIM(UPPER(INDEX(L_Status,ROW()-4))))</f>
        <v/>
      </c>
      <c r="J3508">
        <f>IF(INDEX(L_ID,ROW()-4)="","",IF(SUMPRODUCT((P_ID=INDEX(L_ID,ROW()-4))*(P_StatusN="INACTIVE"))&gt;0,1,0))</f>
        <v/>
      </c>
    </row>
    <row r="3509">
      <c r="A3509">
        <f>IF(INDEX(L_ID,ROW()-4)="","",IF(COUNTIF(P_ID,INDEX(L_ID,ROW()-4))&gt;0,1,0))</f>
        <v/>
      </c>
      <c r="B3509">
        <f>IF(INDEX(P_Type,ROW()-4)="","",TRIM(UPPER(INDEX(P_Type,ROW()-4))))</f>
        <v/>
      </c>
      <c r="D3509">
        <f>IF(INDEX(L_Type,ROW()-4)="","",TRIM(UPPER(INDEX(L_Type,ROW()-4))))</f>
        <v/>
      </c>
      <c r="E3509">
        <f>IF(INDEX(P_Status,ROW()-4)="","",TRIM(UPPER(INDEX(P_Status,ROW()-4))))</f>
        <v/>
      </c>
      <c r="G3509">
        <f>IF(INDEX(L_Status,ROW()-4)="","",TRIM(UPPER(INDEX(L_Status,ROW()-4))))</f>
        <v/>
      </c>
      <c r="J3509">
        <f>IF(INDEX(L_ID,ROW()-4)="","",IF(SUMPRODUCT((P_ID=INDEX(L_ID,ROW()-4))*(P_StatusN="INACTIVE"))&gt;0,1,0))</f>
        <v/>
      </c>
    </row>
    <row r="3510">
      <c r="A3510">
        <f>IF(INDEX(L_ID,ROW()-4)="","",IF(COUNTIF(P_ID,INDEX(L_ID,ROW()-4))&gt;0,1,0))</f>
        <v/>
      </c>
      <c r="B3510">
        <f>IF(INDEX(P_Type,ROW()-4)="","",TRIM(UPPER(INDEX(P_Type,ROW()-4))))</f>
        <v/>
      </c>
      <c r="D3510">
        <f>IF(INDEX(L_Type,ROW()-4)="","",TRIM(UPPER(INDEX(L_Type,ROW()-4))))</f>
        <v/>
      </c>
      <c r="E3510">
        <f>IF(INDEX(P_Status,ROW()-4)="","",TRIM(UPPER(INDEX(P_Status,ROW()-4))))</f>
        <v/>
      </c>
      <c r="G3510">
        <f>IF(INDEX(L_Status,ROW()-4)="","",TRIM(UPPER(INDEX(L_Status,ROW()-4))))</f>
        <v/>
      </c>
      <c r="J3510">
        <f>IF(INDEX(L_ID,ROW()-4)="","",IF(SUMPRODUCT((P_ID=INDEX(L_ID,ROW()-4))*(P_StatusN="INACTIVE"))&gt;0,1,0))</f>
        <v/>
      </c>
    </row>
    <row r="3511">
      <c r="A3511">
        <f>IF(INDEX(L_ID,ROW()-4)="","",IF(COUNTIF(P_ID,INDEX(L_ID,ROW()-4))&gt;0,1,0))</f>
        <v/>
      </c>
      <c r="B3511">
        <f>IF(INDEX(P_Type,ROW()-4)="","",TRIM(UPPER(INDEX(P_Type,ROW()-4))))</f>
        <v/>
      </c>
      <c r="D3511">
        <f>IF(INDEX(L_Type,ROW()-4)="","",TRIM(UPPER(INDEX(L_Type,ROW()-4))))</f>
        <v/>
      </c>
      <c r="E3511">
        <f>IF(INDEX(P_Status,ROW()-4)="","",TRIM(UPPER(INDEX(P_Status,ROW()-4))))</f>
        <v/>
      </c>
      <c r="G3511">
        <f>IF(INDEX(L_Status,ROW()-4)="","",TRIM(UPPER(INDEX(L_Status,ROW()-4))))</f>
        <v/>
      </c>
      <c r="J3511">
        <f>IF(INDEX(L_ID,ROW()-4)="","",IF(SUMPRODUCT((P_ID=INDEX(L_ID,ROW()-4))*(P_StatusN="INACTIVE"))&gt;0,1,0))</f>
        <v/>
      </c>
    </row>
    <row r="3512">
      <c r="A3512">
        <f>IF(INDEX(L_ID,ROW()-4)="","",IF(COUNTIF(P_ID,INDEX(L_ID,ROW()-4))&gt;0,1,0))</f>
        <v/>
      </c>
      <c r="B3512">
        <f>IF(INDEX(P_Type,ROW()-4)="","",TRIM(UPPER(INDEX(P_Type,ROW()-4))))</f>
        <v/>
      </c>
      <c r="D3512">
        <f>IF(INDEX(L_Type,ROW()-4)="","",TRIM(UPPER(INDEX(L_Type,ROW()-4))))</f>
        <v/>
      </c>
      <c r="E3512">
        <f>IF(INDEX(P_Status,ROW()-4)="","",TRIM(UPPER(INDEX(P_Status,ROW()-4))))</f>
        <v/>
      </c>
      <c r="G3512">
        <f>IF(INDEX(L_Status,ROW()-4)="","",TRIM(UPPER(INDEX(L_Status,ROW()-4))))</f>
        <v/>
      </c>
      <c r="J3512">
        <f>IF(INDEX(L_ID,ROW()-4)="","",IF(SUMPRODUCT((P_ID=INDEX(L_ID,ROW()-4))*(P_StatusN="INACTIVE"))&gt;0,1,0))</f>
        <v/>
      </c>
    </row>
    <row r="3513">
      <c r="A3513">
        <f>IF(INDEX(L_ID,ROW()-4)="","",IF(COUNTIF(P_ID,INDEX(L_ID,ROW()-4))&gt;0,1,0))</f>
        <v/>
      </c>
      <c r="B3513">
        <f>IF(INDEX(P_Type,ROW()-4)="","",TRIM(UPPER(INDEX(P_Type,ROW()-4))))</f>
        <v/>
      </c>
      <c r="D3513">
        <f>IF(INDEX(L_Type,ROW()-4)="","",TRIM(UPPER(INDEX(L_Type,ROW()-4))))</f>
        <v/>
      </c>
      <c r="E3513">
        <f>IF(INDEX(P_Status,ROW()-4)="","",TRIM(UPPER(INDEX(P_Status,ROW()-4))))</f>
        <v/>
      </c>
      <c r="G3513">
        <f>IF(INDEX(L_Status,ROW()-4)="","",TRIM(UPPER(INDEX(L_Status,ROW()-4))))</f>
        <v/>
      </c>
      <c r="J3513">
        <f>IF(INDEX(L_ID,ROW()-4)="","",IF(SUMPRODUCT((P_ID=INDEX(L_ID,ROW()-4))*(P_StatusN="INACTIVE"))&gt;0,1,0))</f>
        <v/>
      </c>
    </row>
    <row r="3514">
      <c r="A3514">
        <f>IF(INDEX(L_ID,ROW()-4)="","",IF(COUNTIF(P_ID,INDEX(L_ID,ROW()-4))&gt;0,1,0))</f>
        <v/>
      </c>
      <c r="B3514">
        <f>IF(INDEX(P_Type,ROW()-4)="","",TRIM(UPPER(INDEX(P_Type,ROW()-4))))</f>
        <v/>
      </c>
      <c r="D3514">
        <f>IF(INDEX(L_Type,ROW()-4)="","",TRIM(UPPER(INDEX(L_Type,ROW()-4))))</f>
        <v/>
      </c>
      <c r="E3514">
        <f>IF(INDEX(P_Status,ROW()-4)="","",TRIM(UPPER(INDEX(P_Status,ROW()-4))))</f>
        <v/>
      </c>
      <c r="G3514">
        <f>IF(INDEX(L_Status,ROW()-4)="","",TRIM(UPPER(INDEX(L_Status,ROW()-4))))</f>
        <v/>
      </c>
      <c r="J3514">
        <f>IF(INDEX(L_ID,ROW()-4)="","",IF(SUMPRODUCT((P_ID=INDEX(L_ID,ROW()-4))*(P_StatusN="INACTIVE"))&gt;0,1,0))</f>
        <v/>
      </c>
    </row>
    <row r="3515">
      <c r="A3515">
        <f>IF(INDEX(L_ID,ROW()-4)="","",IF(COUNTIF(P_ID,INDEX(L_ID,ROW()-4))&gt;0,1,0))</f>
        <v/>
      </c>
      <c r="B3515">
        <f>IF(INDEX(P_Type,ROW()-4)="","",TRIM(UPPER(INDEX(P_Type,ROW()-4))))</f>
        <v/>
      </c>
      <c r="D3515">
        <f>IF(INDEX(L_Type,ROW()-4)="","",TRIM(UPPER(INDEX(L_Type,ROW()-4))))</f>
        <v/>
      </c>
      <c r="E3515">
        <f>IF(INDEX(P_Status,ROW()-4)="","",TRIM(UPPER(INDEX(P_Status,ROW()-4))))</f>
        <v/>
      </c>
      <c r="G3515">
        <f>IF(INDEX(L_Status,ROW()-4)="","",TRIM(UPPER(INDEX(L_Status,ROW()-4))))</f>
        <v/>
      </c>
      <c r="J3515">
        <f>IF(INDEX(L_ID,ROW()-4)="","",IF(SUMPRODUCT((P_ID=INDEX(L_ID,ROW()-4))*(P_StatusN="INACTIVE"))&gt;0,1,0))</f>
        <v/>
      </c>
    </row>
    <row r="3516">
      <c r="A3516">
        <f>IF(INDEX(L_ID,ROW()-4)="","",IF(COUNTIF(P_ID,INDEX(L_ID,ROW()-4))&gt;0,1,0))</f>
        <v/>
      </c>
      <c r="B3516">
        <f>IF(INDEX(P_Type,ROW()-4)="","",TRIM(UPPER(INDEX(P_Type,ROW()-4))))</f>
        <v/>
      </c>
      <c r="D3516">
        <f>IF(INDEX(L_Type,ROW()-4)="","",TRIM(UPPER(INDEX(L_Type,ROW()-4))))</f>
        <v/>
      </c>
      <c r="E3516">
        <f>IF(INDEX(P_Status,ROW()-4)="","",TRIM(UPPER(INDEX(P_Status,ROW()-4))))</f>
        <v/>
      </c>
      <c r="G3516">
        <f>IF(INDEX(L_Status,ROW()-4)="","",TRIM(UPPER(INDEX(L_Status,ROW()-4))))</f>
        <v/>
      </c>
      <c r="J3516">
        <f>IF(INDEX(L_ID,ROW()-4)="","",IF(SUMPRODUCT((P_ID=INDEX(L_ID,ROW()-4))*(P_StatusN="INACTIVE"))&gt;0,1,0))</f>
        <v/>
      </c>
    </row>
    <row r="3517">
      <c r="A3517">
        <f>IF(INDEX(L_ID,ROW()-4)="","",IF(COUNTIF(P_ID,INDEX(L_ID,ROW()-4))&gt;0,1,0))</f>
        <v/>
      </c>
      <c r="B3517">
        <f>IF(INDEX(P_Type,ROW()-4)="","",TRIM(UPPER(INDEX(P_Type,ROW()-4))))</f>
        <v/>
      </c>
      <c r="D3517">
        <f>IF(INDEX(L_Type,ROW()-4)="","",TRIM(UPPER(INDEX(L_Type,ROW()-4))))</f>
        <v/>
      </c>
      <c r="E3517">
        <f>IF(INDEX(P_Status,ROW()-4)="","",TRIM(UPPER(INDEX(P_Status,ROW()-4))))</f>
        <v/>
      </c>
      <c r="G3517">
        <f>IF(INDEX(L_Status,ROW()-4)="","",TRIM(UPPER(INDEX(L_Status,ROW()-4))))</f>
        <v/>
      </c>
      <c r="J3517">
        <f>IF(INDEX(L_ID,ROW()-4)="","",IF(SUMPRODUCT((P_ID=INDEX(L_ID,ROW()-4))*(P_StatusN="INACTIVE"))&gt;0,1,0))</f>
        <v/>
      </c>
    </row>
    <row r="3518">
      <c r="A3518">
        <f>IF(INDEX(L_ID,ROW()-4)="","",IF(COUNTIF(P_ID,INDEX(L_ID,ROW()-4))&gt;0,1,0))</f>
        <v/>
      </c>
      <c r="B3518">
        <f>IF(INDEX(P_Type,ROW()-4)="","",TRIM(UPPER(INDEX(P_Type,ROW()-4))))</f>
        <v/>
      </c>
      <c r="D3518">
        <f>IF(INDEX(L_Type,ROW()-4)="","",TRIM(UPPER(INDEX(L_Type,ROW()-4))))</f>
        <v/>
      </c>
      <c r="E3518">
        <f>IF(INDEX(P_Status,ROW()-4)="","",TRIM(UPPER(INDEX(P_Status,ROW()-4))))</f>
        <v/>
      </c>
      <c r="G3518">
        <f>IF(INDEX(L_Status,ROW()-4)="","",TRIM(UPPER(INDEX(L_Status,ROW()-4))))</f>
        <v/>
      </c>
      <c r="J3518">
        <f>IF(INDEX(L_ID,ROW()-4)="","",IF(SUMPRODUCT((P_ID=INDEX(L_ID,ROW()-4))*(P_StatusN="INACTIVE"))&gt;0,1,0))</f>
        <v/>
      </c>
    </row>
    <row r="3519">
      <c r="A3519">
        <f>IF(INDEX(L_ID,ROW()-4)="","",IF(COUNTIF(P_ID,INDEX(L_ID,ROW()-4))&gt;0,1,0))</f>
        <v/>
      </c>
      <c r="B3519">
        <f>IF(INDEX(P_Type,ROW()-4)="","",TRIM(UPPER(INDEX(P_Type,ROW()-4))))</f>
        <v/>
      </c>
      <c r="D3519">
        <f>IF(INDEX(L_Type,ROW()-4)="","",TRIM(UPPER(INDEX(L_Type,ROW()-4))))</f>
        <v/>
      </c>
      <c r="E3519">
        <f>IF(INDEX(P_Status,ROW()-4)="","",TRIM(UPPER(INDEX(P_Status,ROW()-4))))</f>
        <v/>
      </c>
      <c r="G3519">
        <f>IF(INDEX(L_Status,ROW()-4)="","",TRIM(UPPER(INDEX(L_Status,ROW()-4))))</f>
        <v/>
      </c>
      <c r="J3519">
        <f>IF(INDEX(L_ID,ROW()-4)="","",IF(SUMPRODUCT((P_ID=INDEX(L_ID,ROW()-4))*(P_StatusN="INACTIVE"))&gt;0,1,0))</f>
        <v/>
      </c>
    </row>
    <row r="3520">
      <c r="A3520">
        <f>IF(INDEX(L_ID,ROW()-4)="","",IF(COUNTIF(P_ID,INDEX(L_ID,ROW()-4))&gt;0,1,0))</f>
        <v/>
      </c>
      <c r="B3520">
        <f>IF(INDEX(P_Type,ROW()-4)="","",TRIM(UPPER(INDEX(P_Type,ROW()-4))))</f>
        <v/>
      </c>
      <c r="D3520">
        <f>IF(INDEX(L_Type,ROW()-4)="","",TRIM(UPPER(INDEX(L_Type,ROW()-4))))</f>
        <v/>
      </c>
      <c r="E3520">
        <f>IF(INDEX(P_Status,ROW()-4)="","",TRIM(UPPER(INDEX(P_Status,ROW()-4))))</f>
        <v/>
      </c>
      <c r="G3520">
        <f>IF(INDEX(L_Status,ROW()-4)="","",TRIM(UPPER(INDEX(L_Status,ROW()-4))))</f>
        <v/>
      </c>
      <c r="J3520">
        <f>IF(INDEX(L_ID,ROW()-4)="","",IF(SUMPRODUCT((P_ID=INDEX(L_ID,ROW()-4))*(P_StatusN="INACTIVE"))&gt;0,1,0))</f>
        <v/>
      </c>
    </row>
    <row r="3521">
      <c r="A3521">
        <f>IF(INDEX(L_ID,ROW()-4)="","",IF(COUNTIF(P_ID,INDEX(L_ID,ROW()-4))&gt;0,1,0))</f>
        <v/>
      </c>
      <c r="B3521">
        <f>IF(INDEX(P_Type,ROW()-4)="","",TRIM(UPPER(INDEX(P_Type,ROW()-4))))</f>
        <v/>
      </c>
      <c r="D3521">
        <f>IF(INDEX(L_Type,ROW()-4)="","",TRIM(UPPER(INDEX(L_Type,ROW()-4))))</f>
        <v/>
      </c>
      <c r="E3521">
        <f>IF(INDEX(P_Status,ROW()-4)="","",TRIM(UPPER(INDEX(P_Status,ROW()-4))))</f>
        <v/>
      </c>
      <c r="G3521">
        <f>IF(INDEX(L_Status,ROW()-4)="","",TRIM(UPPER(INDEX(L_Status,ROW()-4))))</f>
        <v/>
      </c>
      <c r="J3521">
        <f>IF(INDEX(L_ID,ROW()-4)="","",IF(SUMPRODUCT((P_ID=INDEX(L_ID,ROW()-4))*(P_StatusN="INACTIVE"))&gt;0,1,0))</f>
        <v/>
      </c>
    </row>
    <row r="3522">
      <c r="A3522">
        <f>IF(INDEX(L_ID,ROW()-4)="","",IF(COUNTIF(P_ID,INDEX(L_ID,ROW()-4))&gt;0,1,0))</f>
        <v/>
      </c>
      <c r="B3522">
        <f>IF(INDEX(P_Type,ROW()-4)="","",TRIM(UPPER(INDEX(P_Type,ROW()-4))))</f>
        <v/>
      </c>
      <c r="D3522">
        <f>IF(INDEX(L_Type,ROW()-4)="","",TRIM(UPPER(INDEX(L_Type,ROW()-4))))</f>
        <v/>
      </c>
      <c r="E3522">
        <f>IF(INDEX(P_Status,ROW()-4)="","",TRIM(UPPER(INDEX(P_Status,ROW()-4))))</f>
        <v/>
      </c>
      <c r="G3522">
        <f>IF(INDEX(L_Status,ROW()-4)="","",TRIM(UPPER(INDEX(L_Status,ROW()-4))))</f>
        <v/>
      </c>
      <c r="J3522">
        <f>IF(INDEX(L_ID,ROW()-4)="","",IF(SUMPRODUCT((P_ID=INDEX(L_ID,ROW()-4))*(P_StatusN="INACTIVE"))&gt;0,1,0))</f>
        <v/>
      </c>
    </row>
    <row r="3523">
      <c r="A3523">
        <f>IF(INDEX(L_ID,ROW()-4)="","",IF(COUNTIF(P_ID,INDEX(L_ID,ROW()-4))&gt;0,1,0))</f>
        <v/>
      </c>
      <c r="B3523">
        <f>IF(INDEX(P_Type,ROW()-4)="","",TRIM(UPPER(INDEX(P_Type,ROW()-4))))</f>
        <v/>
      </c>
      <c r="D3523">
        <f>IF(INDEX(L_Type,ROW()-4)="","",TRIM(UPPER(INDEX(L_Type,ROW()-4))))</f>
        <v/>
      </c>
      <c r="E3523">
        <f>IF(INDEX(P_Status,ROW()-4)="","",TRIM(UPPER(INDEX(P_Status,ROW()-4))))</f>
        <v/>
      </c>
      <c r="G3523">
        <f>IF(INDEX(L_Status,ROW()-4)="","",TRIM(UPPER(INDEX(L_Status,ROW()-4))))</f>
        <v/>
      </c>
      <c r="J3523">
        <f>IF(INDEX(L_ID,ROW()-4)="","",IF(SUMPRODUCT((P_ID=INDEX(L_ID,ROW()-4))*(P_StatusN="INACTIVE"))&gt;0,1,0))</f>
        <v/>
      </c>
    </row>
    <row r="3524">
      <c r="A3524">
        <f>IF(INDEX(L_ID,ROW()-4)="","",IF(COUNTIF(P_ID,INDEX(L_ID,ROW()-4))&gt;0,1,0))</f>
        <v/>
      </c>
      <c r="B3524">
        <f>IF(INDEX(P_Type,ROW()-4)="","",TRIM(UPPER(INDEX(P_Type,ROW()-4))))</f>
        <v/>
      </c>
      <c r="D3524">
        <f>IF(INDEX(L_Type,ROW()-4)="","",TRIM(UPPER(INDEX(L_Type,ROW()-4))))</f>
        <v/>
      </c>
      <c r="E3524">
        <f>IF(INDEX(P_Status,ROW()-4)="","",TRIM(UPPER(INDEX(P_Status,ROW()-4))))</f>
        <v/>
      </c>
      <c r="G3524">
        <f>IF(INDEX(L_Status,ROW()-4)="","",TRIM(UPPER(INDEX(L_Status,ROW()-4))))</f>
        <v/>
      </c>
      <c r="J3524">
        <f>IF(INDEX(L_ID,ROW()-4)="","",IF(SUMPRODUCT((P_ID=INDEX(L_ID,ROW()-4))*(P_StatusN="INACTIVE"))&gt;0,1,0))</f>
        <v/>
      </c>
    </row>
    <row r="3525">
      <c r="A3525">
        <f>IF(INDEX(L_ID,ROW()-4)="","",IF(COUNTIF(P_ID,INDEX(L_ID,ROW()-4))&gt;0,1,0))</f>
        <v/>
      </c>
      <c r="B3525">
        <f>IF(INDEX(P_Type,ROW()-4)="","",TRIM(UPPER(INDEX(P_Type,ROW()-4))))</f>
        <v/>
      </c>
      <c r="D3525">
        <f>IF(INDEX(L_Type,ROW()-4)="","",TRIM(UPPER(INDEX(L_Type,ROW()-4))))</f>
        <v/>
      </c>
      <c r="E3525">
        <f>IF(INDEX(P_Status,ROW()-4)="","",TRIM(UPPER(INDEX(P_Status,ROW()-4))))</f>
        <v/>
      </c>
      <c r="G3525">
        <f>IF(INDEX(L_Status,ROW()-4)="","",TRIM(UPPER(INDEX(L_Status,ROW()-4))))</f>
        <v/>
      </c>
      <c r="J3525">
        <f>IF(INDEX(L_ID,ROW()-4)="","",IF(SUMPRODUCT((P_ID=INDEX(L_ID,ROW()-4))*(P_StatusN="INACTIVE"))&gt;0,1,0))</f>
        <v/>
      </c>
    </row>
    <row r="3526">
      <c r="A3526">
        <f>IF(INDEX(L_ID,ROW()-4)="","",IF(COUNTIF(P_ID,INDEX(L_ID,ROW()-4))&gt;0,1,0))</f>
        <v/>
      </c>
      <c r="B3526">
        <f>IF(INDEX(P_Type,ROW()-4)="","",TRIM(UPPER(INDEX(P_Type,ROW()-4))))</f>
        <v/>
      </c>
      <c r="D3526">
        <f>IF(INDEX(L_Type,ROW()-4)="","",TRIM(UPPER(INDEX(L_Type,ROW()-4))))</f>
        <v/>
      </c>
      <c r="E3526">
        <f>IF(INDEX(P_Status,ROW()-4)="","",TRIM(UPPER(INDEX(P_Status,ROW()-4))))</f>
        <v/>
      </c>
      <c r="G3526">
        <f>IF(INDEX(L_Status,ROW()-4)="","",TRIM(UPPER(INDEX(L_Status,ROW()-4))))</f>
        <v/>
      </c>
      <c r="J3526">
        <f>IF(INDEX(L_ID,ROW()-4)="","",IF(SUMPRODUCT((P_ID=INDEX(L_ID,ROW()-4))*(P_StatusN="INACTIVE"))&gt;0,1,0))</f>
        <v/>
      </c>
    </row>
    <row r="3527">
      <c r="A3527">
        <f>IF(INDEX(L_ID,ROW()-4)="","",IF(COUNTIF(P_ID,INDEX(L_ID,ROW()-4))&gt;0,1,0))</f>
        <v/>
      </c>
      <c r="B3527">
        <f>IF(INDEX(P_Type,ROW()-4)="","",TRIM(UPPER(INDEX(P_Type,ROW()-4))))</f>
        <v/>
      </c>
      <c r="D3527">
        <f>IF(INDEX(L_Type,ROW()-4)="","",TRIM(UPPER(INDEX(L_Type,ROW()-4))))</f>
        <v/>
      </c>
      <c r="E3527">
        <f>IF(INDEX(P_Status,ROW()-4)="","",TRIM(UPPER(INDEX(P_Status,ROW()-4))))</f>
        <v/>
      </c>
      <c r="G3527">
        <f>IF(INDEX(L_Status,ROW()-4)="","",TRIM(UPPER(INDEX(L_Status,ROW()-4))))</f>
        <v/>
      </c>
      <c r="J3527">
        <f>IF(INDEX(L_ID,ROW()-4)="","",IF(SUMPRODUCT((P_ID=INDEX(L_ID,ROW()-4))*(P_StatusN="INACTIVE"))&gt;0,1,0))</f>
        <v/>
      </c>
    </row>
    <row r="3528">
      <c r="A3528">
        <f>IF(INDEX(L_ID,ROW()-4)="","",IF(COUNTIF(P_ID,INDEX(L_ID,ROW()-4))&gt;0,1,0))</f>
        <v/>
      </c>
      <c r="B3528">
        <f>IF(INDEX(P_Type,ROW()-4)="","",TRIM(UPPER(INDEX(P_Type,ROW()-4))))</f>
        <v/>
      </c>
      <c r="D3528">
        <f>IF(INDEX(L_Type,ROW()-4)="","",TRIM(UPPER(INDEX(L_Type,ROW()-4))))</f>
        <v/>
      </c>
      <c r="E3528">
        <f>IF(INDEX(P_Status,ROW()-4)="","",TRIM(UPPER(INDEX(P_Status,ROW()-4))))</f>
        <v/>
      </c>
      <c r="G3528">
        <f>IF(INDEX(L_Status,ROW()-4)="","",TRIM(UPPER(INDEX(L_Status,ROW()-4))))</f>
        <v/>
      </c>
      <c r="J3528">
        <f>IF(INDEX(L_ID,ROW()-4)="","",IF(SUMPRODUCT((P_ID=INDEX(L_ID,ROW()-4))*(P_StatusN="INACTIVE"))&gt;0,1,0))</f>
        <v/>
      </c>
    </row>
    <row r="3529">
      <c r="A3529">
        <f>IF(INDEX(L_ID,ROW()-4)="","",IF(COUNTIF(P_ID,INDEX(L_ID,ROW()-4))&gt;0,1,0))</f>
        <v/>
      </c>
      <c r="B3529">
        <f>IF(INDEX(P_Type,ROW()-4)="","",TRIM(UPPER(INDEX(P_Type,ROW()-4))))</f>
        <v/>
      </c>
      <c r="D3529">
        <f>IF(INDEX(L_Type,ROW()-4)="","",TRIM(UPPER(INDEX(L_Type,ROW()-4))))</f>
        <v/>
      </c>
      <c r="E3529">
        <f>IF(INDEX(P_Status,ROW()-4)="","",TRIM(UPPER(INDEX(P_Status,ROW()-4))))</f>
        <v/>
      </c>
      <c r="G3529">
        <f>IF(INDEX(L_Status,ROW()-4)="","",TRIM(UPPER(INDEX(L_Status,ROW()-4))))</f>
        <v/>
      </c>
      <c r="J3529">
        <f>IF(INDEX(L_ID,ROW()-4)="","",IF(SUMPRODUCT((P_ID=INDEX(L_ID,ROW()-4))*(P_StatusN="INACTIVE"))&gt;0,1,0))</f>
        <v/>
      </c>
    </row>
    <row r="3530">
      <c r="A3530">
        <f>IF(INDEX(L_ID,ROW()-4)="","",IF(COUNTIF(P_ID,INDEX(L_ID,ROW()-4))&gt;0,1,0))</f>
        <v/>
      </c>
      <c r="B3530">
        <f>IF(INDEX(P_Type,ROW()-4)="","",TRIM(UPPER(INDEX(P_Type,ROW()-4))))</f>
        <v/>
      </c>
      <c r="D3530">
        <f>IF(INDEX(L_Type,ROW()-4)="","",TRIM(UPPER(INDEX(L_Type,ROW()-4))))</f>
        <v/>
      </c>
      <c r="E3530">
        <f>IF(INDEX(P_Status,ROW()-4)="","",TRIM(UPPER(INDEX(P_Status,ROW()-4))))</f>
        <v/>
      </c>
      <c r="G3530">
        <f>IF(INDEX(L_Status,ROW()-4)="","",TRIM(UPPER(INDEX(L_Status,ROW()-4))))</f>
        <v/>
      </c>
      <c r="J3530">
        <f>IF(INDEX(L_ID,ROW()-4)="","",IF(SUMPRODUCT((P_ID=INDEX(L_ID,ROW()-4))*(P_StatusN="INACTIVE"))&gt;0,1,0))</f>
        <v/>
      </c>
    </row>
    <row r="3531">
      <c r="A3531">
        <f>IF(INDEX(L_ID,ROW()-4)="","",IF(COUNTIF(P_ID,INDEX(L_ID,ROW()-4))&gt;0,1,0))</f>
        <v/>
      </c>
      <c r="B3531">
        <f>IF(INDEX(P_Type,ROW()-4)="","",TRIM(UPPER(INDEX(P_Type,ROW()-4))))</f>
        <v/>
      </c>
      <c r="D3531">
        <f>IF(INDEX(L_Type,ROW()-4)="","",TRIM(UPPER(INDEX(L_Type,ROW()-4))))</f>
        <v/>
      </c>
      <c r="E3531">
        <f>IF(INDEX(P_Status,ROW()-4)="","",TRIM(UPPER(INDEX(P_Status,ROW()-4))))</f>
        <v/>
      </c>
      <c r="G3531">
        <f>IF(INDEX(L_Status,ROW()-4)="","",TRIM(UPPER(INDEX(L_Status,ROW()-4))))</f>
        <v/>
      </c>
      <c r="J3531">
        <f>IF(INDEX(L_ID,ROW()-4)="","",IF(SUMPRODUCT((P_ID=INDEX(L_ID,ROW()-4))*(P_StatusN="INACTIVE"))&gt;0,1,0))</f>
        <v/>
      </c>
    </row>
    <row r="3532">
      <c r="A3532">
        <f>IF(INDEX(L_ID,ROW()-4)="","",IF(COUNTIF(P_ID,INDEX(L_ID,ROW()-4))&gt;0,1,0))</f>
        <v/>
      </c>
      <c r="B3532">
        <f>IF(INDEX(P_Type,ROW()-4)="","",TRIM(UPPER(INDEX(P_Type,ROW()-4))))</f>
        <v/>
      </c>
      <c r="D3532">
        <f>IF(INDEX(L_Type,ROW()-4)="","",TRIM(UPPER(INDEX(L_Type,ROW()-4))))</f>
        <v/>
      </c>
      <c r="E3532">
        <f>IF(INDEX(P_Status,ROW()-4)="","",TRIM(UPPER(INDEX(P_Status,ROW()-4))))</f>
        <v/>
      </c>
      <c r="G3532">
        <f>IF(INDEX(L_Status,ROW()-4)="","",TRIM(UPPER(INDEX(L_Status,ROW()-4))))</f>
        <v/>
      </c>
      <c r="J3532">
        <f>IF(INDEX(L_ID,ROW()-4)="","",IF(SUMPRODUCT((P_ID=INDEX(L_ID,ROW()-4))*(P_StatusN="INACTIVE"))&gt;0,1,0))</f>
        <v/>
      </c>
    </row>
    <row r="3533">
      <c r="A3533">
        <f>IF(INDEX(L_ID,ROW()-4)="","",IF(COUNTIF(P_ID,INDEX(L_ID,ROW()-4))&gt;0,1,0))</f>
        <v/>
      </c>
      <c r="B3533">
        <f>IF(INDEX(P_Type,ROW()-4)="","",TRIM(UPPER(INDEX(P_Type,ROW()-4))))</f>
        <v/>
      </c>
      <c r="D3533">
        <f>IF(INDEX(L_Type,ROW()-4)="","",TRIM(UPPER(INDEX(L_Type,ROW()-4))))</f>
        <v/>
      </c>
      <c r="E3533">
        <f>IF(INDEX(P_Status,ROW()-4)="","",TRIM(UPPER(INDEX(P_Status,ROW()-4))))</f>
        <v/>
      </c>
      <c r="G3533">
        <f>IF(INDEX(L_Status,ROW()-4)="","",TRIM(UPPER(INDEX(L_Status,ROW()-4))))</f>
        <v/>
      </c>
      <c r="J3533">
        <f>IF(INDEX(L_ID,ROW()-4)="","",IF(SUMPRODUCT((P_ID=INDEX(L_ID,ROW()-4))*(P_StatusN="INACTIVE"))&gt;0,1,0))</f>
        <v/>
      </c>
    </row>
    <row r="3534">
      <c r="A3534">
        <f>IF(INDEX(L_ID,ROW()-4)="","",IF(COUNTIF(P_ID,INDEX(L_ID,ROW()-4))&gt;0,1,0))</f>
        <v/>
      </c>
      <c r="B3534">
        <f>IF(INDEX(P_Type,ROW()-4)="","",TRIM(UPPER(INDEX(P_Type,ROW()-4))))</f>
        <v/>
      </c>
      <c r="D3534">
        <f>IF(INDEX(L_Type,ROW()-4)="","",TRIM(UPPER(INDEX(L_Type,ROW()-4))))</f>
        <v/>
      </c>
      <c r="E3534">
        <f>IF(INDEX(P_Status,ROW()-4)="","",TRIM(UPPER(INDEX(P_Status,ROW()-4))))</f>
        <v/>
      </c>
      <c r="G3534">
        <f>IF(INDEX(L_Status,ROW()-4)="","",TRIM(UPPER(INDEX(L_Status,ROW()-4))))</f>
        <v/>
      </c>
      <c r="J3534">
        <f>IF(INDEX(L_ID,ROW()-4)="","",IF(SUMPRODUCT((P_ID=INDEX(L_ID,ROW()-4))*(P_StatusN="INACTIVE"))&gt;0,1,0))</f>
        <v/>
      </c>
    </row>
    <row r="3535">
      <c r="A3535">
        <f>IF(INDEX(L_ID,ROW()-4)="","",IF(COUNTIF(P_ID,INDEX(L_ID,ROW()-4))&gt;0,1,0))</f>
        <v/>
      </c>
      <c r="B3535">
        <f>IF(INDEX(P_Type,ROW()-4)="","",TRIM(UPPER(INDEX(P_Type,ROW()-4))))</f>
        <v/>
      </c>
      <c r="D3535">
        <f>IF(INDEX(L_Type,ROW()-4)="","",TRIM(UPPER(INDEX(L_Type,ROW()-4))))</f>
        <v/>
      </c>
      <c r="E3535">
        <f>IF(INDEX(P_Status,ROW()-4)="","",TRIM(UPPER(INDEX(P_Status,ROW()-4))))</f>
        <v/>
      </c>
      <c r="G3535">
        <f>IF(INDEX(L_Status,ROW()-4)="","",TRIM(UPPER(INDEX(L_Status,ROW()-4))))</f>
        <v/>
      </c>
      <c r="J3535">
        <f>IF(INDEX(L_ID,ROW()-4)="","",IF(SUMPRODUCT((P_ID=INDEX(L_ID,ROW()-4))*(P_StatusN="INACTIVE"))&gt;0,1,0))</f>
        <v/>
      </c>
    </row>
    <row r="3536">
      <c r="A3536">
        <f>IF(INDEX(L_ID,ROW()-4)="","",IF(COUNTIF(P_ID,INDEX(L_ID,ROW()-4))&gt;0,1,0))</f>
        <v/>
      </c>
      <c r="B3536">
        <f>IF(INDEX(P_Type,ROW()-4)="","",TRIM(UPPER(INDEX(P_Type,ROW()-4))))</f>
        <v/>
      </c>
      <c r="D3536">
        <f>IF(INDEX(L_Type,ROW()-4)="","",TRIM(UPPER(INDEX(L_Type,ROW()-4))))</f>
        <v/>
      </c>
      <c r="E3536">
        <f>IF(INDEX(P_Status,ROW()-4)="","",TRIM(UPPER(INDEX(P_Status,ROW()-4))))</f>
        <v/>
      </c>
      <c r="G3536">
        <f>IF(INDEX(L_Status,ROW()-4)="","",TRIM(UPPER(INDEX(L_Status,ROW()-4))))</f>
        <v/>
      </c>
      <c r="J3536">
        <f>IF(INDEX(L_ID,ROW()-4)="","",IF(SUMPRODUCT((P_ID=INDEX(L_ID,ROW()-4))*(P_StatusN="INACTIVE"))&gt;0,1,0))</f>
        <v/>
      </c>
    </row>
    <row r="3537">
      <c r="A3537">
        <f>IF(INDEX(L_ID,ROW()-4)="","",IF(COUNTIF(P_ID,INDEX(L_ID,ROW()-4))&gt;0,1,0))</f>
        <v/>
      </c>
      <c r="B3537">
        <f>IF(INDEX(P_Type,ROW()-4)="","",TRIM(UPPER(INDEX(P_Type,ROW()-4))))</f>
        <v/>
      </c>
      <c r="D3537">
        <f>IF(INDEX(L_Type,ROW()-4)="","",TRIM(UPPER(INDEX(L_Type,ROW()-4))))</f>
        <v/>
      </c>
      <c r="E3537">
        <f>IF(INDEX(P_Status,ROW()-4)="","",TRIM(UPPER(INDEX(P_Status,ROW()-4))))</f>
        <v/>
      </c>
      <c r="G3537">
        <f>IF(INDEX(L_Status,ROW()-4)="","",TRIM(UPPER(INDEX(L_Status,ROW()-4))))</f>
        <v/>
      </c>
      <c r="J3537">
        <f>IF(INDEX(L_ID,ROW()-4)="","",IF(SUMPRODUCT((P_ID=INDEX(L_ID,ROW()-4))*(P_StatusN="INACTIVE"))&gt;0,1,0))</f>
        <v/>
      </c>
    </row>
    <row r="3538">
      <c r="A3538">
        <f>IF(INDEX(L_ID,ROW()-4)="","",IF(COUNTIF(P_ID,INDEX(L_ID,ROW()-4))&gt;0,1,0))</f>
        <v/>
      </c>
      <c r="B3538">
        <f>IF(INDEX(P_Type,ROW()-4)="","",TRIM(UPPER(INDEX(P_Type,ROW()-4))))</f>
        <v/>
      </c>
      <c r="D3538">
        <f>IF(INDEX(L_Type,ROW()-4)="","",TRIM(UPPER(INDEX(L_Type,ROW()-4))))</f>
        <v/>
      </c>
      <c r="E3538">
        <f>IF(INDEX(P_Status,ROW()-4)="","",TRIM(UPPER(INDEX(P_Status,ROW()-4))))</f>
        <v/>
      </c>
      <c r="G3538">
        <f>IF(INDEX(L_Status,ROW()-4)="","",TRIM(UPPER(INDEX(L_Status,ROW()-4))))</f>
        <v/>
      </c>
      <c r="J3538">
        <f>IF(INDEX(L_ID,ROW()-4)="","",IF(SUMPRODUCT((P_ID=INDEX(L_ID,ROW()-4))*(P_StatusN="INACTIVE"))&gt;0,1,0))</f>
        <v/>
      </c>
    </row>
    <row r="3539">
      <c r="A3539">
        <f>IF(INDEX(L_ID,ROW()-4)="","",IF(COUNTIF(P_ID,INDEX(L_ID,ROW()-4))&gt;0,1,0))</f>
        <v/>
      </c>
      <c r="B3539">
        <f>IF(INDEX(P_Type,ROW()-4)="","",TRIM(UPPER(INDEX(P_Type,ROW()-4))))</f>
        <v/>
      </c>
      <c r="D3539">
        <f>IF(INDEX(L_Type,ROW()-4)="","",TRIM(UPPER(INDEX(L_Type,ROW()-4))))</f>
        <v/>
      </c>
      <c r="E3539">
        <f>IF(INDEX(P_Status,ROW()-4)="","",TRIM(UPPER(INDEX(P_Status,ROW()-4))))</f>
        <v/>
      </c>
      <c r="G3539">
        <f>IF(INDEX(L_Status,ROW()-4)="","",TRIM(UPPER(INDEX(L_Status,ROW()-4))))</f>
        <v/>
      </c>
      <c r="J3539">
        <f>IF(INDEX(L_ID,ROW()-4)="","",IF(SUMPRODUCT((P_ID=INDEX(L_ID,ROW()-4))*(P_StatusN="INACTIVE"))&gt;0,1,0))</f>
        <v/>
      </c>
    </row>
    <row r="3540">
      <c r="A3540">
        <f>IF(INDEX(L_ID,ROW()-4)="","",IF(COUNTIF(P_ID,INDEX(L_ID,ROW()-4))&gt;0,1,0))</f>
        <v/>
      </c>
      <c r="B3540">
        <f>IF(INDEX(P_Type,ROW()-4)="","",TRIM(UPPER(INDEX(P_Type,ROW()-4))))</f>
        <v/>
      </c>
      <c r="D3540">
        <f>IF(INDEX(L_Type,ROW()-4)="","",TRIM(UPPER(INDEX(L_Type,ROW()-4))))</f>
        <v/>
      </c>
      <c r="E3540">
        <f>IF(INDEX(P_Status,ROW()-4)="","",TRIM(UPPER(INDEX(P_Status,ROW()-4))))</f>
        <v/>
      </c>
      <c r="G3540">
        <f>IF(INDEX(L_Status,ROW()-4)="","",TRIM(UPPER(INDEX(L_Status,ROW()-4))))</f>
        <v/>
      </c>
      <c r="J3540">
        <f>IF(INDEX(L_ID,ROW()-4)="","",IF(SUMPRODUCT((P_ID=INDEX(L_ID,ROW()-4))*(P_StatusN="INACTIVE"))&gt;0,1,0))</f>
        <v/>
      </c>
    </row>
    <row r="3541">
      <c r="A3541">
        <f>IF(INDEX(L_ID,ROW()-4)="","",IF(COUNTIF(P_ID,INDEX(L_ID,ROW()-4))&gt;0,1,0))</f>
        <v/>
      </c>
      <c r="B3541">
        <f>IF(INDEX(P_Type,ROW()-4)="","",TRIM(UPPER(INDEX(P_Type,ROW()-4))))</f>
        <v/>
      </c>
      <c r="D3541">
        <f>IF(INDEX(L_Type,ROW()-4)="","",TRIM(UPPER(INDEX(L_Type,ROW()-4))))</f>
        <v/>
      </c>
      <c r="E3541">
        <f>IF(INDEX(P_Status,ROW()-4)="","",TRIM(UPPER(INDEX(P_Status,ROW()-4))))</f>
        <v/>
      </c>
      <c r="G3541">
        <f>IF(INDEX(L_Status,ROW()-4)="","",TRIM(UPPER(INDEX(L_Status,ROW()-4))))</f>
        <v/>
      </c>
      <c r="J3541">
        <f>IF(INDEX(L_ID,ROW()-4)="","",IF(SUMPRODUCT((P_ID=INDEX(L_ID,ROW()-4))*(P_StatusN="INACTIVE"))&gt;0,1,0))</f>
        <v/>
      </c>
    </row>
    <row r="3542">
      <c r="A3542">
        <f>IF(INDEX(L_ID,ROW()-4)="","",IF(COUNTIF(P_ID,INDEX(L_ID,ROW()-4))&gt;0,1,0))</f>
        <v/>
      </c>
      <c r="B3542">
        <f>IF(INDEX(P_Type,ROW()-4)="","",TRIM(UPPER(INDEX(P_Type,ROW()-4))))</f>
        <v/>
      </c>
      <c r="D3542">
        <f>IF(INDEX(L_Type,ROW()-4)="","",TRIM(UPPER(INDEX(L_Type,ROW()-4))))</f>
        <v/>
      </c>
      <c r="E3542">
        <f>IF(INDEX(P_Status,ROW()-4)="","",TRIM(UPPER(INDEX(P_Status,ROW()-4))))</f>
        <v/>
      </c>
      <c r="G3542">
        <f>IF(INDEX(L_Status,ROW()-4)="","",TRIM(UPPER(INDEX(L_Status,ROW()-4))))</f>
        <v/>
      </c>
      <c r="J3542">
        <f>IF(INDEX(L_ID,ROW()-4)="","",IF(SUMPRODUCT((P_ID=INDEX(L_ID,ROW()-4))*(P_StatusN="INACTIVE"))&gt;0,1,0))</f>
        <v/>
      </c>
    </row>
    <row r="3543">
      <c r="A3543">
        <f>IF(INDEX(L_ID,ROW()-4)="","",IF(COUNTIF(P_ID,INDEX(L_ID,ROW()-4))&gt;0,1,0))</f>
        <v/>
      </c>
      <c r="B3543">
        <f>IF(INDEX(P_Type,ROW()-4)="","",TRIM(UPPER(INDEX(P_Type,ROW()-4))))</f>
        <v/>
      </c>
      <c r="D3543">
        <f>IF(INDEX(L_Type,ROW()-4)="","",TRIM(UPPER(INDEX(L_Type,ROW()-4))))</f>
        <v/>
      </c>
      <c r="E3543">
        <f>IF(INDEX(P_Status,ROW()-4)="","",TRIM(UPPER(INDEX(P_Status,ROW()-4))))</f>
        <v/>
      </c>
      <c r="G3543">
        <f>IF(INDEX(L_Status,ROW()-4)="","",TRIM(UPPER(INDEX(L_Status,ROW()-4))))</f>
        <v/>
      </c>
      <c r="J3543">
        <f>IF(INDEX(L_ID,ROW()-4)="","",IF(SUMPRODUCT((P_ID=INDEX(L_ID,ROW()-4))*(P_StatusN="INACTIVE"))&gt;0,1,0))</f>
        <v/>
      </c>
    </row>
    <row r="3544">
      <c r="A3544">
        <f>IF(INDEX(L_ID,ROW()-4)="","",IF(COUNTIF(P_ID,INDEX(L_ID,ROW()-4))&gt;0,1,0))</f>
        <v/>
      </c>
      <c r="B3544">
        <f>IF(INDEX(P_Type,ROW()-4)="","",TRIM(UPPER(INDEX(P_Type,ROW()-4))))</f>
        <v/>
      </c>
      <c r="D3544">
        <f>IF(INDEX(L_Type,ROW()-4)="","",TRIM(UPPER(INDEX(L_Type,ROW()-4))))</f>
        <v/>
      </c>
      <c r="E3544">
        <f>IF(INDEX(P_Status,ROW()-4)="","",TRIM(UPPER(INDEX(P_Status,ROW()-4))))</f>
        <v/>
      </c>
      <c r="G3544">
        <f>IF(INDEX(L_Status,ROW()-4)="","",TRIM(UPPER(INDEX(L_Status,ROW()-4))))</f>
        <v/>
      </c>
      <c r="J3544">
        <f>IF(INDEX(L_ID,ROW()-4)="","",IF(SUMPRODUCT((P_ID=INDEX(L_ID,ROW()-4))*(P_StatusN="INACTIVE"))&gt;0,1,0))</f>
        <v/>
      </c>
    </row>
    <row r="3545">
      <c r="A3545">
        <f>IF(INDEX(L_ID,ROW()-4)="","",IF(COUNTIF(P_ID,INDEX(L_ID,ROW()-4))&gt;0,1,0))</f>
        <v/>
      </c>
      <c r="B3545">
        <f>IF(INDEX(P_Type,ROW()-4)="","",TRIM(UPPER(INDEX(P_Type,ROW()-4))))</f>
        <v/>
      </c>
      <c r="D3545">
        <f>IF(INDEX(L_Type,ROW()-4)="","",TRIM(UPPER(INDEX(L_Type,ROW()-4))))</f>
        <v/>
      </c>
      <c r="E3545">
        <f>IF(INDEX(P_Status,ROW()-4)="","",TRIM(UPPER(INDEX(P_Status,ROW()-4))))</f>
        <v/>
      </c>
      <c r="G3545">
        <f>IF(INDEX(L_Status,ROW()-4)="","",TRIM(UPPER(INDEX(L_Status,ROW()-4))))</f>
        <v/>
      </c>
      <c r="J3545">
        <f>IF(INDEX(L_ID,ROW()-4)="","",IF(SUMPRODUCT((P_ID=INDEX(L_ID,ROW()-4))*(P_StatusN="INACTIVE"))&gt;0,1,0))</f>
        <v/>
      </c>
    </row>
    <row r="3546">
      <c r="A3546">
        <f>IF(INDEX(L_ID,ROW()-4)="","",IF(COUNTIF(P_ID,INDEX(L_ID,ROW()-4))&gt;0,1,0))</f>
        <v/>
      </c>
      <c r="B3546">
        <f>IF(INDEX(P_Type,ROW()-4)="","",TRIM(UPPER(INDEX(P_Type,ROW()-4))))</f>
        <v/>
      </c>
      <c r="D3546">
        <f>IF(INDEX(L_Type,ROW()-4)="","",TRIM(UPPER(INDEX(L_Type,ROW()-4))))</f>
        <v/>
      </c>
      <c r="E3546">
        <f>IF(INDEX(P_Status,ROW()-4)="","",TRIM(UPPER(INDEX(P_Status,ROW()-4))))</f>
        <v/>
      </c>
      <c r="G3546">
        <f>IF(INDEX(L_Status,ROW()-4)="","",TRIM(UPPER(INDEX(L_Status,ROW()-4))))</f>
        <v/>
      </c>
      <c r="J3546">
        <f>IF(INDEX(L_ID,ROW()-4)="","",IF(SUMPRODUCT((P_ID=INDEX(L_ID,ROW()-4))*(P_StatusN="INACTIVE"))&gt;0,1,0))</f>
        <v/>
      </c>
    </row>
    <row r="3547">
      <c r="A3547">
        <f>IF(INDEX(L_ID,ROW()-4)="","",IF(COUNTIF(P_ID,INDEX(L_ID,ROW()-4))&gt;0,1,0))</f>
        <v/>
      </c>
      <c r="B3547">
        <f>IF(INDEX(P_Type,ROW()-4)="","",TRIM(UPPER(INDEX(P_Type,ROW()-4))))</f>
        <v/>
      </c>
      <c r="D3547">
        <f>IF(INDEX(L_Type,ROW()-4)="","",TRIM(UPPER(INDEX(L_Type,ROW()-4))))</f>
        <v/>
      </c>
      <c r="E3547">
        <f>IF(INDEX(P_Status,ROW()-4)="","",TRIM(UPPER(INDEX(P_Status,ROW()-4))))</f>
        <v/>
      </c>
      <c r="G3547">
        <f>IF(INDEX(L_Status,ROW()-4)="","",TRIM(UPPER(INDEX(L_Status,ROW()-4))))</f>
        <v/>
      </c>
      <c r="J3547">
        <f>IF(INDEX(L_ID,ROW()-4)="","",IF(SUMPRODUCT((P_ID=INDEX(L_ID,ROW()-4))*(P_StatusN="INACTIVE"))&gt;0,1,0))</f>
        <v/>
      </c>
    </row>
    <row r="3548">
      <c r="A3548">
        <f>IF(INDEX(L_ID,ROW()-4)="","",IF(COUNTIF(P_ID,INDEX(L_ID,ROW()-4))&gt;0,1,0))</f>
        <v/>
      </c>
      <c r="B3548">
        <f>IF(INDEX(P_Type,ROW()-4)="","",TRIM(UPPER(INDEX(P_Type,ROW()-4))))</f>
        <v/>
      </c>
      <c r="D3548">
        <f>IF(INDEX(L_Type,ROW()-4)="","",TRIM(UPPER(INDEX(L_Type,ROW()-4))))</f>
        <v/>
      </c>
      <c r="E3548">
        <f>IF(INDEX(P_Status,ROW()-4)="","",TRIM(UPPER(INDEX(P_Status,ROW()-4))))</f>
        <v/>
      </c>
      <c r="G3548">
        <f>IF(INDEX(L_Status,ROW()-4)="","",TRIM(UPPER(INDEX(L_Status,ROW()-4))))</f>
        <v/>
      </c>
      <c r="J3548">
        <f>IF(INDEX(L_ID,ROW()-4)="","",IF(SUMPRODUCT((P_ID=INDEX(L_ID,ROW()-4))*(P_StatusN="INACTIVE"))&gt;0,1,0))</f>
        <v/>
      </c>
    </row>
    <row r="3549">
      <c r="A3549">
        <f>IF(INDEX(L_ID,ROW()-4)="","",IF(COUNTIF(P_ID,INDEX(L_ID,ROW()-4))&gt;0,1,0))</f>
        <v/>
      </c>
      <c r="B3549">
        <f>IF(INDEX(P_Type,ROW()-4)="","",TRIM(UPPER(INDEX(P_Type,ROW()-4))))</f>
        <v/>
      </c>
      <c r="D3549">
        <f>IF(INDEX(L_Type,ROW()-4)="","",TRIM(UPPER(INDEX(L_Type,ROW()-4))))</f>
        <v/>
      </c>
      <c r="E3549">
        <f>IF(INDEX(P_Status,ROW()-4)="","",TRIM(UPPER(INDEX(P_Status,ROW()-4))))</f>
        <v/>
      </c>
      <c r="G3549">
        <f>IF(INDEX(L_Status,ROW()-4)="","",TRIM(UPPER(INDEX(L_Status,ROW()-4))))</f>
        <v/>
      </c>
      <c r="J3549">
        <f>IF(INDEX(L_ID,ROW()-4)="","",IF(SUMPRODUCT((P_ID=INDEX(L_ID,ROW()-4))*(P_StatusN="INACTIVE"))&gt;0,1,0))</f>
        <v/>
      </c>
    </row>
    <row r="3550">
      <c r="A3550">
        <f>IF(INDEX(L_ID,ROW()-4)="","",IF(COUNTIF(P_ID,INDEX(L_ID,ROW()-4))&gt;0,1,0))</f>
        <v/>
      </c>
      <c r="B3550">
        <f>IF(INDEX(P_Type,ROW()-4)="","",TRIM(UPPER(INDEX(P_Type,ROW()-4))))</f>
        <v/>
      </c>
      <c r="D3550">
        <f>IF(INDEX(L_Type,ROW()-4)="","",TRIM(UPPER(INDEX(L_Type,ROW()-4))))</f>
        <v/>
      </c>
      <c r="E3550">
        <f>IF(INDEX(P_Status,ROW()-4)="","",TRIM(UPPER(INDEX(P_Status,ROW()-4))))</f>
        <v/>
      </c>
      <c r="G3550">
        <f>IF(INDEX(L_Status,ROW()-4)="","",TRIM(UPPER(INDEX(L_Status,ROW()-4))))</f>
        <v/>
      </c>
      <c r="J3550">
        <f>IF(INDEX(L_ID,ROW()-4)="","",IF(SUMPRODUCT((P_ID=INDEX(L_ID,ROW()-4))*(P_StatusN="INACTIVE"))&gt;0,1,0))</f>
        <v/>
      </c>
    </row>
    <row r="3551">
      <c r="A3551">
        <f>IF(INDEX(L_ID,ROW()-4)="","",IF(COUNTIF(P_ID,INDEX(L_ID,ROW()-4))&gt;0,1,0))</f>
        <v/>
      </c>
      <c r="B3551">
        <f>IF(INDEX(P_Type,ROW()-4)="","",TRIM(UPPER(INDEX(P_Type,ROW()-4))))</f>
        <v/>
      </c>
      <c r="D3551">
        <f>IF(INDEX(L_Type,ROW()-4)="","",TRIM(UPPER(INDEX(L_Type,ROW()-4))))</f>
        <v/>
      </c>
      <c r="E3551">
        <f>IF(INDEX(P_Status,ROW()-4)="","",TRIM(UPPER(INDEX(P_Status,ROW()-4))))</f>
        <v/>
      </c>
      <c r="G3551">
        <f>IF(INDEX(L_Status,ROW()-4)="","",TRIM(UPPER(INDEX(L_Status,ROW()-4))))</f>
        <v/>
      </c>
      <c r="J3551">
        <f>IF(INDEX(L_ID,ROW()-4)="","",IF(SUMPRODUCT((P_ID=INDEX(L_ID,ROW()-4))*(P_StatusN="INACTIVE"))&gt;0,1,0))</f>
        <v/>
      </c>
    </row>
    <row r="3552">
      <c r="A3552">
        <f>IF(INDEX(L_ID,ROW()-4)="","",IF(COUNTIF(P_ID,INDEX(L_ID,ROW()-4))&gt;0,1,0))</f>
        <v/>
      </c>
      <c r="B3552">
        <f>IF(INDEX(P_Type,ROW()-4)="","",TRIM(UPPER(INDEX(P_Type,ROW()-4))))</f>
        <v/>
      </c>
      <c r="D3552">
        <f>IF(INDEX(L_Type,ROW()-4)="","",TRIM(UPPER(INDEX(L_Type,ROW()-4))))</f>
        <v/>
      </c>
      <c r="E3552">
        <f>IF(INDEX(P_Status,ROW()-4)="","",TRIM(UPPER(INDEX(P_Status,ROW()-4))))</f>
        <v/>
      </c>
      <c r="G3552">
        <f>IF(INDEX(L_Status,ROW()-4)="","",TRIM(UPPER(INDEX(L_Status,ROW()-4))))</f>
        <v/>
      </c>
      <c r="J3552">
        <f>IF(INDEX(L_ID,ROW()-4)="","",IF(SUMPRODUCT((P_ID=INDEX(L_ID,ROW()-4))*(P_StatusN="INACTIVE"))&gt;0,1,0))</f>
        <v/>
      </c>
    </row>
    <row r="3553">
      <c r="A3553">
        <f>IF(INDEX(L_ID,ROW()-4)="","",IF(COUNTIF(P_ID,INDEX(L_ID,ROW()-4))&gt;0,1,0))</f>
        <v/>
      </c>
      <c r="B3553">
        <f>IF(INDEX(P_Type,ROW()-4)="","",TRIM(UPPER(INDEX(P_Type,ROW()-4))))</f>
        <v/>
      </c>
      <c r="D3553">
        <f>IF(INDEX(L_Type,ROW()-4)="","",TRIM(UPPER(INDEX(L_Type,ROW()-4))))</f>
        <v/>
      </c>
      <c r="E3553">
        <f>IF(INDEX(P_Status,ROW()-4)="","",TRIM(UPPER(INDEX(P_Status,ROW()-4))))</f>
        <v/>
      </c>
      <c r="G3553">
        <f>IF(INDEX(L_Status,ROW()-4)="","",TRIM(UPPER(INDEX(L_Status,ROW()-4))))</f>
        <v/>
      </c>
      <c r="J3553">
        <f>IF(INDEX(L_ID,ROW()-4)="","",IF(SUMPRODUCT((P_ID=INDEX(L_ID,ROW()-4))*(P_StatusN="INACTIVE"))&gt;0,1,0))</f>
        <v/>
      </c>
    </row>
    <row r="3554">
      <c r="A3554">
        <f>IF(INDEX(L_ID,ROW()-4)="","",IF(COUNTIF(P_ID,INDEX(L_ID,ROW()-4))&gt;0,1,0))</f>
        <v/>
      </c>
      <c r="B3554">
        <f>IF(INDEX(P_Type,ROW()-4)="","",TRIM(UPPER(INDEX(P_Type,ROW()-4))))</f>
        <v/>
      </c>
      <c r="D3554">
        <f>IF(INDEX(L_Type,ROW()-4)="","",TRIM(UPPER(INDEX(L_Type,ROW()-4))))</f>
        <v/>
      </c>
      <c r="E3554">
        <f>IF(INDEX(P_Status,ROW()-4)="","",TRIM(UPPER(INDEX(P_Status,ROW()-4))))</f>
        <v/>
      </c>
      <c r="G3554">
        <f>IF(INDEX(L_Status,ROW()-4)="","",TRIM(UPPER(INDEX(L_Status,ROW()-4))))</f>
        <v/>
      </c>
      <c r="J3554">
        <f>IF(INDEX(L_ID,ROW()-4)="","",IF(SUMPRODUCT((P_ID=INDEX(L_ID,ROW()-4))*(P_StatusN="INACTIVE"))&gt;0,1,0))</f>
        <v/>
      </c>
    </row>
    <row r="3555">
      <c r="A3555">
        <f>IF(INDEX(L_ID,ROW()-4)="","",IF(COUNTIF(P_ID,INDEX(L_ID,ROW()-4))&gt;0,1,0))</f>
        <v/>
      </c>
      <c r="B3555">
        <f>IF(INDEX(P_Type,ROW()-4)="","",TRIM(UPPER(INDEX(P_Type,ROW()-4))))</f>
        <v/>
      </c>
      <c r="D3555">
        <f>IF(INDEX(L_Type,ROW()-4)="","",TRIM(UPPER(INDEX(L_Type,ROW()-4))))</f>
        <v/>
      </c>
      <c r="E3555">
        <f>IF(INDEX(P_Status,ROW()-4)="","",TRIM(UPPER(INDEX(P_Status,ROW()-4))))</f>
        <v/>
      </c>
      <c r="G3555">
        <f>IF(INDEX(L_Status,ROW()-4)="","",TRIM(UPPER(INDEX(L_Status,ROW()-4))))</f>
        <v/>
      </c>
      <c r="J3555">
        <f>IF(INDEX(L_ID,ROW()-4)="","",IF(SUMPRODUCT((P_ID=INDEX(L_ID,ROW()-4))*(P_StatusN="INACTIVE"))&gt;0,1,0))</f>
        <v/>
      </c>
    </row>
    <row r="3556">
      <c r="A3556">
        <f>IF(INDEX(L_ID,ROW()-4)="","",IF(COUNTIF(P_ID,INDEX(L_ID,ROW()-4))&gt;0,1,0))</f>
        <v/>
      </c>
      <c r="B3556">
        <f>IF(INDEX(P_Type,ROW()-4)="","",TRIM(UPPER(INDEX(P_Type,ROW()-4))))</f>
        <v/>
      </c>
      <c r="D3556">
        <f>IF(INDEX(L_Type,ROW()-4)="","",TRIM(UPPER(INDEX(L_Type,ROW()-4))))</f>
        <v/>
      </c>
      <c r="E3556">
        <f>IF(INDEX(P_Status,ROW()-4)="","",TRIM(UPPER(INDEX(P_Status,ROW()-4))))</f>
        <v/>
      </c>
      <c r="G3556">
        <f>IF(INDEX(L_Status,ROW()-4)="","",TRIM(UPPER(INDEX(L_Status,ROW()-4))))</f>
        <v/>
      </c>
      <c r="J3556">
        <f>IF(INDEX(L_ID,ROW()-4)="","",IF(SUMPRODUCT((P_ID=INDEX(L_ID,ROW()-4))*(P_StatusN="INACTIVE"))&gt;0,1,0))</f>
        <v/>
      </c>
    </row>
    <row r="3557">
      <c r="A3557">
        <f>IF(INDEX(L_ID,ROW()-4)="","",IF(COUNTIF(P_ID,INDEX(L_ID,ROW()-4))&gt;0,1,0))</f>
        <v/>
      </c>
      <c r="B3557">
        <f>IF(INDEX(P_Type,ROW()-4)="","",TRIM(UPPER(INDEX(P_Type,ROW()-4))))</f>
        <v/>
      </c>
      <c r="D3557">
        <f>IF(INDEX(L_Type,ROW()-4)="","",TRIM(UPPER(INDEX(L_Type,ROW()-4))))</f>
        <v/>
      </c>
      <c r="E3557">
        <f>IF(INDEX(P_Status,ROW()-4)="","",TRIM(UPPER(INDEX(P_Status,ROW()-4))))</f>
        <v/>
      </c>
      <c r="G3557">
        <f>IF(INDEX(L_Status,ROW()-4)="","",TRIM(UPPER(INDEX(L_Status,ROW()-4))))</f>
        <v/>
      </c>
      <c r="J3557">
        <f>IF(INDEX(L_ID,ROW()-4)="","",IF(SUMPRODUCT((P_ID=INDEX(L_ID,ROW()-4))*(P_StatusN="INACTIVE"))&gt;0,1,0))</f>
        <v/>
      </c>
    </row>
    <row r="3558">
      <c r="A3558">
        <f>IF(INDEX(L_ID,ROW()-4)="","",IF(COUNTIF(P_ID,INDEX(L_ID,ROW()-4))&gt;0,1,0))</f>
        <v/>
      </c>
      <c r="B3558">
        <f>IF(INDEX(P_Type,ROW()-4)="","",TRIM(UPPER(INDEX(P_Type,ROW()-4))))</f>
        <v/>
      </c>
      <c r="D3558">
        <f>IF(INDEX(L_Type,ROW()-4)="","",TRIM(UPPER(INDEX(L_Type,ROW()-4))))</f>
        <v/>
      </c>
      <c r="E3558">
        <f>IF(INDEX(P_Status,ROW()-4)="","",TRIM(UPPER(INDEX(P_Status,ROW()-4))))</f>
        <v/>
      </c>
      <c r="G3558">
        <f>IF(INDEX(L_Status,ROW()-4)="","",TRIM(UPPER(INDEX(L_Status,ROW()-4))))</f>
        <v/>
      </c>
      <c r="J3558">
        <f>IF(INDEX(L_ID,ROW()-4)="","",IF(SUMPRODUCT((P_ID=INDEX(L_ID,ROW()-4))*(P_StatusN="INACTIVE"))&gt;0,1,0))</f>
        <v/>
      </c>
    </row>
    <row r="3559">
      <c r="A3559">
        <f>IF(INDEX(L_ID,ROW()-4)="","",IF(COUNTIF(P_ID,INDEX(L_ID,ROW()-4))&gt;0,1,0))</f>
        <v/>
      </c>
      <c r="B3559">
        <f>IF(INDEX(P_Type,ROW()-4)="","",TRIM(UPPER(INDEX(P_Type,ROW()-4))))</f>
        <v/>
      </c>
      <c r="D3559">
        <f>IF(INDEX(L_Type,ROW()-4)="","",TRIM(UPPER(INDEX(L_Type,ROW()-4))))</f>
        <v/>
      </c>
      <c r="E3559">
        <f>IF(INDEX(P_Status,ROW()-4)="","",TRIM(UPPER(INDEX(P_Status,ROW()-4))))</f>
        <v/>
      </c>
      <c r="G3559">
        <f>IF(INDEX(L_Status,ROW()-4)="","",TRIM(UPPER(INDEX(L_Status,ROW()-4))))</f>
        <v/>
      </c>
      <c r="J3559">
        <f>IF(INDEX(L_ID,ROW()-4)="","",IF(SUMPRODUCT((P_ID=INDEX(L_ID,ROW()-4))*(P_StatusN="INACTIVE"))&gt;0,1,0))</f>
        <v/>
      </c>
    </row>
    <row r="3560">
      <c r="A3560">
        <f>IF(INDEX(L_ID,ROW()-4)="","",IF(COUNTIF(P_ID,INDEX(L_ID,ROW()-4))&gt;0,1,0))</f>
        <v/>
      </c>
      <c r="B3560">
        <f>IF(INDEX(P_Type,ROW()-4)="","",TRIM(UPPER(INDEX(P_Type,ROW()-4))))</f>
        <v/>
      </c>
      <c r="D3560">
        <f>IF(INDEX(L_Type,ROW()-4)="","",TRIM(UPPER(INDEX(L_Type,ROW()-4))))</f>
        <v/>
      </c>
      <c r="E3560">
        <f>IF(INDEX(P_Status,ROW()-4)="","",TRIM(UPPER(INDEX(P_Status,ROW()-4))))</f>
        <v/>
      </c>
      <c r="G3560">
        <f>IF(INDEX(L_Status,ROW()-4)="","",TRIM(UPPER(INDEX(L_Status,ROW()-4))))</f>
        <v/>
      </c>
      <c r="J3560">
        <f>IF(INDEX(L_ID,ROW()-4)="","",IF(SUMPRODUCT((P_ID=INDEX(L_ID,ROW()-4))*(P_StatusN="INACTIVE"))&gt;0,1,0))</f>
        <v/>
      </c>
    </row>
    <row r="3561">
      <c r="A3561">
        <f>IF(INDEX(L_ID,ROW()-4)="","",IF(COUNTIF(P_ID,INDEX(L_ID,ROW()-4))&gt;0,1,0))</f>
        <v/>
      </c>
      <c r="B3561">
        <f>IF(INDEX(P_Type,ROW()-4)="","",TRIM(UPPER(INDEX(P_Type,ROW()-4))))</f>
        <v/>
      </c>
      <c r="D3561">
        <f>IF(INDEX(L_Type,ROW()-4)="","",TRIM(UPPER(INDEX(L_Type,ROW()-4))))</f>
        <v/>
      </c>
      <c r="E3561">
        <f>IF(INDEX(P_Status,ROW()-4)="","",TRIM(UPPER(INDEX(P_Status,ROW()-4))))</f>
        <v/>
      </c>
      <c r="G3561">
        <f>IF(INDEX(L_Status,ROW()-4)="","",TRIM(UPPER(INDEX(L_Status,ROW()-4))))</f>
        <v/>
      </c>
      <c r="J3561">
        <f>IF(INDEX(L_ID,ROW()-4)="","",IF(SUMPRODUCT((P_ID=INDEX(L_ID,ROW()-4))*(P_StatusN="INACTIVE"))&gt;0,1,0))</f>
        <v/>
      </c>
    </row>
    <row r="3562">
      <c r="A3562">
        <f>IF(INDEX(L_ID,ROW()-4)="","",IF(COUNTIF(P_ID,INDEX(L_ID,ROW()-4))&gt;0,1,0))</f>
        <v/>
      </c>
      <c r="B3562">
        <f>IF(INDEX(P_Type,ROW()-4)="","",TRIM(UPPER(INDEX(P_Type,ROW()-4))))</f>
        <v/>
      </c>
      <c r="D3562">
        <f>IF(INDEX(L_Type,ROW()-4)="","",TRIM(UPPER(INDEX(L_Type,ROW()-4))))</f>
        <v/>
      </c>
      <c r="E3562">
        <f>IF(INDEX(P_Status,ROW()-4)="","",TRIM(UPPER(INDEX(P_Status,ROW()-4))))</f>
        <v/>
      </c>
      <c r="G3562">
        <f>IF(INDEX(L_Status,ROW()-4)="","",TRIM(UPPER(INDEX(L_Status,ROW()-4))))</f>
        <v/>
      </c>
      <c r="J3562">
        <f>IF(INDEX(L_ID,ROW()-4)="","",IF(SUMPRODUCT((P_ID=INDEX(L_ID,ROW()-4))*(P_StatusN="INACTIVE"))&gt;0,1,0))</f>
        <v/>
      </c>
    </row>
    <row r="3563">
      <c r="A3563">
        <f>IF(INDEX(L_ID,ROW()-4)="","",IF(COUNTIF(P_ID,INDEX(L_ID,ROW()-4))&gt;0,1,0))</f>
        <v/>
      </c>
      <c r="B3563">
        <f>IF(INDEX(P_Type,ROW()-4)="","",TRIM(UPPER(INDEX(P_Type,ROW()-4))))</f>
        <v/>
      </c>
      <c r="D3563">
        <f>IF(INDEX(L_Type,ROW()-4)="","",TRIM(UPPER(INDEX(L_Type,ROW()-4))))</f>
        <v/>
      </c>
      <c r="E3563">
        <f>IF(INDEX(P_Status,ROW()-4)="","",TRIM(UPPER(INDEX(P_Status,ROW()-4))))</f>
        <v/>
      </c>
      <c r="G3563">
        <f>IF(INDEX(L_Status,ROW()-4)="","",TRIM(UPPER(INDEX(L_Status,ROW()-4))))</f>
        <v/>
      </c>
      <c r="J3563">
        <f>IF(INDEX(L_ID,ROW()-4)="","",IF(SUMPRODUCT((P_ID=INDEX(L_ID,ROW()-4))*(P_StatusN="INACTIVE"))&gt;0,1,0))</f>
        <v/>
      </c>
    </row>
    <row r="3564">
      <c r="A3564">
        <f>IF(INDEX(L_ID,ROW()-4)="","",IF(COUNTIF(P_ID,INDEX(L_ID,ROW()-4))&gt;0,1,0))</f>
        <v/>
      </c>
      <c r="B3564">
        <f>IF(INDEX(P_Type,ROW()-4)="","",TRIM(UPPER(INDEX(P_Type,ROW()-4))))</f>
        <v/>
      </c>
      <c r="D3564">
        <f>IF(INDEX(L_Type,ROW()-4)="","",TRIM(UPPER(INDEX(L_Type,ROW()-4))))</f>
        <v/>
      </c>
      <c r="E3564">
        <f>IF(INDEX(P_Status,ROW()-4)="","",TRIM(UPPER(INDEX(P_Status,ROW()-4))))</f>
        <v/>
      </c>
      <c r="G3564">
        <f>IF(INDEX(L_Status,ROW()-4)="","",TRIM(UPPER(INDEX(L_Status,ROW()-4))))</f>
        <v/>
      </c>
      <c r="J3564">
        <f>IF(INDEX(L_ID,ROW()-4)="","",IF(SUMPRODUCT((P_ID=INDEX(L_ID,ROW()-4))*(P_StatusN="INACTIVE"))&gt;0,1,0))</f>
        <v/>
      </c>
    </row>
    <row r="3565">
      <c r="A3565">
        <f>IF(INDEX(L_ID,ROW()-4)="","",IF(COUNTIF(P_ID,INDEX(L_ID,ROW()-4))&gt;0,1,0))</f>
        <v/>
      </c>
      <c r="B3565">
        <f>IF(INDEX(P_Type,ROW()-4)="","",TRIM(UPPER(INDEX(P_Type,ROW()-4))))</f>
        <v/>
      </c>
      <c r="D3565">
        <f>IF(INDEX(L_Type,ROW()-4)="","",TRIM(UPPER(INDEX(L_Type,ROW()-4))))</f>
        <v/>
      </c>
      <c r="E3565">
        <f>IF(INDEX(P_Status,ROW()-4)="","",TRIM(UPPER(INDEX(P_Status,ROW()-4))))</f>
        <v/>
      </c>
      <c r="G3565">
        <f>IF(INDEX(L_Status,ROW()-4)="","",TRIM(UPPER(INDEX(L_Status,ROW()-4))))</f>
        <v/>
      </c>
      <c r="J3565">
        <f>IF(INDEX(L_ID,ROW()-4)="","",IF(SUMPRODUCT((P_ID=INDEX(L_ID,ROW()-4))*(P_StatusN="INACTIVE"))&gt;0,1,0))</f>
        <v/>
      </c>
    </row>
    <row r="3566">
      <c r="A3566">
        <f>IF(INDEX(L_ID,ROW()-4)="","",IF(COUNTIF(P_ID,INDEX(L_ID,ROW()-4))&gt;0,1,0))</f>
        <v/>
      </c>
      <c r="B3566">
        <f>IF(INDEX(P_Type,ROW()-4)="","",TRIM(UPPER(INDEX(P_Type,ROW()-4))))</f>
        <v/>
      </c>
      <c r="D3566">
        <f>IF(INDEX(L_Type,ROW()-4)="","",TRIM(UPPER(INDEX(L_Type,ROW()-4))))</f>
        <v/>
      </c>
      <c r="E3566">
        <f>IF(INDEX(P_Status,ROW()-4)="","",TRIM(UPPER(INDEX(P_Status,ROW()-4))))</f>
        <v/>
      </c>
      <c r="G3566">
        <f>IF(INDEX(L_Status,ROW()-4)="","",TRIM(UPPER(INDEX(L_Status,ROW()-4))))</f>
        <v/>
      </c>
      <c r="J3566">
        <f>IF(INDEX(L_ID,ROW()-4)="","",IF(SUMPRODUCT((P_ID=INDEX(L_ID,ROW()-4))*(P_StatusN="INACTIVE"))&gt;0,1,0))</f>
        <v/>
      </c>
    </row>
    <row r="3567">
      <c r="A3567">
        <f>IF(INDEX(L_ID,ROW()-4)="","",IF(COUNTIF(P_ID,INDEX(L_ID,ROW()-4))&gt;0,1,0))</f>
        <v/>
      </c>
      <c r="B3567">
        <f>IF(INDEX(P_Type,ROW()-4)="","",TRIM(UPPER(INDEX(P_Type,ROW()-4))))</f>
        <v/>
      </c>
      <c r="D3567">
        <f>IF(INDEX(L_Type,ROW()-4)="","",TRIM(UPPER(INDEX(L_Type,ROW()-4))))</f>
        <v/>
      </c>
      <c r="E3567">
        <f>IF(INDEX(P_Status,ROW()-4)="","",TRIM(UPPER(INDEX(P_Status,ROW()-4))))</f>
        <v/>
      </c>
      <c r="G3567">
        <f>IF(INDEX(L_Status,ROW()-4)="","",TRIM(UPPER(INDEX(L_Status,ROW()-4))))</f>
        <v/>
      </c>
      <c r="J3567">
        <f>IF(INDEX(L_ID,ROW()-4)="","",IF(SUMPRODUCT((P_ID=INDEX(L_ID,ROW()-4))*(P_StatusN="INACTIVE"))&gt;0,1,0))</f>
        <v/>
      </c>
    </row>
    <row r="3568">
      <c r="A3568">
        <f>IF(INDEX(L_ID,ROW()-4)="","",IF(COUNTIF(P_ID,INDEX(L_ID,ROW()-4))&gt;0,1,0))</f>
        <v/>
      </c>
      <c r="B3568">
        <f>IF(INDEX(P_Type,ROW()-4)="","",TRIM(UPPER(INDEX(P_Type,ROW()-4))))</f>
        <v/>
      </c>
      <c r="D3568">
        <f>IF(INDEX(L_Type,ROW()-4)="","",TRIM(UPPER(INDEX(L_Type,ROW()-4))))</f>
        <v/>
      </c>
      <c r="E3568">
        <f>IF(INDEX(P_Status,ROW()-4)="","",TRIM(UPPER(INDEX(P_Status,ROW()-4))))</f>
        <v/>
      </c>
      <c r="G3568">
        <f>IF(INDEX(L_Status,ROW()-4)="","",TRIM(UPPER(INDEX(L_Status,ROW()-4))))</f>
        <v/>
      </c>
      <c r="J3568">
        <f>IF(INDEX(L_ID,ROW()-4)="","",IF(SUMPRODUCT((P_ID=INDEX(L_ID,ROW()-4))*(P_StatusN="INACTIVE"))&gt;0,1,0))</f>
        <v/>
      </c>
    </row>
    <row r="3569">
      <c r="A3569">
        <f>IF(INDEX(L_ID,ROW()-4)="","",IF(COUNTIF(P_ID,INDEX(L_ID,ROW()-4))&gt;0,1,0))</f>
        <v/>
      </c>
      <c r="B3569">
        <f>IF(INDEX(P_Type,ROW()-4)="","",TRIM(UPPER(INDEX(P_Type,ROW()-4))))</f>
        <v/>
      </c>
      <c r="D3569">
        <f>IF(INDEX(L_Type,ROW()-4)="","",TRIM(UPPER(INDEX(L_Type,ROW()-4))))</f>
        <v/>
      </c>
      <c r="E3569">
        <f>IF(INDEX(P_Status,ROW()-4)="","",TRIM(UPPER(INDEX(P_Status,ROW()-4))))</f>
        <v/>
      </c>
      <c r="G3569">
        <f>IF(INDEX(L_Status,ROW()-4)="","",TRIM(UPPER(INDEX(L_Status,ROW()-4))))</f>
        <v/>
      </c>
      <c r="J3569">
        <f>IF(INDEX(L_ID,ROW()-4)="","",IF(SUMPRODUCT((P_ID=INDEX(L_ID,ROW()-4))*(P_StatusN="INACTIVE"))&gt;0,1,0))</f>
        <v/>
      </c>
    </row>
    <row r="3570">
      <c r="A3570">
        <f>IF(INDEX(L_ID,ROW()-4)="","",IF(COUNTIF(P_ID,INDEX(L_ID,ROW()-4))&gt;0,1,0))</f>
        <v/>
      </c>
      <c r="B3570">
        <f>IF(INDEX(P_Type,ROW()-4)="","",TRIM(UPPER(INDEX(P_Type,ROW()-4))))</f>
        <v/>
      </c>
      <c r="D3570">
        <f>IF(INDEX(L_Type,ROW()-4)="","",TRIM(UPPER(INDEX(L_Type,ROW()-4))))</f>
        <v/>
      </c>
      <c r="E3570">
        <f>IF(INDEX(P_Status,ROW()-4)="","",TRIM(UPPER(INDEX(P_Status,ROW()-4))))</f>
        <v/>
      </c>
      <c r="G3570">
        <f>IF(INDEX(L_Status,ROW()-4)="","",TRIM(UPPER(INDEX(L_Status,ROW()-4))))</f>
        <v/>
      </c>
      <c r="J3570">
        <f>IF(INDEX(L_ID,ROW()-4)="","",IF(SUMPRODUCT((P_ID=INDEX(L_ID,ROW()-4))*(P_StatusN="INACTIVE"))&gt;0,1,0))</f>
        <v/>
      </c>
    </row>
    <row r="3571">
      <c r="A3571">
        <f>IF(INDEX(L_ID,ROW()-4)="","",IF(COUNTIF(P_ID,INDEX(L_ID,ROW()-4))&gt;0,1,0))</f>
        <v/>
      </c>
      <c r="B3571">
        <f>IF(INDEX(P_Type,ROW()-4)="","",TRIM(UPPER(INDEX(P_Type,ROW()-4))))</f>
        <v/>
      </c>
      <c r="D3571">
        <f>IF(INDEX(L_Type,ROW()-4)="","",TRIM(UPPER(INDEX(L_Type,ROW()-4))))</f>
        <v/>
      </c>
      <c r="E3571">
        <f>IF(INDEX(P_Status,ROW()-4)="","",TRIM(UPPER(INDEX(P_Status,ROW()-4))))</f>
        <v/>
      </c>
      <c r="G3571">
        <f>IF(INDEX(L_Status,ROW()-4)="","",TRIM(UPPER(INDEX(L_Status,ROW()-4))))</f>
        <v/>
      </c>
      <c r="J3571">
        <f>IF(INDEX(L_ID,ROW()-4)="","",IF(SUMPRODUCT((P_ID=INDEX(L_ID,ROW()-4))*(P_StatusN="INACTIVE"))&gt;0,1,0))</f>
        <v/>
      </c>
    </row>
    <row r="3572">
      <c r="A3572">
        <f>IF(INDEX(L_ID,ROW()-4)="","",IF(COUNTIF(P_ID,INDEX(L_ID,ROW()-4))&gt;0,1,0))</f>
        <v/>
      </c>
      <c r="B3572">
        <f>IF(INDEX(P_Type,ROW()-4)="","",TRIM(UPPER(INDEX(P_Type,ROW()-4))))</f>
        <v/>
      </c>
      <c r="D3572">
        <f>IF(INDEX(L_Type,ROW()-4)="","",TRIM(UPPER(INDEX(L_Type,ROW()-4))))</f>
        <v/>
      </c>
      <c r="E3572">
        <f>IF(INDEX(P_Status,ROW()-4)="","",TRIM(UPPER(INDEX(P_Status,ROW()-4))))</f>
        <v/>
      </c>
      <c r="G3572">
        <f>IF(INDEX(L_Status,ROW()-4)="","",TRIM(UPPER(INDEX(L_Status,ROW()-4))))</f>
        <v/>
      </c>
      <c r="J3572">
        <f>IF(INDEX(L_ID,ROW()-4)="","",IF(SUMPRODUCT((P_ID=INDEX(L_ID,ROW()-4))*(P_StatusN="INACTIVE"))&gt;0,1,0))</f>
        <v/>
      </c>
    </row>
    <row r="3573">
      <c r="A3573">
        <f>IF(INDEX(L_ID,ROW()-4)="","",IF(COUNTIF(P_ID,INDEX(L_ID,ROW()-4))&gt;0,1,0))</f>
        <v/>
      </c>
      <c r="B3573">
        <f>IF(INDEX(P_Type,ROW()-4)="","",TRIM(UPPER(INDEX(P_Type,ROW()-4))))</f>
        <v/>
      </c>
      <c r="D3573">
        <f>IF(INDEX(L_Type,ROW()-4)="","",TRIM(UPPER(INDEX(L_Type,ROW()-4))))</f>
        <v/>
      </c>
      <c r="E3573">
        <f>IF(INDEX(P_Status,ROW()-4)="","",TRIM(UPPER(INDEX(P_Status,ROW()-4))))</f>
        <v/>
      </c>
      <c r="G3573">
        <f>IF(INDEX(L_Status,ROW()-4)="","",TRIM(UPPER(INDEX(L_Status,ROW()-4))))</f>
        <v/>
      </c>
      <c r="J3573">
        <f>IF(INDEX(L_ID,ROW()-4)="","",IF(SUMPRODUCT((P_ID=INDEX(L_ID,ROW()-4))*(P_StatusN="INACTIVE"))&gt;0,1,0))</f>
        <v/>
      </c>
    </row>
    <row r="3574">
      <c r="A3574">
        <f>IF(INDEX(L_ID,ROW()-4)="","",IF(COUNTIF(P_ID,INDEX(L_ID,ROW()-4))&gt;0,1,0))</f>
        <v/>
      </c>
      <c r="B3574">
        <f>IF(INDEX(P_Type,ROW()-4)="","",TRIM(UPPER(INDEX(P_Type,ROW()-4))))</f>
        <v/>
      </c>
      <c r="D3574">
        <f>IF(INDEX(L_Type,ROW()-4)="","",TRIM(UPPER(INDEX(L_Type,ROW()-4))))</f>
        <v/>
      </c>
      <c r="E3574">
        <f>IF(INDEX(P_Status,ROW()-4)="","",TRIM(UPPER(INDEX(P_Status,ROW()-4))))</f>
        <v/>
      </c>
      <c r="G3574">
        <f>IF(INDEX(L_Status,ROW()-4)="","",TRIM(UPPER(INDEX(L_Status,ROW()-4))))</f>
        <v/>
      </c>
      <c r="J3574">
        <f>IF(INDEX(L_ID,ROW()-4)="","",IF(SUMPRODUCT((P_ID=INDEX(L_ID,ROW()-4))*(P_StatusN="INACTIVE"))&gt;0,1,0))</f>
        <v/>
      </c>
    </row>
    <row r="3575">
      <c r="A3575">
        <f>IF(INDEX(L_ID,ROW()-4)="","",IF(COUNTIF(P_ID,INDEX(L_ID,ROW()-4))&gt;0,1,0))</f>
        <v/>
      </c>
      <c r="B3575">
        <f>IF(INDEX(P_Type,ROW()-4)="","",TRIM(UPPER(INDEX(P_Type,ROW()-4))))</f>
        <v/>
      </c>
      <c r="D3575">
        <f>IF(INDEX(L_Type,ROW()-4)="","",TRIM(UPPER(INDEX(L_Type,ROW()-4))))</f>
        <v/>
      </c>
      <c r="E3575">
        <f>IF(INDEX(P_Status,ROW()-4)="","",TRIM(UPPER(INDEX(P_Status,ROW()-4))))</f>
        <v/>
      </c>
      <c r="G3575">
        <f>IF(INDEX(L_Status,ROW()-4)="","",TRIM(UPPER(INDEX(L_Status,ROW()-4))))</f>
        <v/>
      </c>
      <c r="J3575">
        <f>IF(INDEX(L_ID,ROW()-4)="","",IF(SUMPRODUCT((P_ID=INDEX(L_ID,ROW()-4))*(P_StatusN="INACTIVE"))&gt;0,1,0))</f>
        <v/>
      </c>
    </row>
    <row r="3576">
      <c r="A3576">
        <f>IF(INDEX(L_ID,ROW()-4)="","",IF(COUNTIF(P_ID,INDEX(L_ID,ROW()-4))&gt;0,1,0))</f>
        <v/>
      </c>
      <c r="B3576">
        <f>IF(INDEX(P_Type,ROW()-4)="","",TRIM(UPPER(INDEX(P_Type,ROW()-4))))</f>
        <v/>
      </c>
      <c r="D3576">
        <f>IF(INDEX(L_Type,ROW()-4)="","",TRIM(UPPER(INDEX(L_Type,ROW()-4))))</f>
        <v/>
      </c>
      <c r="E3576">
        <f>IF(INDEX(P_Status,ROW()-4)="","",TRIM(UPPER(INDEX(P_Status,ROW()-4))))</f>
        <v/>
      </c>
      <c r="G3576">
        <f>IF(INDEX(L_Status,ROW()-4)="","",TRIM(UPPER(INDEX(L_Status,ROW()-4))))</f>
        <v/>
      </c>
      <c r="J3576">
        <f>IF(INDEX(L_ID,ROW()-4)="","",IF(SUMPRODUCT((P_ID=INDEX(L_ID,ROW()-4))*(P_StatusN="INACTIVE"))&gt;0,1,0))</f>
        <v/>
      </c>
    </row>
    <row r="3577">
      <c r="A3577">
        <f>IF(INDEX(L_ID,ROW()-4)="","",IF(COUNTIF(P_ID,INDEX(L_ID,ROW()-4))&gt;0,1,0))</f>
        <v/>
      </c>
      <c r="B3577">
        <f>IF(INDEX(P_Type,ROW()-4)="","",TRIM(UPPER(INDEX(P_Type,ROW()-4))))</f>
        <v/>
      </c>
      <c r="D3577">
        <f>IF(INDEX(L_Type,ROW()-4)="","",TRIM(UPPER(INDEX(L_Type,ROW()-4))))</f>
        <v/>
      </c>
      <c r="E3577">
        <f>IF(INDEX(P_Status,ROW()-4)="","",TRIM(UPPER(INDEX(P_Status,ROW()-4))))</f>
        <v/>
      </c>
      <c r="G3577">
        <f>IF(INDEX(L_Status,ROW()-4)="","",TRIM(UPPER(INDEX(L_Status,ROW()-4))))</f>
        <v/>
      </c>
      <c r="J3577">
        <f>IF(INDEX(L_ID,ROW()-4)="","",IF(SUMPRODUCT((P_ID=INDEX(L_ID,ROW()-4))*(P_StatusN="INACTIVE"))&gt;0,1,0))</f>
        <v/>
      </c>
    </row>
    <row r="3578">
      <c r="A3578">
        <f>IF(INDEX(L_ID,ROW()-4)="","",IF(COUNTIF(P_ID,INDEX(L_ID,ROW()-4))&gt;0,1,0))</f>
        <v/>
      </c>
      <c r="B3578">
        <f>IF(INDEX(P_Type,ROW()-4)="","",TRIM(UPPER(INDEX(P_Type,ROW()-4))))</f>
        <v/>
      </c>
      <c r="D3578">
        <f>IF(INDEX(L_Type,ROW()-4)="","",TRIM(UPPER(INDEX(L_Type,ROW()-4))))</f>
        <v/>
      </c>
      <c r="E3578">
        <f>IF(INDEX(P_Status,ROW()-4)="","",TRIM(UPPER(INDEX(P_Status,ROW()-4))))</f>
        <v/>
      </c>
      <c r="G3578">
        <f>IF(INDEX(L_Status,ROW()-4)="","",TRIM(UPPER(INDEX(L_Status,ROW()-4))))</f>
        <v/>
      </c>
      <c r="J3578">
        <f>IF(INDEX(L_ID,ROW()-4)="","",IF(SUMPRODUCT((P_ID=INDEX(L_ID,ROW()-4))*(P_StatusN="INACTIVE"))&gt;0,1,0))</f>
        <v/>
      </c>
    </row>
    <row r="3579">
      <c r="A3579">
        <f>IF(INDEX(L_ID,ROW()-4)="","",IF(COUNTIF(P_ID,INDEX(L_ID,ROW()-4))&gt;0,1,0))</f>
        <v/>
      </c>
      <c r="B3579">
        <f>IF(INDEX(P_Type,ROW()-4)="","",TRIM(UPPER(INDEX(P_Type,ROW()-4))))</f>
        <v/>
      </c>
      <c r="D3579">
        <f>IF(INDEX(L_Type,ROW()-4)="","",TRIM(UPPER(INDEX(L_Type,ROW()-4))))</f>
        <v/>
      </c>
      <c r="E3579">
        <f>IF(INDEX(P_Status,ROW()-4)="","",TRIM(UPPER(INDEX(P_Status,ROW()-4))))</f>
        <v/>
      </c>
      <c r="G3579">
        <f>IF(INDEX(L_Status,ROW()-4)="","",TRIM(UPPER(INDEX(L_Status,ROW()-4))))</f>
        <v/>
      </c>
      <c r="J3579">
        <f>IF(INDEX(L_ID,ROW()-4)="","",IF(SUMPRODUCT((P_ID=INDEX(L_ID,ROW()-4))*(P_StatusN="INACTIVE"))&gt;0,1,0))</f>
        <v/>
      </c>
    </row>
    <row r="3580">
      <c r="A3580">
        <f>IF(INDEX(L_ID,ROW()-4)="","",IF(COUNTIF(P_ID,INDEX(L_ID,ROW()-4))&gt;0,1,0))</f>
        <v/>
      </c>
      <c r="B3580">
        <f>IF(INDEX(P_Type,ROW()-4)="","",TRIM(UPPER(INDEX(P_Type,ROW()-4))))</f>
        <v/>
      </c>
      <c r="D3580">
        <f>IF(INDEX(L_Type,ROW()-4)="","",TRIM(UPPER(INDEX(L_Type,ROW()-4))))</f>
        <v/>
      </c>
      <c r="E3580">
        <f>IF(INDEX(P_Status,ROW()-4)="","",TRIM(UPPER(INDEX(P_Status,ROW()-4))))</f>
        <v/>
      </c>
      <c r="G3580">
        <f>IF(INDEX(L_Status,ROW()-4)="","",TRIM(UPPER(INDEX(L_Status,ROW()-4))))</f>
        <v/>
      </c>
      <c r="J3580">
        <f>IF(INDEX(L_ID,ROW()-4)="","",IF(SUMPRODUCT((P_ID=INDEX(L_ID,ROW()-4))*(P_StatusN="INACTIVE"))&gt;0,1,0))</f>
        <v/>
      </c>
    </row>
    <row r="3581">
      <c r="A3581">
        <f>IF(INDEX(L_ID,ROW()-4)="","",IF(COUNTIF(P_ID,INDEX(L_ID,ROW()-4))&gt;0,1,0))</f>
        <v/>
      </c>
      <c r="B3581">
        <f>IF(INDEX(P_Type,ROW()-4)="","",TRIM(UPPER(INDEX(P_Type,ROW()-4))))</f>
        <v/>
      </c>
      <c r="D3581">
        <f>IF(INDEX(L_Type,ROW()-4)="","",TRIM(UPPER(INDEX(L_Type,ROW()-4))))</f>
        <v/>
      </c>
      <c r="E3581">
        <f>IF(INDEX(P_Status,ROW()-4)="","",TRIM(UPPER(INDEX(P_Status,ROW()-4))))</f>
        <v/>
      </c>
      <c r="G3581">
        <f>IF(INDEX(L_Status,ROW()-4)="","",TRIM(UPPER(INDEX(L_Status,ROW()-4))))</f>
        <v/>
      </c>
      <c r="J3581">
        <f>IF(INDEX(L_ID,ROW()-4)="","",IF(SUMPRODUCT((P_ID=INDEX(L_ID,ROW()-4))*(P_StatusN="INACTIVE"))&gt;0,1,0))</f>
        <v/>
      </c>
    </row>
    <row r="3582">
      <c r="A3582">
        <f>IF(INDEX(L_ID,ROW()-4)="","",IF(COUNTIF(P_ID,INDEX(L_ID,ROW()-4))&gt;0,1,0))</f>
        <v/>
      </c>
      <c r="B3582">
        <f>IF(INDEX(P_Type,ROW()-4)="","",TRIM(UPPER(INDEX(P_Type,ROW()-4))))</f>
        <v/>
      </c>
      <c r="D3582">
        <f>IF(INDEX(L_Type,ROW()-4)="","",TRIM(UPPER(INDEX(L_Type,ROW()-4))))</f>
        <v/>
      </c>
      <c r="E3582">
        <f>IF(INDEX(P_Status,ROW()-4)="","",TRIM(UPPER(INDEX(P_Status,ROW()-4))))</f>
        <v/>
      </c>
      <c r="G3582">
        <f>IF(INDEX(L_Status,ROW()-4)="","",TRIM(UPPER(INDEX(L_Status,ROW()-4))))</f>
        <v/>
      </c>
      <c r="J3582">
        <f>IF(INDEX(L_ID,ROW()-4)="","",IF(SUMPRODUCT((P_ID=INDEX(L_ID,ROW()-4))*(P_StatusN="INACTIVE"))&gt;0,1,0))</f>
        <v/>
      </c>
    </row>
    <row r="3583">
      <c r="A3583">
        <f>IF(INDEX(L_ID,ROW()-4)="","",IF(COUNTIF(P_ID,INDEX(L_ID,ROW()-4))&gt;0,1,0))</f>
        <v/>
      </c>
      <c r="B3583">
        <f>IF(INDEX(P_Type,ROW()-4)="","",TRIM(UPPER(INDEX(P_Type,ROW()-4))))</f>
        <v/>
      </c>
      <c r="D3583">
        <f>IF(INDEX(L_Type,ROW()-4)="","",TRIM(UPPER(INDEX(L_Type,ROW()-4))))</f>
        <v/>
      </c>
      <c r="E3583">
        <f>IF(INDEX(P_Status,ROW()-4)="","",TRIM(UPPER(INDEX(P_Status,ROW()-4))))</f>
        <v/>
      </c>
      <c r="G3583">
        <f>IF(INDEX(L_Status,ROW()-4)="","",TRIM(UPPER(INDEX(L_Status,ROW()-4))))</f>
        <v/>
      </c>
      <c r="J3583">
        <f>IF(INDEX(L_ID,ROW()-4)="","",IF(SUMPRODUCT((P_ID=INDEX(L_ID,ROW()-4))*(P_StatusN="INACTIVE"))&gt;0,1,0))</f>
        <v/>
      </c>
    </row>
    <row r="3584">
      <c r="A3584">
        <f>IF(INDEX(L_ID,ROW()-4)="","",IF(COUNTIF(P_ID,INDEX(L_ID,ROW()-4))&gt;0,1,0))</f>
        <v/>
      </c>
      <c r="B3584">
        <f>IF(INDEX(P_Type,ROW()-4)="","",TRIM(UPPER(INDEX(P_Type,ROW()-4))))</f>
        <v/>
      </c>
      <c r="D3584">
        <f>IF(INDEX(L_Type,ROW()-4)="","",TRIM(UPPER(INDEX(L_Type,ROW()-4))))</f>
        <v/>
      </c>
      <c r="E3584">
        <f>IF(INDEX(P_Status,ROW()-4)="","",TRIM(UPPER(INDEX(P_Status,ROW()-4))))</f>
        <v/>
      </c>
      <c r="G3584">
        <f>IF(INDEX(L_Status,ROW()-4)="","",TRIM(UPPER(INDEX(L_Status,ROW()-4))))</f>
        <v/>
      </c>
      <c r="J3584">
        <f>IF(INDEX(L_ID,ROW()-4)="","",IF(SUMPRODUCT((P_ID=INDEX(L_ID,ROW()-4))*(P_StatusN="INACTIVE"))&gt;0,1,0))</f>
        <v/>
      </c>
    </row>
    <row r="3585">
      <c r="A3585">
        <f>IF(INDEX(L_ID,ROW()-4)="","",IF(COUNTIF(P_ID,INDEX(L_ID,ROW()-4))&gt;0,1,0))</f>
        <v/>
      </c>
      <c r="B3585">
        <f>IF(INDEX(P_Type,ROW()-4)="","",TRIM(UPPER(INDEX(P_Type,ROW()-4))))</f>
        <v/>
      </c>
      <c r="D3585">
        <f>IF(INDEX(L_Type,ROW()-4)="","",TRIM(UPPER(INDEX(L_Type,ROW()-4))))</f>
        <v/>
      </c>
      <c r="E3585">
        <f>IF(INDEX(P_Status,ROW()-4)="","",TRIM(UPPER(INDEX(P_Status,ROW()-4))))</f>
        <v/>
      </c>
      <c r="G3585">
        <f>IF(INDEX(L_Status,ROW()-4)="","",TRIM(UPPER(INDEX(L_Status,ROW()-4))))</f>
        <v/>
      </c>
      <c r="J3585">
        <f>IF(INDEX(L_ID,ROW()-4)="","",IF(SUMPRODUCT((P_ID=INDEX(L_ID,ROW()-4))*(P_StatusN="INACTIVE"))&gt;0,1,0))</f>
        <v/>
      </c>
    </row>
    <row r="3586">
      <c r="A3586">
        <f>IF(INDEX(L_ID,ROW()-4)="","",IF(COUNTIF(P_ID,INDEX(L_ID,ROW()-4))&gt;0,1,0))</f>
        <v/>
      </c>
      <c r="B3586">
        <f>IF(INDEX(P_Type,ROW()-4)="","",TRIM(UPPER(INDEX(P_Type,ROW()-4))))</f>
        <v/>
      </c>
      <c r="D3586">
        <f>IF(INDEX(L_Type,ROW()-4)="","",TRIM(UPPER(INDEX(L_Type,ROW()-4))))</f>
        <v/>
      </c>
      <c r="E3586">
        <f>IF(INDEX(P_Status,ROW()-4)="","",TRIM(UPPER(INDEX(P_Status,ROW()-4))))</f>
        <v/>
      </c>
      <c r="G3586">
        <f>IF(INDEX(L_Status,ROW()-4)="","",TRIM(UPPER(INDEX(L_Status,ROW()-4))))</f>
        <v/>
      </c>
      <c r="J3586">
        <f>IF(INDEX(L_ID,ROW()-4)="","",IF(SUMPRODUCT((P_ID=INDEX(L_ID,ROW()-4))*(P_StatusN="INACTIVE"))&gt;0,1,0))</f>
        <v/>
      </c>
    </row>
    <row r="3587">
      <c r="A3587">
        <f>IF(INDEX(L_ID,ROW()-4)="","",IF(COUNTIF(P_ID,INDEX(L_ID,ROW()-4))&gt;0,1,0))</f>
        <v/>
      </c>
      <c r="B3587">
        <f>IF(INDEX(P_Type,ROW()-4)="","",TRIM(UPPER(INDEX(P_Type,ROW()-4))))</f>
        <v/>
      </c>
      <c r="D3587">
        <f>IF(INDEX(L_Type,ROW()-4)="","",TRIM(UPPER(INDEX(L_Type,ROW()-4))))</f>
        <v/>
      </c>
      <c r="E3587">
        <f>IF(INDEX(P_Status,ROW()-4)="","",TRIM(UPPER(INDEX(P_Status,ROW()-4))))</f>
        <v/>
      </c>
      <c r="G3587">
        <f>IF(INDEX(L_Status,ROW()-4)="","",TRIM(UPPER(INDEX(L_Status,ROW()-4))))</f>
        <v/>
      </c>
      <c r="J3587">
        <f>IF(INDEX(L_ID,ROW()-4)="","",IF(SUMPRODUCT((P_ID=INDEX(L_ID,ROW()-4))*(P_StatusN="INACTIVE"))&gt;0,1,0))</f>
        <v/>
      </c>
    </row>
    <row r="3588">
      <c r="A3588">
        <f>IF(INDEX(L_ID,ROW()-4)="","",IF(COUNTIF(P_ID,INDEX(L_ID,ROW()-4))&gt;0,1,0))</f>
        <v/>
      </c>
      <c r="B3588">
        <f>IF(INDEX(P_Type,ROW()-4)="","",TRIM(UPPER(INDEX(P_Type,ROW()-4))))</f>
        <v/>
      </c>
      <c r="D3588">
        <f>IF(INDEX(L_Type,ROW()-4)="","",TRIM(UPPER(INDEX(L_Type,ROW()-4))))</f>
        <v/>
      </c>
      <c r="E3588">
        <f>IF(INDEX(P_Status,ROW()-4)="","",TRIM(UPPER(INDEX(P_Status,ROW()-4))))</f>
        <v/>
      </c>
      <c r="G3588">
        <f>IF(INDEX(L_Status,ROW()-4)="","",TRIM(UPPER(INDEX(L_Status,ROW()-4))))</f>
        <v/>
      </c>
      <c r="J3588">
        <f>IF(INDEX(L_ID,ROW()-4)="","",IF(SUMPRODUCT((P_ID=INDEX(L_ID,ROW()-4))*(P_StatusN="INACTIVE"))&gt;0,1,0))</f>
        <v/>
      </c>
    </row>
    <row r="3589">
      <c r="A3589">
        <f>IF(INDEX(L_ID,ROW()-4)="","",IF(COUNTIF(P_ID,INDEX(L_ID,ROW()-4))&gt;0,1,0))</f>
        <v/>
      </c>
      <c r="B3589">
        <f>IF(INDEX(P_Type,ROW()-4)="","",TRIM(UPPER(INDEX(P_Type,ROW()-4))))</f>
        <v/>
      </c>
      <c r="D3589">
        <f>IF(INDEX(L_Type,ROW()-4)="","",TRIM(UPPER(INDEX(L_Type,ROW()-4))))</f>
        <v/>
      </c>
      <c r="E3589">
        <f>IF(INDEX(P_Status,ROW()-4)="","",TRIM(UPPER(INDEX(P_Status,ROW()-4))))</f>
        <v/>
      </c>
      <c r="G3589">
        <f>IF(INDEX(L_Status,ROW()-4)="","",TRIM(UPPER(INDEX(L_Status,ROW()-4))))</f>
        <v/>
      </c>
      <c r="J3589">
        <f>IF(INDEX(L_ID,ROW()-4)="","",IF(SUMPRODUCT((P_ID=INDEX(L_ID,ROW()-4))*(P_StatusN="INACTIVE"))&gt;0,1,0))</f>
        <v/>
      </c>
    </row>
    <row r="3590">
      <c r="A3590">
        <f>IF(INDEX(L_ID,ROW()-4)="","",IF(COUNTIF(P_ID,INDEX(L_ID,ROW()-4))&gt;0,1,0))</f>
        <v/>
      </c>
      <c r="B3590">
        <f>IF(INDEX(P_Type,ROW()-4)="","",TRIM(UPPER(INDEX(P_Type,ROW()-4))))</f>
        <v/>
      </c>
      <c r="D3590">
        <f>IF(INDEX(L_Type,ROW()-4)="","",TRIM(UPPER(INDEX(L_Type,ROW()-4))))</f>
        <v/>
      </c>
      <c r="E3590">
        <f>IF(INDEX(P_Status,ROW()-4)="","",TRIM(UPPER(INDEX(P_Status,ROW()-4))))</f>
        <v/>
      </c>
      <c r="G3590">
        <f>IF(INDEX(L_Status,ROW()-4)="","",TRIM(UPPER(INDEX(L_Status,ROW()-4))))</f>
        <v/>
      </c>
      <c r="J3590">
        <f>IF(INDEX(L_ID,ROW()-4)="","",IF(SUMPRODUCT((P_ID=INDEX(L_ID,ROW()-4))*(P_StatusN="INACTIVE"))&gt;0,1,0))</f>
        <v/>
      </c>
    </row>
    <row r="3591">
      <c r="A3591">
        <f>IF(INDEX(L_ID,ROW()-4)="","",IF(COUNTIF(P_ID,INDEX(L_ID,ROW()-4))&gt;0,1,0))</f>
        <v/>
      </c>
      <c r="B3591">
        <f>IF(INDEX(P_Type,ROW()-4)="","",TRIM(UPPER(INDEX(P_Type,ROW()-4))))</f>
        <v/>
      </c>
      <c r="D3591">
        <f>IF(INDEX(L_Type,ROW()-4)="","",TRIM(UPPER(INDEX(L_Type,ROW()-4))))</f>
        <v/>
      </c>
      <c r="E3591">
        <f>IF(INDEX(P_Status,ROW()-4)="","",TRIM(UPPER(INDEX(P_Status,ROW()-4))))</f>
        <v/>
      </c>
      <c r="G3591">
        <f>IF(INDEX(L_Status,ROW()-4)="","",TRIM(UPPER(INDEX(L_Status,ROW()-4))))</f>
        <v/>
      </c>
      <c r="J3591">
        <f>IF(INDEX(L_ID,ROW()-4)="","",IF(SUMPRODUCT((P_ID=INDEX(L_ID,ROW()-4))*(P_StatusN="INACTIVE"))&gt;0,1,0))</f>
        <v/>
      </c>
    </row>
    <row r="3592">
      <c r="A3592">
        <f>IF(INDEX(L_ID,ROW()-4)="","",IF(COUNTIF(P_ID,INDEX(L_ID,ROW()-4))&gt;0,1,0))</f>
        <v/>
      </c>
      <c r="B3592">
        <f>IF(INDEX(P_Type,ROW()-4)="","",TRIM(UPPER(INDEX(P_Type,ROW()-4))))</f>
        <v/>
      </c>
      <c r="D3592">
        <f>IF(INDEX(L_Type,ROW()-4)="","",TRIM(UPPER(INDEX(L_Type,ROW()-4))))</f>
        <v/>
      </c>
      <c r="E3592">
        <f>IF(INDEX(P_Status,ROW()-4)="","",TRIM(UPPER(INDEX(P_Status,ROW()-4))))</f>
        <v/>
      </c>
      <c r="G3592">
        <f>IF(INDEX(L_Status,ROW()-4)="","",TRIM(UPPER(INDEX(L_Status,ROW()-4))))</f>
        <v/>
      </c>
      <c r="J3592">
        <f>IF(INDEX(L_ID,ROW()-4)="","",IF(SUMPRODUCT((P_ID=INDEX(L_ID,ROW()-4))*(P_StatusN="INACTIVE"))&gt;0,1,0))</f>
        <v/>
      </c>
    </row>
    <row r="3593">
      <c r="A3593">
        <f>IF(INDEX(L_ID,ROW()-4)="","",IF(COUNTIF(P_ID,INDEX(L_ID,ROW()-4))&gt;0,1,0))</f>
        <v/>
      </c>
      <c r="B3593">
        <f>IF(INDEX(P_Type,ROW()-4)="","",TRIM(UPPER(INDEX(P_Type,ROW()-4))))</f>
        <v/>
      </c>
      <c r="D3593">
        <f>IF(INDEX(L_Type,ROW()-4)="","",TRIM(UPPER(INDEX(L_Type,ROW()-4))))</f>
        <v/>
      </c>
      <c r="E3593">
        <f>IF(INDEX(P_Status,ROW()-4)="","",TRIM(UPPER(INDEX(P_Status,ROW()-4))))</f>
        <v/>
      </c>
      <c r="G3593">
        <f>IF(INDEX(L_Status,ROW()-4)="","",TRIM(UPPER(INDEX(L_Status,ROW()-4))))</f>
        <v/>
      </c>
      <c r="J3593">
        <f>IF(INDEX(L_ID,ROW()-4)="","",IF(SUMPRODUCT((P_ID=INDEX(L_ID,ROW()-4))*(P_StatusN="INACTIVE"))&gt;0,1,0))</f>
        <v/>
      </c>
    </row>
    <row r="3594">
      <c r="A3594">
        <f>IF(INDEX(L_ID,ROW()-4)="","",IF(COUNTIF(P_ID,INDEX(L_ID,ROW()-4))&gt;0,1,0))</f>
        <v/>
      </c>
      <c r="B3594">
        <f>IF(INDEX(P_Type,ROW()-4)="","",TRIM(UPPER(INDEX(P_Type,ROW()-4))))</f>
        <v/>
      </c>
      <c r="D3594">
        <f>IF(INDEX(L_Type,ROW()-4)="","",TRIM(UPPER(INDEX(L_Type,ROW()-4))))</f>
        <v/>
      </c>
      <c r="E3594">
        <f>IF(INDEX(P_Status,ROW()-4)="","",TRIM(UPPER(INDEX(P_Status,ROW()-4))))</f>
        <v/>
      </c>
      <c r="G3594">
        <f>IF(INDEX(L_Status,ROW()-4)="","",TRIM(UPPER(INDEX(L_Status,ROW()-4))))</f>
        <v/>
      </c>
      <c r="J3594">
        <f>IF(INDEX(L_ID,ROW()-4)="","",IF(SUMPRODUCT((P_ID=INDEX(L_ID,ROW()-4))*(P_StatusN="INACTIVE"))&gt;0,1,0))</f>
        <v/>
      </c>
    </row>
    <row r="3595">
      <c r="A3595">
        <f>IF(INDEX(L_ID,ROW()-4)="","",IF(COUNTIF(P_ID,INDEX(L_ID,ROW()-4))&gt;0,1,0))</f>
        <v/>
      </c>
      <c r="B3595">
        <f>IF(INDEX(P_Type,ROW()-4)="","",TRIM(UPPER(INDEX(P_Type,ROW()-4))))</f>
        <v/>
      </c>
      <c r="D3595">
        <f>IF(INDEX(L_Type,ROW()-4)="","",TRIM(UPPER(INDEX(L_Type,ROW()-4))))</f>
        <v/>
      </c>
      <c r="E3595">
        <f>IF(INDEX(P_Status,ROW()-4)="","",TRIM(UPPER(INDEX(P_Status,ROW()-4))))</f>
        <v/>
      </c>
      <c r="G3595">
        <f>IF(INDEX(L_Status,ROW()-4)="","",TRIM(UPPER(INDEX(L_Status,ROW()-4))))</f>
        <v/>
      </c>
      <c r="J3595">
        <f>IF(INDEX(L_ID,ROW()-4)="","",IF(SUMPRODUCT((P_ID=INDEX(L_ID,ROW()-4))*(P_StatusN="INACTIVE"))&gt;0,1,0))</f>
        <v/>
      </c>
    </row>
    <row r="3596">
      <c r="A3596">
        <f>IF(INDEX(L_ID,ROW()-4)="","",IF(COUNTIF(P_ID,INDEX(L_ID,ROW()-4))&gt;0,1,0))</f>
        <v/>
      </c>
      <c r="B3596">
        <f>IF(INDEX(P_Type,ROW()-4)="","",TRIM(UPPER(INDEX(P_Type,ROW()-4))))</f>
        <v/>
      </c>
      <c r="D3596">
        <f>IF(INDEX(L_Type,ROW()-4)="","",TRIM(UPPER(INDEX(L_Type,ROW()-4))))</f>
        <v/>
      </c>
      <c r="E3596">
        <f>IF(INDEX(P_Status,ROW()-4)="","",TRIM(UPPER(INDEX(P_Status,ROW()-4))))</f>
        <v/>
      </c>
      <c r="G3596">
        <f>IF(INDEX(L_Status,ROW()-4)="","",TRIM(UPPER(INDEX(L_Status,ROW()-4))))</f>
        <v/>
      </c>
      <c r="J3596">
        <f>IF(INDEX(L_ID,ROW()-4)="","",IF(SUMPRODUCT((P_ID=INDEX(L_ID,ROW()-4))*(P_StatusN="INACTIVE"))&gt;0,1,0))</f>
        <v/>
      </c>
    </row>
    <row r="3597">
      <c r="A3597">
        <f>IF(INDEX(L_ID,ROW()-4)="","",IF(COUNTIF(P_ID,INDEX(L_ID,ROW()-4))&gt;0,1,0))</f>
        <v/>
      </c>
      <c r="B3597">
        <f>IF(INDEX(P_Type,ROW()-4)="","",TRIM(UPPER(INDEX(P_Type,ROW()-4))))</f>
        <v/>
      </c>
      <c r="D3597">
        <f>IF(INDEX(L_Type,ROW()-4)="","",TRIM(UPPER(INDEX(L_Type,ROW()-4))))</f>
        <v/>
      </c>
      <c r="E3597">
        <f>IF(INDEX(P_Status,ROW()-4)="","",TRIM(UPPER(INDEX(P_Status,ROW()-4))))</f>
        <v/>
      </c>
      <c r="G3597">
        <f>IF(INDEX(L_Status,ROW()-4)="","",TRIM(UPPER(INDEX(L_Status,ROW()-4))))</f>
        <v/>
      </c>
      <c r="J3597">
        <f>IF(INDEX(L_ID,ROW()-4)="","",IF(SUMPRODUCT((P_ID=INDEX(L_ID,ROW()-4))*(P_StatusN="INACTIVE"))&gt;0,1,0))</f>
        <v/>
      </c>
    </row>
    <row r="3598">
      <c r="A3598">
        <f>IF(INDEX(L_ID,ROW()-4)="","",IF(COUNTIF(P_ID,INDEX(L_ID,ROW()-4))&gt;0,1,0))</f>
        <v/>
      </c>
      <c r="B3598">
        <f>IF(INDEX(P_Type,ROW()-4)="","",TRIM(UPPER(INDEX(P_Type,ROW()-4))))</f>
        <v/>
      </c>
      <c r="D3598">
        <f>IF(INDEX(L_Type,ROW()-4)="","",TRIM(UPPER(INDEX(L_Type,ROW()-4))))</f>
        <v/>
      </c>
      <c r="E3598">
        <f>IF(INDEX(P_Status,ROW()-4)="","",TRIM(UPPER(INDEX(P_Status,ROW()-4))))</f>
        <v/>
      </c>
      <c r="G3598">
        <f>IF(INDEX(L_Status,ROW()-4)="","",TRIM(UPPER(INDEX(L_Status,ROW()-4))))</f>
        <v/>
      </c>
      <c r="J3598">
        <f>IF(INDEX(L_ID,ROW()-4)="","",IF(SUMPRODUCT((P_ID=INDEX(L_ID,ROW()-4))*(P_StatusN="INACTIVE"))&gt;0,1,0))</f>
        <v/>
      </c>
    </row>
    <row r="3599">
      <c r="A3599">
        <f>IF(INDEX(L_ID,ROW()-4)="","",IF(COUNTIF(P_ID,INDEX(L_ID,ROW()-4))&gt;0,1,0))</f>
        <v/>
      </c>
      <c r="B3599">
        <f>IF(INDEX(P_Type,ROW()-4)="","",TRIM(UPPER(INDEX(P_Type,ROW()-4))))</f>
        <v/>
      </c>
      <c r="D3599">
        <f>IF(INDEX(L_Type,ROW()-4)="","",TRIM(UPPER(INDEX(L_Type,ROW()-4))))</f>
        <v/>
      </c>
      <c r="E3599">
        <f>IF(INDEX(P_Status,ROW()-4)="","",TRIM(UPPER(INDEX(P_Status,ROW()-4))))</f>
        <v/>
      </c>
      <c r="G3599">
        <f>IF(INDEX(L_Status,ROW()-4)="","",TRIM(UPPER(INDEX(L_Status,ROW()-4))))</f>
        <v/>
      </c>
      <c r="J3599">
        <f>IF(INDEX(L_ID,ROW()-4)="","",IF(SUMPRODUCT((P_ID=INDEX(L_ID,ROW()-4))*(P_StatusN="INACTIVE"))&gt;0,1,0))</f>
        <v/>
      </c>
    </row>
    <row r="3600">
      <c r="A3600">
        <f>IF(INDEX(L_ID,ROW()-4)="","",IF(COUNTIF(P_ID,INDEX(L_ID,ROW()-4))&gt;0,1,0))</f>
        <v/>
      </c>
      <c r="B3600">
        <f>IF(INDEX(P_Type,ROW()-4)="","",TRIM(UPPER(INDEX(P_Type,ROW()-4))))</f>
        <v/>
      </c>
      <c r="D3600">
        <f>IF(INDEX(L_Type,ROW()-4)="","",TRIM(UPPER(INDEX(L_Type,ROW()-4))))</f>
        <v/>
      </c>
      <c r="E3600">
        <f>IF(INDEX(P_Status,ROW()-4)="","",TRIM(UPPER(INDEX(P_Status,ROW()-4))))</f>
        <v/>
      </c>
      <c r="G3600">
        <f>IF(INDEX(L_Status,ROW()-4)="","",TRIM(UPPER(INDEX(L_Status,ROW()-4))))</f>
        <v/>
      </c>
      <c r="J3600">
        <f>IF(INDEX(L_ID,ROW()-4)="","",IF(SUMPRODUCT((P_ID=INDEX(L_ID,ROW()-4))*(P_StatusN="INACTIVE"))&gt;0,1,0))</f>
        <v/>
      </c>
    </row>
    <row r="3601">
      <c r="A3601">
        <f>IF(INDEX(L_ID,ROW()-4)="","",IF(COUNTIF(P_ID,INDEX(L_ID,ROW()-4))&gt;0,1,0))</f>
        <v/>
      </c>
      <c r="B3601">
        <f>IF(INDEX(P_Type,ROW()-4)="","",TRIM(UPPER(INDEX(P_Type,ROW()-4))))</f>
        <v/>
      </c>
      <c r="D3601">
        <f>IF(INDEX(L_Type,ROW()-4)="","",TRIM(UPPER(INDEX(L_Type,ROW()-4))))</f>
        <v/>
      </c>
      <c r="E3601">
        <f>IF(INDEX(P_Status,ROW()-4)="","",TRIM(UPPER(INDEX(P_Status,ROW()-4))))</f>
        <v/>
      </c>
      <c r="G3601">
        <f>IF(INDEX(L_Status,ROW()-4)="","",TRIM(UPPER(INDEX(L_Status,ROW()-4))))</f>
        <v/>
      </c>
      <c r="J3601">
        <f>IF(INDEX(L_ID,ROW()-4)="","",IF(SUMPRODUCT((P_ID=INDEX(L_ID,ROW()-4))*(P_StatusN="INACTIVE"))&gt;0,1,0))</f>
        <v/>
      </c>
    </row>
    <row r="3602">
      <c r="A3602">
        <f>IF(INDEX(L_ID,ROW()-4)="","",IF(COUNTIF(P_ID,INDEX(L_ID,ROW()-4))&gt;0,1,0))</f>
        <v/>
      </c>
      <c r="B3602">
        <f>IF(INDEX(P_Type,ROW()-4)="","",TRIM(UPPER(INDEX(P_Type,ROW()-4))))</f>
        <v/>
      </c>
      <c r="D3602">
        <f>IF(INDEX(L_Type,ROW()-4)="","",TRIM(UPPER(INDEX(L_Type,ROW()-4))))</f>
        <v/>
      </c>
      <c r="E3602">
        <f>IF(INDEX(P_Status,ROW()-4)="","",TRIM(UPPER(INDEX(P_Status,ROW()-4))))</f>
        <v/>
      </c>
      <c r="G3602">
        <f>IF(INDEX(L_Status,ROW()-4)="","",TRIM(UPPER(INDEX(L_Status,ROW()-4))))</f>
        <v/>
      </c>
      <c r="J3602">
        <f>IF(INDEX(L_ID,ROW()-4)="","",IF(SUMPRODUCT((P_ID=INDEX(L_ID,ROW()-4))*(P_StatusN="INACTIVE"))&gt;0,1,0))</f>
        <v/>
      </c>
    </row>
    <row r="3603">
      <c r="A3603">
        <f>IF(INDEX(L_ID,ROW()-4)="","",IF(COUNTIF(P_ID,INDEX(L_ID,ROW()-4))&gt;0,1,0))</f>
        <v/>
      </c>
      <c r="B3603">
        <f>IF(INDEX(P_Type,ROW()-4)="","",TRIM(UPPER(INDEX(P_Type,ROW()-4))))</f>
        <v/>
      </c>
      <c r="D3603">
        <f>IF(INDEX(L_Type,ROW()-4)="","",TRIM(UPPER(INDEX(L_Type,ROW()-4))))</f>
        <v/>
      </c>
      <c r="E3603">
        <f>IF(INDEX(P_Status,ROW()-4)="","",TRIM(UPPER(INDEX(P_Status,ROW()-4))))</f>
        <v/>
      </c>
      <c r="G3603">
        <f>IF(INDEX(L_Status,ROW()-4)="","",TRIM(UPPER(INDEX(L_Status,ROW()-4))))</f>
        <v/>
      </c>
      <c r="J3603">
        <f>IF(INDEX(L_ID,ROW()-4)="","",IF(SUMPRODUCT((P_ID=INDEX(L_ID,ROW()-4))*(P_StatusN="INACTIVE"))&gt;0,1,0))</f>
        <v/>
      </c>
    </row>
    <row r="3604">
      <c r="A3604">
        <f>IF(INDEX(L_ID,ROW()-4)="","",IF(COUNTIF(P_ID,INDEX(L_ID,ROW()-4))&gt;0,1,0))</f>
        <v/>
      </c>
      <c r="B3604">
        <f>IF(INDEX(P_Type,ROW()-4)="","",TRIM(UPPER(INDEX(P_Type,ROW()-4))))</f>
        <v/>
      </c>
      <c r="D3604">
        <f>IF(INDEX(L_Type,ROW()-4)="","",TRIM(UPPER(INDEX(L_Type,ROW()-4))))</f>
        <v/>
      </c>
      <c r="E3604">
        <f>IF(INDEX(P_Status,ROW()-4)="","",TRIM(UPPER(INDEX(P_Status,ROW()-4))))</f>
        <v/>
      </c>
      <c r="G3604">
        <f>IF(INDEX(L_Status,ROW()-4)="","",TRIM(UPPER(INDEX(L_Status,ROW()-4))))</f>
        <v/>
      </c>
      <c r="J3604">
        <f>IF(INDEX(L_ID,ROW()-4)="","",IF(SUMPRODUCT((P_ID=INDEX(L_ID,ROW()-4))*(P_StatusN="INACTIVE"))&gt;0,1,0))</f>
        <v/>
      </c>
    </row>
    <row r="3605">
      <c r="A3605">
        <f>IF(INDEX(L_ID,ROW()-4)="","",IF(COUNTIF(P_ID,INDEX(L_ID,ROW()-4))&gt;0,1,0))</f>
        <v/>
      </c>
      <c r="B3605">
        <f>IF(INDEX(P_Type,ROW()-4)="","",TRIM(UPPER(INDEX(P_Type,ROW()-4))))</f>
        <v/>
      </c>
      <c r="D3605">
        <f>IF(INDEX(L_Type,ROW()-4)="","",TRIM(UPPER(INDEX(L_Type,ROW()-4))))</f>
        <v/>
      </c>
      <c r="E3605">
        <f>IF(INDEX(P_Status,ROW()-4)="","",TRIM(UPPER(INDEX(P_Status,ROW()-4))))</f>
        <v/>
      </c>
      <c r="G3605">
        <f>IF(INDEX(L_Status,ROW()-4)="","",TRIM(UPPER(INDEX(L_Status,ROW()-4))))</f>
        <v/>
      </c>
      <c r="J3605">
        <f>IF(INDEX(L_ID,ROW()-4)="","",IF(SUMPRODUCT((P_ID=INDEX(L_ID,ROW()-4))*(P_StatusN="INACTIVE"))&gt;0,1,0))</f>
        <v/>
      </c>
    </row>
    <row r="3606">
      <c r="A3606">
        <f>IF(INDEX(L_ID,ROW()-4)="","",IF(COUNTIF(P_ID,INDEX(L_ID,ROW()-4))&gt;0,1,0))</f>
        <v/>
      </c>
      <c r="B3606">
        <f>IF(INDEX(P_Type,ROW()-4)="","",TRIM(UPPER(INDEX(P_Type,ROW()-4))))</f>
        <v/>
      </c>
      <c r="D3606">
        <f>IF(INDEX(L_Type,ROW()-4)="","",TRIM(UPPER(INDEX(L_Type,ROW()-4))))</f>
        <v/>
      </c>
      <c r="E3606">
        <f>IF(INDEX(P_Status,ROW()-4)="","",TRIM(UPPER(INDEX(P_Status,ROW()-4))))</f>
        <v/>
      </c>
      <c r="G3606">
        <f>IF(INDEX(L_Status,ROW()-4)="","",TRIM(UPPER(INDEX(L_Status,ROW()-4))))</f>
        <v/>
      </c>
      <c r="J3606">
        <f>IF(INDEX(L_ID,ROW()-4)="","",IF(SUMPRODUCT((P_ID=INDEX(L_ID,ROW()-4))*(P_StatusN="INACTIVE"))&gt;0,1,0))</f>
        <v/>
      </c>
    </row>
    <row r="3607">
      <c r="A3607">
        <f>IF(INDEX(L_ID,ROW()-4)="","",IF(COUNTIF(P_ID,INDEX(L_ID,ROW()-4))&gt;0,1,0))</f>
        <v/>
      </c>
      <c r="B3607">
        <f>IF(INDEX(P_Type,ROW()-4)="","",TRIM(UPPER(INDEX(P_Type,ROW()-4))))</f>
        <v/>
      </c>
      <c r="D3607">
        <f>IF(INDEX(L_Type,ROW()-4)="","",TRIM(UPPER(INDEX(L_Type,ROW()-4))))</f>
        <v/>
      </c>
      <c r="E3607">
        <f>IF(INDEX(P_Status,ROW()-4)="","",TRIM(UPPER(INDEX(P_Status,ROW()-4))))</f>
        <v/>
      </c>
      <c r="G3607">
        <f>IF(INDEX(L_Status,ROW()-4)="","",TRIM(UPPER(INDEX(L_Status,ROW()-4))))</f>
        <v/>
      </c>
      <c r="J3607">
        <f>IF(INDEX(L_ID,ROW()-4)="","",IF(SUMPRODUCT((P_ID=INDEX(L_ID,ROW()-4))*(P_StatusN="INACTIVE"))&gt;0,1,0))</f>
        <v/>
      </c>
    </row>
    <row r="3608">
      <c r="A3608">
        <f>IF(INDEX(L_ID,ROW()-4)="","",IF(COUNTIF(P_ID,INDEX(L_ID,ROW()-4))&gt;0,1,0))</f>
        <v/>
      </c>
      <c r="B3608">
        <f>IF(INDEX(P_Type,ROW()-4)="","",TRIM(UPPER(INDEX(P_Type,ROW()-4))))</f>
        <v/>
      </c>
      <c r="D3608">
        <f>IF(INDEX(L_Type,ROW()-4)="","",TRIM(UPPER(INDEX(L_Type,ROW()-4))))</f>
        <v/>
      </c>
      <c r="E3608">
        <f>IF(INDEX(P_Status,ROW()-4)="","",TRIM(UPPER(INDEX(P_Status,ROW()-4))))</f>
        <v/>
      </c>
      <c r="G3608">
        <f>IF(INDEX(L_Status,ROW()-4)="","",TRIM(UPPER(INDEX(L_Status,ROW()-4))))</f>
        <v/>
      </c>
      <c r="J3608">
        <f>IF(INDEX(L_ID,ROW()-4)="","",IF(SUMPRODUCT((P_ID=INDEX(L_ID,ROW()-4))*(P_StatusN="INACTIVE"))&gt;0,1,0))</f>
        <v/>
      </c>
    </row>
    <row r="3609">
      <c r="A3609">
        <f>IF(INDEX(L_ID,ROW()-4)="","",IF(COUNTIF(P_ID,INDEX(L_ID,ROW()-4))&gt;0,1,0))</f>
        <v/>
      </c>
      <c r="B3609">
        <f>IF(INDEX(P_Type,ROW()-4)="","",TRIM(UPPER(INDEX(P_Type,ROW()-4))))</f>
        <v/>
      </c>
      <c r="D3609">
        <f>IF(INDEX(L_Type,ROW()-4)="","",TRIM(UPPER(INDEX(L_Type,ROW()-4))))</f>
        <v/>
      </c>
      <c r="E3609">
        <f>IF(INDEX(P_Status,ROW()-4)="","",TRIM(UPPER(INDEX(P_Status,ROW()-4))))</f>
        <v/>
      </c>
      <c r="G3609">
        <f>IF(INDEX(L_Status,ROW()-4)="","",TRIM(UPPER(INDEX(L_Status,ROW()-4))))</f>
        <v/>
      </c>
      <c r="J3609">
        <f>IF(INDEX(L_ID,ROW()-4)="","",IF(SUMPRODUCT((P_ID=INDEX(L_ID,ROW()-4))*(P_StatusN="INACTIVE"))&gt;0,1,0))</f>
        <v/>
      </c>
    </row>
    <row r="3610">
      <c r="A3610">
        <f>IF(INDEX(L_ID,ROW()-4)="","",IF(COUNTIF(P_ID,INDEX(L_ID,ROW()-4))&gt;0,1,0))</f>
        <v/>
      </c>
      <c r="B3610">
        <f>IF(INDEX(P_Type,ROW()-4)="","",TRIM(UPPER(INDEX(P_Type,ROW()-4))))</f>
        <v/>
      </c>
      <c r="D3610">
        <f>IF(INDEX(L_Type,ROW()-4)="","",TRIM(UPPER(INDEX(L_Type,ROW()-4))))</f>
        <v/>
      </c>
      <c r="E3610">
        <f>IF(INDEX(P_Status,ROW()-4)="","",TRIM(UPPER(INDEX(P_Status,ROW()-4))))</f>
        <v/>
      </c>
      <c r="G3610">
        <f>IF(INDEX(L_Status,ROW()-4)="","",TRIM(UPPER(INDEX(L_Status,ROW()-4))))</f>
        <v/>
      </c>
      <c r="J3610">
        <f>IF(INDEX(L_ID,ROW()-4)="","",IF(SUMPRODUCT((P_ID=INDEX(L_ID,ROW()-4))*(P_StatusN="INACTIVE"))&gt;0,1,0))</f>
        <v/>
      </c>
    </row>
    <row r="3611">
      <c r="A3611">
        <f>IF(INDEX(L_ID,ROW()-4)="","",IF(COUNTIF(P_ID,INDEX(L_ID,ROW()-4))&gt;0,1,0))</f>
        <v/>
      </c>
      <c r="B3611">
        <f>IF(INDEX(P_Type,ROW()-4)="","",TRIM(UPPER(INDEX(P_Type,ROW()-4))))</f>
        <v/>
      </c>
      <c r="D3611">
        <f>IF(INDEX(L_Type,ROW()-4)="","",TRIM(UPPER(INDEX(L_Type,ROW()-4))))</f>
        <v/>
      </c>
      <c r="E3611">
        <f>IF(INDEX(P_Status,ROW()-4)="","",TRIM(UPPER(INDEX(P_Status,ROW()-4))))</f>
        <v/>
      </c>
      <c r="G3611">
        <f>IF(INDEX(L_Status,ROW()-4)="","",TRIM(UPPER(INDEX(L_Status,ROW()-4))))</f>
        <v/>
      </c>
      <c r="J3611">
        <f>IF(INDEX(L_ID,ROW()-4)="","",IF(SUMPRODUCT((P_ID=INDEX(L_ID,ROW()-4))*(P_StatusN="INACTIVE"))&gt;0,1,0))</f>
        <v/>
      </c>
    </row>
    <row r="3612">
      <c r="A3612">
        <f>IF(INDEX(L_ID,ROW()-4)="","",IF(COUNTIF(P_ID,INDEX(L_ID,ROW()-4))&gt;0,1,0))</f>
        <v/>
      </c>
      <c r="B3612">
        <f>IF(INDEX(P_Type,ROW()-4)="","",TRIM(UPPER(INDEX(P_Type,ROW()-4))))</f>
        <v/>
      </c>
      <c r="D3612">
        <f>IF(INDEX(L_Type,ROW()-4)="","",TRIM(UPPER(INDEX(L_Type,ROW()-4))))</f>
        <v/>
      </c>
      <c r="E3612">
        <f>IF(INDEX(P_Status,ROW()-4)="","",TRIM(UPPER(INDEX(P_Status,ROW()-4))))</f>
        <v/>
      </c>
      <c r="G3612">
        <f>IF(INDEX(L_Status,ROW()-4)="","",TRIM(UPPER(INDEX(L_Status,ROW()-4))))</f>
        <v/>
      </c>
      <c r="J3612">
        <f>IF(INDEX(L_ID,ROW()-4)="","",IF(SUMPRODUCT((P_ID=INDEX(L_ID,ROW()-4))*(P_StatusN="INACTIVE"))&gt;0,1,0))</f>
        <v/>
      </c>
    </row>
    <row r="3613">
      <c r="A3613">
        <f>IF(INDEX(L_ID,ROW()-4)="","",IF(COUNTIF(P_ID,INDEX(L_ID,ROW()-4))&gt;0,1,0))</f>
        <v/>
      </c>
      <c r="B3613">
        <f>IF(INDEX(P_Type,ROW()-4)="","",TRIM(UPPER(INDEX(P_Type,ROW()-4))))</f>
        <v/>
      </c>
      <c r="D3613">
        <f>IF(INDEX(L_Type,ROW()-4)="","",TRIM(UPPER(INDEX(L_Type,ROW()-4))))</f>
        <v/>
      </c>
      <c r="E3613">
        <f>IF(INDEX(P_Status,ROW()-4)="","",TRIM(UPPER(INDEX(P_Status,ROW()-4))))</f>
        <v/>
      </c>
      <c r="G3613">
        <f>IF(INDEX(L_Status,ROW()-4)="","",TRIM(UPPER(INDEX(L_Status,ROW()-4))))</f>
        <v/>
      </c>
      <c r="J3613">
        <f>IF(INDEX(L_ID,ROW()-4)="","",IF(SUMPRODUCT((P_ID=INDEX(L_ID,ROW()-4))*(P_StatusN="INACTIVE"))&gt;0,1,0))</f>
        <v/>
      </c>
    </row>
    <row r="3614">
      <c r="A3614">
        <f>IF(INDEX(L_ID,ROW()-4)="","",IF(COUNTIF(P_ID,INDEX(L_ID,ROW()-4))&gt;0,1,0))</f>
        <v/>
      </c>
      <c r="B3614">
        <f>IF(INDEX(P_Type,ROW()-4)="","",TRIM(UPPER(INDEX(P_Type,ROW()-4))))</f>
        <v/>
      </c>
      <c r="D3614">
        <f>IF(INDEX(L_Type,ROW()-4)="","",TRIM(UPPER(INDEX(L_Type,ROW()-4))))</f>
        <v/>
      </c>
      <c r="E3614">
        <f>IF(INDEX(P_Status,ROW()-4)="","",TRIM(UPPER(INDEX(P_Status,ROW()-4))))</f>
        <v/>
      </c>
      <c r="G3614">
        <f>IF(INDEX(L_Status,ROW()-4)="","",TRIM(UPPER(INDEX(L_Status,ROW()-4))))</f>
        <v/>
      </c>
      <c r="J3614">
        <f>IF(INDEX(L_ID,ROW()-4)="","",IF(SUMPRODUCT((P_ID=INDEX(L_ID,ROW()-4))*(P_StatusN="INACTIVE"))&gt;0,1,0))</f>
        <v/>
      </c>
    </row>
    <row r="3615">
      <c r="A3615">
        <f>IF(INDEX(L_ID,ROW()-4)="","",IF(COUNTIF(P_ID,INDEX(L_ID,ROW()-4))&gt;0,1,0))</f>
        <v/>
      </c>
      <c r="B3615">
        <f>IF(INDEX(P_Type,ROW()-4)="","",TRIM(UPPER(INDEX(P_Type,ROW()-4))))</f>
        <v/>
      </c>
      <c r="D3615">
        <f>IF(INDEX(L_Type,ROW()-4)="","",TRIM(UPPER(INDEX(L_Type,ROW()-4))))</f>
        <v/>
      </c>
      <c r="E3615">
        <f>IF(INDEX(P_Status,ROW()-4)="","",TRIM(UPPER(INDEX(P_Status,ROW()-4))))</f>
        <v/>
      </c>
      <c r="G3615">
        <f>IF(INDEX(L_Status,ROW()-4)="","",TRIM(UPPER(INDEX(L_Status,ROW()-4))))</f>
        <v/>
      </c>
      <c r="J3615">
        <f>IF(INDEX(L_ID,ROW()-4)="","",IF(SUMPRODUCT((P_ID=INDEX(L_ID,ROW()-4))*(P_StatusN="INACTIVE"))&gt;0,1,0))</f>
        <v/>
      </c>
    </row>
    <row r="3616">
      <c r="A3616">
        <f>IF(INDEX(L_ID,ROW()-4)="","",IF(COUNTIF(P_ID,INDEX(L_ID,ROW()-4))&gt;0,1,0))</f>
        <v/>
      </c>
      <c r="B3616">
        <f>IF(INDEX(P_Type,ROW()-4)="","",TRIM(UPPER(INDEX(P_Type,ROW()-4))))</f>
        <v/>
      </c>
      <c r="D3616">
        <f>IF(INDEX(L_Type,ROW()-4)="","",TRIM(UPPER(INDEX(L_Type,ROW()-4))))</f>
        <v/>
      </c>
      <c r="E3616">
        <f>IF(INDEX(P_Status,ROW()-4)="","",TRIM(UPPER(INDEX(P_Status,ROW()-4))))</f>
        <v/>
      </c>
      <c r="G3616">
        <f>IF(INDEX(L_Status,ROW()-4)="","",TRIM(UPPER(INDEX(L_Status,ROW()-4))))</f>
        <v/>
      </c>
      <c r="J3616">
        <f>IF(INDEX(L_ID,ROW()-4)="","",IF(SUMPRODUCT((P_ID=INDEX(L_ID,ROW()-4))*(P_StatusN="INACTIVE"))&gt;0,1,0))</f>
        <v/>
      </c>
    </row>
    <row r="3617">
      <c r="A3617">
        <f>IF(INDEX(L_ID,ROW()-4)="","",IF(COUNTIF(P_ID,INDEX(L_ID,ROW()-4))&gt;0,1,0))</f>
        <v/>
      </c>
      <c r="B3617">
        <f>IF(INDEX(P_Type,ROW()-4)="","",TRIM(UPPER(INDEX(P_Type,ROW()-4))))</f>
        <v/>
      </c>
      <c r="D3617">
        <f>IF(INDEX(L_Type,ROW()-4)="","",TRIM(UPPER(INDEX(L_Type,ROW()-4))))</f>
        <v/>
      </c>
      <c r="E3617">
        <f>IF(INDEX(P_Status,ROW()-4)="","",TRIM(UPPER(INDEX(P_Status,ROW()-4))))</f>
        <v/>
      </c>
      <c r="G3617">
        <f>IF(INDEX(L_Status,ROW()-4)="","",TRIM(UPPER(INDEX(L_Status,ROW()-4))))</f>
        <v/>
      </c>
      <c r="J3617">
        <f>IF(INDEX(L_ID,ROW()-4)="","",IF(SUMPRODUCT((P_ID=INDEX(L_ID,ROW()-4))*(P_StatusN="INACTIVE"))&gt;0,1,0))</f>
        <v/>
      </c>
    </row>
    <row r="3618">
      <c r="A3618">
        <f>IF(INDEX(L_ID,ROW()-4)="","",IF(COUNTIF(P_ID,INDEX(L_ID,ROW()-4))&gt;0,1,0))</f>
        <v/>
      </c>
      <c r="B3618">
        <f>IF(INDEX(P_Type,ROW()-4)="","",TRIM(UPPER(INDEX(P_Type,ROW()-4))))</f>
        <v/>
      </c>
      <c r="D3618">
        <f>IF(INDEX(L_Type,ROW()-4)="","",TRIM(UPPER(INDEX(L_Type,ROW()-4))))</f>
        <v/>
      </c>
      <c r="E3618">
        <f>IF(INDEX(P_Status,ROW()-4)="","",TRIM(UPPER(INDEX(P_Status,ROW()-4))))</f>
        <v/>
      </c>
      <c r="G3618">
        <f>IF(INDEX(L_Status,ROW()-4)="","",TRIM(UPPER(INDEX(L_Status,ROW()-4))))</f>
        <v/>
      </c>
      <c r="J3618">
        <f>IF(INDEX(L_ID,ROW()-4)="","",IF(SUMPRODUCT((P_ID=INDEX(L_ID,ROW()-4))*(P_StatusN="INACTIVE"))&gt;0,1,0))</f>
        <v/>
      </c>
    </row>
    <row r="3619">
      <c r="A3619">
        <f>IF(INDEX(L_ID,ROW()-4)="","",IF(COUNTIF(P_ID,INDEX(L_ID,ROW()-4))&gt;0,1,0))</f>
        <v/>
      </c>
      <c r="B3619">
        <f>IF(INDEX(P_Type,ROW()-4)="","",TRIM(UPPER(INDEX(P_Type,ROW()-4))))</f>
        <v/>
      </c>
      <c r="D3619">
        <f>IF(INDEX(L_Type,ROW()-4)="","",TRIM(UPPER(INDEX(L_Type,ROW()-4))))</f>
        <v/>
      </c>
      <c r="E3619">
        <f>IF(INDEX(P_Status,ROW()-4)="","",TRIM(UPPER(INDEX(P_Status,ROW()-4))))</f>
        <v/>
      </c>
      <c r="G3619">
        <f>IF(INDEX(L_Status,ROW()-4)="","",TRIM(UPPER(INDEX(L_Status,ROW()-4))))</f>
        <v/>
      </c>
      <c r="J3619">
        <f>IF(INDEX(L_ID,ROW()-4)="","",IF(SUMPRODUCT((P_ID=INDEX(L_ID,ROW()-4))*(P_StatusN="INACTIVE"))&gt;0,1,0))</f>
        <v/>
      </c>
    </row>
    <row r="3620">
      <c r="A3620">
        <f>IF(INDEX(L_ID,ROW()-4)="","",IF(COUNTIF(P_ID,INDEX(L_ID,ROW()-4))&gt;0,1,0))</f>
        <v/>
      </c>
      <c r="B3620">
        <f>IF(INDEX(P_Type,ROW()-4)="","",TRIM(UPPER(INDEX(P_Type,ROW()-4))))</f>
        <v/>
      </c>
      <c r="D3620">
        <f>IF(INDEX(L_Type,ROW()-4)="","",TRIM(UPPER(INDEX(L_Type,ROW()-4))))</f>
        <v/>
      </c>
      <c r="E3620">
        <f>IF(INDEX(P_Status,ROW()-4)="","",TRIM(UPPER(INDEX(P_Status,ROW()-4))))</f>
        <v/>
      </c>
      <c r="G3620">
        <f>IF(INDEX(L_Status,ROW()-4)="","",TRIM(UPPER(INDEX(L_Status,ROW()-4))))</f>
        <v/>
      </c>
      <c r="J3620">
        <f>IF(INDEX(L_ID,ROW()-4)="","",IF(SUMPRODUCT((P_ID=INDEX(L_ID,ROW()-4))*(P_StatusN="INACTIVE"))&gt;0,1,0))</f>
        <v/>
      </c>
    </row>
    <row r="3621">
      <c r="A3621">
        <f>IF(INDEX(L_ID,ROW()-4)="","",IF(COUNTIF(P_ID,INDEX(L_ID,ROW()-4))&gt;0,1,0))</f>
        <v/>
      </c>
      <c r="B3621">
        <f>IF(INDEX(P_Type,ROW()-4)="","",TRIM(UPPER(INDEX(P_Type,ROW()-4))))</f>
        <v/>
      </c>
      <c r="D3621">
        <f>IF(INDEX(L_Type,ROW()-4)="","",TRIM(UPPER(INDEX(L_Type,ROW()-4))))</f>
        <v/>
      </c>
      <c r="E3621">
        <f>IF(INDEX(P_Status,ROW()-4)="","",TRIM(UPPER(INDEX(P_Status,ROW()-4))))</f>
        <v/>
      </c>
      <c r="G3621">
        <f>IF(INDEX(L_Status,ROW()-4)="","",TRIM(UPPER(INDEX(L_Status,ROW()-4))))</f>
        <v/>
      </c>
      <c r="J3621">
        <f>IF(INDEX(L_ID,ROW()-4)="","",IF(SUMPRODUCT((P_ID=INDEX(L_ID,ROW()-4))*(P_StatusN="INACTIVE"))&gt;0,1,0))</f>
        <v/>
      </c>
    </row>
    <row r="3622">
      <c r="A3622">
        <f>IF(INDEX(L_ID,ROW()-4)="","",IF(COUNTIF(P_ID,INDEX(L_ID,ROW()-4))&gt;0,1,0))</f>
        <v/>
      </c>
      <c r="B3622">
        <f>IF(INDEX(P_Type,ROW()-4)="","",TRIM(UPPER(INDEX(P_Type,ROW()-4))))</f>
        <v/>
      </c>
      <c r="D3622">
        <f>IF(INDEX(L_Type,ROW()-4)="","",TRIM(UPPER(INDEX(L_Type,ROW()-4))))</f>
        <v/>
      </c>
      <c r="E3622">
        <f>IF(INDEX(P_Status,ROW()-4)="","",TRIM(UPPER(INDEX(P_Status,ROW()-4))))</f>
        <v/>
      </c>
      <c r="G3622">
        <f>IF(INDEX(L_Status,ROW()-4)="","",TRIM(UPPER(INDEX(L_Status,ROW()-4))))</f>
        <v/>
      </c>
      <c r="J3622">
        <f>IF(INDEX(L_ID,ROW()-4)="","",IF(SUMPRODUCT((P_ID=INDEX(L_ID,ROW()-4))*(P_StatusN="INACTIVE"))&gt;0,1,0))</f>
        <v/>
      </c>
    </row>
    <row r="3623">
      <c r="A3623">
        <f>IF(INDEX(L_ID,ROW()-4)="","",IF(COUNTIF(P_ID,INDEX(L_ID,ROW()-4))&gt;0,1,0))</f>
        <v/>
      </c>
      <c r="B3623">
        <f>IF(INDEX(P_Type,ROW()-4)="","",TRIM(UPPER(INDEX(P_Type,ROW()-4))))</f>
        <v/>
      </c>
      <c r="D3623">
        <f>IF(INDEX(L_Type,ROW()-4)="","",TRIM(UPPER(INDEX(L_Type,ROW()-4))))</f>
        <v/>
      </c>
      <c r="E3623">
        <f>IF(INDEX(P_Status,ROW()-4)="","",TRIM(UPPER(INDEX(P_Status,ROW()-4))))</f>
        <v/>
      </c>
      <c r="G3623">
        <f>IF(INDEX(L_Status,ROW()-4)="","",TRIM(UPPER(INDEX(L_Status,ROW()-4))))</f>
        <v/>
      </c>
      <c r="J3623">
        <f>IF(INDEX(L_ID,ROW()-4)="","",IF(SUMPRODUCT((P_ID=INDEX(L_ID,ROW()-4))*(P_StatusN="INACTIVE"))&gt;0,1,0))</f>
        <v/>
      </c>
    </row>
    <row r="3624">
      <c r="A3624">
        <f>IF(INDEX(L_ID,ROW()-4)="","",IF(COUNTIF(P_ID,INDEX(L_ID,ROW()-4))&gt;0,1,0))</f>
        <v/>
      </c>
      <c r="B3624">
        <f>IF(INDEX(P_Type,ROW()-4)="","",TRIM(UPPER(INDEX(P_Type,ROW()-4))))</f>
        <v/>
      </c>
      <c r="D3624">
        <f>IF(INDEX(L_Type,ROW()-4)="","",TRIM(UPPER(INDEX(L_Type,ROW()-4))))</f>
        <v/>
      </c>
      <c r="E3624">
        <f>IF(INDEX(P_Status,ROW()-4)="","",TRIM(UPPER(INDEX(P_Status,ROW()-4))))</f>
        <v/>
      </c>
      <c r="G3624">
        <f>IF(INDEX(L_Status,ROW()-4)="","",TRIM(UPPER(INDEX(L_Status,ROW()-4))))</f>
        <v/>
      </c>
      <c r="J3624">
        <f>IF(INDEX(L_ID,ROW()-4)="","",IF(SUMPRODUCT((P_ID=INDEX(L_ID,ROW()-4))*(P_StatusN="INACTIVE"))&gt;0,1,0))</f>
        <v/>
      </c>
    </row>
    <row r="3625">
      <c r="A3625">
        <f>IF(INDEX(L_ID,ROW()-4)="","",IF(COUNTIF(P_ID,INDEX(L_ID,ROW()-4))&gt;0,1,0))</f>
        <v/>
      </c>
      <c r="B3625">
        <f>IF(INDEX(P_Type,ROW()-4)="","",TRIM(UPPER(INDEX(P_Type,ROW()-4))))</f>
        <v/>
      </c>
      <c r="D3625">
        <f>IF(INDEX(L_Type,ROW()-4)="","",TRIM(UPPER(INDEX(L_Type,ROW()-4))))</f>
        <v/>
      </c>
      <c r="E3625">
        <f>IF(INDEX(P_Status,ROW()-4)="","",TRIM(UPPER(INDEX(P_Status,ROW()-4))))</f>
        <v/>
      </c>
      <c r="G3625">
        <f>IF(INDEX(L_Status,ROW()-4)="","",TRIM(UPPER(INDEX(L_Status,ROW()-4))))</f>
        <v/>
      </c>
      <c r="J3625">
        <f>IF(INDEX(L_ID,ROW()-4)="","",IF(SUMPRODUCT((P_ID=INDEX(L_ID,ROW()-4))*(P_StatusN="INACTIVE"))&gt;0,1,0))</f>
        <v/>
      </c>
    </row>
    <row r="3626">
      <c r="A3626">
        <f>IF(INDEX(L_ID,ROW()-4)="","",IF(COUNTIF(P_ID,INDEX(L_ID,ROW()-4))&gt;0,1,0))</f>
        <v/>
      </c>
      <c r="B3626">
        <f>IF(INDEX(P_Type,ROW()-4)="","",TRIM(UPPER(INDEX(P_Type,ROW()-4))))</f>
        <v/>
      </c>
      <c r="D3626">
        <f>IF(INDEX(L_Type,ROW()-4)="","",TRIM(UPPER(INDEX(L_Type,ROW()-4))))</f>
        <v/>
      </c>
      <c r="E3626">
        <f>IF(INDEX(P_Status,ROW()-4)="","",TRIM(UPPER(INDEX(P_Status,ROW()-4))))</f>
        <v/>
      </c>
      <c r="G3626">
        <f>IF(INDEX(L_Status,ROW()-4)="","",TRIM(UPPER(INDEX(L_Status,ROW()-4))))</f>
        <v/>
      </c>
      <c r="J3626">
        <f>IF(INDEX(L_ID,ROW()-4)="","",IF(SUMPRODUCT((P_ID=INDEX(L_ID,ROW()-4))*(P_StatusN="INACTIVE"))&gt;0,1,0))</f>
        <v/>
      </c>
    </row>
    <row r="3627">
      <c r="A3627">
        <f>IF(INDEX(L_ID,ROW()-4)="","",IF(COUNTIF(P_ID,INDEX(L_ID,ROW()-4))&gt;0,1,0))</f>
        <v/>
      </c>
      <c r="B3627">
        <f>IF(INDEX(P_Type,ROW()-4)="","",TRIM(UPPER(INDEX(P_Type,ROW()-4))))</f>
        <v/>
      </c>
      <c r="D3627">
        <f>IF(INDEX(L_Type,ROW()-4)="","",TRIM(UPPER(INDEX(L_Type,ROW()-4))))</f>
        <v/>
      </c>
      <c r="E3627">
        <f>IF(INDEX(P_Status,ROW()-4)="","",TRIM(UPPER(INDEX(P_Status,ROW()-4))))</f>
        <v/>
      </c>
      <c r="G3627">
        <f>IF(INDEX(L_Status,ROW()-4)="","",TRIM(UPPER(INDEX(L_Status,ROW()-4))))</f>
        <v/>
      </c>
      <c r="J3627">
        <f>IF(INDEX(L_ID,ROW()-4)="","",IF(SUMPRODUCT((P_ID=INDEX(L_ID,ROW()-4))*(P_StatusN="INACTIVE"))&gt;0,1,0))</f>
        <v/>
      </c>
    </row>
    <row r="3628">
      <c r="A3628">
        <f>IF(INDEX(L_ID,ROW()-4)="","",IF(COUNTIF(P_ID,INDEX(L_ID,ROW()-4))&gt;0,1,0))</f>
        <v/>
      </c>
      <c r="B3628">
        <f>IF(INDEX(P_Type,ROW()-4)="","",TRIM(UPPER(INDEX(P_Type,ROW()-4))))</f>
        <v/>
      </c>
      <c r="D3628">
        <f>IF(INDEX(L_Type,ROW()-4)="","",TRIM(UPPER(INDEX(L_Type,ROW()-4))))</f>
        <v/>
      </c>
      <c r="E3628">
        <f>IF(INDEX(P_Status,ROW()-4)="","",TRIM(UPPER(INDEX(P_Status,ROW()-4))))</f>
        <v/>
      </c>
      <c r="G3628">
        <f>IF(INDEX(L_Status,ROW()-4)="","",TRIM(UPPER(INDEX(L_Status,ROW()-4))))</f>
        <v/>
      </c>
      <c r="J3628">
        <f>IF(INDEX(L_ID,ROW()-4)="","",IF(SUMPRODUCT((P_ID=INDEX(L_ID,ROW()-4))*(P_StatusN="INACTIVE"))&gt;0,1,0))</f>
        <v/>
      </c>
    </row>
    <row r="3629">
      <c r="A3629">
        <f>IF(INDEX(L_ID,ROW()-4)="","",IF(COUNTIF(P_ID,INDEX(L_ID,ROW()-4))&gt;0,1,0))</f>
        <v/>
      </c>
      <c r="B3629">
        <f>IF(INDEX(P_Type,ROW()-4)="","",TRIM(UPPER(INDEX(P_Type,ROW()-4))))</f>
        <v/>
      </c>
      <c r="D3629">
        <f>IF(INDEX(L_Type,ROW()-4)="","",TRIM(UPPER(INDEX(L_Type,ROW()-4))))</f>
        <v/>
      </c>
      <c r="E3629">
        <f>IF(INDEX(P_Status,ROW()-4)="","",TRIM(UPPER(INDEX(P_Status,ROW()-4))))</f>
        <v/>
      </c>
      <c r="G3629">
        <f>IF(INDEX(L_Status,ROW()-4)="","",TRIM(UPPER(INDEX(L_Status,ROW()-4))))</f>
        <v/>
      </c>
      <c r="J3629">
        <f>IF(INDEX(L_ID,ROW()-4)="","",IF(SUMPRODUCT((P_ID=INDEX(L_ID,ROW()-4))*(P_StatusN="INACTIVE"))&gt;0,1,0))</f>
        <v/>
      </c>
    </row>
    <row r="3630">
      <c r="A3630">
        <f>IF(INDEX(L_ID,ROW()-4)="","",IF(COUNTIF(P_ID,INDEX(L_ID,ROW()-4))&gt;0,1,0))</f>
        <v/>
      </c>
      <c r="B3630">
        <f>IF(INDEX(P_Type,ROW()-4)="","",TRIM(UPPER(INDEX(P_Type,ROW()-4))))</f>
        <v/>
      </c>
      <c r="D3630">
        <f>IF(INDEX(L_Type,ROW()-4)="","",TRIM(UPPER(INDEX(L_Type,ROW()-4))))</f>
        <v/>
      </c>
      <c r="E3630">
        <f>IF(INDEX(P_Status,ROW()-4)="","",TRIM(UPPER(INDEX(P_Status,ROW()-4))))</f>
        <v/>
      </c>
      <c r="G3630">
        <f>IF(INDEX(L_Status,ROW()-4)="","",TRIM(UPPER(INDEX(L_Status,ROW()-4))))</f>
        <v/>
      </c>
      <c r="J3630">
        <f>IF(INDEX(L_ID,ROW()-4)="","",IF(SUMPRODUCT((P_ID=INDEX(L_ID,ROW()-4))*(P_StatusN="INACTIVE"))&gt;0,1,0))</f>
        <v/>
      </c>
    </row>
    <row r="3631">
      <c r="A3631">
        <f>IF(INDEX(L_ID,ROW()-4)="","",IF(COUNTIF(P_ID,INDEX(L_ID,ROW()-4))&gt;0,1,0))</f>
        <v/>
      </c>
      <c r="B3631">
        <f>IF(INDEX(P_Type,ROW()-4)="","",TRIM(UPPER(INDEX(P_Type,ROW()-4))))</f>
        <v/>
      </c>
      <c r="D3631">
        <f>IF(INDEX(L_Type,ROW()-4)="","",TRIM(UPPER(INDEX(L_Type,ROW()-4))))</f>
        <v/>
      </c>
      <c r="E3631">
        <f>IF(INDEX(P_Status,ROW()-4)="","",TRIM(UPPER(INDEX(P_Status,ROW()-4))))</f>
        <v/>
      </c>
      <c r="G3631">
        <f>IF(INDEX(L_Status,ROW()-4)="","",TRIM(UPPER(INDEX(L_Status,ROW()-4))))</f>
        <v/>
      </c>
      <c r="J3631">
        <f>IF(INDEX(L_ID,ROW()-4)="","",IF(SUMPRODUCT((P_ID=INDEX(L_ID,ROW()-4))*(P_StatusN="INACTIVE"))&gt;0,1,0))</f>
        <v/>
      </c>
    </row>
    <row r="3632">
      <c r="A3632">
        <f>IF(INDEX(L_ID,ROW()-4)="","",IF(COUNTIF(P_ID,INDEX(L_ID,ROW()-4))&gt;0,1,0))</f>
        <v/>
      </c>
      <c r="B3632">
        <f>IF(INDEX(P_Type,ROW()-4)="","",TRIM(UPPER(INDEX(P_Type,ROW()-4))))</f>
        <v/>
      </c>
      <c r="D3632">
        <f>IF(INDEX(L_Type,ROW()-4)="","",TRIM(UPPER(INDEX(L_Type,ROW()-4))))</f>
        <v/>
      </c>
      <c r="E3632">
        <f>IF(INDEX(P_Status,ROW()-4)="","",TRIM(UPPER(INDEX(P_Status,ROW()-4))))</f>
        <v/>
      </c>
      <c r="G3632">
        <f>IF(INDEX(L_Status,ROW()-4)="","",TRIM(UPPER(INDEX(L_Status,ROW()-4))))</f>
        <v/>
      </c>
      <c r="J3632">
        <f>IF(INDEX(L_ID,ROW()-4)="","",IF(SUMPRODUCT((P_ID=INDEX(L_ID,ROW()-4))*(P_StatusN="INACTIVE"))&gt;0,1,0))</f>
        <v/>
      </c>
    </row>
    <row r="3633">
      <c r="A3633">
        <f>IF(INDEX(L_ID,ROW()-4)="","",IF(COUNTIF(P_ID,INDEX(L_ID,ROW()-4))&gt;0,1,0))</f>
        <v/>
      </c>
      <c r="B3633">
        <f>IF(INDEX(P_Type,ROW()-4)="","",TRIM(UPPER(INDEX(P_Type,ROW()-4))))</f>
        <v/>
      </c>
      <c r="D3633">
        <f>IF(INDEX(L_Type,ROW()-4)="","",TRIM(UPPER(INDEX(L_Type,ROW()-4))))</f>
        <v/>
      </c>
      <c r="E3633">
        <f>IF(INDEX(P_Status,ROW()-4)="","",TRIM(UPPER(INDEX(P_Status,ROW()-4))))</f>
        <v/>
      </c>
      <c r="G3633">
        <f>IF(INDEX(L_Status,ROW()-4)="","",TRIM(UPPER(INDEX(L_Status,ROW()-4))))</f>
        <v/>
      </c>
      <c r="J3633">
        <f>IF(INDEX(L_ID,ROW()-4)="","",IF(SUMPRODUCT((P_ID=INDEX(L_ID,ROW()-4))*(P_StatusN="INACTIVE"))&gt;0,1,0))</f>
        <v/>
      </c>
    </row>
    <row r="3634">
      <c r="A3634">
        <f>IF(INDEX(L_ID,ROW()-4)="","",IF(COUNTIF(P_ID,INDEX(L_ID,ROW()-4))&gt;0,1,0))</f>
        <v/>
      </c>
      <c r="B3634">
        <f>IF(INDEX(P_Type,ROW()-4)="","",TRIM(UPPER(INDEX(P_Type,ROW()-4))))</f>
        <v/>
      </c>
      <c r="D3634">
        <f>IF(INDEX(L_Type,ROW()-4)="","",TRIM(UPPER(INDEX(L_Type,ROW()-4))))</f>
        <v/>
      </c>
      <c r="E3634">
        <f>IF(INDEX(P_Status,ROW()-4)="","",TRIM(UPPER(INDEX(P_Status,ROW()-4))))</f>
        <v/>
      </c>
      <c r="G3634">
        <f>IF(INDEX(L_Status,ROW()-4)="","",TRIM(UPPER(INDEX(L_Status,ROW()-4))))</f>
        <v/>
      </c>
      <c r="J3634">
        <f>IF(INDEX(L_ID,ROW()-4)="","",IF(SUMPRODUCT((P_ID=INDEX(L_ID,ROW()-4))*(P_StatusN="INACTIVE"))&gt;0,1,0))</f>
        <v/>
      </c>
    </row>
    <row r="3635">
      <c r="A3635">
        <f>IF(INDEX(L_ID,ROW()-4)="","",IF(COUNTIF(P_ID,INDEX(L_ID,ROW()-4))&gt;0,1,0))</f>
        <v/>
      </c>
      <c r="B3635">
        <f>IF(INDEX(P_Type,ROW()-4)="","",TRIM(UPPER(INDEX(P_Type,ROW()-4))))</f>
        <v/>
      </c>
      <c r="D3635">
        <f>IF(INDEX(L_Type,ROW()-4)="","",TRIM(UPPER(INDEX(L_Type,ROW()-4))))</f>
        <v/>
      </c>
      <c r="E3635">
        <f>IF(INDEX(P_Status,ROW()-4)="","",TRIM(UPPER(INDEX(P_Status,ROW()-4))))</f>
        <v/>
      </c>
      <c r="G3635">
        <f>IF(INDEX(L_Status,ROW()-4)="","",TRIM(UPPER(INDEX(L_Status,ROW()-4))))</f>
        <v/>
      </c>
      <c r="J3635">
        <f>IF(INDEX(L_ID,ROW()-4)="","",IF(SUMPRODUCT((P_ID=INDEX(L_ID,ROW()-4))*(P_StatusN="INACTIVE"))&gt;0,1,0))</f>
        <v/>
      </c>
    </row>
    <row r="3636">
      <c r="A3636">
        <f>IF(INDEX(L_ID,ROW()-4)="","",IF(COUNTIF(P_ID,INDEX(L_ID,ROW()-4))&gt;0,1,0))</f>
        <v/>
      </c>
      <c r="B3636">
        <f>IF(INDEX(P_Type,ROW()-4)="","",TRIM(UPPER(INDEX(P_Type,ROW()-4))))</f>
        <v/>
      </c>
      <c r="D3636">
        <f>IF(INDEX(L_Type,ROW()-4)="","",TRIM(UPPER(INDEX(L_Type,ROW()-4))))</f>
        <v/>
      </c>
      <c r="E3636">
        <f>IF(INDEX(P_Status,ROW()-4)="","",TRIM(UPPER(INDEX(P_Status,ROW()-4))))</f>
        <v/>
      </c>
      <c r="G3636">
        <f>IF(INDEX(L_Status,ROW()-4)="","",TRIM(UPPER(INDEX(L_Status,ROW()-4))))</f>
        <v/>
      </c>
      <c r="J3636">
        <f>IF(INDEX(L_ID,ROW()-4)="","",IF(SUMPRODUCT((P_ID=INDEX(L_ID,ROW()-4))*(P_StatusN="INACTIVE"))&gt;0,1,0))</f>
        <v/>
      </c>
    </row>
    <row r="3637">
      <c r="A3637">
        <f>IF(INDEX(L_ID,ROW()-4)="","",IF(COUNTIF(P_ID,INDEX(L_ID,ROW()-4))&gt;0,1,0))</f>
        <v/>
      </c>
      <c r="B3637">
        <f>IF(INDEX(P_Type,ROW()-4)="","",TRIM(UPPER(INDEX(P_Type,ROW()-4))))</f>
        <v/>
      </c>
      <c r="D3637">
        <f>IF(INDEX(L_Type,ROW()-4)="","",TRIM(UPPER(INDEX(L_Type,ROW()-4))))</f>
        <v/>
      </c>
      <c r="E3637">
        <f>IF(INDEX(P_Status,ROW()-4)="","",TRIM(UPPER(INDEX(P_Status,ROW()-4))))</f>
        <v/>
      </c>
      <c r="G3637">
        <f>IF(INDEX(L_Status,ROW()-4)="","",TRIM(UPPER(INDEX(L_Status,ROW()-4))))</f>
        <v/>
      </c>
      <c r="J3637">
        <f>IF(INDEX(L_ID,ROW()-4)="","",IF(SUMPRODUCT((P_ID=INDEX(L_ID,ROW()-4))*(P_StatusN="INACTIVE"))&gt;0,1,0))</f>
        <v/>
      </c>
    </row>
    <row r="3638">
      <c r="A3638">
        <f>IF(INDEX(L_ID,ROW()-4)="","",IF(COUNTIF(P_ID,INDEX(L_ID,ROW()-4))&gt;0,1,0))</f>
        <v/>
      </c>
      <c r="B3638">
        <f>IF(INDEX(P_Type,ROW()-4)="","",TRIM(UPPER(INDEX(P_Type,ROW()-4))))</f>
        <v/>
      </c>
      <c r="D3638">
        <f>IF(INDEX(L_Type,ROW()-4)="","",TRIM(UPPER(INDEX(L_Type,ROW()-4))))</f>
        <v/>
      </c>
      <c r="E3638">
        <f>IF(INDEX(P_Status,ROW()-4)="","",TRIM(UPPER(INDEX(P_Status,ROW()-4))))</f>
        <v/>
      </c>
      <c r="G3638">
        <f>IF(INDEX(L_Status,ROW()-4)="","",TRIM(UPPER(INDEX(L_Status,ROW()-4))))</f>
        <v/>
      </c>
      <c r="J3638">
        <f>IF(INDEX(L_ID,ROW()-4)="","",IF(SUMPRODUCT((P_ID=INDEX(L_ID,ROW()-4))*(P_StatusN="INACTIVE"))&gt;0,1,0))</f>
        <v/>
      </c>
    </row>
    <row r="3639">
      <c r="A3639">
        <f>IF(INDEX(L_ID,ROW()-4)="","",IF(COUNTIF(P_ID,INDEX(L_ID,ROW()-4))&gt;0,1,0))</f>
        <v/>
      </c>
      <c r="B3639">
        <f>IF(INDEX(P_Type,ROW()-4)="","",TRIM(UPPER(INDEX(P_Type,ROW()-4))))</f>
        <v/>
      </c>
      <c r="D3639">
        <f>IF(INDEX(L_Type,ROW()-4)="","",TRIM(UPPER(INDEX(L_Type,ROW()-4))))</f>
        <v/>
      </c>
      <c r="E3639">
        <f>IF(INDEX(P_Status,ROW()-4)="","",TRIM(UPPER(INDEX(P_Status,ROW()-4))))</f>
        <v/>
      </c>
      <c r="G3639">
        <f>IF(INDEX(L_Status,ROW()-4)="","",TRIM(UPPER(INDEX(L_Status,ROW()-4))))</f>
        <v/>
      </c>
      <c r="J3639">
        <f>IF(INDEX(L_ID,ROW()-4)="","",IF(SUMPRODUCT((P_ID=INDEX(L_ID,ROW()-4))*(P_StatusN="INACTIVE"))&gt;0,1,0))</f>
        <v/>
      </c>
    </row>
    <row r="3640">
      <c r="A3640">
        <f>IF(INDEX(L_ID,ROW()-4)="","",IF(COUNTIF(P_ID,INDEX(L_ID,ROW()-4))&gt;0,1,0))</f>
        <v/>
      </c>
      <c r="B3640">
        <f>IF(INDEX(P_Type,ROW()-4)="","",TRIM(UPPER(INDEX(P_Type,ROW()-4))))</f>
        <v/>
      </c>
      <c r="D3640">
        <f>IF(INDEX(L_Type,ROW()-4)="","",TRIM(UPPER(INDEX(L_Type,ROW()-4))))</f>
        <v/>
      </c>
      <c r="E3640">
        <f>IF(INDEX(P_Status,ROW()-4)="","",TRIM(UPPER(INDEX(P_Status,ROW()-4))))</f>
        <v/>
      </c>
      <c r="G3640">
        <f>IF(INDEX(L_Status,ROW()-4)="","",TRIM(UPPER(INDEX(L_Status,ROW()-4))))</f>
        <v/>
      </c>
      <c r="J3640">
        <f>IF(INDEX(L_ID,ROW()-4)="","",IF(SUMPRODUCT((P_ID=INDEX(L_ID,ROW()-4))*(P_StatusN="INACTIVE"))&gt;0,1,0))</f>
        <v/>
      </c>
    </row>
    <row r="3641">
      <c r="A3641">
        <f>IF(INDEX(L_ID,ROW()-4)="","",IF(COUNTIF(P_ID,INDEX(L_ID,ROW()-4))&gt;0,1,0))</f>
        <v/>
      </c>
      <c r="B3641">
        <f>IF(INDEX(P_Type,ROW()-4)="","",TRIM(UPPER(INDEX(P_Type,ROW()-4))))</f>
        <v/>
      </c>
      <c r="D3641">
        <f>IF(INDEX(L_Type,ROW()-4)="","",TRIM(UPPER(INDEX(L_Type,ROW()-4))))</f>
        <v/>
      </c>
      <c r="E3641">
        <f>IF(INDEX(P_Status,ROW()-4)="","",TRIM(UPPER(INDEX(P_Status,ROW()-4))))</f>
        <v/>
      </c>
      <c r="G3641">
        <f>IF(INDEX(L_Status,ROW()-4)="","",TRIM(UPPER(INDEX(L_Status,ROW()-4))))</f>
        <v/>
      </c>
      <c r="J3641">
        <f>IF(INDEX(L_ID,ROW()-4)="","",IF(SUMPRODUCT((P_ID=INDEX(L_ID,ROW()-4))*(P_StatusN="INACTIVE"))&gt;0,1,0))</f>
        <v/>
      </c>
    </row>
    <row r="3642">
      <c r="A3642">
        <f>IF(INDEX(L_ID,ROW()-4)="","",IF(COUNTIF(P_ID,INDEX(L_ID,ROW()-4))&gt;0,1,0))</f>
        <v/>
      </c>
      <c r="B3642">
        <f>IF(INDEX(P_Type,ROW()-4)="","",TRIM(UPPER(INDEX(P_Type,ROW()-4))))</f>
        <v/>
      </c>
      <c r="D3642">
        <f>IF(INDEX(L_Type,ROW()-4)="","",TRIM(UPPER(INDEX(L_Type,ROW()-4))))</f>
        <v/>
      </c>
      <c r="E3642">
        <f>IF(INDEX(P_Status,ROW()-4)="","",TRIM(UPPER(INDEX(P_Status,ROW()-4))))</f>
        <v/>
      </c>
      <c r="G3642">
        <f>IF(INDEX(L_Status,ROW()-4)="","",TRIM(UPPER(INDEX(L_Status,ROW()-4))))</f>
        <v/>
      </c>
      <c r="J3642">
        <f>IF(INDEX(L_ID,ROW()-4)="","",IF(SUMPRODUCT((P_ID=INDEX(L_ID,ROW()-4))*(P_StatusN="INACTIVE"))&gt;0,1,0))</f>
        <v/>
      </c>
    </row>
    <row r="3643">
      <c r="A3643">
        <f>IF(INDEX(L_ID,ROW()-4)="","",IF(COUNTIF(P_ID,INDEX(L_ID,ROW()-4))&gt;0,1,0))</f>
        <v/>
      </c>
      <c r="B3643">
        <f>IF(INDEX(P_Type,ROW()-4)="","",TRIM(UPPER(INDEX(P_Type,ROW()-4))))</f>
        <v/>
      </c>
      <c r="D3643">
        <f>IF(INDEX(L_Type,ROW()-4)="","",TRIM(UPPER(INDEX(L_Type,ROW()-4))))</f>
        <v/>
      </c>
      <c r="E3643">
        <f>IF(INDEX(P_Status,ROW()-4)="","",TRIM(UPPER(INDEX(P_Status,ROW()-4))))</f>
        <v/>
      </c>
      <c r="G3643">
        <f>IF(INDEX(L_Status,ROW()-4)="","",TRIM(UPPER(INDEX(L_Status,ROW()-4))))</f>
        <v/>
      </c>
      <c r="J3643">
        <f>IF(INDEX(L_ID,ROW()-4)="","",IF(SUMPRODUCT((P_ID=INDEX(L_ID,ROW()-4))*(P_StatusN="INACTIVE"))&gt;0,1,0))</f>
        <v/>
      </c>
    </row>
    <row r="3644">
      <c r="A3644">
        <f>IF(INDEX(L_ID,ROW()-4)="","",IF(COUNTIF(P_ID,INDEX(L_ID,ROW()-4))&gt;0,1,0))</f>
        <v/>
      </c>
      <c r="B3644">
        <f>IF(INDEX(P_Type,ROW()-4)="","",TRIM(UPPER(INDEX(P_Type,ROW()-4))))</f>
        <v/>
      </c>
      <c r="D3644">
        <f>IF(INDEX(L_Type,ROW()-4)="","",TRIM(UPPER(INDEX(L_Type,ROW()-4))))</f>
        <v/>
      </c>
      <c r="E3644">
        <f>IF(INDEX(P_Status,ROW()-4)="","",TRIM(UPPER(INDEX(P_Status,ROW()-4))))</f>
        <v/>
      </c>
      <c r="G3644">
        <f>IF(INDEX(L_Status,ROW()-4)="","",TRIM(UPPER(INDEX(L_Status,ROW()-4))))</f>
        <v/>
      </c>
      <c r="J3644">
        <f>IF(INDEX(L_ID,ROW()-4)="","",IF(SUMPRODUCT((P_ID=INDEX(L_ID,ROW()-4))*(P_StatusN="INACTIVE"))&gt;0,1,0))</f>
        <v/>
      </c>
    </row>
    <row r="3645">
      <c r="A3645">
        <f>IF(INDEX(L_ID,ROW()-4)="","",IF(COUNTIF(P_ID,INDEX(L_ID,ROW()-4))&gt;0,1,0))</f>
        <v/>
      </c>
      <c r="B3645">
        <f>IF(INDEX(P_Type,ROW()-4)="","",TRIM(UPPER(INDEX(P_Type,ROW()-4))))</f>
        <v/>
      </c>
      <c r="D3645">
        <f>IF(INDEX(L_Type,ROW()-4)="","",TRIM(UPPER(INDEX(L_Type,ROW()-4))))</f>
        <v/>
      </c>
      <c r="E3645">
        <f>IF(INDEX(P_Status,ROW()-4)="","",TRIM(UPPER(INDEX(P_Status,ROW()-4))))</f>
        <v/>
      </c>
      <c r="G3645">
        <f>IF(INDEX(L_Status,ROW()-4)="","",TRIM(UPPER(INDEX(L_Status,ROW()-4))))</f>
        <v/>
      </c>
      <c r="J3645">
        <f>IF(INDEX(L_ID,ROW()-4)="","",IF(SUMPRODUCT((P_ID=INDEX(L_ID,ROW()-4))*(P_StatusN="INACTIVE"))&gt;0,1,0))</f>
        <v/>
      </c>
    </row>
    <row r="3646">
      <c r="A3646">
        <f>IF(INDEX(L_ID,ROW()-4)="","",IF(COUNTIF(P_ID,INDEX(L_ID,ROW()-4))&gt;0,1,0))</f>
        <v/>
      </c>
      <c r="B3646">
        <f>IF(INDEX(P_Type,ROW()-4)="","",TRIM(UPPER(INDEX(P_Type,ROW()-4))))</f>
        <v/>
      </c>
      <c r="D3646">
        <f>IF(INDEX(L_Type,ROW()-4)="","",TRIM(UPPER(INDEX(L_Type,ROW()-4))))</f>
        <v/>
      </c>
      <c r="E3646">
        <f>IF(INDEX(P_Status,ROW()-4)="","",TRIM(UPPER(INDEX(P_Status,ROW()-4))))</f>
        <v/>
      </c>
      <c r="G3646">
        <f>IF(INDEX(L_Status,ROW()-4)="","",TRIM(UPPER(INDEX(L_Status,ROW()-4))))</f>
        <v/>
      </c>
      <c r="J3646">
        <f>IF(INDEX(L_ID,ROW()-4)="","",IF(SUMPRODUCT((P_ID=INDEX(L_ID,ROW()-4))*(P_StatusN="INACTIVE"))&gt;0,1,0))</f>
        <v/>
      </c>
    </row>
    <row r="3647">
      <c r="A3647">
        <f>IF(INDEX(L_ID,ROW()-4)="","",IF(COUNTIF(P_ID,INDEX(L_ID,ROW()-4))&gt;0,1,0))</f>
        <v/>
      </c>
      <c r="B3647">
        <f>IF(INDEX(P_Type,ROW()-4)="","",TRIM(UPPER(INDEX(P_Type,ROW()-4))))</f>
        <v/>
      </c>
      <c r="D3647">
        <f>IF(INDEX(L_Type,ROW()-4)="","",TRIM(UPPER(INDEX(L_Type,ROW()-4))))</f>
        <v/>
      </c>
      <c r="E3647">
        <f>IF(INDEX(P_Status,ROW()-4)="","",TRIM(UPPER(INDEX(P_Status,ROW()-4))))</f>
        <v/>
      </c>
      <c r="G3647">
        <f>IF(INDEX(L_Status,ROW()-4)="","",TRIM(UPPER(INDEX(L_Status,ROW()-4))))</f>
        <v/>
      </c>
      <c r="J3647">
        <f>IF(INDEX(L_ID,ROW()-4)="","",IF(SUMPRODUCT((P_ID=INDEX(L_ID,ROW()-4))*(P_StatusN="INACTIVE"))&gt;0,1,0))</f>
        <v/>
      </c>
    </row>
    <row r="3648">
      <c r="A3648">
        <f>IF(INDEX(L_ID,ROW()-4)="","",IF(COUNTIF(P_ID,INDEX(L_ID,ROW()-4))&gt;0,1,0))</f>
        <v/>
      </c>
      <c r="B3648">
        <f>IF(INDEX(P_Type,ROW()-4)="","",TRIM(UPPER(INDEX(P_Type,ROW()-4))))</f>
        <v/>
      </c>
      <c r="D3648">
        <f>IF(INDEX(L_Type,ROW()-4)="","",TRIM(UPPER(INDEX(L_Type,ROW()-4))))</f>
        <v/>
      </c>
      <c r="E3648">
        <f>IF(INDEX(P_Status,ROW()-4)="","",TRIM(UPPER(INDEX(P_Status,ROW()-4))))</f>
        <v/>
      </c>
      <c r="G3648">
        <f>IF(INDEX(L_Status,ROW()-4)="","",TRIM(UPPER(INDEX(L_Status,ROW()-4))))</f>
        <v/>
      </c>
      <c r="J3648">
        <f>IF(INDEX(L_ID,ROW()-4)="","",IF(SUMPRODUCT((P_ID=INDEX(L_ID,ROW()-4))*(P_StatusN="INACTIVE"))&gt;0,1,0))</f>
        <v/>
      </c>
    </row>
    <row r="3649">
      <c r="A3649">
        <f>IF(INDEX(L_ID,ROW()-4)="","",IF(COUNTIF(P_ID,INDEX(L_ID,ROW()-4))&gt;0,1,0))</f>
        <v/>
      </c>
      <c r="B3649">
        <f>IF(INDEX(P_Type,ROW()-4)="","",TRIM(UPPER(INDEX(P_Type,ROW()-4))))</f>
        <v/>
      </c>
      <c r="D3649">
        <f>IF(INDEX(L_Type,ROW()-4)="","",TRIM(UPPER(INDEX(L_Type,ROW()-4))))</f>
        <v/>
      </c>
      <c r="E3649">
        <f>IF(INDEX(P_Status,ROW()-4)="","",TRIM(UPPER(INDEX(P_Status,ROW()-4))))</f>
        <v/>
      </c>
      <c r="G3649">
        <f>IF(INDEX(L_Status,ROW()-4)="","",TRIM(UPPER(INDEX(L_Status,ROW()-4))))</f>
        <v/>
      </c>
      <c r="J3649">
        <f>IF(INDEX(L_ID,ROW()-4)="","",IF(SUMPRODUCT((P_ID=INDEX(L_ID,ROW()-4))*(P_StatusN="INACTIVE"))&gt;0,1,0))</f>
        <v/>
      </c>
    </row>
    <row r="3650">
      <c r="A3650">
        <f>IF(INDEX(L_ID,ROW()-4)="","",IF(COUNTIF(P_ID,INDEX(L_ID,ROW()-4))&gt;0,1,0))</f>
        <v/>
      </c>
      <c r="B3650">
        <f>IF(INDEX(P_Type,ROW()-4)="","",TRIM(UPPER(INDEX(P_Type,ROW()-4))))</f>
        <v/>
      </c>
      <c r="D3650">
        <f>IF(INDEX(L_Type,ROW()-4)="","",TRIM(UPPER(INDEX(L_Type,ROW()-4))))</f>
        <v/>
      </c>
      <c r="E3650">
        <f>IF(INDEX(P_Status,ROW()-4)="","",TRIM(UPPER(INDEX(P_Status,ROW()-4))))</f>
        <v/>
      </c>
      <c r="G3650">
        <f>IF(INDEX(L_Status,ROW()-4)="","",TRIM(UPPER(INDEX(L_Status,ROW()-4))))</f>
        <v/>
      </c>
      <c r="J3650">
        <f>IF(INDEX(L_ID,ROW()-4)="","",IF(SUMPRODUCT((P_ID=INDEX(L_ID,ROW()-4))*(P_StatusN="INACTIVE"))&gt;0,1,0))</f>
        <v/>
      </c>
    </row>
    <row r="3651">
      <c r="A3651">
        <f>IF(INDEX(L_ID,ROW()-4)="","",IF(COUNTIF(P_ID,INDEX(L_ID,ROW()-4))&gt;0,1,0))</f>
        <v/>
      </c>
      <c r="B3651">
        <f>IF(INDEX(P_Type,ROW()-4)="","",TRIM(UPPER(INDEX(P_Type,ROW()-4))))</f>
        <v/>
      </c>
      <c r="D3651">
        <f>IF(INDEX(L_Type,ROW()-4)="","",TRIM(UPPER(INDEX(L_Type,ROW()-4))))</f>
        <v/>
      </c>
      <c r="E3651">
        <f>IF(INDEX(P_Status,ROW()-4)="","",TRIM(UPPER(INDEX(P_Status,ROW()-4))))</f>
        <v/>
      </c>
      <c r="G3651">
        <f>IF(INDEX(L_Status,ROW()-4)="","",TRIM(UPPER(INDEX(L_Status,ROW()-4))))</f>
        <v/>
      </c>
      <c r="J3651">
        <f>IF(INDEX(L_ID,ROW()-4)="","",IF(SUMPRODUCT((P_ID=INDEX(L_ID,ROW()-4))*(P_StatusN="INACTIVE"))&gt;0,1,0))</f>
        <v/>
      </c>
    </row>
    <row r="3652">
      <c r="A3652">
        <f>IF(INDEX(L_ID,ROW()-4)="","",IF(COUNTIF(P_ID,INDEX(L_ID,ROW()-4))&gt;0,1,0))</f>
        <v/>
      </c>
      <c r="B3652">
        <f>IF(INDEX(P_Type,ROW()-4)="","",TRIM(UPPER(INDEX(P_Type,ROW()-4))))</f>
        <v/>
      </c>
      <c r="D3652">
        <f>IF(INDEX(L_Type,ROW()-4)="","",TRIM(UPPER(INDEX(L_Type,ROW()-4))))</f>
        <v/>
      </c>
      <c r="E3652">
        <f>IF(INDEX(P_Status,ROW()-4)="","",TRIM(UPPER(INDEX(P_Status,ROW()-4))))</f>
        <v/>
      </c>
      <c r="G3652">
        <f>IF(INDEX(L_Status,ROW()-4)="","",TRIM(UPPER(INDEX(L_Status,ROW()-4))))</f>
        <v/>
      </c>
      <c r="J3652">
        <f>IF(INDEX(L_ID,ROW()-4)="","",IF(SUMPRODUCT((P_ID=INDEX(L_ID,ROW()-4))*(P_StatusN="INACTIVE"))&gt;0,1,0))</f>
        <v/>
      </c>
    </row>
    <row r="3653">
      <c r="A3653">
        <f>IF(INDEX(L_ID,ROW()-4)="","",IF(COUNTIF(P_ID,INDEX(L_ID,ROW()-4))&gt;0,1,0))</f>
        <v/>
      </c>
      <c r="B3653">
        <f>IF(INDEX(P_Type,ROW()-4)="","",TRIM(UPPER(INDEX(P_Type,ROW()-4))))</f>
        <v/>
      </c>
      <c r="D3653">
        <f>IF(INDEX(L_Type,ROW()-4)="","",TRIM(UPPER(INDEX(L_Type,ROW()-4))))</f>
        <v/>
      </c>
      <c r="E3653">
        <f>IF(INDEX(P_Status,ROW()-4)="","",TRIM(UPPER(INDEX(P_Status,ROW()-4))))</f>
        <v/>
      </c>
      <c r="G3653">
        <f>IF(INDEX(L_Status,ROW()-4)="","",TRIM(UPPER(INDEX(L_Status,ROW()-4))))</f>
        <v/>
      </c>
      <c r="J3653">
        <f>IF(INDEX(L_ID,ROW()-4)="","",IF(SUMPRODUCT((P_ID=INDEX(L_ID,ROW()-4))*(P_StatusN="INACTIVE"))&gt;0,1,0))</f>
        <v/>
      </c>
    </row>
    <row r="3654">
      <c r="A3654">
        <f>IF(INDEX(L_ID,ROW()-4)="","",IF(COUNTIF(P_ID,INDEX(L_ID,ROW()-4))&gt;0,1,0))</f>
        <v/>
      </c>
      <c r="B3654">
        <f>IF(INDEX(P_Type,ROW()-4)="","",TRIM(UPPER(INDEX(P_Type,ROW()-4))))</f>
        <v/>
      </c>
      <c r="D3654">
        <f>IF(INDEX(L_Type,ROW()-4)="","",TRIM(UPPER(INDEX(L_Type,ROW()-4))))</f>
        <v/>
      </c>
      <c r="E3654">
        <f>IF(INDEX(P_Status,ROW()-4)="","",TRIM(UPPER(INDEX(P_Status,ROW()-4))))</f>
        <v/>
      </c>
      <c r="G3654">
        <f>IF(INDEX(L_Status,ROW()-4)="","",TRIM(UPPER(INDEX(L_Status,ROW()-4))))</f>
        <v/>
      </c>
      <c r="J3654">
        <f>IF(INDEX(L_ID,ROW()-4)="","",IF(SUMPRODUCT((P_ID=INDEX(L_ID,ROW()-4))*(P_StatusN="INACTIVE"))&gt;0,1,0))</f>
        <v/>
      </c>
    </row>
    <row r="3655">
      <c r="A3655">
        <f>IF(INDEX(L_ID,ROW()-4)="","",IF(COUNTIF(P_ID,INDEX(L_ID,ROW()-4))&gt;0,1,0))</f>
        <v/>
      </c>
      <c r="B3655">
        <f>IF(INDEX(P_Type,ROW()-4)="","",TRIM(UPPER(INDEX(P_Type,ROW()-4))))</f>
        <v/>
      </c>
      <c r="D3655">
        <f>IF(INDEX(L_Type,ROW()-4)="","",TRIM(UPPER(INDEX(L_Type,ROW()-4))))</f>
        <v/>
      </c>
      <c r="E3655">
        <f>IF(INDEX(P_Status,ROW()-4)="","",TRIM(UPPER(INDEX(P_Status,ROW()-4))))</f>
        <v/>
      </c>
      <c r="G3655">
        <f>IF(INDEX(L_Status,ROW()-4)="","",TRIM(UPPER(INDEX(L_Status,ROW()-4))))</f>
        <v/>
      </c>
      <c r="J3655">
        <f>IF(INDEX(L_ID,ROW()-4)="","",IF(SUMPRODUCT((P_ID=INDEX(L_ID,ROW()-4))*(P_StatusN="INACTIVE"))&gt;0,1,0))</f>
        <v/>
      </c>
    </row>
    <row r="3656">
      <c r="A3656">
        <f>IF(INDEX(L_ID,ROW()-4)="","",IF(COUNTIF(P_ID,INDEX(L_ID,ROW()-4))&gt;0,1,0))</f>
        <v/>
      </c>
      <c r="B3656">
        <f>IF(INDEX(P_Type,ROW()-4)="","",TRIM(UPPER(INDEX(P_Type,ROW()-4))))</f>
        <v/>
      </c>
      <c r="D3656">
        <f>IF(INDEX(L_Type,ROW()-4)="","",TRIM(UPPER(INDEX(L_Type,ROW()-4))))</f>
        <v/>
      </c>
      <c r="E3656">
        <f>IF(INDEX(P_Status,ROW()-4)="","",TRIM(UPPER(INDEX(P_Status,ROW()-4))))</f>
        <v/>
      </c>
      <c r="G3656">
        <f>IF(INDEX(L_Status,ROW()-4)="","",TRIM(UPPER(INDEX(L_Status,ROW()-4))))</f>
        <v/>
      </c>
      <c r="J3656">
        <f>IF(INDEX(L_ID,ROW()-4)="","",IF(SUMPRODUCT((P_ID=INDEX(L_ID,ROW()-4))*(P_StatusN="INACTIVE"))&gt;0,1,0))</f>
        <v/>
      </c>
    </row>
    <row r="3657">
      <c r="A3657">
        <f>IF(INDEX(L_ID,ROW()-4)="","",IF(COUNTIF(P_ID,INDEX(L_ID,ROW()-4))&gt;0,1,0))</f>
        <v/>
      </c>
      <c r="B3657">
        <f>IF(INDEX(P_Type,ROW()-4)="","",TRIM(UPPER(INDEX(P_Type,ROW()-4))))</f>
        <v/>
      </c>
      <c r="D3657">
        <f>IF(INDEX(L_Type,ROW()-4)="","",TRIM(UPPER(INDEX(L_Type,ROW()-4))))</f>
        <v/>
      </c>
      <c r="E3657">
        <f>IF(INDEX(P_Status,ROW()-4)="","",TRIM(UPPER(INDEX(P_Status,ROW()-4))))</f>
        <v/>
      </c>
      <c r="G3657">
        <f>IF(INDEX(L_Status,ROW()-4)="","",TRIM(UPPER(INDEX(L_Status,ROW()-4))))</f>
        <v/>
      </c>
      <c r="J3657">
        <f>IF(INDEX(L_ID,ROW()-4)="","",IF(SUMPRODUCT((P_ID=INDEX(L_ID,ROW()-4))*(P_StatusN="INACTIVE"))&gt;0,1,0))</f>
        <v/>
      </c>
    </row>
    <row r="3658">
      <c r="A3658">
        <f>IF(INDEX(L_ID,ROW()-4)="","",IF(COUNTIF(P_ID,INDEX(L_ID,ROW()-4))&gt;0,1,0))</f>
        <v/>
      </c>
      <c r="B3658">
        <f>IF(INDEX(P_Type,ROW()-4)="","",TRIM(UPPER(INDEX(P_Type,ROW()-4))))</f>
        <v/>
      </c>
      <c r="D3658">
        <f>IF(INDEX(L_Type,ROW()-4)="","",TRIM(UPPER(INDEX(L_Type,ROW()-4))))</f>
        <v/>
      </c>
      <c r="E3658">
        <f>IF(INDEX(P_Status,ROW()-4)="","",TRIM(UPPER(INDEX(P_Status,ROW()-4))))</f>
        <v/>
      </c>
      <c r="G3658">
        <f>IF(INDEX(L_Status,ROW()-4)="","",TRIM(UPPER(INDEX(L_Status,ROW()-4))))</f>
        <v/>
      </c>
      <c r="J3658">
        <f>IF(INDEX(L_ID,ROW()-4)="","",IF(SUMPRODUCT((P_ID=INDEX(L_ID,ROW()-4))*(P_StatusN="INACTIVE"))&gt;0,1,0))</f>
        <v/>
      </c>
    </row>
    <row r="3659">
      <c r="A3659">
        <f>IF(INDEX(L_ID,ROW()-4)="","",IF(COUNTIF(P_ID,INDEX(L_ID,ROW()-4))&gt;0,1,0))</f>
        <v/>
      </c>
      <c r="B3659">
        <f>IF(INDEX(P_Type,ROW()-4)="","",TRIM(UPPER(INDEX(P_Type,ROW()-4))))</f>
        <v/>
      </c>
      <c r="D3659">
        <f>IF(INDEX(L_Type,ROW()-4)="","",TRIM(UPPER(INDEX(L_Type,ROW()-4))))</f>
        <v/>
      </c>
      <c r="E3659">
        <f>IF(INDEX(P_Status,ROW()-4)="","",TRIM(UPPER(INDEX(P_Status,ROW()-4))))</f>
        <v/>
      </c>
      <c r="G3659">
        <f>IF(INDEX(L_Status,ROW()-4)="","",TRIM(UPPER(INDEX(L_Status,ROW()-4))))</f>
        <v/>
      </c>
      <c r="J3659">
        <f>IF(INDEX(L_ID,ROW()-4)="","",IF(SUMPRODUCT((P_ID=INDEX(L_ID,ROW()-4))*(P_StatusN="INACTIVE"))&gt;0,1,0))</f>
        <v/>
      </c>
    </row>
    <row r="3660">
      <c r="A3660">
        <f>IF(INDEX(L_ID,ROW()-4)="","",IF(COUNTIF(P_ID,INDEX(L_ID,ROW()-4))&gt;0,1,0))</f>
        <v/>
      </c>
      <c r="B3660">
        <f>IF(INDEX(P_Type,ROW()-4)="","",TRIM(UPPER(INDEX(P_Type,ROW()-4))))</f>
        <v/>
      </c>
      <c r="D3660">
        <f>IF(INDEX(L_Type,ROW()-4)="","",TRIM(UPPER(INDEX(L_Type,ROW()-4))))</f>
        <v/>
      </c>
      <c r="E3660">
        <f>IF(INDEX(P_Status,ROW()-4)="","",TRIM(UPPER(INDEX(P_Status,ROW()-4))))</f>
        <v/>
      </c>
      <c r="G3660">
        <f>IF(INDEX(L_Status,ROW()-4)="","",TRIM(UPPER(INDEX(L_Status,ROW()-4))))</f>
        <v/>
      </c>
      <c r="J3660">
        <f>IF(INDEX(L_ID,ROW()-4)="","",IF(SUMPRODUCT((P_ID=INDEX(L_ID,ROW()-4))*(P_StatusN="INACTIVE"))&gt;0,1,0))</f>
        <v/>
      </c>
    </row>
    <row r="3661">
      <c r="A3661">
        <f>IF(INDEX(L_ID,ROW()-4)="","",IF(COUNTIF(P_ID,INDEX(L_ID,ROW()-4))&gt;0,1,0))</f>
        <v/>
      </c>
      <c r="B3661">
        <f>IF(INDEX(P_Type,ROW()-4)="","",TRIM(UPPER(INDEX(P_Type,ROW()-4))))</f>
        <v/>
      </c>
      <c r="D3661">
        <f>IF(INDEX(L_Type,ROW()-4)="","",TRIM(UPPER(INDEX(L_Type,ROW()-4))))</f>
        <v/>
      </c>
      <c r="E3661">
        <f>IF(INDEX(P_Status,ROW()-4)="","",TRIM(UPPER(INDEX(P_Status,ROW()-4))))</f>
        <v/>
      </c>
      <c r="G3661">
        <f>IF(INDEX(L_Status,ROW()-4)="","",TRIM(UPPER(INDEX(L_Status,ROW()-4))))</f>
        <v/>
      </c>
      <c r="J3661">
        <f>IF(INDEX(L_ID,ROW()-4)="","",IF(SUMPRODUCT((P_ID=INDEX(L_ID,ROW()-4))*(P_StatusN="INACTIVE"))&gt;0,1,0))</f>
        <v/>
      </c>
    </row>
    <row r="3662">
      <c r="A3662">
        <f>IF(INDEX(L_ID,ROW()-4)="","",IF(COUNTIF(P_ID,INDEX(L_ID,ROW()-4))&gt;0,1,0))</f>
        <v/>
      </c>
      <c r="B3662">
        <f>IF(INDEX(P_Type,ROW()-4)="","",TRIM(UPPER(INDEX(P_Type,ROW()-4))))</f>
        <v/>
      </c>
      <c r="D3662">
        <f>IF(INDEX(L_Type,ROW()-4)="","",TRIM(UPPER(INDEX(L_Type,ROW()-4))))</f>
        <v/>
      </c>
      <c r="E3662">
        <f>IF(INDEX(P_Status,ROW()-4)="","",TRIM(UPPER(INDEX(P_Status,ROW()-4))))</f>
        <v/>
      </c>
      <c r="G3662">
        <f>IF(INDEX(L_Status,ROW()-4)="","",TRIM(UPPER(INDEX(L_Status,ROW()-4))))</f>
        <v/>
      </c>
      <c r="J3662">
        <f>IF(INDEX(L_ID,ROW()-4)="","",IF(SUMPRODUCT((P_ID=INDEX(L_ID,ROW()-4))*(P_StatusN="INACTIVE"))&gt;0,1,0))</f>
        <v/>
      </c>
    </row>
    <row r="3663">
      <c r="A3663">
        <f>IF(INDEX(L_ID,ROW()-4)="","",IF(COUNTIF(P_ID,INDEX(L_ID,ROW()-4))&gt;0,1,0))</f>
        <v/>
      </c>
      <c r="B3663">
        <f>IF(INDEX(P_Type,ROW()-4)="","",TRIM(UPPER(INDEX(P_Type,ROW()-4))))</f>
        <v/>
      </c>
      <c r="D3663">
        <f>IF(INDEX(L_Type,ROW()-4)="","",TRIM(UPPER(INDEX(L_Type,ROW()-4))))</f>
        <v/>
      </c>
      <c r="E3663">
        <f>IF(INDEX(P_Status,ROW()-4)="","",TRIM(UPPER(INDEX(P_Status,ROW()-4))))</f>
        <v/>
      </c>
      <c r="G3663">
        <f>IF(INDEX(L_Status,ROW()-4)="","",TRIM(UPPER(INDEX(L_Status,ROW()-4))))</f>
        <v/>
      </c>
      <c r="J3663">
        <f>IF(INDEX(L_ID,ROW()-4)="","",IF(SUMPRODUCT((P_ID=INDEX(L_ID,ROW()-4))*(P_StatusN="INACTIVE"))&gt;0,1,0))</f>
        <v/>
      </c>
    </row>
    <row r="3664">
      <c r="A3664">
        <f>IF(INDEX(L_ID,ROW()-4)="","",IF(COUNTIF(P_ID,INDEX(L_ID,ROW()-4))&gt;0,1,0))</f>
        <v/>
      </c>
      <c r="B3664">
        <f>IF(INDEX(P_Type,ROW()-4)="","",TRIM(UPPER(INDEX(P_Type,ROW()-4))))</f>
        <v/>
      </c>
      <c r="D3664">
        <f>IF(INDEX(L_Type,ROW()-4)="","",TRIM(UPPER(INDEX(L_Type,ROW()-4))))</f>
        <v/>
      </c>
      <c r="E3664">
        <f>IF(INDEX(P_Status,ROW()-4)="","",TRIM(UPPER(INDEX(P_Status,ROW()-4))))</f>
        <v/>
      </c>
      <c r="G3664">
        <f>IF(INDEX(L_Status,ROW()-4)="","",TRIM(UPPER(INDEX(L_Status,ROW()-4))))</f>
        <v/>
      </c>
      <c r="J3664">
        <f>IF(INDEX(L_ID,ROW()-4)="","",IF(SUMPRODUCT((P_ID=INDEX(L_ID,ROW()-4))*(P_StatusN="INACTIVE"))&gt;0,1,0))</f>
        <v/>
      </c>
    </row>
    <row r="3665">
      <c r="A3665">
        <f>IF(INDEX(L_ID,ROW()-4)="","",IF(COUNTIF(P_ID,INDEX(L_ID,ROW()-4))&gt;0,1,0))</f>
        <v/>
      </c>
      <c r="B3665">
        <f>IF(INDEX(P_Type,ROW()-4)="","",TRIM(UPPER(INDEX(P_Type,ROW()-4))))</f>
        <v/>
      </c>
      <c r="D3665">
        <f>IF(INDEX(L_Type,ROW()-4)="","",TRIM(UPPER(INDEX(L_Type,ROW()-4))))</f>
        <v/>
      </c>
      <c r="E3665">
        <f>IF(INDEX(P_Status,ROW()-4)="","",TRIM(UPPER(INDEX(P_Status,ROW()-4))))</f>
        <v/>
      </c>
      <c r="G3665">
        <f>IF(INDEX(L_Status,ROW()-4)="","",TRIM(UPPER(INDEX(L_Status,ROW()-4))))</f>
        <v/>
      </c>
      <c r="J3665">
        <f>IF(INDEX(L_ID,ROW()-4)="","",IF(SUMPRODUCT((P_ID=INDEX(L_ID,ROW()-4))*(P_StatusN="INACTIVE"))&gt;0,1,0))</f>
        <v/>
      </c>
    </row>
    <row r="3666">
      <c r="A3666">
        <f>IF(INDEX(L_ID,ROW()-4)="","",IF(COUNTIF(P_ID,INDEX(L_ID,ROW()-4))&gt;0,1,0))</f>
        <v/>
      </c>
      <c r="B3666">
        <f>IF(INDEX(P_Type,ROW()-4)="","",TRIM(UPPER(INDEX(P_Type,ROW()-4))))</f>
        <v/>
      </c>
      <c r="D3666">
        <f>IF(INDEX(L_Type,ROW()-4)="","",TRIM(UPPER(INDEX(L_Type,ROW()-4))))</f>
        <v/>
      </c>
      <c r="E3666">
        <f>IF(INDEX(P_Status,ROW()-4)="","",TRIM(UPPER(INDEX(P_Status,ROW()-4))))</f>
        <v/>
      </c>
      <c r="G3666">
        <f>IF(INDEX(L_Status,ROW()-4)="","",TRIM(UPPER(INDEX(L_Status,ROW()-4))))</f>
        <v/>
      </c>
      <c r="J3666">
        <f>IF(INDEX(L_ID,ROW()-4)="","",IF(SUMPRODUCT((P_ID=INDEX(L_ID,ROW()-4))*(P_StatusN="INACTIVE"))&gt;0,1,0))</f>
        <v/>
      </c>
    </row>
    <row r="3667">
      <c r="A3667">
        <f>IF(INDEX(L_ID,ROW()-4)="","",IF(COUNTIF(P_ID,INDEX(L_ID,ROW()-4))&gt;0,1,0))</f>
        <v/>
      </c>
      <c r="B3667">
        <f>IF(INDEX(P_Type,ROW()-4)="","",TRIM(UPPER(INDEX(P_Type,ROW()-4))))</f>
        <v/>
      </c>
      <c r="D3667">
        <f>IF(INDEX(L_Type,ROW()-4)="","",TRIM(UPPER(INDEX(L_Type,ROW()-4))))</f>
        <v/>
      </c>
      <c r="E3667">
        <f>IF(INDEX(P_Status,ROW()-4)="","",TRIM(UPPER(INDEX(P_Status,ROW()-4))))</f>
        <v/>
      </c>
      <c r="G3667">
        <f>IF(INDEX(L_Status,ROW()-4)="","",TRIM(UPPER(INDEX(L_Status,ROW()-4))))</f>
        <v/>
      </c>
      <c r="J3667">
        <f>IF(INDEX(L_ID,ROW()-4)="","",IF(SUMPRODUCT((P_ID=INDEX(L_ID,ROW()-4))*(P_StatusN="INACTIVE"))&gt;0,1,0))</f>
        <v/>
      </c>
    </row>
    <row r="3668">
      <c r="A3668">
        <f>IF(INDEX(L_ID,ROW()-4)="","",IF(COUNTIF(P_ID,INDEX(L_ID,ROW()-4))&gt;0,1,0))</f>
        <v/>
      </c>
      <c r="B3668">
        <f>IF(INDEX(P_Type,ROW()-4)="","",TRIM(UPPER(INDEX(P_Type,ROW()-4))))</f>
        <v/>
      </c>
      <c r="D3668">
        <f>IF(INDEX(L_Type,ROW()-4)="","",TRIM(UPPER(INDEX(L_Type,ROW()-4))))</f>
        <v/>
      </c>
      <c r="E3668">
        <f>IF(INDEX(P_Status,ROW()-4)="","",TRIM(UPPER(INDEX(P_Status,ROW()-4))))</f>
        <v/>
      </c>
      <c r="G3668">
        <f>IF(INDEX(L_Status,ROW()-4)="","",TRIM(UPPER(INDEX(L_Status,ROW()-4))))</f>
        <v/>
      </c>
      <c r="J3668">
        <f>IF(INDEX(L_ID,ROW()-4)="","",IF(SUMPRODUCT((P_ID=INDEX(L_ID,ROW()-4))*(P_StatusN="INACTIVE"))&gt;0,1,0))</f>
        <v/>
      </c>
    </row>
    <row r="3669">
      <c r="A3669">
        <f>IF(INDEX(L_ID,ROW()-4)="","",IF(COUNTIF(P_ID,INDEX(L_ID,ROW()-4))&gt;0,1,0))</f>
        <v/>
      </c>
      <c r="B3669">
        <f>IF(INDEX(P_Type,ROW()-4)="","",TRIM(UPPER(INDEX(P_Type,ROW()-4))))</f>
        <v/>
      </c>
      <c r="D3669">
        <f>IF(INDEX(L_Type,ROW()-4)="","",TRIM(UPPER(INDEX(L_Type,ROW()-4))))</f>
        <v/>
      </c>
      <c r="E3669">
        <f>IF(INDEX(P_Status,ROW()-4)="","",TRIM(UPPER(INDEX(P_Status,ROW()-4))))</f>
        <v/>
      </c>
      <c r="G3669">
        <f>IF(INDEX(L_Status,ROW()-4)="","",TRIM(UPPER(INDEX(L_Status,ROW()-4))))</f>
        <v/>
      </c>
      <c r="J3669">
        <f>IF(INDEX(L_ID,ROW()-4)="","",IF(SUMPRODUCT((P_ID=INDEX(L_ID,ROW()-4))*(P_StatusN="INACTIVE"))&gt;0,1,0))</f>
        <v/>
      </c>
    </row>
    <row r="3670">
      <c r="A3670">
        <f>IF(INDEX(L_ID,ROW()-4)="","",IF(COUNTIF(P_ID,INDEX(L_ID,ROW()-4))&gt;0,1,0))</f>
        <v/>
      </c>
      <c r="B3670">
        <f>IF(INDEX(P_Type,ROW()-4)="","",TRIM(UPPER(INDEX(P_Type,ROW()-4))))</f>
        <v/>
      </c>
      <c r="D3670">
        <f>IF(INDEX(L_Type,ROW()-4)="","",TRIM(UPPER(INDEX(L_Type,ROW()-4))))</f>
        <v/>
      </c>
      <c r="E3670">
        <f>IF(INDEX(P_Status,ROW()-4)="","",TRIM(UPPER(INDEX(P_Status,ROW()-4))))</f>
        <v/>
      </c>
      <c r="G3670">
        <f>IF(INDEX(L_Status,ROW()-4)="","",TRIM(UPPER(INDEX(L_Status,ROW()-4))))</f>
        <v/>
      </c>
      <c r="J3670">
        <f>IF(INDEX(L_ID,ROW()-4)="","",IF(SUMPRODUCT((P_ID=INDEX(L_ID,ROW()-4))*(P_StatusN="INACTIVE"))&gt;0,1,0))</f>
        <v/>
      </c>
    </row>
    <row r="3671">
      <c r="A3671">
        <f>IF(INDEX(L_ID,ROW()-4)="","",IF(COUNTIF(P_ID,INDEX(L_ID,ROW()-4))&gt;0,1,0))</f>
        <v/>
      </c>
      <c r="B3671">
        <f>IF(INDEX(P_Type,ROW()-4)="","",TRIM(UPPER(INDEX(P_Type,ROW()-4))))</f>
        <v/>
      </c>
      <c r="D3671">
        <f>IF(INDEX(L_Type,ROW()-4)="","",TRIM(UPPER(INDEX(L_Type,ROW()-4))))</f>
        <v/>
      </c>
      <c r="E3671">
        <f>IF(INDEX(P_Status,ROW()-4)="","",TRIM(UPPER(INDEX(P_Status,ROW()-4))))</f>
        <v/>
      </c>
      <c r="G3671">
        <f>IF(INDEX(L_Status,ROW()-4)="","",TRIM(UPPER(INDEX(L_Status,ROW()-4))))</f>
        <v/>
      </c>
      <c r="J3671">
        <f>IF(INDEX(L_ID,ROW()-4)="","",IF(SUMPRODUCT((P_ID=INDEX(L_ID,ROW()-4))*(P_StatusN="INACTIVE"))&gt;0,1,0))</f>
        <v/>
      </c>
    </row>
    <row r="3672">
      <c r="A3672">
        <f>IF(INDEX(L_ID,ROW()-4)="","",IF(COUNTIF(P_ID,INDEX(L_ID,ROW()-4))&gt;0,1,0))</f>
        <v/>
      </c>
      <c r="B3672">
        <f>IF(INDEX(P_Type,ROW()-4)="","",TRIM(UPPER(INDEX(P_Type,ROW()-4))))</f>
        <v/>
      </c>
      <c r="D3672">
        <f>IF(INDEX(L_Type,ROW()-4)="","",TRIM(UPPER(INDEX(L_Type,ROW()-4))))</f>
        <v/>
      </c>
      <c r="E3672">
        <f>IF(INDEX(P_Status,ROW()-4)="","",TRIM(UPPER(INDEX(P_Status,ROW()-4))))</f>
        <v/>
      </c>
      <c r="G3672">
        <f>IF(INDEX(L_Status,ROW()-4)="","",TRIM(UPPER(INDEX(L_Status,ROW()-4))))</f>
        <v/>
      </c>
      <c r="J3672">
        <f>IF(INDEX(L_ID,ROW()-4)="","",IF(SUMPRODUCT((P_ID=INDEX(L_ID,ROW()-4))*(P_StatusN="INACTIVE"))&gt;0,1,0))</f>
        <v/>
      </c>
    </row>
    <row r="3673">
      <c r="A3673">
        <f>IF(INDEX(L_ID,ROW()-4)="","",IF(COUNTIF(P_ID,INDEX(L_ID,ROW()-4))&gt;0,1,0))</f>
        <v/>
      </c>
      <c r="B3673">
        <f>IF(INDEX(P_Type,ROW()-4)="","",TRIM(UPPER(INDEX(P_Type,ROW()-4))))</f>
        <v/>
      </c>
      <c r="D3673">
        <f>IF(INDEX(L_Type,ROW()-4)="","",TRIM(UPPER(INDEX(L_Type,ROW()-4))))</f>
        <v/>
      </c>
      <c r="E3673">
        <f>IF(INDEX(P_Status,ROW()-4)="","",TRIM(UPPER(INDEX(P_Status,ROW()-4))))</f>
        <v/>
      </c>
      <c r="G3673">
        <f>IF(INDEX(L_Status,ROW()-4)="","",TRIM(UPPER(INDEX(L_Status,ROW()-4))))</f>
        <v/>
      </c>
      <c r="J3673">
        <f>IF(INDEX(L_ID,ROW()-4)="","",IF(SUMPRODUCT((P_ID=INDEX(L_ID,ROW()-4))*(P_StatusN="INACTIVE"))&gt;0,1,0))</f>
        <v/>
      </c>
    </row>
    <row r="3674">
      <c r="A3674">
        <f>IF(INDEX(L_ID,ROW()-4)="","",IF(COUNTIF(P_ID,INDEX(L_ID,ROW()-4))&gt;0,1,0))</f>
        <v/>
      </c>
      <c r="B3674">
        <f>IF(INDEX(P_Type,ROW()-4)="","",TRIM(UPPER(INDEX(P_Type,ROW()-4))))</f>
        <v/>
      </c>
      <c r="D3674">
        <f>IF(INDEX(L_Type,ROW()-4)="","",TRIM(UPPER(INDEX(L_Type,ROW()-4))))</f>
        <v/>
      </c>
      <c r="E3674">
        <f>IF(INDEX(P_Status,ROW()-4)="","",TRIM(UPPER(INDEX(P_Status,ROW()-4))))</f>
        <v/>
      </c>
      <c r="G3674">
        <f>IF(INDEX(L_Status,ROW()-4)="","",TRIM(UPPER(INDEX(L_Status,ROW()-4))))</f>
        <v/>
      </c>
      <c r="J3674">
        <f>IF(INDEX(L_ID,ROW()-4)="","",IF(SUMPRODUCT((P_ID=INDEX(L_ID,ROW()-4))*(P_StatusN="INACTIVE"))&gt;0,1,0))</f>
        <v/>
      </c>
    </row>
    <row r="3675">
      <c r="A3675">
        <f>IF(INDEX(L_ID,ROW()-4)="","",IF(COUNTIF(P_ID,INDEX(L_ID,ROW()-4))&gt;0,1,0))</f>
        <v/>
      </c>
      <c r="B3675">
        <f>IF(INDEX(P_Type,ROW()-4)="","",TRIM(UPPER(INDEX(P_Type,ROW()-4))))</f>
        <v/>
      </c>
      <c r="D3675">
        <f>IF(INDEX(L_Type,ROW()-4)="","",TRIM(UPPER(INDEX(L_Type,ROW()-4))))</f>
        <v/>
      </c>
      <c r="E3675">
        <f>IF(INDEX(P_Status,ROW()-4)="","",TRIM(UPPER(INDEX(P_Status,ROW()-4))))</f>
        <v/>
      </c>
      <c r="G3675">
        <f>IF(INDEX(L_Status,ROW()-4)="","",TRIM(UPPER(INDEX(L_Status,ROW()-4))))</f>
        <v/>
      </c>
      <c r="J3675">
        <f>IF(INDEX(L_ID,ROW()-4)="","",IF(SUMPRODUCT((P_ID=INDEX(L_ID,ROW()-4))*(P_StatusN="INACTIVE"))&gt;0,1,0))</f>
        <v/>
      </c>
    </row>
    <row r="3676">
      <c r="A3676">
        <f>IF(INDEX(L_ID,ROW()-4)="","",IF(COUNTIF(P_ID,INDEX(L_ID,ROW()-4))&gt;0,1,0))</f>
        <v/>
      </c>
      <c r="B3676">
        <f>IF(INDEX(P_Type,ROW()-4)="","",TRIM(UPPER(INDEX(P_Type,ROW()-4))))</f>
        <v/>
      </c>
      <c r="D3676">
        <f>IF(INDEX(L_Type,ROW()-4)="","",TRIM(UPPER(INDEX(L_Type,ROW()-4))))</f>
        <v/>
      </c>
      <c r="E3676">
        <f>IF(INDEX(P_Status,ROW()-4)="","",TRIM(UPPER(INDEX(P_Status,ROW()-4))))</f>
        <v/>
      </c>
      <c r="G3676">
        <f>IF(INDEX(L_Status,ROW()-4)="","",TRIM(UPPER(INDEX(L_Status,ROW()-4))))</f>
        <v/>
      </c>
      <c r="J3676">
        <f>IF(INDEX(L_ID,ROW()-4)="","",IF(SUMPRODUCT((P_ID=INDEX(L_ID,ROW()-4))*(P_StatusN="INACTIVE"))&gt;0,1,0))</f>
        <v/>
      </c>
    </row>
    <row r="3677">
      <c r="A3677">
        <f>IF(INDEX(L_ID,ROW()-4)="","",IF(COUNTIF(P_ID,INDEX(L_ID,ROW()-4))&gt;0,1,0))</f>
        <v/>
      </c>
      <c r="B3677">
        <f>IF(INDEX(P_Type,ROW()-4)="","",TRIM(UPPER(INDEX(P_Type,ROW()-4))))</f>
        <v/>
      </c>
      <c r="D3677">
        <f>IF(INDEX(L_Type,ROW()-4)="","",TRIM(UPPER(INDEX(L_Type,ROW()-4))))</f>
        <v/>
      </c>
      <c r="E3677">
        <f>IF(INDEX(P_Status,ROW()-4)="","",TRIM(UPPER(INDEX(P_Status,ROW()-4))))</f>
        <v/>
      </c>
      <c r="G3677">
        <f>IF(INDEX(L_Status,ROW()-4)="","",TRIM(UPPER(INDEX(L_Status,ROW()-4))))</f>
        <v/>
      </c>
      <c r="J3677">
        <f>IF(INDEX(L_ID,ROW()-4)="","",IF(SUMPRODUCT((P_ID=INDEX(L_ID,ROW()-4))*(P_StatusN="INACTIVE"))&gt;0,1,0))</f>
        <v/>
      </c>
    </row>
    <row r="3678">
      <c r="A3678">
        <f>IF(INDEX(L_ID,ROW()-4)="","",IF(COUNTIF(P_ID,INDEX(L_ID,ROW()-4))&gt;0,1,0))</f>
        <v/>
      </c>
      <c r="B3678">
        <f>IF(INDEX(P_Type,ROW()-4)="","",TRIM(UPPER(INDEX(P_Type,ROW()-4))))</f>
        <v/>
      </c>
      <c r="D3678">
        <f>IF(INDEX(L_Type,ROW()-4)="","",TRIM(UPPER(INDEX(L_Type,ROW()-4))))</f>
        <v/>
      </c>
      <c r="E3678">
        <f>IF(INDEX(P_Status,ROW()-4)="","",TRIM(UPPER(INDEX(P_Status,ROW()-4))))</f>
        <v/>
      </c>
      <c r="G3678">
        <f>IF(INDEX(L_Status,ROW()-4)="","",TRIM(UPPER(INDEX(L_Status,ROW()-4))))</f>
        <v/>
      </c>
      <c r="J3678">
        <f>IF(INDEX(L_ID,ROW()-4)="","",IF(SUMPRODUCT((P_ID=INDEX(L_ID,ROW()-4))*(P_StatusN="INACTIVE"))&gt;0,1,0))</f>
        <v/>
      </c>
    </row>
    <row r="3679">
      <c r="A3679">
        <f>IF(INDEX(L_ID,ROW()-4)="","",IF(COUNTIF(P_ID,INDEX(L_ID,ROW()-4))&gt;0,1,0))</f>
        <v/>
      </c>
      <c r="B3679">
        <f>IF(INDEX(P_Type,ROW()-4)="","",TRIM(UPPER(INDEX(P_Type,ROW()-4))))</f>
        <v/>
      </c>
      <c r="D3679">
        <f>IF(INDEX(L_Type,ROW()-4)="","",TRIM(UPPER(INDEX(L_Type,ROW()-4))))</f>
        <v/>
      </c>
      <c r="E3679">
        <f>IF(INDEX(P_Status,ROW()-4)="","",TRIM(UPPER(INDEX(P_Status,ROW()-4))))</f>
        <v/>
      </c>
      <c r="G3679">
        <f>IF(INDEX(L_Status,ROW()-4)="","",TRIM(UPPER(INDEX(L_Status,ROW()-4))))</f>
        <v/>
      </c>
      <c r="J3679">
        <f>IF(INDEX(L_ID,ROW()-4)="","",IF(SUMPRODUCT((P_ID=INDEX(L_ID,ROW()-4))*(P_StatusN="INACTIVE"))&gt;0,1,0))</f>
        <v/>
      </c>
    </row>
    <row r="3680">
      <c r="A3680">
        <f>IF(INDEX(L_ID,ROW()-4)="","",IF(COUNTIF(P_ID,INDEX(L_ID,ROW()-4))&gt;0,1,0))</f>
        <v/>
      </c>
      <c r="B3680">
        <f>IF(INDEX(P_Type,ROW()-4)="","",TRIM(UPPER(INDEX(P_Type,ROW()-4))))</f>
        <v/>
      </c>
      <c r="D3680">
        <f>IF(INDEX(L_Type,ROW()-4)="","",TRIM(UPPER(INDEX(L_Type,ROW()-4))))</f>
        <v/>
      </c>
      <c r="E3680">
        <f>IF(INDEX(P_Status,ROW()-4)="","",TRIM(UPPER(INDEX(P_Status,ROW()-4))))</f>
        <v/>
      </c>
      <c r="G3680">
        <f>IF(INDEX(L_Status,ROW()-4)="","",TRIM(UPPER(INDEX(L_Status,ROW()-4))))</f>
        <v/>
      </c>
      <c r="J3680">
        <f>IF(INDEX(L_ID,ROW()-4)="","",IF(SUMPRODUCT((P_ID=INDEX(L_ID,ROW()-4))*(P_StatusN="INACTIVE"))&gt;0,1,0))</f>
        <v/>
      </c>
    </row>
    <row r="3681">
      <c r="A3681">
        <f>IF(INDEX(L_ID,ROW()-4)="","",IF(COUNTIF(P_ID,INDEX(L_ID,ROW()-4))&gt;0,1,0))</f>
        <v/>
      </c>
      <c r="B3681">
        <f>IF(INDEX(P_Type,ROW()-4)="","",TRIM(UPPER(INDEX(P_Type,ROW()-4))))</f>
        <v/>
      </c>
      <c r="D3681">
        <f>IF(INDEX(L_Type,ROW()-4)="","",TRIM(UPPER(INDEX(L_Type,ROW()-4))))</f>
        <v/>
      </c>
      <c r="E3681">
        <f>IF(INDEX(P_Status,ROW()-4)="","",TRIM(UPPER(INDEX(P_Status,ROW()-4))))</f>
        <v/>
      </c>
      <c r="G3681">
        <f>IF(INDEX(L_Status,ROW()-4)="","",TRIM(UPPER(INDEX(L_Status,ROW()-4))))</f>
        <v/>
      </c>
      <c r="J3681">
        <f>IF(INDEX(L_ID,ROW()-4)="","",IF(SUMPRODUCT((P_ID=INDEX(L_ID,ROW()-4))*(P_StatusN="INACTIVE"))&gt;0,1,0))</f>
        <v/>
      </c>
    </row>
    <row r="3682">
      <c r="A3682">
        <f>IF(INDEX(L_ID,ROW()-4)="","",IF(COUNTIF(P_ID,INDEX(L_ID,ROW()-4))&gt;0,1,0))</f>
        <v/>
      </c>
      <c r="B3682">
        <f>IF(INDEX(P_Type,ROW()-4)="","",TRIM(UPPER(INDEX(P_Type,ROW()-4))))</f>
        <v/>
      </c>
      <c r="D3682">
        <f>IF(INDEX(L_Type,ROW()-4)="","",TRIM(UPPER(INDEX(L_Type,ROW()-4))))</f>
        <v/>
      </c>
      <c r="E3682">
        <f>IF(INDEX(P_Status,ROW()-4)="","",TRIM(UPPER(INDEX(P_Status,ROW()-4))))</f>
        <v/>
      </c>
      <c r="G3682">
        <f>IF(INDEX(L_Status,ROW()-4)="","",TRIM(UPPER(INDEX(L_Status,ROW()-4))))</f>
        <v/>
      </c>
      <c r="J3682">
        <f>IF(INDEX(L_ID,ROW()-4)="","",IF(SUMPRODUCT((P_ID=INDEX(L_ID,ROW()-4))*(P_StatusN="INACTIVE"))&gt;0,1,0))</f>
        <v/>
      </c>
    </row>
    <row r="3683">
      <c r="A3683">
        <f>IF(INDEX(L_ID,ROW()-4)="","",IF(COUNTIF(P_ID,INDEX(L_ID,ROW()-4))&gt;0,1,0))</f>
        <v/>
      </c>
      <c r="B3683">
        <f>IF(INDEX(P_Type,ROW()-4)="","",TRIM(UPPER(INDEX(P_Type,ROW()-4))))</f>
        <v/>
      </c>
      <c r="D3683">
        <f>IF(INDEX(L_Type,ROW()-4)="","",TRIM(UPPER(INDEX(L_Type,ROW()-4))))</f>
        <v/>
      </c>
      <c r="E3683">
        <f>IF(INDEX(P_Status,ROW()-4)="","",TRIM(UPPER(INDEX(P_Status,ROW()-4))))</f>
        <v/>
      </c>
      <c r="G3683">
        <f>IF(INDEX(L_Status,ROW()-4)="","",TRIM(UPPER(INDEX(L_Status,ROW()-4))))</f>
        <v/>
      </c>
      <c r="J3683">
        <f>IF(INDEX(L_ID,ROW()-4)="","",IF(SUMPRODUCT((P_ID=INDEX(L_ID,ROW()-4))*(P_StatusN="INACTIVE"))&gt;0,1,0))</f>
        <v/>
      </c>
    </row>
    <row r="3684">
      <c r="A3684">
        <f>IF(INDEX(L_ID,ROW()-4)="","",IF(COUNTIF(P_ID,INDEX(L_ID,ROW()-4))&gt;0,1,0))</f>
        <v/>
      </c>
      <c r="B3684">
        <f>IF(INDEX(P_Type,ROW()-4)="","",TRIM(UPPER(INDEX(P_Type,ROW()-4))))</f>
        <v/>
      </c>
      <c r="D3684">
        <f>IF(INDEX(L_Type,ROW()-4)="","",TRIM(UPPER(INDEX(L_Type,ROW()-4))))</f>
        <v/>
      </c>
      <c r="E3684">
        <f>IF(INDEX(P_Status,ROW()-4)="","",TRIM(UPPER(INDEX(P_Status,ROW()-4))))</f>
        <v/>
      </c>
      <c r="G3684">
        <f>IF(INDEX(L_Status,ROW()-4)="","",TRIM(UPPER(INDEX(L_Status,ROW()-4))))</f>
        <v/>
      </c>
      <c r="J3684">
        <f>IF(INDEX(L_ID,ROW()-4)="","",IF(SUMPRODUCT((P_ID=INDEX(L_ID,ROW()-4))*(P_StatusN="INACTIVE"))&gt;0,1,0))</f>
        <v/>
      </c>
    </row>
    <row r="3685">
      <c r="A3685">
        <f>IF(INDEX(L_ID,ROW()-4)="","",IF(COUNTIF(P_ID,INDEX(L_ID,ROW()-4))&gt;0,1,0))</f>
        <v/>
      </c>
      <c r="B3685">
        <f>IF(INDEX(P_Type,ROW()-4)="","",TRIM(UPPER(INDEX(P_Type,ROW()-4))))</f>
        <v/>
      </c>
      <c r="D3685">
        <f>IF(INDEX(L_Type,ROW()-4)="","",TRIM(UPPER(INDEX(L_Type,ROW()-4))))</f>
        <v/>
      </c>
      <c r="E3685">
        <f>IF(INDEX(P_Status,ROW()-4)="","",TRIM(UPPER(INDEX(P_Status,ROW()-4))))</f>
        <v/>
      </c>
      <c r="G3685">
        <f>IF(INDEX(L_Status,ROW()-4)="","",TRIM(UPPER(INDEX(L_Status,ROW()-4))))</f>
        <v/>
      </c>
      <c r="J3685">
        <f>IF(INDEX(L_ID,ROW()-4)="","",IF(SUMPRODUCT((P_ID=INDEX(L_ID,ROW()-4))*(P_StatusN="INACTIVE"))&gt;0,1,0))</f>
        <v/>
      </c>
    </row>
    <row r="3686">
      <c r="A3686">
        <f>IF(INDEX(L_ID,ROW()-4)="","",IF(COUNTIF(P_ID,INDEX(L_ID,ROW()-4))&gt;0,1,0))</f>
        <v/>
      </c>
      <c r="B3686">
        <f>IF(INDEX(P_Type,ROW()-4)="","",TRIM(UPPER(INDEX(P_Type,ROW()-4))))</f>
        <v/>
      </c>
      <c r="D3686">
        <f>IF(INDEX(L_Type,ROW()-4)="","",TRIM(UPPER(INDEX(L_Type,ROW()-4))))</f>
        <v/>
      </c>
      <c r="E3686">
        <f>IF(INDEX(P_Status,ROW()-4)="","",TRIM(UPPER(INDEX(P_Status,ROW()-4))))</f>
        <v/>
      </c>
      <c r="G3686">
        <f>IF(INDEX(L_Status,ROW()-4)="","",TRIM(UPPER(INDEX(L_Status,ROW()-4))))</f>
        <v/>
      </c>
      <c r="J3686">
        <f>IF(INDEX(L_ID,ROW()-4)="","",IF(SUMPRODUCT((P_ID=INDEX(L_ID,ROW()-4))*(P_StatusN="INACTIVE"))&gt;0,1,0))</f>
        <v/>
      </c>
    </row>
    <row r="3687">
      <c r="A3687">
        <f>IF(INDEX(L_ID,ROW()-4)="","",IF(COUNTIF(P_ID,INDEX(L_ID,ROW()-4))&gt;0,1,0))</f>
        <v/>
      </c>
      <c r="B3687">
        <f>IF(INDEX(P_Type,ROW()-4)="","",TRIM(UPPER(INDEX(P_Type,ROW()-4))))</f>
        <v/>
      </c>
      <c r="D3687">
        <f>IF(INDEX(L_Type,ROW()-4)="","",TRIM(UPPER(INDEX(L_Type,ROW()-4))))</f>
        <v/>
      </c>
      <c r="E3687">
        <f>IF(INDEX(P_Status,ROW()-4)="","",TRIM(UPPER(INDEX(P_Status,ROW()-4))))</f>
        <v/>
      </c>
      <c r="G3687">
        <f>IF(INDEX(L_Status,ROW()-4)="","",TRIM(UPPER(INDEX(L_Status,ROW()-4))))</f>
        <v/>
      </c>
      <c r="J3687">
        <f>IF(INDEX(L_ID,ROW()-4)="","",IF(SUMPRODUCT((P_ID=INDEX(L_ID,ROW()-4))*(P_StatusN="INACTIVE"))&gt;0,1,0))</f>
        <v/>
      </c>
    </row>
    <row r="3688">
      <c r="A3688">
        <f>IF(INDEX(L_ID,ROW()-4)="","",IF(COUNTIF(P_ID,INDEX(L_ID,ROW()-4))&gt;0,1,0))</f>
        <v/>
      </c>
      <c r="B3688">
        <f>IF(INDEX(P_Type,ROW()-4)="","",TRIM(UPPER(INDEX(P_Type,ROW()-4))))</f>
        <v/>
      </c>
      <c r="D3688">
        <f>IF(INDEX(L_Type,ROW()-4)="","",TRIM(UPPER(INDEX(L_Type,ROW()-4))))</f>
        <v/>
      </c>
      <c r="E3688">
        <f>IF(INDEX(P_Status,ROW()-4)="","",TRIM(UPPER(INDEX(P_Status,ROW()-4))))</f>
        <v/>
      </c>
      <c r="G3688">
        <f>IF(INDEX(L_Status,ROW()-4)="","",TRIM(UPPER(INDEX(L_Status,ROW()-4))))</f>
        <v/>
      </c>
      <c r="J3688">
        <f>IF(INDEX(L_ID,ROW()-4)="","",IF(SUMPRODUCT((P_ID=INDEX(L_ID,ROW()-4))*(P_StatusN="INACTIVE"))&gt;0,1,0))</f>
        <v/>
      </c>
    </row>
    <row r="3689">
      <c r="A3689">
        <f>IF(INDEX(L_ID,ROW()-4)="","",IF(COUNTIF(P_ID,INDEX(L_ID,ROW()-4))&gt;0,1,0))</f>
        <v/>
      </c>
      <c r="B3689">
        <f>IF(INDEX(P_Type,ROW()-4)="","",TRIM(UPPER(INDEX(P_Type,ROW()-4))))</f>
        <v/>
      </c>
      <c r="D3689">
        <f>IF(INDEX(L_Type,ROW()-4)="","",TRIM(UPPER(INDEX(L_Type,ROW()-4))))</f>
        <v/>
      </c>
      <c r="E3689">
        <f>IF(INDEX(P_Status,ROW()-4)="","",TRIM(UPPER(INDEX(P_Status,ROW()-4))))</f>
        <v/>
      </c>
      <c r="G3689">
        <f>IF(INDEX(L_Status,ROW()-4)="","",TRIM(UPPER(INDEX(L_Status,ROW()-4))))</f>
        <v/>
      </c>
      <c r="J3689">
        <f>IF(INDEX(L_ID,ROW()-4)="","",IF(SUMPRODUCT((P_ID=INDEX(L_ID,ROW()-4))*(P_StatusN="INACTIVE"))&gt;0,1,0))</f>
        <v/>
      </c>
    </row>
    <row r="3690">
      <c r="A3690">
        <f>IF(INDEX(L_ID,ROW()-4)="","",IF(COUNTIF(P_ID,INDEX(L_ID,ROW()-4))&gt;0,1,0))</f>
        <v/>
      </c>
      <c r="B3690">
        <f>IF(INDEX(P_Type,ROW()-4)="","",TRIM(UPPER(INDEX(P_Type,ROW()-4))))</f>
        <v/>
      </c>
      <c r="D3690">
        <f>IF(INDEX(L_Type,ROW()-4)="","",TRIM(UPPER(INDEX(L_Type,ROW()-4))))</f>
        <v/>
      </c>
      <c r="E3690">
        <f>IF(INDEX(P_Status,ROW()-4)="","",TRIM(UPPER(INDEX(P_Status,ROW()-4))))</f>
        <v/>
      </c>
      <c r="G3690">
        <f>IF(INDEX(L_Status,ROW()-4)="","",TRIM(UPPER(INDEX(L_Status,ROW()-4))))</f>
        <v/>
      </c>
      <c r="J3690">
        <f>IF(INDEX(L_ID,ROW()-4)="","",IF(SUMPRODUCT((P_ID=INDEX(L_ID,ROW()-4))*(P_StatusN="INACTIVE"))&gt;0,1,0))</f>
        <v/>
      </c>
    </row>
    <row r="3691">
      <c r="A3691">
        <f>IF(INDEX(L_ID,ROW()-4)="","",IF(COUNTIF(P_ID,INDEX(L_ID,ROW()-4))&gt;0,1,0))</f>
        <v/>
      </c>
      <c r="B3691">
        <f>IF(INDEX(P_Type,ROW()-4)="","",TRIM(UPPER(INDEX(P_Type,ROW()-4))))</f>
        <v/>
      </c>
      <c r="D3691">
        <f>IF(INDEX(L_Type,ROW()-4)="","",TRIM(UPPER(INDEX(L_Type,ROW()-4))))</f>
        <v/>
      </c>
      <c r="E3691">
        <f>IF(INDEX(P_Status,ROW()-4)="","",TRIM(UPPER(INDEX(P_Status,ROW()-4))))</f>
        <v/>
      </c>
      <c r="G3691">
        <f>IF(INDEX(L_Status,ROW()-4)="","",TRIM(UPPER(INDEX(L_Status,ROW()-4))))</f>
        <v/>
      </c>
      <c r="J3691">
        <f>IF(INDEX(L_ID,ROW()-4)="","",IF(SUMPRODUCT((P_ID=INDEX(L_ID,ROW()-4))*(P_StatusN="INACTIVE"))&gt;0,1,0))</f>
        <v/>
      </c>
    </row>
    <row r="3692">
      <c r="A3692">
        <f>IF(INDEX(L_ID,ROW()-4)="","",IF(COUNTIF(P_ID,INDEX(L_ID,ROW()-4))&gt;0,1,0))</f>
        <v/>
      </c>
      <c r="B3692">
        <f>IF(INDEX(P_Type,ROW()-4)="","",TRIM(UPPER(INDEX(P_Type,ROW()-4))))</f>
        <v/>
      </c>
      <c r="D3692">
        <f>IF(INDEX(L_Type,ROW()-4)="","",TRIM(UPPER(INDEX(L_Type,ROW()-4))))</f>
        <v/>
      </c>
      <c r="E3692">
        <f>IF(INDEX(P_Status,ROW()-4)="","",TRIM(UPPER(INDEX(P_Status,ROW()-4))))</f>
        <v/>
      </c>
      <c r="G3692">
        <f>IF(INDEX(L_Status,ROW()-4)="","",TRIM(UPPER(INDEX(L_Status,ROW()-4))))</f>
        <v/>
      </c>
      <c r="J3692">
        <f>IF(INDEX(L_ID,ROW()-4)="","",IF(SUMPRODUCT((P_ID=INDEX(L_ID,ROW()-4))*(P_StatusN="INACTIVE"))&gt;0,1,0))</f>
        <v/>
      </c>
    </row>
    <row r="3693">
      <c r="A3693">
        <f>IF(INDEX(L_ID,ROW()-4)="","",IF(COUNTIF(P_ID,INDEX(L_ID,ROW()-4))&gt;0,1,0))</f>
        <v/>
      </c>
      <c r="B3693">
        <f>IF(INDEX(P_Type,ROW()-4)="","",TRIM(UPPER(INDEX(P_Type,ROW()-4))))</f>
        <v/>
      </c>
      <c r="D3693">
        <f>IF(INDEX(L_Type,ROW()-4)="","",TRIM(UPPER(INDEX(L_Type,ROW()-4))))</f>
        <v/>
      </c>
      <c r="E3693">
        <f>IF(INDEX(P_Status,ROW()-4)="","",TRIM(UPPER(INDEX(P_Status,ROW()-4))))</f>
        <v/>
      </c>
      <c r="G3693">
        <f>IF(INDEX(L_Status,ROW()-4)="","",TRIM(UPPER(INDEX(L_Status,ROW()-4))))</f>
        <v/>
      </c>
      <c r="J3693">
        <f>IF(INDEX(L_ID,ROW()-4)="","",IF(SUMPRODUCT((P_ID=INDEX(L_ID,ROW()-4))*(P_StatusN="INACTIVE"))&gt;0,1,0))</f>
        <v/>
      </c>
    </row>
    <row r="3694">
      <c r="A3694">
        <f>IF(INDEX(L_ID,ROW()-4)="","",IF(COUNTIF(P_ID,INDEX(L_ID,ROW()-4))&gt;0,1,0))</f>
        <v/>
      </c>
      <c r="B3694">
        <f>IF(INDEX(P_Type,ROW()-4)="","",TRIM(UPPER(INDEX(P_Type,ROW()-4))))</f>
        <v/>
      </c>
      <c r="D3694">
        <f>IF(INDEX(L_Type,ROW()-4)="","",TRIM(UPPER(INDEX(L_Type,ROW()-4))))</f>
        <v/>
      </c>
      <c r="E3694">
        <f>IF(INDEX(P_Status,ROW()-4)="","",TRIM(UPPER(INDEX(P_Status,ROW()-4))))</f>
        <v/>
      </c>
      <c r="G3694">
        <f>IF(INDEX(L_Status,ROW()-4)="","",TRIM(UPPER(INDEX(L_Status,ROW()-4))))</f>
        <v/>
      </c>
      <c r="J3694">
        <f>IF(INDEX(L_ID,ROW()-4)="","",IF(SUMPRODUCT((P_ID=INDEX(L_ID,ROW()-4))*(P_StatusN="INACTIVE"))&gt;0,1,0))</f>
        <v/>
      </c>
    </row>
    <row r="3695">
      <c r="A3695">
        <f>IF(INDEX(L_ID,ROW()-4)="","",IF(COUNTIF(P_ID,INDEX(L_ID,ROW()-4))&gt;0,1,0))</f>
        <v/>
      </c>
      <c r="B3695">
        <f>IF(INDEX(P_Type,ROW()-4)="","",TRIM(UPPER(INDEX(P_Type,ROW()-4))))</f>
        <v/>
      </c>
      <c r="D3695">
        <f>IF(INDEX(L_Type,ROW()-4)="","",TRIM(UPPER(INDEX(L_Type,ROW()-4))))</f>
        <v/>
      </c>
      <c r="E3695">
        <f>IF(INDEX(P_Status,ROW()-4)="","",TRIM(UPPER(INDEX(P_Status,ROW()-4))))</f>
        <v/>
      </c>
      <c r="G3695">
        <f>IF(INDEX(L_Status,ROW()-4)="","",TRIM(UPPER(INDEX(L_Status,ROW()-4))))</f>
        <v/>
      </c>
      <c r="J3695">
        <f>IF(INDEX(L_ID,ROW()-4)="","",IF(SUMPRODUCT((P_ID=INDEX(L_ID,ROW()-4))*(P_StatusN="INACTIVE"))&gt;0,1,0))</f>
        <v/>
      </c>
    </row>
    <row r="3696">
      <c r="A3696">
        <f>IF(INDEX(L_ID,ROW()-4)="","",IF(COUNTIF(P_ID,INDEX(L_ID,ROW()-4))&gt;0,1,0))</f>
        <v/>
      </c>
      <c r="B3696">
        <f>IF(INDEX(P_Type,ROW()-4)="","",TRIM(UPPER(INDEX(P_Type,ROW()-4))))</f>
        <v/>
      </c>
      <c r="D3696">
        <f>IF(INDEX(L_Type,ROW()-4)="","",TRIM(UPPER(INDEX(L_Type,ROW()-4))))</f>
        <v/>
      </c>
      <c r="E3696">
        <f>IF(INDEX(P_Status,ROW()-4)="","",TRIM(UPPER(INDEX(P_Status,ROW()-4))))</f>
        <v/>
      </c>
      <c r="G3696">
        <f>IF(INDEX(L_Status,ROW()-4)="","",TRIM(UPPER(INDEX(L_Status,ROW()-4))))</f>
        <v/>
      </c>
      <c r="J3696">
        <f>IF(INDEX(L_ID,ROW()-4)="","",IF(SUMPRODUCT((P_ID=INDEX(L_ID,ROW()-4))*(P_StatusN="INACTIVE"))&gt;0,1,0))</f>
        <v/>
      </c>
    </row>
    <row r="3697">
      <c r="A3697">
        <f>IF(INDEX(L_ID,ROW()-4)="","",IF(COUNTIF(P_ID,INDEX(L_ID,ROW()-4))&gt;0,1,0))</f>
        <v/>
      </c>
      <c r="B3697">
        <f>IF(INDEX(P_Type,ROW()-4)="","",TRIM(UPPER(INDEX(P_Type,ROW()-4))))</f>
        <v/>
      </c>
      <c r="D3697">
        <f>IF(INDEX(L_Type,ROW()-4)="","",TRIM(UPPER(INDEX(L_Type,ROW()-4))))</f>
        <v/>
      </c>
      <c r="E3697">
        <f>IF(INDEX(P_Status,ROW()-4)="","",TRIM(UPPER(INDEX(P_Status,ROW()-4))))</f>
        <v/>
      </c>
      <c r="G3697">
        <f>IF(INDEX(L_Status,ROW()-4)="","",TRIM(UPPER(INDEX(L_Status,ROW()-4))))</f>
        <v/>
      </c>
      <c r="J3697">
        <f>IF(INDEX(L_ID,ROW()-4)="","",IF(SUMPRODUCT((P_ID=INDEX(L_ID,ROW()-4))*(P_StatusN="INACTIVE"))&gt;0,1,0))</f>
        <v/>
      </c>
    </row>
    <row r="3698">
      <c r="A3698">
        <f>IF(INDEX(L_ID,ROW()-4)="","",IF(COUNTIF(P_ID,INDEX(L_ID,ROW()-4))&gt;0,1,0))</f>
        <v/>
      </c>
      <c r="B3698">
        <f>IF(INDEX(P_Type,ROW()-4)="","",TRIM(UPPER(INDEX(P_Type,ROW()-4))))</f>
        <v/>
      </c>
      <c r="D3698">
        <f>IF(INDEX(L_Type,ROW()-4)="","",TRIM(UPPER(INDEX(L_Type,ROW()-4))))</f>
        <v/>
      </c>
      <c r="E3698">
        <f>IF(INDEX(P_Status,ROW()-4)="","",TRIM(UPPER(INDEX(P_Status,ROW()-4))))</f>
        <v/>
      </c>
      <c r="G3698">
        <f>IF(INDEX(L_Status,ROW()-4)="","",TRIM(UPPER(INDEX(L_Status,ROW()-4))))</f>
        <v/>
      </c>
      <c r="J3698">
        <f>IF(INDEX(L_ID,ROW()-4)="","",IF(SUMPRODUCT((P_ID=INDEX(L_ID,ROW()-4))*(P_StatusN="INACTIVE"))&gt;0,1,0))</f>
        <v/>
      </c>
    </row>
    <row r="3699">
      <c r="A3699">
        <f>IF(INDEX(L_ID,ROW()-4)="","",IF(COUNTIF(P_ID,INDEX(L_ID,ROW()-4))&gt;0,1,0))</f>
        <v/>
      </c>
      <c r="B3699">
        <f>IF(INDEX(P_Type,ROW()-4)="","",TRIM(UPPER(INDEX(P_Type,ROW()-4))))</f>
        <v/>
      </c>
      <c r="D3699">
        <f>IF(INDEX(L_Type,ROW()-4)="","",TRIM(UPPER(INDEX(L_Type,ROW()-4))))</f>
        <v/>
      </c>
      <c r="E3699">
        <f>IF(INDEX(P_Status,ROW()-4)="","",TRIM(UPPER(INDEX(P_Status,ROW()-4))))</f>
        <v/>
      </c>
      <c r="G3699">
        <f>IF(INDEX(L_Status,ROW()-4)="","",TRIM(UPPER(INDEX(L_Status,ROW()-4))))</f>
        <v/>
      </c>
      <c r="J3699">
        <f>IF(INDEX(L_ID,ROW()-4)="","",IF(SUMPRODUCT((P_ID=INDEX(L_ID,ROW()-4))*(P_StatusN="INACTIVE"))&gt;0,1,0))</f>
        <v/>
      </c>
    </row>
    <row r="3700">
      <c r="A3700">
        <f>IF(INDEX(L_ID,ROW()-4)="","",IF(COUNTIF(P_ID,INDEX(L_ID,ROW()-4))&gt;0,1,0))</f>
        <v/>
      </c>
      <c r="B3700">
        <f>IF(INDEX(P_Type,ROW()-4)="","",TRIM(UPPER(INDEX(P_Type,ROW()-4))))</f>
        <v/>
      </c>
      <c r="D3700">
        <f>IF(INDEX(L_Type,ROW()-4)="","",TRIM(UPPER(INDEX(L_Type,ROW()-4))))</f>
        <v/>
      </c>
      <c r="E3700">
        <f>IF(INDEX(P_Status,ROW()-4)="","",TRIM(UPPER(INDEX(P_Status,ROW()-4))))</f>
        <v/>
      </c>
      <c r="G3700">
        <f>IF(INDEX(L_Status,ROW()-4)="","",TRIM(UPPER(INDEX(L_Status,ROW()-4))))</f>
        <v/>
      </c>
      <c r="J3700">
        <f>IF(INDEX(L_ID,ROW()-4)="","",IF(SUMPRODUCT((P_ID=INDEX(L_ID,ROW()-4))*(P_StatusN="INACTIVE"))&gt;0,1,0))</f>
        <v/>
      </c>
    </row>
    <row r="3701">
      <c r="A3701">
        <f>IF(INDEX(L_ID,ROW()-4)="","",IF(COUNTIF(P_ID,INDEX(L_ID,ROW()-4))&gt;0,1,0))</f>
        <v/>
      </c>
      <c r="B3701">
        <f>IF(INDEX(P_Type,ROW()-4)="","",TRIM(UPPER(INDEX(P_Type,ROW()-4))))</f>
        <v/>
      </c>
      <c r="D3701">
        <f>IF(INDEX(L_Type,ROW()-4)="","",TRIM(UPPER(INDEX(L_Type,ROW()-4))))</f>
        <v/>
      </c>
      <c r="E3701">
        <f>IF(INDEX(P_Status,ROW()-4)="","",TRIM(UPPER(INDEX(P_Status,ROW()-4))))</f>
        <v/>
      </c>
      <c r="G3701">
        <f>IF(INDEX(L_Status,ROW()-4)="","",TRIM(UPPER(INDEX(L_Status,ROW()-4))))</f>
        <v/>
      </c>
      <c r="J3701">
        <f>IF(INDEX(L_ID,ROW()-4)="","",IF(SUMPRODUCT((P_ID=INDEX(L_ID,ROW()-4))*(P_StatusN="INACTIVE"))&gt;0,1,0))</f>
        <v/>
      </c>
    </row>
    <row r="3702">
      <c r="A3702">
        <f>IF(INDEX(L_ID,ROW()-4)="","",IF(COUNTIF(P_ID,INDEX(L_ID,ROW()-4))&gt;0,1,0))</f>
        <v/>
      </c>
      <c r="B3702">
        <f>IF(INDEX(P_Type,ROW()-4)="","",TRIM(UPPER(INDEX(P_Type,ROW()-4))))</f>
        <v/>
      </c>
      <c r="D3702">
        <f>IF(INDEX(L_Type,ROW()-4)="","",TRIM(UPPER(INDEX(L_Type,ROW()-4))))</f>
        <v/>
      </c>
      <c r="E3702">
        <f>IF(INDEX(P_Status,ROW()-4)="","",TRIM(UPPER(INDEX(P_Status,ROW()-4))))</f>
        <v/>
      </c>
      <c r="G3702">
        <f>IF(INDEX(L_Status,ROW()-4)="","",TRIM(UPPER(INDEX(L_Status,ROW()-4))))</f>
        <v/>
      </c>
      <c r="J3702">
        <f>IF(INDEX(L_ID,ROW()-4)="","",IF(SUMPRODUCT((P_ID=INDEX(L_ID,ROW()-4))*(P_StatusN="INACTIVE"))&gt;0,1,0))</f>
        <v/>
      </c>
    </row>
    <row r="3703">
      <c r="A3703">
        <f>IF(INDEX(L_ID,ROW()-4)="","",IF(COUNTIF(P_ID,INDEX(L_ID,ROW()-4))&gt;0,1,0))</f>
        <v/>
      </c>
      <c r="B3703">
        <f>IF(INDEX(P_Type,ROW()-4)="","",TRIM(UPPER(INDEX(P_Type,ROW()-4))))</f>
        <v/>
      </c>
      <c r="D3703">
        <f>IF(INDEX(L_Type,ROW()-4)="","",TRIM(UPPER(INDEX(L_Type,ROW()-4))))</f>
        <v/>
      </c>
      <c r="E3703">
        <f>IF(INDEX(P_Status,ROW()-4)="","",TRIM(UPPER(INDEX(P_Status,ROW()-4))))</f>
        <v/>
      </c>
      <c r="G3703">
        <f>IF(INDEX(L_Status,ROW()-4)="","",TRIM(UPPER(INDEX(L_Status,ROW()-4))))</f>
        <v/>
      </c>
      <c r="J3703">
        <f>IF(INDEX(L_ID,ROW()-4)="","",IF(SUMPRODUCT((P_ID=INDEX(L_ID,ROW()-4))*(P_StatusN="INACTIVE"))&gt;0,1,0))</f>
        <v/>
      </c>
    </row>
    <row r="3704">
      <c r="A3704">
        <f>IF(INDEX(L_ID,ROW()-4)="","",IF(COUNTIF(P_ID,INDEX(L_ID,ROW()-4))&gt;0,1,0))</f>
        <v/>
      </c>
      <c r="B3704">
        <f>IF(INDEX(P_Type,ROW()-4)="","",TRIM(UPPER(INDEX(P_Type,ROW()-4))))</f>
        <v/>
      </c>
      <c r="D3704">
        <f>IF(INDEX(L_Type,ROW()-4)="","",TRIM(UPPER(INDEX(L_Type,ROW()-4))))</f>
        <v/>
      </c>
      <c r="E3704">
        <f>IF(INDEX(P_Status,ROW()-4)="","",TRIM(UPPER(INDEX(P_Status,ROW()-4))))</f>
        <v/>
      </c>
      <c r="G3704">
        <f>IF(INDEX(L_Status,ROW()-4)="","",TRIM(UPPER(INDEX(L_Status,ROW()-4))))</f>
        <v/>
      </c>
      <c r="J3704">
        <f>IF(INDEX(L_ID,ROW()-4)="","",IF(SUMPRODUCT((P_ID=INDEX(L_ID,ROW()-4))*(P_StatusN="INACTIVE"))&gt;0,1,0))</f>
        <v/>
      </c>
    </row>
    <row r="3705">
      <c r="A3705">
        <f>IF(INDEX(L_ID,ROW()-4)="","",IF(COUNTIF(P_ID,INDEX(L_ID,ROW()-4))&gt;0,1,0))</f>
        <v/>
      </c>
      <c r="B3705">
        <f>IF(INDEX(P_Type,ROW()-4)="","",TRIM(UPPER(INDEX(P_Type,ROW()-4))))</f>
        <v/>
      </c>
      <c r="D3705">
        <f>IF(INDEX(L_Type,ROW()-4)="","",TRIM(UPPER(INDEX(L_Type,ROW()-4))))</f>
        <v/>
      </c>
      <c r="E3705">
        <f>IF(INDEX(P_Status,ROW()-4)="","",TRIM(UPPER(INDEX(P_Status,ROW()-4))))</f>
        <v/>
      </c>
      <c r="G3705">
        <f>IF(INDEX(L_Status,ROW()-4)="","",TRIM(UPPER(INDEX(L_Status,ROW()-4))))</f>
        <v/>
      </c>
      <c r="J3705">
        <f>IF(INDEX(L_ID,ROW()-4)="","",IF(SUMPRODUCT((P_ID=INDEX(L_ID,ROW()-4))*(P_StatusN="INACTIVE"))&gt;0,1,0))</f>
        <v/>
      </c>
    </row>
    <row r="3706">
      <c r="A3706">
        <f>IF(INDEX(L_ID,ROW()-4)="","",IF(COUNTIF(P_ID,INDEX(L_ID,ROW()-4))&gt;0,1,0))</f>
        <v/>
      </c>
      <c r="B3706">
        <f>IF(INDEX(P_Type,ROW()-4)="","",TRIM(UPPER(INDEX(P_Type,ROW()-4))))</f>
        <v/>
      </c>
      <c r="D3706">
        <f>IF(INDEX(L_Type,ROW()-4)="","",TRIM(UPPER(INDEX(L_Type,ROW()-4))))</f>
        <v/>
      </c>
      <c r="E3706">
        <f>IF(INDEX(P_Status,ROW()-4)="","",TRIM(UPPER(INDEX(P_Status,ROW()-4))))</f>
        <v/>
      </c>
      <c r="G3706">
        <f>IF(INDEX(L_Status,ROW()-4)="","",TRIM(UPPER(INDEX(L_Status,ROW()-4))))</f>
        <v/>
      </c>
      <c r="J3706">
        <f>IF(INDEX(L_ID,ROW()-4)="","",IF(SUMPRODUCT((P_ID=INDEX(L_ID,ROW()-4))*(P_StatusN="INACTIVE"))&gt;0,1,0))</f>
        <v/>
      </c>
    </row>
    <row r="3707">
      <c r="A3707">
        <f>IF(INDEX(L_ID,ROW()-4)="","",IF(COUNTIF(P_ID,INDEX(L_ID,ROW()-4))&gt;0,1,0))</f>
        <v/>
      </c>
      <c r="B3707">
        <f>IF(INDEX(P_Type,ROW()-4)="","",TRIM(UPPER(INDEX(P_Type,ROW()-4))))</f>
        <v/>
      </c>
      <c r="D3707">
        <f>IF(INDEX(L_Type,ROW()-4)="","",TRIM(UPPER(INDEX(L_Type,ROW()-4))))</f>
        <v/>
      </c>
      <c r="E3707">
        <f>IF(INDEX(P_Status,ROW()-4)="","",TRIM(UPPER(INDEX(P_Status,ROW()-4))))</f>
        <v/>
      </c>
      <c r="G3707">
        <f>IF(INDEX(L_Status,ROW()-4)="","",TRIM(UPPER(INDEX(L_Status,ROW()-4))))</f>
        <v/>
      </c>
      <c r="J3707">
        <f>IF(INDEX(L_ID,ROW()-4)="","",IF(SUMPRODUCT((P_ID=INDEX(L_ID,ROW()-4))*(P_StatusN="INACTIVE"))&gt;0,1,0))</f>
        <v/>
      </c>
    </row>
    <row r="3708">
      <c r="A3708">
        <f>IF(INDEX(L_ID,ROW()-4)="","",IF(COUNTIF(P_ID,INDEX(L_ID,ROW()-4))&gt;0,1,0))</f>
        <v/>
      </c>
      <c r="B3708">
        <f>IF(INDEX(P_Type,ROW()-4)="","",TRIM(UPPER(INDEX(P_Type,ROW()-4))))</f>
        <v/>
      </c>
      <c r="D3708">
        <f>IF(INDEX(L_Type,ROW()-4)="","",TRIM(UPPER(INDEX(L_Type,ROW()-4))))</f>
        <v/>
      </c>
      <c r="E3708">
        <f>IF(INDEX(P_Status,ROW()-4)="","",TRIM(UPPER(INDEX(P_Status,ROW()-4))))</f>
        <v/>
      </c>
      <c r="G3708">
        <f>IF(INDEX(L_Status,ROW()-4)="","",TRIM(UPPER(INDEX(L_Status,ROW()-4))))</f>
        <v/>
      </c>
      <c r="J3708">
        <f>IF(INDEX(L_ID,ROW()-4)="","",IF(SUMPRODUCT((P_ID=INDEX(L_ID,ROW()-4))*(P_StatusN="INACTIVE"))&gt;0,1,0))</f>
        <v/>
      </c>
    </row>
    <row r="3709">
      <c r="A3709">
        <f>IF(INDEX(L_ID,ROW()-4)="","",IF(COUNTIF(P_ID,INDEX(L_ID,ROW()-4))&gt;0,1,0))</f>
        <v/>
      </c>
      <c r="B3709">
        <f>IF(INDEX(P_Type,ROW()-4)="","",TRIM(UPPER(INDEX(P_Type,ROW()-4))))</f>
        <v/>
      </c>
      <c r="D3709">
        <f>IF(INDEX(L_Type,ROW()-4)="","",TRIM(UPPER(INDEX(L_Type,ROW()-4))))</f>
        <v/>
      </c>
      <c r="E3709">
        <f>IF(INDEX(P_Status,ROW()-4)="","",TRIM(UPPER(INDEX(P_Status,ROW()-4))))</f>
        <v/>
      </c>
      <c r="G3709">
        <f>IF(INDEX(L_Status,ROW()-4)="","",TRIM(UPPER(INDEX(L_Status,ROW()-4))))</f>
        <v/>
      </c>
      <c r="J3709">
        <f>IF(INDEX(L_ID,ROW()-4)="","",IF(SUMPRODUCT((P_ID=INDEX(L_ID,ROW()-4))*(P_StatusN="INACTIVE"))&gt;0,1,0))</f>
        <v/>
      </c>
    </row>
    <row r="3710">
      <c r="A3710">
        <f>IF(INDEX(L_ID,ROW()-4)="","",IF(COUNTIF(P_ID,INDEX(L_ID,ROW()-4))&gt;0,1,0))</f>
        <v/>
      </c>
      <c r="B3710">
        <f>IF(INDEX(P_Type,ROW()-4)="","",TRIM(UPPER(INDEX(P_Type,ROW()-4))))</f>
        <v/>
      </c>
      <c r="D3710">
        <f>IF(INDEX(L_Type,ROW()-4)="","",TRIM(UPPER(INDEX(L_Type,ROW()-4))))</f>
        <v/>
      </c>
      <c r="E3710">
        <f>IF(INDEX(P_Status,ROW()-4)="","",TRIM(UPPER(INDEX(P_Status,ROW()-4))))</f>
        <v/>
      </c>
      <c r="G3710">
        <f>IF(INDEX(L_Status,ROW()-4)="","",TRIM(UPPER(INDEX(L_Status,ROW()-4))))</f>
        <v/>
      </c>
      <c r="J3710">
        <f>IF(INDEX(L_ID,ROW()-4)="","",IF(SUMPRODUCT((P_ID=INDEX(L_ID,ROW()-4))*(P_StatusN="INACTIVE"))&gt;0,1,0))</f>
        <v/>
      </c>
    </row>
    <row r="3711">
      <c r="A3711">
        <f>IF(INDEX(L_ID,ROW()-4)="","",IF(COUNTIF(P_ID,INDEX(L_ID,ROW()-4))&gt;0,1,0))</f>
        <v/>
      </c>
      <c r="B3711">
        <f>IF(INDEX(P_Type,ROW()-4)="","",TRIM(UPPER(INDEX(P_Type,ROW()-4))))</f>
        <v/>
      </c>
      <c r="D3711">
        <f>IF(INDEX(L_Type,ROW()-4)="","",TRIM(UPPER(INDEX(L_Type,ROW()-4))))</f>
        <v/>
      </c>
      <c r="E3711">
        <f>IF(INDEX(P_Status,ROW()-4)="","",TRIM(UPPER(INDEX(P_Status,ROW()-4))))</f>
        <v/>
      </c>
      <c r="G3711">
        <f>IF(INDEX(L_Status,ROW()-4)="","",TRIM(UPPER(INDEX(L_Status,ROW()-4))))</f>
        <v/>
      </c>
      <c r="J3711">
        <f>IF(INDEX(L_ID,ROW()-4)="","",IF(SUMPRODUCT((P_ID=INDEX(L_ID,ROW()-4))*(P_StatusN="INACTIVE"))&gt;0,1,0))</f>
        <v/>
      </c>
    </row>
    <row r="3712">
      <c r="A3712">
        <f>IF(INDEX(L_ID,ROW()-4)="","",IF(COUNTIF(P_ID,INDEX(L_ID,ROW()-4))&gt;0,1,0))</f>
        <v/>
      </c>
      <c r="B3712">
        <f>IF(INDEX(P_Type,ROW()-4)="","",TRIM(UPPER(INDEX(P_Type,ROW()-4))))</f>
        <v/>
      </c>
      <c r="D3712">
        <f>IF(INDEX(L_Type,ROW()-4)="","",TRIM(UPPER(INDEX(L_Type,ROW()-4))))</f>
        <v/>
      </c>
      <c r="E3712">
        <f>IF(INDEX(P_Status,ROW()-4)="","",TRIM(UPPER(INDEX(P_Status,ROW()-4))))</f>
        <v/>
      </c>
      <c r="G3712">
        <f>IF(INDEX(L_Status,ROW()-4)="","",TRIM(UPPER(INDEX(L_Status,ROW()-4))))</f>
        <v/>
      </c>
      <c r="J3712">
        <f>IF(INDEX(L_ID,ROW()-4)="","",IF(SUMPRODUCT((P_ID=INDEX(L_ID,ROW()-4))*(P_StatusN="INACTIVE"))&gt;0,1,0))</f>
        <v/>
      </c>
    </row>
    <row r="3713">
      <c r="A3713">
        <f>IF(INDEX(L_ID,ROW()-4)="","",IF(COUNTIF(P_ID,INDEX(L_ID,ROW()-4))&gt;0,1,0))</f>
        <v/>
      </c>
      <c r="B3713">
        <f>IF(INDEX(P_Type,ROW()-4)="","",TRIM(UPPER(INDEX(P_Type,ROW()-4))))</f>
        <v/>
      </c>
      <c r="D3713">
        <f>IF(INDEX(L_Type,ROW()-4)="","",TRIM(UPPER(INDEX(L_Type,ROW()-4))))</f>
        <v/>
      </c>
      <c r="E3713">
        <f>IF(INDEX(P_Status,ROW()-4)="","",TRIM(UPPER(INDEX(P_Status,ROW()-4))))</f>
        <v/>
      </c>
      <c r="G3713">
        <f>IF(INDEX(L_Status,ROW()-4)="","",TRIM(UPPER(INDEX(L_Status,ROW()-4))))</f>
        <v/>
      </c>
      <c r="J3713">
        <f>IF(INDEX(L_ID,ROW()-4)="","",IF(SUMPRODUCT((P_ID=INDEX(L_ID,ROW()-4))*(P_StatusN="INACTIVE"))&gt;0,1,0))</f>
        <v/>
      </c>
    </row>
    <row r="3714">
      <c r="A3714">
        <f>IF(INDEX(L_ID,ROW()-4)="","",IF(COUNTIF(P_ID,INDEX(L_ID,ROW()-4))&gt;0,1,0))</f>
        <v/>
      </c>
      <c r="B3714">
        <f>IF(INDEX(P_Type,ROW()-4)="","",TRIM(UPPER(INDEX(P_Type,ROW()-4))))</f>
        <v/>
      </c>
      <c r="D3714">
        <f>IF(INDEX(L_Type,ROW()-4)="","",TRIM(UPPER(INDEX(L_Type,ROW()-4))))</f>
        <v/>
      </c>
      <c r="E3714">
        <f>IF(INDEX(P_Status,ROW()-4)="","",TRIM(UPPER(INDEX(P_Status,ROW()-4))))</f>
        <v/>
      </c>
      <c r="G3714">
        <f>IF(INDEX(L_Status,ROW()-4)="","",TRIM(UPPER(INDEX(L_Status,ROW()-4))))</f>
        <v/>
      </c>
      <c r="J3714">
        <f>IF(INDEX(L_ID,ROW()-4)="","",IF(SUMPRODUCT((P_ID=INDEX(L_ID,ROW()-4))*(P_StatusN="INACTIVE"))&gt;0,1,0))</f>
        <v/>
      </c>
    </row>
    <row r="3715">
      <c r="A3715">
        <f>IF(INDEX(L_ID,ROW()-4)="","",IF(COUNTIF(P_ID,INDEX(L_ID,ROW()-4))&gt;0,1,0))</f>
        <v/>
      </c>
      <c r="B3715">
        <f>IF(INDEX(P_Type,ROW()-4)="","",TRIM(UPPER(INDEX(P_Type,ROW()-4))))</f>
        <v/>
      </c>
      <c r="D3715">
        <f>IF(INDEX(L_Type,ROW()-4)="","",TRIM(UPPER(INDEX(L_Type,ROW()-4))))</f>
        <v/>
      </c>
      <c r="E3715">
        <f>IF(INDEX(P_Status,ROW()-4)="","",TRIM(UPPER(INDEX(P_Status,ROW()-4))))</f>
        <v/>
      </c>
      <c r="G3715">
        <f>IF(INDEX(L_Status,ROW()-4)="","",TRIM(UPPER(INDEX(L_Status,ROW()-4))))</f>
        <v/>
      </c>
      <c r="J3715">
        <f>IF(INDEX(L_ID,ROW()-4)="","",IF(SUMPRODUCT((P_ID=INDEX(L_ID,ROW()-4))*(P_StatusN="INACTIVE"))&gt;0,1,0))</f>
        <v/>
      </c>
    </row>
    <row r="3716">
      <c r="A3716">
        <f>IF(INDEX(L_ID,ROW()-4)="","",IF(COUNTIF(P_ID,INDEX(L_ID,ROW()-4))&gt;0,1,0))</f>
        <v/>
      </c>
      <c r="B3716">
        <f>IF(INDEX(P_Type,ROW()-4)="","",TRIM(UPPER(INDEX(P_Type,ROW()-4))))</f>
        <v/>
      </c>
      <c r="D3716">
        <f>IF(INDEX(L_Type,ROW()-4)="","",TRIM(UPPER(INDEX(L_Type,ROW()-4))))</f>
        <v/>
      </c>
      <c r="E3716">
        <f>IF(INDEX(P_Status,ROW()-4)="","",TRIM(UPPER(INDEX(P_Status,ROW()-4))))</f>
        <v/>
      </c>
      <c r="G3716">
        <f>IF(INDEX(L_Status,ROW()-4)="","",TRIM(UPPER(INDEX(L_Status,ROW()-4))))</f>
        <v/>
      </c>
      <c r="J3716">
        <f>IF(INDEX(L_ID,ROW()-4)="","",IF(SUMPRODUCT((P_ID=INDEX(L_ID,ROW()-4))*(P_StatusN="INACTIVE"))&gt;0,1,0))</f>
        <v/>
      </c>
    </row>
    <row r="3717">
      <c r="A3717">
        <f>IF(INDEX(L_ID,ROW()-4)="","",IF(COUNTIF(P_ID,INDEX(L_ID,ROW()-4))&gt;0,1,0))</f>
        <v/>
      </c>
      <c r="B3717">
        <f>IF(INDEX(P_Type,ROW()-4)="","",TRIM(UPPER(INDEX(P_Type,ROW()-4))))</f>
        <v/>
      </c>
      <c r="D3717">
        <f>IF(INDEX(L_Type,ROW()-4)="","",TRIM(UPPER(INDEX(L_Type,ROW()-4))))</f>
        <v/>
      </c>
      <c r="E3717">
        <f>IF(INDEX(P_Status,ROW()-4)="","",TRIM(UPPER(INDEX(P_Status,ROW()-4))))</f>
        <v/>
      </c>
      <c r="G3717">
        <f>IF(INDEX(L_Status,ROW()-4)="","",TRIM(UPPER(INDEX(L_Status,ROW()-4))))</f>
        <v/>
      </c>
      <c r="J3717">
        <f>IF(INDEX(L_ID,ROW()-4)="","",IF(SUMPRODUCT((P_ID=INDEX(L_ID,ROW()-4))*(P_StatusN="INACTIVE"))&gt;0,1,0))</f>
        <v/>
      </c>
    </row>
    <row r="3718">
      <c r="A3718">
        <f>IF(INDEX(L_ID,ROW()-4)="","",IF(COUNTIF(P_ID,INDEX(L_ID,ROW()-4))&gt;0,1,0))</f>
        <v/>
      </c>
      <c r="B3718">
        <f>IF(INDEX(P_Type,ROW()-4)="","",TRIM(UPPER(INDEX(P_Type,ROW()-4))))</f>
        <v/>
      </c>
      <c r="D3718">
        <f>IF(INDEX(L_Type,ROW()-4)="","",TRIM(UPPER(INDEX(L_Type,ROW()-4))))</f>
        <v/>
      </c>
      <c r="E3718">
        <f>IF(INDEX(P_Status,ROW()-4)="","",TRIM(UPPER(INDEX(P_Status,ROW()-4))))</f>
        <v/>
      </c>
      <c r="G3718">
        <f>IF(INDEX(L_Status,ROW()-4)="","",TRIM(UPPER(INDEX(L_Status,ROW()-4))))</f>
        <v/>
      </c>
      <c r="J3718">
        <f>IF(INDEX(L_ID,ROW()-4)="","",IF(SUMPRODUCT((P_ID=INDEX(L_ID,ROW()-4))*(P_StatusN="INACTIVE"))&gt;0,1,0))</f>
        <v/>
      </c>
    </row>
    <row r="3719">
      <c r="A3719">
        <f>IF(INDEX(L_ID,ROW()-4)="","",IF(COUNTIF(P_ID,INDEX(L_ID,ROW()-4))&gt;0,1,0))</f>
        <v/>
      </c>
      <c r="B3719">
        <f>IF(INDEX(P_Type,ROW()-4)="","",TRIM(UPPER(INDEX(P_Type,ROW()-4))))</f>
        <v/>
      </c>
      <c r="D3719">
        <f>IF(INDEX(L_Type,ROW()-4)="","",TRIM(UPPER(INDEX(L_Type,ROW()-4))))</f>
        <v/>
      </c>
      <c r="E3719">
        <f>IF(INDEX(P_Status,ROW()-4)="","",TRIM(UPPER(INDEX(P_Status,ROW()-4))))</f>
        <v/>
      </c>
      <c r="G3719">
        <f>IF(INDEX(L_Status,ROW()-4)="","",TRIM(UPPER(INDEX(L_Status,ROW()-4))))</f>
        <v/>
      </c>
      <c r="J3719">
        <f>IF(INDEX(L_ID,ROW()-4)="","",IF(SUMPRODUCT((P_ID=INDEX(L_ID,ROW()-4))*(P_StatusN="INACTIVE"))&gt;0,1,0))</f>
        <v/>
      </c>
    </row>
    <row r="3720">
      <c r="A3720">
        <f>IF(INDEX(L_ID,ROW()-4)="","",IF(COUNTIF(P_ID,INDEX(L_ID,ROW()-4))&gt;0,1,0))</f>
        <v/>
      </c>
      <c r="B3720">
        <f>IF(INDEX(P_Type,ROW()-4)="","",TRIM(UPPER(INDEX(P_Type,ROW()-4))))</f>
        <v/>
      </c>
      <c r="D3720">
        <f>IF(INDEX(L_Type,ROW()-4)="","",TRIM(UPPER(INDEX(L_Type,ROW()-4))))</f>
        <v/>
      </c>
      <c r="E3720">
        <f>IF(INDEX(P_Status,ROW()-4)="","",TRIM(UPPER(INDEX(P_Status,ROW()-4))))</f>
        <v/>
      </c>
      <c r="G3720">
        <f>IF(INDEX(L_Status,ROW()-4)="","",TRIM(UPPER(INDEX(L_Status,ROW()-4))))</f>
        <v/>
      </c>
      <c r="J3720">
        <f>IF(INDEX(L_ID,ROW()-4)="","",IF(SUMPRODUCT((P_ID=INDEX(L_ID,ROW()-4))*(P_StatusN="INACTIVE"))&gt;0,1,0))</f>
        <v/>
      </c>
    </row>
    <row r="3721">
      <c r="A3721">
        <f>IF(INDEX(L_ID,ROW()-4)="","",IF(COUNTIF(P_ID,INDEX(L_ID,ROW()-4))&gt;0,1,0))</f>
        <v/>
      </c>
      <c r="B3721">
        <f>IF(INDEX(P_Type,ROW()-4)="","",TRIM(UPPER(INDEX(P_Type,ROW()-4))))</f>
        <v/>
      </c>
      <c r="D3721">
        <f>IF(INDEX(L_Type,ROW()-4)="","",TRIM(UPPER(INDEX(L_Type,ROW()-4))))</f>
        <v/>
      </c>
      <c r="E3721">
        <f>IF(INDEX(P_Status,ROW()-4)="","",TRIM(UPPER(INDEX(P_Status,ROW()-4))))</f>
        <v/>
      </c>
      <c r="G3721">
        <f>IF(INDEX(L_Status,ROW()-4)="","",TRIM(UPPER(INDEX(L_Status,ROW()-4))))</f>
        <v/>
      </c>
      <c r="J3721">
        <f>IF(INDEX(L_ID,ROW()-4)="","",IF(SUMPRODUCT((P_ID=INDEX(L_ID,ROW()-4))*(P_StatusN="INACTIVE"))&gt;0,1,0))</f>
        <v/>
      </c>
    </row>
    <row r="3722">
      <c r="A3722">
        <f>IF(INDEX(L_ID,ROW()-4)="","",IF(COUNTIF(P_ID,INDEX(L_ID,ROW()-4))&gt;0,1,0))</f>
        <v/>
      </c>
      <c r="B3722">
        <f>IF(INDEX(P_Type,ROW()-4)="","",TRIM(UPPER(INDEX(P_Type,ROW()-4))))</f>
        <v/>
      </c>
      <c r="D3722">
        <f>IF(INDEX(L_Type,ROW()-4)="","",TRIM(UPPER(INDEX(L_Type,ROW()-4))))</f>
        <v/>
      </c>
      <c r="E3722">
        <f>IF(INDEX(P_Status,ROW()-4)="","",TRIM(UPPER(INDEX(P_Status,ROW()-4))))</f>
        <v/>
      </c>
      <c r="G3722">
        <f>IF(INDEX(L_Status,ROW()-4)="","",TRIM(UPPER(INDEX(L_Status,ROW()-4))))</f>
        <v/>
      </c>
      <c r="J3722">
        <f>IF(INDEX(L_ID,ROW()-4)="","",IF(SUMPRODUCT((P_ID=INDEX(L_ID,ROW()-4))*(P_StatusN="INACTIVE"))&gt;0,1,0))</f>
        <v/>
      </c>
    </row>
    <row r="3723">
      <c r="A3723">
        <f>IF(INDEX(L_ID,ROW()-4)="","",IF(COUNTIF(P_ID,INDEX(L_ID,ROW()-4))&gt;0,1,0))</f>
        <v/>
      </c>
      <c r="B3723">
        <f>IF(INDEX(P_Type,ROW()-4)="","",TRIM(UPPER(INDEX(P_Type,ROW()-4))))</f>
        <v/>
      </c>
      <c r="D3723">
        <f>IF(INDEX(L_Type,ROW()-4)="","",TRIM(UPPER(INDEX(L_Type,ROW()-4))))</f>
        <v/>
      </c>
      <c r="E3723">
        <f>IF(INDEX(P_Status,ROW()-4)="","",TRIM(UPPER(INDEX(P_Status,ROW()-4))))</f>
        <v/>
      </c>
      <c r="G3723">
        <f>IF(INDEX(L_Status,ROW()-4)="","",TRIM(UPPER(INDEX(L_Status,ROW()-4))))</f>
        <v/>
      </c>
      <c r="J3723">
        <f>IF(INDEX(L_ID,ROW()-4)="","",IF(SUMPRODUCT((P_ID=INDEX(L_ID,ROW()-4))*(P_StatusN="INACTIVE"))&gt;0,1,0))</f>
        <v/>
      </c>
    </row>
    <row r="3724">
      <c r="A3724">
        <f>IF(INDEX(L_ID,ROW()-4)="","",IF(COUNTIF(P_ID,INDEX(L_ID,ROW()-4))&gt;0,1,0))</f>
        <v/>
      </c>
      <c r="B3724">
        <f>IF(INDEX(P_Type,ROW()-4)="","",TRIM(UPPER(INDEX(P_Type,ROW()-4))))</f>
        <v/>
      </c>
      <c r="D3724">
        <f>IF(INDEX(L_Type,ROW()-4)="","",TRIM(UPPER(INDEX(L_Type,ROW()-4))))</f>
        <v/>
      </c>
      <c r="E3724">
        <f>IF(INDEX(P_Status,ROW()-4)="","",TRIM(UPPER(INDEX(P_Status,ROW()-4))))</f>
        <v/>
      </c>
      <c r="G3724">
        <f>IF(INDEX(L_Status,ROW()-4)="","",TRIM(UPPER(INDEX(L_Status,ROW()-4))))</f>
        <v/>
      </c>
      <c r="J3724">
        <f>IF(INDEX(L_ID,ROW()-4)="","",IF(SUMPRODUCT((P_ID=INDEX(L_ID,ROW()-4))*(P_StatusN="INACTIVE"))&gt;0,1,0))</f>
        <v/>
      </c>
    </row>
    <row r="3725">
      <c r="A3725">
        <f>IF(INDEX(L_ID,ROW()-4)="","",IF(COUNTIF(P_ID,INDEX(L_ID,ROW()-4))&gt;0,1,0))</f>
        <v/>
      </c>
      <c r="B3725">
        <f>IF(INDEX(P_Type,ROW()-4)="","",TRIM(UPPER(INDEX(P_Type,ROW()-4))))</f>
        <v/>
      </c>
      <c r="D3725">
        <f>IF(INDEX(L_Type,ROW()-4)="","",TRIM(UPPER(INDEX(L_Type,ROW()-4))))</f>
        <v/>
      </c>
      <c r="E3725">
        <f>IF(INDEX(P_Status,ROW()-4)="","",TRIM(UPPER(INDEX(P_Status,ROW()-4))))</f>
        <v/>
      </c>
      <c r="G3725">
        <f>IF(INDEX(L_Status,ROW()-4)="","",TRIM(UPPER(INDEX(L_Status,ROW()-4))))</f>
        <v/>
      </c>
      <c r="J3725">
        <f>IF(INDEX(L_ID,ROW()-4)="","",IF(SUMPRODUCT((P_ID=INDEX(L_ID,ROW()-4))*(P_StatusN="INACTIVE"))&gt;0,1,0))</f>
        <v/>
      </c>
    </row>
    <row r="3726">
      <c r="A3726">
        <f>IF(INDEX(L_ID,ROW()-4)="","",IF(COUNTIF(P_ID,INDEX(L_ID,ROW()-4))&gt;0,1,0))</f>
        <v/>
      </c>
      <c r="B3726">
        <f>IF(INDEX(P_Type,ROW()-4)="","",TRIM(UPPER(INDEX(P_Type,ROW()-4))))</f>
        <v/>
      </c>
      <c r="D3726">
        <f>IF(INDEX(L_Type,ROW()-4)="","",TRIM(UPPER(INDEX(L_Type,ROW()-4))))</f>
        <v/>
      </c>
      <c r="E3726">
        <f>IF(INDEX(P_Status,ROW()-4)="","",TRIM(UPPER(INDEX(P_Status,ROW()-4))))</f>
        <v/>
      </c>
      <c r="G3726">
        <f>IF(INDEX(L_Status,ROW()-4)="","",TRIM(UPPER(INDEX(L_Status,ROW()-4))))</f>
        <v/>
      </c>
      <c r="J3726">
        <f>IF(INDEX(L_ID,ROW()-4)="","",IF(SUMPRODUCT((P_ID=INDEX(L_ID,ROW()-4))*(P_StatusN="INACTIVE"))&gt;0,1,0))</f>
        <v/>
      </c>
    </row>
    <row r="3727">
      <c r="A3727">
        <f>IF(INDEX(L_ID,ROW()-4)="","",IF(COUNTIF(P_ID,INDEX(L_ID,ROW()-4))&gt;0,1,0))</f>
        <v/>
      </c>
      <c r="B3727">
        <f>IF(INDEX(P_Type,ROW()-4)="","",TRIM(UPPER(INDEX(P_Type,ROW()-4))))</f>
        <v/>
      </c>
      <c r="D3727">
        <f>IF(INDEX(L_Type,ROW()-4)="","",TRIM(UPPER(INDEX(L_Type,ROW()-4))))</f>
        <v/>
      </c>
      <c r="E3727">
        <f>IF(INDEX(P_Status,ROW()-4)="","",TRIM(UPPER(INDEX(P_Status,ROW()-4))))</f>
        <v/>
      </c>
      <c r="G3727">
        <f>IF(INDEX(L_Status,ROW()-4)="","",TRIM(UPPER(INDEX(L_Status,ROW()-4))))</f>
        <v/>
      </c>
      <c r="J3727">
        <f>IF(INDEX(L_ID,ROW()-4)="","",IF(SUMPRODUCT((P_ID=INDEX(L_ID,ROW()-4))*(P_StatusN="INACTIVE"))&gt;0,1,0))</f>
        <v/>
      </c>
    </row>
    <row r="3728">
      <c r="A3728">
        <f>IF(INDEX(L_ID,ROW()-4)="","",IF(COUNTIF(P_ID,INDEX(L_ID,ROW()-4))&gt;0,1,0))</f>
        <v/>
      </c>
      <c r="B3728">
        <f>IF(INDEX(P_Type,ROW()-4)="","",TRIM(UPPER(INDEX(P_Type,ROW()-4))))</f>
        <v/>
      </c>
      <c r="D3728">
        <f>IF(INDEX(L_Type,ROW()-4)="","",TRIM(UPPER(INDEX(L_Type,ROW()-4))))</f>
        <v/>
      </c>
      <c r="E3728">
        <f>IF(INDEX(P_Status,ROW()-4)="","",TRIM(UPPER(INDEX(P_Status,ROW()-4))))</f>
        <v/>
      </c>
      <c r="G3728">
        <f>IF(INDEX(L_Status,ROW()-4)="","",TRIM(UPPER(INDEX(L_Status,ROW()-4))))</f>
        <v/>
      </c>
      <c r="J3728">
        <f>IF(INDEX(L_ID,ROW()-4)="","",IF(SUMPRODUCT((P_ID=INDEX(L_ID,ROW()-4))*(P_StatusN="INACTIVE"))&gt;0,1,0))</f>
        <v/>
      </c>
    </row>
    <row r="3729">
      <c r="A3729">
        <f>IF(INDEX(L_ID,ROW()-4)="","",IF(COUNTIF(P_ID,INDEX(L_ID,ROW()-4))&gt;0,1,0))</f>
        <v/>
      </c>
      <c r="B3729">
        <f>IF(INDEX(P_Type,ROW()-4)="","",TRIM(UPPER(INDEX(P_Type,ROW()-4))))</f>
        <v/>
      </c>
      <c r="D3729">
        <f>IF(INDEX(L_Type,ROW()-4)="","",TRIM(UPPER(INDEX(L_Type,ROW()-4))))</f>
        <v/>
      </c>
      <c r="E3729">
        <f>IF(INDEX(P_Status,ROW()-4)="","",TRIM(UPPER(INDEX(P_Status,ROW()-4))))</f>
        <v/>
      </c>
      <c r="G3729">
        <f>IF(INDEX(L_Status,ROW()-4)="","",TRIM(UPPER(INDEX(L_Status,ROW()-4))))</f>
        <v/>
      </c>
      <c r="J3729">
        <f>IF(INDEX(L_ID,ROW()-4)="","",IF(SUMPRODUCT((P_ID=INDEX(L_ID,ROW()-4))*(P_StatusN="INACTIVE"))&gt;0,1,0))</f>
        <v/>
      </c>
    </row>
    <row r="3730">
      <c r="A3730">
        <f>IF(INDEX(L_ID,ROW()-4)="","",IF(COUNTIF(P_ID,INDEX(L_ID,ROW()-4))&gt;0,1,0))</f>
        <v/>
      </c>
      <c r="B3730">
        <f>IF(INDEX(P_Type,ROW()-4)="","",TRIM(UPPER(INDEX(P_Type,ROW()-4))))</f>
        <v/>
      </c>
      <c r="D3730">
        <f>IF(INDEX(L_Type,ROW()-4)="","",TRIM(UPPER(INDEX(L_Type,ROW()-4))))</f>
        <v/>
      </c>
      <c r="E3730">
        <f>IF(INDEX(P_Status,ROW()-4)="","",TRIM(UPPER(INDEX(P_Status,ROW()-4))))</f>
        <v/>
      </c>
      <c r="G3730">
        <f>IF(INDEX(L_Status,ROW()-4)="","",TRIM(UPPER(INDEX(L_Status,ROW()-4))))</f>
        <v/>
      </c>
      <c r="J3730">
        <f>IF(INDEX(L_ID,ROW()-4)="","",IF(SUMPRODUCT((P_ID=INDEX(L_ID,ROW()-4))*(P_StatusN="INACTIVE"))&gt;0,1,0))</f>
        <v/>
      </c>
    </row>
    <row r="3731">
      <c r="A3731">
        <f>IF(INDEX(L_ID,ROW()-4)="","",IF(COUNTIF(P_ID,INDEX(L_ID,ROW()-4))&gt;0,1,0))</f>
        <v/>
      </c>
      <c r="B3731">
        <f>IF(INDEX(P_Type,ROW()-4)="","",TRIM(UPPER(INDEX(P_Type,ROW()-4))))</f>
        <v/>
      </c>
      <c r="D3731">
        <f>IF(INDEX(L_Type,ROW()-4)="","",TRIM(UPPER(INDEX(L_Type,ROW()-4))))</f>
        <v/>
      </c>
      <c r="E3731">
        <f>IF(INDEX(P_Status,ROW()-4)="","",TRIM(UPPER(INDEX(P_Status,ROW()-4))))</f>
        <v/>
      </c>
      <c r="G3731">
        <f>IF(INDEX(L_Status,ROW()-4)="","",TRIM(UPPER(INDEX(L_Status,ROW()-4))))</f>
        <v/>
      </c>
      <c r="J3731">
        <f>IF(INDEX(L_ID,ROW()-4)="","",IF(SUMPRODUCT((P_ID=INDEX(L_ID,ROW()-4))*(P_StatusN="INACTIVE"))&gt;0,1,0))</f>
        <v/>
      </c>
    </row>
    <row r="3732">
      <c r="A3732">
        <f>IF(INDEX(L_ID,ROW()-4)="","",IF(COUNTIF(P_ID,INDEX(L_ID,ROW()-4))&gt;0,1,0))</f>
        <v/>
      </c>
      <c r="B3732">
        <f>IF(INDEX(P_Type,ROW()-4)="","",TRIM(UPPER(INDEX(P_Type,ROW()-4))))</f>
        <v/>
      </c>
      <c r="D3732">
        <f>IF(INDEX(L_Type,ROW()-4)="","",TRIM(UPPER(INDEX(L_Type,ROW()-4))))</f>
        <v/>
      </c>
      <c r="E3732">
        <f>IF(INDEX(P_Status,ROW()-4)="","",TRIM(UPPER(INDEX(P_Status,ROW()-4))))</f>
        <v/>
      </c>
      <c r="G3732">
        <f>IF(INDEX(L_Status,ROW()-4)="","",TRIM(UPPER(INDEX(L_Status,ROW()-4))))</f>
        <v/>
      </c>
      <c r="J3732">
        <f>IF(INDEX(L_ID,ROW()-4)="","",IF(SUMPRODUCT((P_ID=INDEX(L_ID,ROW()-4))*(P_StatusN="INACTIVE"))&gt;0,1,0))</f>
        <v/>
      </c>
    </row>
    <row r="3733">
      <c r="A3733">
        <f>IF(INDEX(L_ID,ROW()-4)="","",IF(COUNTIF(P_ID,INDEX(L_ID,ROW()-4))&gt;0,1,0))</f>
        <v/>
      </c>
      <c r="B3733">
        <f>IF(INDEX(P_Type,ROW()-4)="","",TRIM(UPPER(INDEX(P_Type,ROW()-4))))</f>
        <v/>
      </c>
      <c r="D3733">
        <f>IF(INDEX(L_Type,ROW()-4)="","",TRIM(UPPER(INDEX(L_Type,ROW()-4))))</f>
        <v/>
      </c>
      <c r="E3733">
        <f>IF(INDEX(P_Status,ROW()-4)="","",TRIM(UPPER(INDEX(P_Status,ROW()-4))))</f>
        <v/>
      </c>
      <c r="G3733">
        <f>IF(INDEX(L_Status,ROW()-4)="","",TRIM(UPPER(INDEX(L_Status,ROW()-4))))</f>
        <v/>
      </c>
      <c r="J3733">
        <f>IF(INDEX(L_ID,ROW()-4)="","",IF(SUMPRODUCT((P_ID=INDEX(L_ID,ROW()-4))*(P_StatusN="INACTIVE"))&gt;0,1,0))</f>
        <v/>
      </c>
    </row>
    <row r="3734">
      <c r="A3734">
        <f>IF(INDEX(L_ID,ROW()-4)="","",IF(COUNTIF(P_ID,INDEX(L_ID,ROW()-4))&gt;0,1,0))</f>
        <v/>
      </c>
      <c r="B3734">
        <f>IF(INDEX(P_Type,ROW()-4)="","",TRIM(UPPER(INDEX(P_Type,ROW()-4))))</f>
        <v/>
      </c>
      <c r="D3734">
        <f>IF(INDEX(L_Type,ROW()-4)="","",TRIM(UPPER(INDEX(L_Type,ROW()-4))))</f>
        <v/>
      </c>
      <c r="E3734">
        <f>IF(INDEX(P_Status,ROW()-4)="","",TRIM(UPPER(INDEX(P_Status,ROW()-4))))</f>
        <v/>
      </c>
      <c r="G3734">
        <f>IF(INDEX(L_Status,ROW()-4)="","",TRIM(UPPER(INDEX(L_Status,ROW()-4))))</f>
        <v/>
      </c>
      <c r="J3734">
        <f>IF(INDEX(L_ID,ROW()-4)="","",IF(SUMPRODUCT((P_ID=INDEX(L_ID,ROW()-4))*(P_StatusN="INACTIVE"))&gt;0,1,0))</f>
        <v/>
      </c>
    </row>
    <row r="3735">
      <c r="A3735">
        <f>IF(INDEX(L_ID,ROW()-4)="","",IF(COUNTIF(P_ID,INDEX(L_ID,ROW()-4))&gt;0,1,0))</f>
        <v/>
      </c>
      <c r="B3735">
        <f>IF(INDEX(P_Type,ROW()-4)="","",TRIM(UPPER(INDEX(P_Type,ROW()-4))))</f>
        <v/>
      </c>
      <c r="D3735">
        <f>IF(INDEX(L_Type,ROW()-4)="","",TRIM(UPPER(INDEX(L_Type,ROW()-4))))</f>
        <v/>
      </c>
      <c r="E3735">
        <f>IF(INDEX(P_Status,ROW()-4)="","",TRIM(UPPER(INDEX(P_Status,ROW()-4))))</f>
        <v/>
      </c>
      <c r="G3735">
        <f>IF(INDEX(L_Status,ROW()-4)="","",TRIM(UPPER(INDEX(L_Status,ROW()-4))))</f>
        <v/>
      </c>
      <c r="J3735">
        <f>IF(INDEX(L_ID,ROW()-4)="","",IF(SUMPRODUCT((P_ID=INDEX(L_ID,ROW()-4))*(P_StatusN="INACTIVE"))&gt;0,1,0))</f>
        <v/>
      </c>
    </row>
    <row r="3736">
      <c r="A3736">
        <f>IF(INDEX(L_ID,ROW()-4)="","",IF(COUNTIF(P_ID,INDEX(L_ID,ROW()-4))&gt;0,1,0))</f>
        <v/>
      </c>
      <c r="B3736">
        <f>IF(INDEX(P_Type,ROW()-4)="","",TRIM(UPPER(INDEX(P_Type,ROW()-4))))</f>
        <v/>
      </c>
      <c r="D3736">
        <f>IF(INDEX(L_Type,ROW()-4)="","",TRIM(UPPER(INDEX(L_Type,ROW()-4))))</f>
        <v/>
      </c>
      <c r="E3736">
        <f>IF(INDEX(P_Status,ROW()-4)="","",TRIM(UPPER(INDEX(P_Status,ROW()-4))))</f>
        <v/>
      </c>
      <c r="G3736">
        <f>IF(INDEX(L_Status,ROW()-4)="","",TRIM(UPPER(INDEX(L_Status,ROW()-4))))</f>
        <v/>
      </c>
      <c r="J3736">
        <f>IF(INDEX(L_ID,ROW()-4)="","",IF(SUMPRODUCT((P_ID=INDEX(L_ID,ROW()-4))*(P_StatusN="INACTIVE"))&gt;0,1,0))</f>
        <v/>
      </c>
    </row>
    <row r="3737">
      <c r="A3737">
        <f>IF(INDEX(L_ID,ROW()-4)="","",IF(COUNTIF(P_ID,INDEX(L_ID,ROW()-4))&gt;0,1,0))</f>
        <v/>
      </c>
      <c r="B3737">
        <f>IF(INDEX(P_Type,ROW()-4)="","",TRIM(UPPER(INDEX(P_Type,ROW()-4))))</f>
        <v/>
      </c>
      <c r="D3737">
        <f>IF(INDEX(L_Type,ROW()-4)="","",TRIM(UPPER(INDEX(L_Type,ROW()-4))))</f>
        <v/>
      </c>
      <c r="E3737">
        <f>IF(INDEX(P_Status,ROW()-4)="","",TRIM(UPPER(INDEX(P_Status,ROW()-4))))</f>
        <v/>
      </c>
      <c r="G3737">
        <f>IF(INDEX(L_Status,ROW()-4)="","",TRIM(UPPER(INDEX(L_Status,ROW()-4))))</f>
        <v/>
      </c>
      <c r="J3737">
        <f>IF(INDEX(L_ID,ROW()-4)="","",IF(SUMPRODUCT((P_ID=INDEX(L_ID,ROW()-4))*(P_StatusN="INACTIVE"))&gt;0,1,0))</f>
        <v/>
      </c>
    </row>
    <row r="3738">
      <c r="A3738">
        <f>IF(INDEX(L_ID,ROW()-4)="","",IF(COUNTIF(P_ID,INDEX(L_ID,ROW()-4))&gt;0,1,0))</f>
        <v/>
      </c>
      <c r="B3738">
        <f>IF(INDEX(P_Type,ROW()-4)="","",TRIM(UPPER(INDEX(P_Type,ROW()-4))))</f>
        <v/>
      </c>
      <c r="D3738">
        <f>IF(INDEX(L_Type,ROW()-4)="","",TRIM(UPPER(INDEX(L_Type,ROW()-4))))</f>
        <v/>
      </c>
      <c r="E3738">
        <f>IF(INDEX(P_Status,ROW()-4)="","",TRIM(UPPER(INDEX(P_Status,ROW()-4))))</f>
        <v/>
      </c>
      <c r="G3738">
        <f>IF(INDEX(L_Status,ROW()-4)="","",TRIM(UPPER(INDEX(L_Status,ROW()-4))))</f>
        <v/>
      </c>
      <c r="J3738">
        <f>IF(INDEX(L_ID,ROW()-4)="","",IF(SUMPRODUCT((P_ID=INDEX(L_ID,ROW()-4))*(P_StatusN="INACTIVE"))&gt;0,1,0))</f>
        <v/>
      </c>
    </row>
    <row r="3739">
      <c r="A3739">
        <f>IF(INDEX(L_ID,ROW()-4)="","",IF(COUNTIF(P_ID,INDEX(L_ID,ROW()-4))&gt;0,1,0))</f>
        <v/>
      </c>
      <c r="B3739">
        <f>IF(INDEX(P_Type,ROW()-4)="","",TRIM(UPPER(INDEX(P_Type,ROW()-4))))</f>
        <v/>
      </c>
      <c r="D3739">
        <f>IF(INDEX(L_Type,ROW()-4)="","",TRIM(UPPER(INDEX(L_Type,ROW()-4))))</f>
        <v/>
      </c>
      <c r="E3739">
        <f>IF(INDEX(P_Status,ROW()-4)="","",TRIM(UPPER(INDEX(P_Status,ROW()-4))))</f>
        <v/>
      </c>
      <c r="G3739">
        <f>IF(INDEX(L_Status,ROW()-4)="","",TRIM(UPPER(INDEX(L_Status,ROW()-4))))</f>
        <v/>
      </c>
      <c r="J3739">
        <f>IF(INDEX(L_ID,ROW()-4)="","",IF(SUMPRODUCT((P_ID=INDEX(L_ID,ROW()-4))*(P_StatusN="INACTIVE"))&gt;0,1,0))</f>
        <v/>
      </c>
    </row>
    <row r="3740">
      <c r="A3740">
        <f>IF(INDEX(L_ID,ROW()-4)="","",IF(COUNTIF(P_ID,INDEX(L_ID,ROW()-4))&gt;0,1,0))</f>
        <v/>
      </c>
      <c r="B3740">
        <f>IF(INDEX(P_Type,ROW()-4)="","",TRIM(UPPER(INDEX(P_Type,ROW()-4))))</f>
        <v/>
      </c>
      <c r="D3740">
        <f>IF(INDEX(L_Type,ROW()-4)="","",TRIM(UPPER(INDEX(L_Type,ROW()-4))))</f>
        <v/>
      </c>
      <c r="E3740">
        <f>IF(INDEX(P_Status,ROW()-4)="","",TRIM(UPPER(INDEX(P_Status,ROW()-4))))</f>
        <v/>
      </c>
      <c r="G3740">
        <f>IF(INDEX(L_Status,ROW()-4)="","",TRIM(UPPER(INDEX(L_Status,ROW()-4))))</f>
        <v/>
      </c>
      <c r="J3740">
        <f>IF(INDEX(L_ID,ROW()-4)="","",IF(SUMPRODUCT((P_ID=INDEX(L_ID,ROW()-4))*(P_StatusN="INACTIVE"))&gt;0,1,0))</f>
        <v/>
      </c>
    </row>
    <row r="3741">
      <c r="A3741">
        <f>IF(INDEX(L_ID,ROW()-4)="","",IF(COUNTIF(P_ID,INDEX(L_ID,ROW()-4))&gt;0,1,0))</f>
        <v/>
      </c>
      <c r="B3741">
        <f>IF(INDEX(P_Type,ROW()-4)="","",TRIM(UPPER(INDEX(P_Type,ROW()-4))))</f>
        <v/>
      </c>
      <c r="D3741">
        <f>IF(INDEX(L_Type,ROW()-4)="","",TRIM(UPPER(INDEX(L_Type,ROW()-4))))</f>
        <v/>
      </c>
      <c r="E3741">
        <f>IF(INDEX(P_Status,ROW()-4)="","",TRIM(UPPER(INDEX(P_Status,ROW()-4))))</f>
        <v/>
      </c>
      <c r="G3741">
        <f>IF(INDEX(L_Status,ROW()-4)="","",TRIM(UPPER(INDEX(L_Status,ROW()-4))))</f>
        <v/>
      </c>
      <c r="J3741">
        <f>IF(INDEX(L_ID,ROW()-4)="","",IF(SUMPRODUCT((P_ID=INDEX(L_ID,ROW()-4))*(P_StatusN="INACTIVE"))&gt;0,1,0))</f>
        <v/>
      </c>
    </row>
    <row r="3742">
      <c r="A3742">
        <f>IF(INDEX(L_ID,ROW()-4)="","",IF(COUNTIF(P_ID,INDEX(L_ID,ROW()-4))&gt;0,1,0))</f>
        <v/>
      </c>
      <c r="B3742">
        <f>IF(INDEX(P_Type,ROW()-4)="","",TRIM(UPPER(INDEX(P_Type,ROW()-4))))</f>
        <v/>
      </c>
      <c r="D3742">
        <f>IF(INDEX(L_Type,ROW()-4)="","",TRIM(UPPER(INDEX(L_Type,ROW()-4))))</f>
        <v/>
      </c>
      <c r="E3742">
        <f>IF(INDEX(P_Status,ROW()-4)="","",TRIM(UPPER(INDEX(P_Status,ROW()-4))))</f>
        <v/>
      </c>
      <c r="G3742">
        <f>IF(INDEX(L_Status,ROW()-4)="","",TRIM(UPPER(INDEX(L_Status,ROW()-4))))</f>
        <v/>
      </c>
      <c r="J3742">
        <f>IF(INDEX(L_ID,ROW()-4)="","",IF(SUMPRODUCT((P_ID=INDEX(L_ID,ROW()-4))*(P_StatusN="INACTIVE"))&gt;0,1,0))</f>
        <v/>
      </c>
    </row>
    <row r="3743">
      <c r="A3743">
        <f>IF(INDEX(L_ID,ROW()-4)="","",IF(COUNTIF(P_ID,INDEX(L_ID,ROW()-4))&gt;0,1,0))</f>
        <v/>
      </c>
      <c r="B3743">
        <f>IF(INDEX(P_Type,ROW()-4)="","",TRIM(UPPER(INDEX(P_Type,ROW()-4))))</f>
        <v/>
      </c>
      <c r="D3743">
        <f>IF(INDEX(L_Type,ROW()-4)="","",TRIM(UPPER(INDEX(L_Type,ROW()-4))))</f>
        <v/>
      </c>
      <c r="E3743">
        <f>IF(INDEX(P_Status,ROW()-4)="","",TRIM(UPPER(INDEX(P_Status,ROW()-4))))</f>
        <v/>
      </c>
      <c r="G3743">
        <f>IF(INDEX(L_Status,ROW()-4)="","",TRIM(UPPER(INDEX(L_Status,ROW()-4))))</f>
        <v/>
      </c>
      <c r="J3743">
        <f>IF(INDEX(L_ID,ROW()-4)="","",IF(SUMPRODUCT((P_ID=INDEX(L_ID,ROW()-4))*(P_StatusN="INACTIVE"))&gt;0,1,0))</f>
        <v/>
      </c>
    </row>
    <row r="3744">
      <c r="A3744">
        <f>IF(INDEX(L_ID,ROW()-4)="","",IF(COUNTIF(P_ID,INDEX(L_ID,ROW()-4))&gt;0,1,0))</f>
        <v/>
      </c>
      <c r="B3744">
        <f>IF(INDEX(P_Type,ROW()-4)="","",TRIM(UPPER(INDEX(P_Type,ROW()-4))))</f>
        <v/>
      </c>
      <c r="D3744">
        <f>IF(INDEX(L_Type,ROW()-4)="","",TRIM(UPPER(INDEX(L_Type,ROW()-4))))</f>
        <v/>
      </c>
      <c r="E3744">
        <f>IF(INDEX(P_Status,ROW()-4)="","",TRIM(UPPER(INDEX(P_Status,ROW()-4))))</f>
        <v/>
      </c>
      <c r="G3744">
        <f>IF(INDEX(L_Status,ROW()-4)="","",TRIM(UPPER(INDEX(L_Status,ROW()-4))))</f>
        <v/>
      </c>
      <c r="J3744">
        <f>IF(INDEX(L_ID,ROW()-4)="","",IF(SUMPRODUCT((P_ID=INDEX(L_ID,ROW()-4))*(P_StatusN="INACTIVE"))&gt;0,1,0))</f>
        <v/>
      </c>
    </row>
    <row r="3745">
      <c r="A3745">
        <f>IF(INDEX(L_ID,ROW()-4)="","",IF(COUNTIF(P_ID,INDEX(L_ID,ROW()-4))&gt;0,1,0))</f>
        <v/>
      </c>
      <c r="B3745">
        <f>IF(INDEX(P_Type,ROW()-4)="","",TRIM(UPPER(INDEX(P_Type,ROW()-4))))</f>
        <v/>
      </c>
      <c r="D3745">
        <f>IF(INDEX(L_Type,ROW()-4)="","",TRIM(UPPER(INDEX(L_Type,ROW()-4))))</f>
        <v/>
      </c>
      <c r="E3745">
        <f>IF(INDEX(P_Status,ROW()-4)="","",TRIM(UPPER(INDEX(P_Status,ROW()-4))))</f>
        <v/>
      </c>
      <c r="G3745">
        <f>IF(INDEX(L_Status,ROW()-4)="","",TRIM(UPPER(INDEX(L_Status,ROW()-4))))</f>
        <v/>
      </c>
      <c r="J3745">
        <f>IF(INDEX(L_ID,ROW()-4)="","",IF(SUMPRODUCT((P_ID=INDEX(L_ID,ROW()-4))*(P_StatusN="INACTIVE"))&gt;0,1,0))</f>
        <v/>
      </c>
    </row>
    <row r="3746">
      <c r="A3746">
        <f>IF(INDEX(L_ID,ROW()-4)="","",IF(COUNTIF(P_ID,INDEX(L_ID,ROW()-4))&gt;0,1,0))</f>
        <v/>
      </c>
      <c r="B3746">
        <f>IF(INDEX(P_Type,ROW()-4)="","",TRIM(UPPER(INDEX(P_Type,ROW()-4))))</f>
        <v/>
      </c>
      <c r="D3746">
        <f>IF(INDEX(L_Type,ROW()-4)="","",TRIM(UPPER(INDEX(L_Type,ROW()-4))))</f>
        <v/>
      </c>
      <c r="E3746">
        <f>IF(INDEX(P_Status,ROW()-4)="","",TRIM(UPPER(INDEX(P_Status,ROW()-4))))</f>
        <v/>
      </c>
      <c r="G3746">
        <f>IF(INDEX(L_Status,ROW()-4)="","",TRIM(UPPER(INDEX(L_Status,ROW()-4))))</f>
        <v/>
      </c>
      <c r="J3746">
        <f>IF(INDEX(L_ID,ROW()-4)="","",IF(SUMPRODUCT((P_ID=INDEX(L_ID,ROW()-4))*(P_StatusN="INACTIVE"))&gt;0,1,0))</f>
        <v/>
      </c>
    </row>
    <row r="3747">
      <c r="A3747">
        <f>IF(INDEX(L_ID,ROW()-4)="","",IF(COUNTIF(P_ID,INDEX(L_ID,ROW()-4))&gt;0,1,0))</f>
        <v/>
      </c>
      <c r="B3747">
        <f>IF(INDEX(P_Type,ROW()-4)="","",TRIM(UPPER(INDEX(P_Type,ROW()-4))))</f>
        <v/>
      </c>
      <c r="D3747">
        <f>IF(INDEX(L_Type,ROW()-4)="","",TRIM(UPPER(INDEX(L_Type,ROW()-4))))</f>
        <v/>
      </c>
      <c r="E3747">
        <f>IF(INDEX(P_Status,ROW()-4)="","",TRIM(UPPER(INDEX(P_Status,ROW()-4))))</f>
        <v/>
      </c>
      <c r="G3747">
        <f>IF(INDEX(L_Status,ROW()-4)="","",TRIM(UPPER(INDEX(L_Status,ROW()-4))))</f>
        <v/>
      </c>
      <c r="J3747">
        <f>IF(INDEX(L_ID,ROW()-4)="","",IF(SUMPRODUCT((P_ID=INDEX(L_ID,ROW()-4))*(P_StatusN="INACTIVE"))&gt;0,1,0))</f>
        <v/>
      </c>
    </row>
    <row r="3748">
      <c r="A3748">
        <f>IF(INDEX(L_ID,ROW()-4)="","",IF(COUNTIF(P_ID,INDEX(L_ID,ROW()-4))&gt;0,1,0))</f>
        <v/>
      </c>
      <c r="B3748">
        <f>IF(INDEX(P_Type,ROW()-4)="","",TRIM(UPPER(INDEX(P_Type,ROW()-4))))</f>
        <v/>
      </c>
      <c r="D3748">
        <f>IF(INDEX(L_Type,ROW()-4)="","",TRIM(UPPER(INDEX(L_Type,ROW()-4))))</f>
        <v/>
      </c>
      <c r="E3748">
        <f>IF(INDEX(P_Status,ROW()-4)="","",TRIM(UPPER(INDEX(P_Status,ROW()-4))))</f>
        <v/>
      </c>
      <c r="G3748">
        <f>IF(INDEX(L_Status,ROW()-4)="","",TRIM(UPPER(INDEX(L_Status,ROW()-4))))</f>
        <v/>
      </c>
      <c r="J3748">
        <f>IF(INDEX(L_ID,ROW()-4)="","",IF(SUMPRODUCT((P_ID=INDEX(L_ID,ROW()-4))*(P_StatusN="INACTIVE"))&gt;0,1,0))</f>
        <v/>
      </c>
    </row>
    <row r="3749">
      <c r="A3749">
        <f>IF(INDEX(L_ID,ROW()-4)="","",IF(COUNTIF(P_ID,INDEX(L_ID,ROW()-4))&gt;0,1,0))</f>
        <v/>
      </c>
      <c r="B3749">
        <f>IF(INDEX(P_Type,ROW()-4)="","",TRIM(UPPER(INDEX(P_Type,ROW()-4))))</f>
        <v/>
      </c>
      <c r="D3749">
        <f>IF(INDEX(L_Type,ROW()-4)="","",TRIM(UPPER(INDEX(L_Type,ROW()-4))))</f>
        <v/>
      </c>
      <c r="E3749">
        <f>IF(INDEX(P_Status,ROW()-4)="","",TRIM(UPPER(INDEX(P_Status,ROW()-4))))</f>
        <v/>
      </c>
      <c r="G3749">
        <f>IF(INDEX(L_Status,ROW()-4)="","",TRIM(UPPER(INDEX(L_Status,ROW()-4))))</f>
        <v/>
      </c>
      <c r="J3749">
        <f>IF(INDEX(L_ID,ROW()-4)="","",IF(SUMPRODUCT((P_ID=INDEX(L_ID,ROW()-4))*(P_StatusN="INACTIVE"))&gt;0,1,0))</f>
        <v/>
      </c>
    </row>
    <row r="3750">
      <c r="A3750">
        <f>IF(INDEX(L_ID,ROW()-4)="","",IF(COUNTIF(P_ID,INDEX(L_ID,ROW()-4))&gt;0,1,0))</f>
        <v/>
      </c>
      <c r="B3750">
        <f>IF(INDEX(P_Type,ROW()-4)="","",TRIM(UPPER(INDEX(P_Type,ROW()-4))))</f>
        <v/>
      </c>
      <c r="D3750">
        <f>IF(INDEX(L_Type,ROW()-4)="","",TRIM(UPPER(INDEX(L_Type,ROW()-4))))</f>
        <v/>
      </c>
      <c r="E3750">
        <f>IF(INDEX(P_Status,ROW()-4)="","",TRIM(UPPER(INDEX(P_Status,ROW()-4))))</f>
        <v/>
      </c>
      <c r="G3750">
        <f>IF(INDEX(L_Status,ROW()-4)="","",TRIM(UPPER(INDEX(L_Status,ROW()-4))))</f>
        <v/>
      </c>
      <c r="J3750">
        <f>IF(INDEX(L_ID,ROW()-4)="","",IF(SUMPRODUCT((P_ID=INDEX(L_ID,ROW()-4))*(P_StatusN="INACTIVE"))&gt;0,1,0))</f>
        <v/>
      </c>
    </row>
    <row r="3751">
      <c r="A3751">
        <f>IF(INDEX(L_ID,ROW()-4)="","",IF(COUNTIF(P_ID,INDEX(L_ID,ROW()-4))&gt;0,1,0))</f>
        <v/>
      </c>
      <c r="B3751">
        <f>IF(INDEX(P_Type,ROW()-4)="","",TRIM(UPPER(INDEX(P_Type,ROW()-4))))</f>
        <v/>
      </c>
      <c r="D3751">
        <f>IF(INDEX(L_Type,ROW()-4)="","",TRIM(UPPER(INDEX(L_Type,ROW()-4))))</f>
        <v/>
      </c>
      <c r="E3751">
        <f>IF(INDEX(P_Status,ROW()-4)="","",TRIM(UPPER(INDEX(P_Status,ROW()-4))))</f>
        <v/>
      </c>
      <c r="G3751">
        <f>IF(INDEX(L_Status,ROW()-4)="","",TRIM(UPPER(INDEX(L_Status,ROW()-4))))</f>
        <v/>
      </c>
      <c r="J3751">
        <f>IF(INDEX(L_ID,ROW()-4)="","",IF(SUMPRODUCT((P_ID=INDEX(L_ID,ROW()-4))*(P_StatusN="INACTIVE"))&gt;0,1,0))</f>
        <v/>
      </c>
    </row>
    <row r="3752">
      <c r="A3752">
        <f>IF(INDEX(L_ID,ROW()-4)="","",IF(COUNTIF(P_ID,INDEX(L_ID,ROW()-4))&gt;0,1,0))</f>
        <v/>
      </c>
      <c r="B3752">
        <f>IF(INDEX(P_Type,ROW()-4)="","",TRIM(UPPER(INDEX(P_Type,ROW()-4))))</f>
        <v/>
      </c>
      <c r="D3752">
        <f>IF(INDEX(L_Type,ROW()-4)="","",TRIM(UPPER(INDEX(L_Type,ROW()-4))))</f>
        <v/>
      </c>
      <c r="E3752">
        <f>IF(INDEX(P_Status,ROW()-4)="","",TRIM(UPPER(INDEX(P_Status,ROW()-4))))</f>
        <v/>
      </c>
      <c r="G3752">
        <f>IF(INDEX(L_Status,ROW()-4)="","",TRIM(UPPER(INDEX(L_Status,ROW()-4))))</f>
        <v/>
      </c>
      <c r="J3752">
        <f>IF(INDEX(L_ID,ROW()-4)="","",IF(SUMPRODUCT((P_ID=INDEX(L_ID,ROW()-4))*(P_StatusN="INACTIVE"))&gt;0,1,0))</f>
        <v/>
      </c>
    </row>
    <row r="3753">
      <c r="A3753">
        <f>IF(INDEX(L_ID,ROW()-4)="","",IF(COUNTIF(P_ID,INDEX(L_ID,ROW()-4))&gt;0,1,0))</f>
        <v/>
      </c>
      <c r="B3753">
        <f>IF(INDEX(P_Type,ROW()-4)="","",TRIM(UPPER(INDEX(P_Type,ROW()-4))))</f>
        <v/>
      </c>
      <c r="D3753">
        <f>IF(INDEX(L_Type,ROW()-4)="","",TRIM(UPPER(INDEX(L_Type,ROW()-4))))</f>
        <v/>
      </c>
      <c r="E3753">
        <f>IF(INDEX(P_Status,ROW()-4)="","",TRIM(UPPER(INDEX(P_Status,ROW()-4))))</f>
        <v/>
      </c>
      <c r="G3753">
        <f>IF(INDEX(L_Status,ROW()-4)="","",TRIM(UPPER(INDEX(L_Status,ROW()-4))))</f>
        <v/>
      </c>
      <c r="J3753">
        <f>IF(INDEX(L_ID,ROW()-4)="","",IF(SUMPRODUCT((P_ID=INDEX(L_ID,ROW()-4))*(P_StatusN="INACTIVE"))&gt;0,1,0))</f>
        <v/>
      </c>
    </row>
    <row r="3754">
      <c r="A3754">
        <f>IF(INDEX(L_ID,ROW()-4)="","",IF(COUNTIF(P_ID,INDEX(L_ID,ROW()-4))&gt;0,1,0))</f>
        <v/>
      </c>
      <c r="B3754">
        <f>IF(INDEX(P_Type,ROW()-4)="","",TRIM(UPPER(INDEX(P_Type,ROW()-4))))</f>
        <v/>
      </c>
      <c r="D3754">
        <f>IF(INDEX(L_Type,ROW()-4)="","",TRIM(UPPER(INDEX(L_Type,ROW()-4))))</f>
        <v/>
      </c>
      <c r="E3754">
        <f>IF(INDEX(P_Status,ROW()-4)="","",TRIM(UPPER(INDEX(P_Status,ROW()-4))))</f>
        <v/>
      </c>
      <c r="G3754">
        <f>IF(INDEX(L_Status,ROW()-4)="","",TRIM(UPPER(INDEX(L_Status,ROW()-4))))</f>
        <v/>
      </c>
      <c r="J3754">
        <f>IF(INDEX(L_ID,ROW()-4)="","",IF(SUMPRODUCT((P_ID=INDEX(L_ID,ROW()-4))*(P_StatusN="INACTIVE"))&gt;0,1,0))</f>
        <v/>
      </c>
    </row>
    <row r="3755">
      <c r="A3755">
        <f>IF(INDEX(L_ID,ROW()-4)="","",IF(COUNTIF(P_ID,INDEX(L_ID,ROW()-4))&gt;0,1,0))</f>
        <v/>
      </c>
      <c r="B3755">
        <f>IF(INDEX(P_Type,ROW()-4)="","",TRIM(UPPER(INDEX(P_Type,ROW()-4))))</f>
        <v/>
      </c>
      <c r="D3755">
        <f>IF(INDEX(L_Type,ROW()-4)="","",TRIM(UPPER(INDEX(L_Type,ROW()-4))))</f>
        <v/>
      </c>
      <c r="E3755">
        <f>IF(INDEX(P_Status,ROW()-4)="","",TRIM(UPPER(INDEX(P_Status,ROW()-4))))</f>
        <v/>
      </c>
      <c r="G3755">
        <f>IF(INDEX(L_Status,ROW()-4)="","",TRIM(UPPER(INDEX(L_Status,ROW()-4))))</f>
        <v/>
      </c>
      <c r="J3755">
        <f>IF(INDEX(L_ID,ROW()-4)="","",IF(SUMPRODUCT((P_ID=INDEX(L_ID,ROW()-4))*(P_StatusN="INACTIVE"))&gt;0,1,0))</f>
        <v/>
      </c>
    </row>
    <row r="3756">
      <c r="A3756">
        <f>IF(INDEX(L_ID,ROW()-4)="","",IF(COUNTIF(P_ID,INDEX(L_ID,ROW()-4))&gt;0,1,0))</f>
        <v/>
      </c>
      <c r="B3756">
        <f>IF(INDEX(P_Type,ROW()-4)="","",TRIM(UPPER(INDEX(P_Type,ROW()-4))))</f>
        <v/>
      </c>
      <c r="D3756">
        <f>IF(INDEX(L_Type,ROW()-4)="","",TRIM(UPPER(INDEX(L_Type,ROW()-4))))</f>
        <v/>
      </c>
      <c r="E3756">
        <f>IF(INDEX(P_Status,ROW()-4)="","",TRIM(UPPER(INDEX(P_Status,ROW()-4))))</f>
        <v/>
      </c>
      <c r="G3756">
        <f>IF(INDEX(L_Status,ROW()-4)="","",TRIM(UPPER(INDEX(L_Status,ROW()-4))))</f>
        <v/>
      </c>
      <c r="J3756">
        <f>IF(INDEX(L_ID,ROW()-4)="","",IF(SUMPRODUCT((P_ID=INDEX(L_ID,ROW()-4))*(P_StatusN="INACTIVE"))&gt;0,1,0))</f>
        <v/>
      </c>
    </row>
    <row r="3757">
      <c r="A3757">
        <f>IF(INDEX(L_ID,ROW()-4)="","",IF(COUNTIF(P_ID,INDEX(L_ID,ROW()-4))&gt;0,1,0))</f>
        <v/>
      </c>
      <c r="B3757">
        <f>IF(INDEX(P_Type,ROW()-4)="","",TRIM(UPPER(INDEX(P_Type,ROW()-4))))</f>
        <v/>
      </c>
      <c r="D3757">
        <f>IF(INDEX(L_Type,ROW()-4)="","",TRIM(UPPER(INDEX(L_Type,ROW()-4))))</f>
        <v/>
      </c>
      <c r="E3757">
        <f>IF(INDEX(P_Status,ROW()-4)="","",TRIM(UPPER(INDEX(P_Status,ROW()-4))))</f>
        <v/>
      </c>
      <c r="G3757">
        <f>IF(INDEX(L_Status,ROW()-4)="","",TRIM(UPPER(INDEX(L_Status,ROW()-4))))</f>
        <v/>
      </c>
      <c r="J3757">
        <f>IF(INDEX(L_ID,ROW()-4)="","",IF(SUMPRODUCT((P_ID=INDEX(L_ID,ROW()-4))*(P_StatusN="INACTIVE"))&gt;0,1,0))</f>
        <v/>
      </c>
    </row>
    <row r="3758">
      <c r="A3758">
        <f>IF(INDEX(L_ID,ROW()-4)="","",IF(COUNTIF(P_ID,INDEX(L_ID,ROW()-4))&gt;0,1,0))</f>
        <v/>
      </c>
      <c r="B3758">
        <f>IF(INDEX(P_Type,ROW()-4)="","",TRIM(UPPER(INDEX(P_Type,ROW()-4))))</f>
        <v/>
      </c>
      <c r="D3758">
        <f>IF(INDEX(L_Type,ROW()-4)="","",TRIM(UPPER(INDEX(L_Type,ROW()-4))))</f>
        <v/>
      </c>
      <c r="E3758">
        <f>IF(INDEX(P_Status,ROW()-4)="","",TRIM(UPPER(INDEX(P_Status,ROW()-4))))</f>
        <v/>
      </c>
      <c r="G3758">
        <f>IF(INDEX(L_Status,ROW()-4)="","",TRIM(UPPER(INDEX(L_Status,ROW()-4))))</f>
        <v/>
      </c>
      <c r="J3758">
        <f>IF(INDEX(L_ID,ROW()-4)="","",IF(SUMPRODUCT((P_ID=INDEX(L_ID,ROW()-4))*(P_StatusN="INACTIVE"))&gt;0,1,0))</f>
        <v/>
      </c>
    </row>
    <row r="3759">
      <c r="A3759">
        <f>IF(INDEX(L_ID,ROW()-4)="","",IF(COUNTIF(P_ID,INDEX(L_ID,ROW()-4))&gt;0,1,0))</f>
        <v/>
      </c>
      <c r="B3759">
        <f>IF(INDEX(P_Type,ROW()-4)="","",TRIM(UPPER(INDEX(P_Type,ROW()-4))))</f>
        <v/>
      </c>
      <c r="D3759">
        <f>IF(INDEX(L_Type,ROW()-4)="","",TRIM(UPPER(INDEX(L_Type,ROW()-4))))</f>
        <v/>
      </c>
      <c r="E3759">
        <f>IF(INDEX(P_Status,ROW()-4)="","",TRIM(UPPER(INDEX(P_Status,ROW()-4))))</f>
        <v/>
      </c>
      <c r="G3759">
        <f>IF(INDEX(L_Status,ROW()-4)="","",TRIM(UPPER(INDEX(L_Status,ROW()-4))))</f>
        <v/>
      </c>
      <c r="J3759">
        <f>IF(INDEX(L_ID,ROW()-4)="","",IF(SUMPRODUCT((P_ID=INDEX(L_ID,ROW()-4))*(P_StatusN="INACTIVE"))&gt;0,1,0))</f>
        <v/>
      </c>
    </row>
    <row r="3760">
      <c r="A3760">
        <f>IF(INDEX(L_ID,ROW()-4)="","",IF(COUNTIF(P_ID,INDEX(L_ID,ROW()-4))&gt;0,1,0))</f>
        <v/>
      </c>
      <c r="B3760">
        <f>IF(INDEX(P_Type,ROW()-4)="","",TRIM(UPPER(INDEX(P_Type,ROW()-4))))</f>
        <v/>
      </c>
      <c r="D3760">
        <f>IF(INDEX(L_Type,ROW()-4)="","",TRIM(UPPER(INDEX(L_Type,ROW()-4))))</f>
        <v/>
      </c>
      <c r="E3760">
        <f>IF(INDEX(P_Status,ROW()-4)="","",TRIM(UPPER(INDEX(P_Status,ROW()-4))))</f>
        <v/>
      </c>
      <c r="G3760">
        <f>IF(INDEX(L_Status,ROW()-4)="","",TRIM(UPPER(INDEX(L_Status,ROW()-4))))</f>
        <v/>
      </c>
      <c r="J3760">
        <f>IF(INDEX(L_ID,ROW()-4)="","",IF(SUMPRODUCT((P_ID=INDEX(L_ID,ROW()-4))*(P_StatusN="INACTIVE"))&gt;0,1,0))</f>
        <v/>
      </c>
    </row>
    <row r="3761">
      <c r="A3761">
        <f>IF(INDEX(L_ID,ROW()-4)="","",IF(COUNTIF(P_ID,INDEX(L_ID,ROW()-4))&gt;0,1,0))</f>
        <v/>
      </c>
      <c r="B3761">
        <f>IF(INDEX(P_Type,ROW()-4)="","",TRIM(UPPER(INDEX(P_Type,ROW()-4))))</f>
        <v/>
      </c>
      <c r="D3761">
        <f>IF(INDEX(L_Type,ROW()-4)="","",TRIM(UPPER(INDEX(L_Type,ROW()-4))))</f>
        <v/>
      </c>
      <c r="E3761">
        <f>IF(INDEX(P_Status,ROW()-4)="","",TRIM(UPPER(INDEX(P_Status,ROW()-4))))</f>
        <v/>
      </c>
      <c r="G3761">
        <f>IF(INDEX(L_Status,ROW()-4)="","",TRIM(UPPER(INDEX(L_Status,ROW()-4))))</f>
        <v/>
      </c>
      <c r="J3761">
        <f>IF(INDEX(L_ID,ROW()-4)="","",IF(SUMPRODUCT((P_ID=INDEX(L_ID,ROW()-4))*(P_StatusN="INACTIVE"))&gt;0,1,0))</f>
        <v/>
      </c>
    </row>
    <row r="3762">
      <c r="A3762">
        <f>IF(INDEX(L_ID,ROW()-4)="","",IF(COUNTIF(P_ID,INDEX(L_ID,ROW()-4))&gt;0,1,0))</f>
        <v/>
      </c>
      <c r="B3762">
        <f>IF(INDEX(P_Type,ROW()-4)="","",TRIM(UPPER(INDEX(P_Type,ROW()-4))))</f>
        <v/>
      </c>
      <c r="D3762">
        <f>IF(INDEX(L_Type,ROW()-4)="","",TRIM(UPPER(INDEX(L_Type,ROW()-4))))</f>
        <v/>
      </c>
      <c r="E3762">
        <f>IF(INDEX(P_Status,ROW()-4)="","",TRIM(UPPER(INDEX(P_Status,ROW()-4))))</f>
        <v/>
      </c>
      <c r="G3762">
        <f>IF(INDEX(L_Status,ROW()-4)="","",TRIM(UPPER(INDEX(L_Status,ROW()-4))))</f>
        <v/>
      </c>
      <c r="J3762">
        <f>IF(INDEX(L_ID,ROW()-4)="","",IF(SUMPRODUCT((P_ID=INDEX(L_ID,ROW()-4))*(P_StatusN="INACTIVE"))&gt;0,1,0))</f>
        <v/>
      </c>
    </row>
    <row r="3763">
      <c r="A3763">
        <f>IF(INDEX(L_ID,ROW()-4)="","",IF(COUNTIF(P_ID,INDEX(L_ID,ROW()-4))&gt;0,1,0))</f>
        <v/>
      </c>
      <c r="B3763">
        <f>IF(INDEX(P_Type,ROW()-4)="","",TRIM(UPPER(INDEX(P_Type,ROW()-4))))</f>
        <v/>
      </c>
      <c r="D3763">
        <f>IF(INDEX(L_Type,ROW()-4)="","",TRIM(UPPER(INDEX(L_Type,ROW()-4))))</f>
        <v/>
      </c>
      <c r="E3763">
        <f>IF(INDEX(P_Status,ROW()-4)="","",TRIM(UPPER(INDEX(P_Status,ROW()-4))))</f>
        <v/>
      </c>
      <c r="G3763">
        <f>IF(INDEX(L_Status,ROW()-4)="","",TRIM(UPPER(INDEX(L_Status,ROW()-4))))</f>
        <v/>
      </c>
      <c r="J3763">
        <f>IF(INDEX(L_ID,ROW()-4)="","",IF(SUMPRODUCT((P_ID=INDEX(L_ID,ROW()-4))*(P_StatusN="INACTIVE"))&gt;0,1,0))</f>
        <v/>
      </c>
    </row>
    <row r="3764">
      <c r="A3764">
        <f>IF(INDEX(L_ID,ROW()-4)="","",IF(COUNTIF(P_ID,INDEX(L_ID,ROW()-4))&gt;0,1,0))</f>
        <v/>
      </c>
      <c r="B3764">
        <f>IF(INDEX(P_Type,ROW()-4)="","",TRIM(UPPER(INDEX(P_Type,ROW()-4))))</f>
        <v/>
      </c>
      <c r="D3764">
        <f>IF(INDEX(L_Type,ROW()-4)="","",TRIM(UPPER(INDEX(L_Type,ROW()-4))))</f>
        <v/>
      </c>
      <c r="E3764">
        <f>IF(INDEX(P_Status,ROW()-4)="","",TRIM(UPPER(INDEX(P_Status,ROW()-4))))</f>
        <v/>
      </c>
      <c r="G3764">
        <f>IF(INDEX(L_Status,ROW()-4)="","",TRIM(UPPER(INDEX(L_Status,ROW()-4))))</f>
        <v/>
      </c>
      <c r="J3764">
        <f>IF(INDEX(L_ID,ROW()-4)="","",IF(SUMPRODUCT((P_ID=INDEX(L_ID,ROW()-4))*(P_StatusN="INACTIVE"))&gt;0,1,0))</f>
        <v/>
      </c>
    </row>
    <row r="3765">
      <c r="A3765">
        <f>IF(INDEX(L_ID,ROW()-4)="","",IF(COUNTIF(P_ID,INDEX(L_ID,ROW()-4))&gt;0,1,0))</f>
        <v/>
      </c>
      <c r="B3765">
        <f>IF(INDEX(P_Type,ROW()-4)="","",TRIM(UPPER(INDEX(P_Type,ROW()-4))))</f>
        <v/>
      </c>
      <c r="D3765">
        <f>IF(INDEX(L_Type,ROW()-4)="","",TRIM(UPPER(INDEX(L_Type,ROW()-4))))</f>
        <v/>
      </c>
      <c r="E3765">
        <f>IF(INDEX(P_Status,ROW()-4)="","",TRIM(UPPER(INDEX(P_Status,ROW()-4))))</f>
        <v/>
      </c>
      <c r="G3765">
        <f>IF(INDEX(L_Status,ROW()-4)="","",TRIM(UPPER(INDEX(L_Status,ROW()-4))))</f>
        <v/>
      </c>
      <c r="J3765">
        <f>IF(INDEX(L_ID,ROW()-4)="","",IF(SUMPRODUCT((P_ID=INDEX(L_ID,ROW()-4))*(P_StatusN="INACTIVE"))&gt;0,1,0))</f>
        <v/>
      </c>
    </row>
    <row r="3766">
      <c r="A3766">
        <f>IF(INDEX(L_ID,ROW()-4)="","",IF(COUNTIF(P_ID,INDEX(L_ID,ROW()-4))&gt;0,1,0))</f>
        <v/>
      </c>
      <c r="B3766">
        <f>IF(INDEX(P_Type,ROW()-4)="","",TRIM(UPPER(INDEX(P_Type,ROW()-4))))</f>
        <v/>
      </c>
      <c r="D3766">
        <f>IF(INDEX(L_Type,ROW()-4)="","",TRIM(UPPER(INDEX(L_Type,ROW()-4))))</f>
        <v/>
      </c>
      <c r="E3766">
        <f>IF(INDEX(P_Status,ROW()-4)="","",TRIM(UPPER(INDEX(P_Status,ROW()-4))))</f>
        <v/>
      </c>
      <c r="G3766">
        <f>IF(INDEX(L_Status,ROW()-4)="","",TRIM(UPPER(INDEX(L_Status,ROW()-4))))</f>
        <v/>
      </c>
      <c r="J3766">
        <f>IF(INDEX(L_ID,ROW()-4)="","",IF(SUMPRODUCT((P_ID=INDEX(L_ID,ROW()-4))*(P_StatusN="INACTIVE"))&gt;0,1,0))</f>
        <v/>
      </c>
    </row>
    <row r="3767">
      <c r="A3767">
        <f>IF(INDEX(L_ID,ROW()-4)="","",IF(COUNTIF(P_ID,INDEX(L_ID,ROW()-4))&gt;0,1,0))</f>
        <v/>
      </c>
      <c r="B3767">
        <f>IF(INDEX(P_Type,ROW()-4)="","",TRIM(UPPER(INDEX(P_Type,ROW()-4))))</f>
        <v/>
      </c>
      <c r="D3767">
        <f>IF(INDEX(L_Type,ROW()-4)="","",TRIM(UPPER(INDEX(L_Type,ROW()-4))))</f>
        <v/>
      </c>
      <c r="E3767">
        <f>IF(INDEX(P_Status,ROW()-4)="","",TRIM(UPPER(INDEX(P_Status,ROW()-4))))</f>
        <v/>
      </c>
      <c r="G3767">
        <f>IF(INDEX(L_Status,ROW()-4)="","",TRIM(UPPER(INDEX(L_Status,ROW()-4))))</f>
        <v/>
      </c>
      <c r="J3767">
        <f>IF(INDEX(L_ID,ROW()-4)="","",IF(SUMPRODUCT((P_ID=INDEX(L_ID,ROW()-4))*(P_StatusN="INACTIVE"))&gt;0,1,0))</f>
        <v/>
      </c>
    </row>
    <row r="3768">
      <c r="A3768">
        <f>IF(INDEX(L_ID,ROW()-4)="","",IF(COUNTIF(P_ID,INDEX(L_ID,ROW()-4))&gt;0,1,0))</f>
        <v/>
      </c>
      <c r="B3768">
        <f>IF(INDEX(P_Type,ROW()-4)="","",TRIM(UPPER(INDEX(P_Type,ROW()-4))))</f>
        <v/>
      </c>
      <c r="D3768">
        <f>IF(INDEX(L_Type,ROW()-4)="","",TRIM(UPPER(INDEX(L_Type,ROW()-4))))</f>
        <v/>
      </c>
      <c r="E3768">
        <f>IF(INDEX(P_Status,ROW()-4)="","",TRIM(UPPER(INDEX(P_Status,ROW()-4))))</f>
        <v/>
      </c>
      <c r="G3768">
        <f>IF(INDEX(L_Status,ROW()-4)="","",TRIM(UPPER(INDEX(L_Status,ROW()-4))))</f>
        <v/>
      </c>
      <c r="J3768">
        <f>IF(INDEX(L_ID,ROW()-4)="","",IF(SUMPRODUCT((P_ID=INDEX(L_ID,ROW()-4))*(P_StatusN="INACTIVE"))&gt;0,1,0))</f>
        <v/>
      </c>
    </row>
    <row r="3769">
      <c r="A3769">
        <f>IF(INDEX(L_ID,ROW()-4)="","",IF(COUNTIF(P_ID,INDEX(L_ID,ROW()-4))&gt;0,1,0))</f>
        <v/>
      </c>
      <c r="B3769">
        <f>IF(INDEX(P_Type,ROW()-4)="","",TRIM(UPPER(INDEX(P_Type,ROW()-4))))</f>
        <v/>
      </c>
      <c r="D3769">
        <f>IF(INDEX(L_Type,ROW()-4)="","",TRIM(UPPER(INDEX(L_Type,ROW()-4))))</f>
        <v/>
      </c>
      <c r="E3769">
        <f>IF(INDEX(P_Status,ROW()-4)="","",TRIM(UPPER(INDEX(P_Status,ROW()-4))))</f>
        <v/>
      </c>
      <c r="G3769">
        <f>IF(INDEX(L_Status,ROW()-4)="","",TRIM(UPPER(INDEX(L_Status,ROW()-4))))</f>
        <v/>
      </c>
      <c r="J3769">
        <f>IF(INDEX(L_ID,ROW()-4)="","",IF(SUMPRODUCT((P_ID=INDEX(L_ID,ROW()-4))*(P_StatusN="INACTIVE"))&gt;0,1,0))</f>
        <v/>
      </c>
    </row>
    <row r="3770">
      <c r="A3770">
        <f>IF(INDEX(L_ID,ROW()-4)="","",IF(COUNTIF(P_ID,INDEX(L_ID,ROW()-4))&gt;0,1,0))</f>
        <v/>
      </c>
      <c r="B3770">
        <f>IF(INDEX(P_Type,ROW()-4)="","",TRIM(UPPER(INDEX(P_Type,ROW()-4))))</f>
        <v/>
      </c>
      <c r="D3770">
        <f>IF(INDEX(L_Type,ROW()-4)="","",TRIM(UPPER(INDEX(L_Type,ROW()-4))))</f>
        <v/>
      </c>
      <c r="E3770">
        <f>IF(INDEX(P_Status,ROW()-4)="","",TRIM(UPPER(INDEX(P_Status,ROW()-4))))</f>
        <v/>
      </c>
      <c r="G3770">
        <f>IF(INDEX(L_Status,ROW()-4)="","",TRIM(UPPER(INDEX(L_Status,ROW()-4))))</f>
        <v/>
      </c>
      <c r="J3770">
        <f>IF(INDEX(L_ID,ROW()-4)="","",IF(SUMPRODUCT((P_ID=INDEX(L_ID,ROW()-4))*(P_StatusN="INACTIVE"))&gt;0,1,0))</f>
        <v/>
      </c>
    </row>
    <row r="3771">
      <c r="A3771">
        <f>IF(INDEX(L_ID,ROW()-4)="","",IF(COUNTIF(P_ID,INDEX(L_ID,ROW()-4))&gt;0,1,0))</f>
        <v/>
      </c>
      <c r="B3771">
        <f>IF(INDEX(P_Type,ROW()-4)="","",TRIM(UPPER(INDEX(P_Type,ROW()-4))))</f>
        <v/>
      </c>
      <c r="D3771">
        <f>IF(INDEX(L_Type,ROW()-4)="","",TRIM(UPPER(INDEX(L_Type,ROW()-4))))</f>
        <v/>
      </c>
      <c r="E3771">
        <f>IF(INDEX(P_Status,ROW()-4)="","",TRIM(UPPER(INDEX(P_Status,ROW()-4))))</f>
        <v/>
      </c>
      <c r="G3771">
        <f>IF(INDEX(L_Status,ROW()-4)="","",TRIM(UPPER(INDEX(L_Status,ROW()-4))))</f>
        <v/>
      </c>
      <c r="J3771">
        <f>IF(INDEX(L_ID,ROW()-4)="","",IF(SUMPRODUCT((P_ID=INDEX(L_ID,ROW()-4))*(P_StatusN="INACTIVE"))&gt;0,1,0))</f>
        <v/>
      </c>
    </row>
    <row r="3772">
      <c r="A3772">
        <f>IF(INDEX(L_ID,ROW()-4)="","",IF(COUNTIF(P_ID,INDEX(L_ID,ROW()-4))&gt;0,1,0))</f>
        <v/>
      </c>
      <c r="B3772">
        <f>IF(INDEX(P_Type,ROW()-4)="","",TRIM(UPPER(INDEX(P_Type,ROW()-4))))</f>
        <v/>
      </c>
      <c r="D3772">
        <f>IF(INDEX(L_Type,ROW()-4)="","",TRIM(UPPER(INDEX(L_Type,ROW()-4))))</f>
        <v/>
      </c>
      <c r="E3772">
        <f>IF(INDEX(P_Status,ROW()-4)="","",TRIM(UPPER(INDEX(P_Status,ROW()-4))))</f>
        <v/>
      </c>
      <c r="G3772">
        <f>IF(INDEX(L_Status,ROW()-4)="","",TRIM(UPPER(INDEX(L_Status,ROW()-4))))</f>
        <v/>
      </c>
      <c r="J3772">
        <f>IF(INDEX(L_ID,ROW()-4)="","",IF(SUMPRODUCT((P_ID=INDEX(L_ID,ROW()-4))*(P_StatusN="INACTIVE"))&gt;0,1,0))</f>
        <v/>
      </c>
    </row>
    <row r="3773">
      <c r="A3773">
        <f>IF(INDEX(L_ID,ROW()-4)="","",IF(COUNTIF(P_ID,INDEX(L_ID,ROW()-4))&gt;0,1,0))</f>
        <v/>
      </c>
      <c r="B3773">
        <f>IF(INDEX(P_Type,ROW()-4)="","",TRIM(UPPER(INDEX(P_Type,ROW()-4))))</f>
        <v/>
      </c>
      <c r="D3773">
        <f>IF(INDEX(L_Type,ROW()-4)="","",TRIM(UPPER(INDEX(L_Type,ROW()-4))))</f>
        <v/>
      </c>
      <c r="E3773">
        <f>IF(INDEX(P_Status,ROW()-4)="","",TRIM(UPPER(INDEX(P_Status,ROW()-4))))</f>
        <v/>
      </c>
      <c r="G3773">
        <f>IF(INDEX(L_Status,ROW()-4)="","",TRIM(UPPER(INDEX(L_Status,ROW()-4))))</f>
        <v/>
      </c>
      <c r="J3773">
        <f>IF(INDEX(L_ID,ROW()-4)="","",IF(SUMPRODUCT((P_ID=INDEX(L_ID,ROW()-4))*(P_StatusN="INACTIVE"))&gt;0,1,0))</f>
        <v/>
      </c>
    </row>
    <row r="3774">
      <c r="A3774">
        <f>IF(INDEX(L_ID,ROW()-4)="","",IF(COUNTIF(P_ID,INDEX(L_ID,ROW()-4))&gt;0,1,0))</f>
        <v/>
      </c>
      <c r="B3774">
        <f>IF(INDEX(P_Type,ROW()-4)="","",TRIM(UPPER(INDEX(P_Type,ROW()-4))))</f>
        <v/>
      </c>
      <c r="D3774">
        <f>IF(INDEX(L_Type,ROW()-4)="","",TRIM(UPPER(INDEX(L_Type,ROW()-4))))</f>
        <v/>
      </c>
      <c r="E3774">
        <f>IF(INDEX(P_Status,ROW()-4)="","",TRIM(UPPER(INDEX(P_Status,ROW()-4))))</f>
        <v/>
      </c>
      <c r="G3774">
        <f>IF(INDEX(L_Status,ROW()-4)="","",TRIM(UPPER(INDEX(L_Status,ROW()-4))))</f>
        <v/>
      </c>
      <c r="J3774">
        <f>IF(INDEX(L_ID,ROW()-4)="","",IF(SUMPRODUCT((P_ID=INDEX(L_ID,ROW()-4))*(P_StatusN="INACTIVE"))&gt;0,1,0))</f>
        <v/>
      </c>
    </row>
    <row r="3775">
      <c r="A3775">
        <f>IF(INDEX(L_ID,ROW()-4)="","",IF(COUNTIF(P_ID,INDEX(L_ID,ROW()-4))&gt;0,1,0))</f>
        <v/>
      </c>
      <c r="B3775">
        <f>IF(INDEX(P_Type,ROW()-4)="","",TRIM(UPPER(INDEX(P_Type,ROW()-4))))</f>
        <v/>
      </c>
      <c r="D3775">
        <f>IF(INDEX(L_Type,ROW()-4)="","",TRIM(UPPER(INDEX(L_Type,ROW()-4))))</f>
        <v/>
      </c>
      <c r="E3775">
        <f>IF(INDEX(P_Status,ROW()-4)="","",TRIM(UPPER(INDEX(P_Status,ROW()-4))))</f>
        <v/>
      </c>
      <c r="G3775">
        <f>IF(INDEX(L_Status,ROW()-4)="","",TRIM(UPPER(INDEX(L_Status,ROW()-4))))</f>
        <v/>
      </c>
      <c r="J3775">
        <f>IF(INDEX(L_ID,ROW()-4)="","",IF(SUMPRODUCT((P_ID=INDEX(L_ID,ROW()-4))*(P_StatusN="INACTIVE"))&gt;0,1,0))</f>
        <v/>
      </c>
    </row>
    <row r="3776">
      <c r="A3776">
        <f>IF(INDEX(L_ID,ROW()-4)="","",IF(COUNTIF(P_ID,INDEX(L_ID,ROW()-4))&gt;0,1,0))</f>
        <v/>
      </c>
      <c r="B3776">
        <f>IF(INDEX(P_Type,ROW()-4)="","",TRIM(UPPER(INDEX(P_Type,ROW()-4))))</f>
        <v/>
      </c>
      <c r="D3776">
        <f>IF(INDEX(L_Type,ROW()-4)="","",TRIM(UPPER(INDEX(L_Type,ROW()-4))))</f>
        <v/>
      </c>
      <c r="E3776">
        <f>IF(INDEX(P_Status,ROW()-4)="","",TRIM(UPPER(INDEX(P_Status,ROW()-4))))</f>
        <v/>
      </c>
      <c r="G3776">
        <f>IF(INDEX(L_Status,ROW()-4)="","",TRIM(UPPER(INDEX(L_Status,ROW()-4))))</f>
        <v/>
      </c>
      <c r="J3776">
        <f>IF(INDEX(L_ID,ROW()-4)="","",IF(SUMPRODUCT((P_ID=INDEX(L_ID,ROW()-4))*(P_StatusN="INACTIVE"))&gt;0,1,0))</f>
        <v/>
      </c>
    </row>
    <row r="3777">
      <c r="A3777">
        <f>IF(INDEX(L_ID,ROW()-4)="","",IF(COUNTIF(P_ID,INDEX(L_ID,ROW()-4))&gt;0,1,0))</f>
        <v/>
      </c>
      <c r="B3777">
        <f>IF(INDEX(P_Type,ROW()-4)="","",TRIM(UPPER(INDEX(P_Type,ROW()-4))))</f>
        <v/>
      </c>
      <c r="D3777">
        <f>IF(INDEX(L_Type,ROW()-4)="","",TRIM(UPPER(INDEX(L_Type,ROW()-4))))</f>
        <v/>
      </c>
      <c r="E3777">
        <f>IF(INDEX(P_Status,ROW()-4)="","",TRIM(UPPER(INDEX(P_Status,ROW()-4))))</f>
        <v/>
      </c>
      <c r="G3777">
        <f>IF(INDEX(L_Status,ROW()-4)="","",TRIM(UPPER(INDEX(L_Status,ROW()-4))))</f>
        <v/>
      </c>
      <c r="J3777">
        <f>IF(INDEX(L_ID,ROW()-4)="","",IF(SUMPRODUCT((P_ID=INDEX(L_ID,ROW()-4))*(P_StatusN="INACTIVE"))&gt;0,1,0))</f>
        <v/>
      </c>
    </row>
    <row r="3778">
      <c r="A3778">
        <f>IF(INDEX(L_ID,ROW()-4)="","",IF(COUNTIF(P_ID,INDEX(L_ID,ROW()-4))&gt;0,1,0))</f>
        <v/>
      </c>
      <c r="B3778">
        <f>IF(INDEX(P_Type,ROW()-4)="","",TRIM(UPPER(INDEX(P_Type,ROW()-4))))</f>
        <v/>
      </c>
      <c r="D3778">
        <f>IF(INDEX(L_Type,ROW()-4)="","",TRIM(UPPER(INDEX(L_Type,ROW()-4))))</f>
        <v/>
      </c>
      <c r="E3778">
        <f>IF(INDEX(P_Status,ROW()-4)="","",TRIM(UPPER(INDEX(P_Status,ROW()-4))))</f>
        <v/>
      </c>
      <c r="G3778">
        <f>IF(INDEX(L_Status,ROW()-4)="","",TRIM(UPPER(INDEX(L_Status,ROW()-4))))</f>
        <v/>
      </c>
      <c r="J3778">
        <f>IF(INDEX(L_ID,ROW()-4)="","",IF(SUMPRODUCT((P_ID=INDEX(L_ID,ROW()-4))*(P_StatusN="INACTIVE"))&gt;0,1,0))</f>
        <v/>
      </c>
    </row>
    <row r="3779">
      <c r="A3779">
        <f>IF(INDEX(L_ID,ROW()-4)="","",IF(COUNTIF(P_ID,INDEX(L_ID,ROW()-4))&gt;0,1,0))</f>
        <v/>
      </c>
      <c r="B3779">
        <f>IF(INDEX(P_Type,ROW()-4)="","",TRIM(UPPER(INDEX(P_Type,ROW()-4))))</f>
        <v/>
      </c>
      <c r="D3779">
        <f>IF(INDEX(L_Type,ROW()-4)="","",TRIM(UPPER(INDEX(L_Type,ROW()-4))))</f>
        <v/>
      </c>
      <c r="E3779">
        <f>IF(INDEX(P_Status,ROW()-4)="","",TRIM(UPPER(INDEX(P_Status,ROW()-4))))</f>
        <v/>
      </c>
      <c r="G3779">
        <f>IF(INDEX(L_Status,ROW()-4)="","",TRIM(UPPER(INDEX(L_Status,ROW()-4))))</f>
        <v/>
      </c>
      <c r="J3779">
        <f>IF(INDEX(L_ID,ROW()-4)="","",IF(SUMPRODUCT((P_ID=INDEX(L_ID,ROW()-4))*(P_StatusN="INACTIVE"))&gt;0,1,0))</f>
        <v/>
      </c>
    </row>
    <row r="3780">
      <c r="A3780">
        <f>IF(INDEX(L_ID,ROW()-4)="","",IF(COUNTIF(P_ID,INDEX(L_ID,ROW()-4))&gt;0,1,0))</f>
        <v/>
      </c>
      <c r="B3780">
        <f>IF(INDEX(P_Type,ROW()-4)="","",TRIM(UPPER(INDEX(P_Type,ROW()-4))))</f>
        <v/>
      </c>
      <c r="D3780">
        <f>IF(INDEX(L_Type,ROW()-4)="","",TRIM(UPPER(INDEX(L_Type,ROW()-4))))</f>
        <v/>
      </c>
      <c r="E3780">
        <f>IF(INDEX(P_Status,ROW()-4)="","",TRIM(UPPER(INDEX(P_Status,ROW()-4))))</f>
        <v/>
      </c>
      <c r="G3780">
        <f>IF(INDEX(L_Status,ROW()-4)="","",TRIM(UPPER(INDEX(L_Status,ROW()-4))))</f>
        <v/>
      </c>
      <c r="J3780">
        <f>IF(INDEX(L_ID,ROW()-4)="","",IF(SUMPRODUCT((P_ID=INDEX(L_ID,ROW()-4))*(P_StatusN="INACTIVE"))&gt;0,1,0))</f>
        <v/>
      </c>
    </row>
    <row r="3781">
      <c r="A3781">
        <f>IF(INDEX(L_ID,ROW()-4)="","",IF(COUNTIF(P_ID,INDEX(L_ID,ROW()-4))&gt;0,1,0))</f>
        <v/>
      </c>
      <c r="B3781">
        <f>IF(INDEX(P_Type,ROW()-4)="","",TRIM(UPPER(INDEX(P_Type,ROW()-4))))</f>
        <v/>
      </c>
      <c r="D3781">
        <f>IF(INDEX(L_Type,ROW()-4)="","",TRIM(UPPER(INDEX(L_Type,ROW()-4))))</f>
        <v/>
      </c>
      <c r="E3781">
        <f>IF(INDEX(P_Status,ROW()-4)="","",TRIM(UPPER(INDEX(P_Status,ROW()-4))))</f>
        <v/>
      </c>
      <c r="G3781">
        <f>IF(INDEX(L_Status,ROW()-4)="","",TRIM(UPPER(INDEX(L_Status,ROW()-4))))</f>
        <v/>
      </c>
      <c r="J3781">
        <f>IF(INDEX(L_ID,ROW()-4)="","",IF(SUMPRODUCT((P_ID=INDEX(L_ID,ROW()-4))*(P_StatusN="INACTIVE"))&gt;0,1,0))</f>
        <v/>
      </c>
    </row>
    <row r="3782">
      <c r="A3782">
        <f>IF(INDEX(L_ID,ROW()-4)="","",IF(COUNTIF(P_ID,INDEX(L_ID,ROW()-4))&gt;0,1,0))</f>
        <v/>
      </c>
      <c r="B3782">
        <f>IF(INDEX(P_Type,ROW()-4)="","",TRIM(UPPER(INDEX(P_Type,ROW()-4))))</f>
        <v/>
      </c>
      <c r="D3782">
        <f>IF(INDEX(L_Type,ROW()-4)="","",TRIM(UPPER(INDEX(L_Type,ROW()-4))))</f>
        <v/>
      </c>
      <c r="E3782">
        <f>IF(INDEX(P_Status,ROW()-4)="","",TRIM(UPPER(INDEX(P_Status,ROW()-4))))</f>
        <v/>
      </c>
      <c r="G3782">
        <f>IF(INDEX(L_Status,ROW()-4)="","",TRIM(UPPER(INDEX(L_Status,ROW()-4))))</f>
        <v/>
      </c>
      <c r="J3782">
        <f>IF(INDEX(L_ID,ROW()-4)="","",IF(SUMPRODUCT((P_ID=INDEX(L_ID,ROW()-4))*(P_StatusN="INACTIVE"))&gt;0,1,0))</f>
        <v/>
      </c>
    </row>
    <row r="3783">
      <c r="A3783">
        <f>IF(INDEX(L_ID,ROW()-4)="","",IF(COUNTIF(P_ID,INDEX(L_ID,ROW()-4))&gt;0,1,0))</f>
        <v/>
      </c>
      <c r="B3783">
        <f>IF(INDEX(P_Type,ROW()-4)="","",TRIM(UPPER(INDEX(P_Type,ROW()-4))))</f>
        <v/>
      </c>
      <c r="D3783">
        <f>IF(INDEX(L_Type,ROW()-4)="","",TRIM(UPPER(INDEX(L_Type,ROW()-4))))</f>
        <v/>
      </c>
      <c r="E3783">
        <f>IF(INDEX(P_Status,ROW()-4)="","",TRIM(UPPER(INDEX(P_Status,ROW()-4))))</f>
        <v/>
      </c>
      <c r="G3783">
        <f>IF(INDEX(L_Status,ROW()-4)="","",TRIM(UPPER(INDEX(L_Status,ROW()-4))))</f>
        <v/>
      </c>
      <c r="J3783">
        <f>IF(INDEX(L_ID,ROW()-4)="","",IF(SUMPRODUCT((P_ID=INDEX(L_ID,ROW()-4))*(P_StatusN="INACTIVE"))&gt;0,1,0))</f>
        <v/>
      </c>
    </row>
    <row r="3784">
      <c r="A3784">
        <f>IF(INDEX(L_ID,ROW()-4)="","",IF(COUNTIF(P_ID,INDEX(L_ID,ROW()-4))&gt;0,1,0))</f>
        <v/>
      </c>
      <c r="B3784">
        <f>IF(INDEX(P_Type,ROW()-4)="","",TRIM(UPPER(INDEX(P_Type,ROW()-4))))</f>
        <v/>
      </c>
      <c r="D3784">
        <f>IF(INDEX(L_Type,ROW()-4)="","",TRIM(UPPER(INDEX(L_Type,ROW()-4))))</f>
        <v/>
      </c>
      <c r="E3784">
        <f>IF(INDEX(P_Status,ROW()-4)="","",TRIM(UPPER(INDEX(P_Status,ROW()-4))))</f>
        <v/>
      </c>
      <c r="G3784">
        <f>IF(INDEX(L_Status,ROW()-4)="","",TRIM(UPPER(INDEX(L_Status,ROW()-4))))</f>
        <v/>
      </c>
      <c r="J3784">
        <f>IF(INDEX(L_ID,ROW()-4)="","",IF(SUMPRODUCT((P_ID=INDEX(L_ID,ROW()-4))*(P_StatusN="INACTIVE"))&gt;0,1,0))</f>
        <v/>
      </c>
    </row>
    <row r="3785">
      <c r="A3785">
        <f>IF(INDEX(L_ID,ROW()-4)="","",IF(COUNTIF(P_ID,INDEX(L_ID,ROW()-4))&gt;0,1,0))</f>
        <v/>
      </c>
      <c r="B3785">
        <f>IF(INDEX(P_Type,ROW()-4)="","",TRIM(UPPER(INDEX(P_Type,ROW()-4))))</f>
        <v/>
      </c>
      <c r="D3785">
        <f>IF(INDEX(L_Type,ROW()-4)="","",TRIM(UPPER(INDEX(L_Type,ROW()-4))))</f>
        <v/>
      </c>
      <c r="E3785">
        <f>IF(INDEX(P_Status,ROW()-4)="","",TRIM(UPPER(INDEX(P_Status,ROW()-4))))</f>
        <v/>
      </c>
      <c r="G3785">
        <f>IF(INDEX(L_Status,ROW()-4)="","",TRIM(UPPER(INDEX(L_Status,ROW()-4))))</f>
        <v/>
      </c>
      <c r="J3785">
        <f>IF(INDEX(L_ID,ROW()-4)="","",IF(SUMPRODUCT((P_ID=INDEX(L_ID,ROW()-4))*(P_StatusN="INACTIVE"))&gt;0,1,0))</f>
        <v/>
      </c>
    </row>
    <row r="3786">
      <c r="A3786">
        <f>IF(INDEX(L_ID,ROW()-4)="","",IF(COUNTIF(P_ID,INDEX(L_ID,ROW()-4))&gt;0,1,0))</f>
        <v/>
      </c>
      <c r="B3786">
        <f>IF(INDEX(P_Type,ROW()-4)="","",TRIM(UPPER(INDEX(P_Type,ROW()-4))))</f>
        <v/>
      </c>
      <c r="D3786">
        <f>IF(INDEX(L_Type,ROW()-4)="","",TRIM(UPPER(INDEX(L_Type,ROW()-4))))</f>
        <v/>
      </c>
      <c r="E3786">
        <f>IF(INDEX(P_Status,ROW()-4)="","",TRIM(UPPER(INDEX(P_Status,ROW()-4))))</f>
        <v/>
      </c>
      <c r="G3786">
        <f>IF(INDEX(L_Status,ROW()-4)="","",TRIM(UPPER(INDEX(L_Status,ROW()-4))))</f>
        <v/>
      </c>
      <c r="J3786">
        <f>IF(INDEX(L_ID,ROW()-4)="","",IF(SUMPRODUCT((P_ID=INDEX(L_ID,ROW()-4))*(P_StatusN="INACTIVE"))&gt;0,1,0))</f>
        <v/>
      </c>
    </row>
    <row r="3787">
      <c r="A3787">
        <f>IF(INDEX(L_ID,ROW()-4)="","",IF(COUNTIF(P_ID,INDEX(L_ID,ROW()-4))&gt;0,1,0))</f>
        <v/>
      </c>
      <c r="B3787">
        <f>IF(INDEX(P_Type,ROW()-4)="","",TRIM(UPPER(INDEX(P_Type,ROW()-4))))</f>
        <v/>
      </c>
      <c r="D3787">
        <f>IF(INDEX(L_Type,ROW()-4)="","",TRIM(UPPER(INDEX(L_Type,ROW()-4))))</f>
        <v/>
      </c>
      <c r="E3787">
        <f>IF(INDEX(P_Status,ROW()-4)="","",TRIM(UPPER(INDEX(P_Status,ROW()-4))))</f>
        <v/>
      </c>
      <c r="G3787">
        <f>IF(INDEX(L_Status,ROW()-4)="","",TRIM(UPPER(INDEX(L_Status,ROW()-4))))</f>
        <v/>
      </c>
      <c r="J3787">
        <f>IF(INDEX(L_ID,ROW()-4)="","",IF(SUMPRODUCT((P_ID=INDEX(L_ID,ROW()-4))*(P_StatusN="INACTIVE"))&gt;0,1,0))</f>
        <v/>
      </c>
    </row>
    <row r="3788">
      <c r="A3788">
        <f>IF(INDEX(L_ID,ROW()-4)="","",IF(COUNTIF(P_ID,INDEX(L_ID,ROW()-4))&gt;0,1,0))</f>
        <v/>
      </c>
      <c r="B3788">
        <f>IF(INDEX(P_Type,ROW()-4)="","",TRIM(UPPER(INDEX(P_Type,ROW()-4))))</f>
        <v/>
      </c>
      <c r="D3788">
        <f>IF(INDEX(L_Type,ROW()-4)="","",TRIM(UPPER(INDEX(L_Type,ROW()-4))))</f>
        <v/>
      </c>
      <c r="E3788">
        <f>IF(INDEX(P_Status,ROW()-4)="","",TRIM(UPPER(INDEX(P_Status,ROW()-4))))</f>
        <v/>
      </c>
      <c r="G3788">
        <f>IF(INDEX(L_Status,ROW()-4)="","",TRIM(UPPER(INDEX(L_Status,ROW()-4))))</f>
        <v/>
      </c>
      <c r="J3788">
        <f>IF(INDEX(L_ID,ROW()-4)="","",IF(SUMPRODUCT((P_ID=INDEX(L_ID,ROW()-4))*(P_StatusN="INACTIVE"))&gt;0,1,0))</f>
        <v/>
      </c>
    </row>
    <row r="3789">
      <c r="A3789">
        <f>IF(INDEX(L_ID,ROW()-4)="","",IF(COUNTIF(P_ID,INDEX(L_ID,ROW()-4))&gt;0,1,0))</f>
        <v/>
      </c>
      <c r="B3789">
        <f>IF(INDEX(P_Type,ROW()-4)="","",TRIM(UPPER(INDEX(P_Type,ROW()-4))))</f>
        <v/>
      </c>
      <c r="D3789">
        <f>IF(INDEX(L_Type,ROW()-4)="","",TRIM(UPPER(INDEX(L_Type,ROW()-4))))</f>
        <v/>
      </c>
      <c r="E3789">
        <f>IF(INDEX(P_Status,ROW()-4)="","",TRIM(UPPER(INDEX(P_Status,ROW()-4))))</f>
        <v/>
      </c>
      <c r="G3789">
        <f>IF(INDEX(L_Status,ROW()-4)="","",TRIM(UPPER(INDEX(L_Status,ROW()-4))))</f>
        <v/>
      </c>
      <c r="J3789">
        <f>IF(INDEX(L_ID,ROW()-4)="","",IF(SUMPRODUCT((P_ID=INDEX(L_ID,ROW()-4))*(P_StatusN="INACTIVE"))&gt;0,1,0))</f>
        <v/>
      </c>
    </row>
    <row r="3790">
      <c r="A3790">
        <f>IF(INDEX(L_ID,ROW()-4)="","",IF(COUNTIF(P_ID,INDEX(L_ID,ROW()-4))&gt;0,1,0))</f>
        <v/>
      </c>
      <c r="B3790">
        <f>IF(INDEX(P_Type,ROW()-4)="","",TRIM(UPPER(INDEX(P_Type,ROW()-4))))</f>
        <v/>
      </c>
      <c r="D3790">
        <f>IF(INDEX(L_Type,ROW()-4)="","",TRIM(UPPER(INDEX(L_Type,ROW()-4))))</f>
        <v/>
      </c>
      <c r="E3790">
        <f>IF(INDEX(P_Status,ROW()-4)="","",TRIM(UPPER(INDEX(P_Status,ROW()-4))))</f>
        <v/>
      </c>
      <c r="G3790">
        <f>IF(INDEX(L_Status,ROW()-4)="","",TRIM(UPPER(INDEX(L_Status,ROW()-4))))</f>
        <v/>
      </c>
      <c r="J3790">
        <f>IF(INDEX(L_ID,ROW()-4)="","",IF(SUMPRODUCT((P_ID=INDEX(L_ID,ROW()-4))*(P_StatusN="INACTIVE"))&gt;0,1,0))</f>
        <v/>
      </c>
    </row>
    <row r="3791">
      <c r="A3791">
        <f>IF(INDEX(L_ID,ROW()-4)="","",IF(COUNTIF(P_ID,INDEX(L_ID,ROW()-4))&gt;0,1,0))</f>
        <v/>
      </c>
      <c r="B3791">
        <f>IF(INDEX(P_Type,ROW()-4)="","",TRIM(UPPER(INDEX(P_Type,ROW()-4))))</f>
        <v/>
      </c>
      <c r="D3791">
        <f>IF(INDEX(L_Type,ROW()-4)="","",TRIM(UPPER(INDEX(L_Type,ROW()-4))))</f>
        <v/>
      </c>
      <c r="E3791">
        <f>IF(INDEX(P_Status,ROW()-4)="","",TRIM(UPPER(INDEX(P_Status,ROW()-4))))</f>
        <v/>
      </c>
      <c r="G3791">
        <f>IF(INDEX(L_Status,ROW()-4)="","",TRIM(UPPER(INDEX(L_Status,ROW()-4))))</f>
        <v/>
      </c>
      <c r="J3791">
        <f>IF(INDEX(L_ID,ROW()-4)="","",IF(SUMPRODUCT((P_ID=INDEX(L_ID,ROW()-4))*(P_StatusN="INACTIVE"))&gt;0,1,0))</f>
        <v/>
      </c>
    </row>
    <row r="3792">
      <c r="A3792">
        <f>IF(INDEX(L_ID,ROW()-4)="","",IF(COUNTIF(P_ID,INDEX(L_ID,ROW()-4))&gt;0,1,0))</f>
        <v/>
      </c>
      <c r="B3792">
        <f>IF(INDEX(P_Type,ROW()-4)="","",TRIM(UPPER(INDEX(P_Type,ROW()-4))))</f>
        <v/>
      </c>
      <c r="D3792">
        <f>IF(INDEX(L_Type,ROW()-4)="","",TRIM(UPPER(INDEX(L_Type,ROW()-4))))</f>
        <v/>
      </c>
      <c r="E3792">
        <f>IF(INDEX(P_Status,ROW()-4)="","",TRIM(UPPER(INDEX(P_Status,ROW()-4))))</f>
        <v/>
      </c>
      <c r="G3792">
        <f>IF(INDEX(L_Status,ROW()-4)="","",TRIM(UPPER(INDEX(L_Status,ROW()-4))))</f>
        <v/>
      </c>
      <c r="J3792">
        <f>IF(INDEX(L_ID,ROW()-4)="","",IF(SUMPRODUCT((P_ID=INDEX(L_ID,ROW()-4))*(P_StatusN="INACTIVE"))&gt;0,1,0))</f>
        <v/>
      </c>
    </row>
    <row r="3793">
      <c r="A3793">
        <f>IF(INDEX(L_ID,ROW()-4)="","",IF(COUNTIF(P_ID,INDEX(L_ID,ROW()-4))&gt;0,1,0))</f>
        <v/>
      </c>
      <c r="B3793">
        <f>IF(INDEX(P_Type,ROW()-4)="","",TRIM(UPPER(INDEX(P_Type,ROW()-4))))</f>
        <v/>
      </c>
      <c r="D3793">
        <f>IF(INDEX(L_Type,ROW()-4)="","",TRIM(UPPER(INDEX(L_Type,ROW()-4))))</f>
        <v/>
      </c>
      <c r="E3793">
        <f>IF(INDEX(P_Status,ROW()-4)="","",TRIM(UPPER(INDEX(P_Status,ROW()-4))))</f>
        <v/>
      </c>
      <c r="G3793">
        <f>IF(INDEX(L_Status,ROW()-4)="","",TRIM(UPPER(INDEX(L_Status,ROW()-4))))</f>
        <v/>
      </c>
      <c r="J3793">
        <f>IF(INDEX(L_ID,ROW()-4)="","",IF(SUMPRODUCT((P_ID=INDEX(L_ID,ROW()-4))*(P_StatusN="INACTIVE"))&gt;0,1,0))</f>
        <v/>
      </c>
    </row>
    <row r="3794">
      <c r="A3794">
        <f>IF(INDEX(L_ID,ROW()-4)="","",IF(COUNTIF(P_ID,INDEX(L_ID,ROW()-4))&gt;0,1,0))</f>
        <v/>
      </c>
      <c r="B3794">
        <f>IF(INDEX(P_Type,ROW()-4)="","",TRIM(UPPER(INDEX(P_Type,ROW()-4))))</f>
        <v/>
      </c>
      <c r="D3794">
        <f>IF(INDEX(L_Type,ROW()-4)="","",TRIM(UPPER(INDEX(L_Type,ROW()-4))))</f>
        <v/>
      </c>
      <c r="E3794">
        <f>IF(INDEX(P_Status,ROW()-4)="","",TRIM(UPPER(INDEX(P_Status,ROW()-4))))</f>
        <v/>
      </c>
      <c r="G3794">
        <f>IF(INDEX(L_Status,ROW()-4)="","",TRIM(UPPER(INDEX(L_Status,ROW()-4))))</f>
        <v/>
      </c>
      <c r="J3794">
        <f>IF(INDEX(L_ID,ROW()-4)="","",IF(SUMPRODUCT((P_ID=INDEX(L_ID,ROW()-4))*(P_StatusN="INACTIVE"))&gt;0,1,0))</f>
        <v/>
      </c>
    </row>
    <row r="3795">
      <c r="A3795">
        <f>IF(INDEX(L_ID,ROW()-4)="","",IF(COUNTIF(P_ID,INDEX(L_ID,ROW()-4))&gt;0,1,0))</f>
        <v/>
      </c>
      <c r="B3795">
        <f>IF(INDEX(P_Type,ROW()-4)="","",TRIM(UPPER(INDEX(P_Type,ROW()-4))))</f>
        <v/>
      </c>
      <c r="D3795">
        <f>IF(INDEX(L_Type,ROW()-4)="","",TRIM(UPPER(INDEX(L_Type,ROW()-4))))</f>
        <v/>
      </c>
      <c r="E3795">
        <f>IF(INDEX(P_Status,ROW()-4)="","",TRIM(UPPER(INDEX(P_Status,ROW()-4))))</f>
        <v/>
      </c>
      <c r="G3795">
        <f>IF(INDEX(L_Status,ROW()-4)="","",TRIM(UPPER(INDEX(L_Status,ROW()-4))))</f>
        <v/>
      </c>
      <c r="J3795">
        <f>IF(INDEX(L_ID,ROW()-4)="","",IF(SUMPRODUCT((P_ID=INDEX(L_ID,ROW()-4))*(P_StatusN="INACTIVE"))&gt;0,1,0))</f>
        <v/>
      </c>
    </row>
    <row r="3796">
      <c r="A3796">
        <f>IF(INDEX(L_ID,ROW()-4)="","",IF(COUNTIF(P_ID,INDEX(L_ID,ROW()-4))&gt;0,1,0))</f>
        <v/>
      </c>
      <c r="B3796">
        <f>IF(INDEX(P_Type,ROW()-4)="","",TRIM(UPPER(INDEX(P_Type,ROW()-4))))</f>
        <v/>
      </c>
      <c r="D3796">
        <f>IF(INDEX(L_Type,ROW()-4)="","",TRIM(UPPER(INDEX(L_Type,ROW()-4))))</f>
        <v/>
      </c>
      <c r="E3796">
        <f>IF(INDEX(P_Status,ROW()-4)="","",TRIM(UPPER(INDEX(P_Status,ROW()-4))))</f>
        <v/>
      </c>
      <c r="G3796">
        <f>IF(INDEX(L_Status,ROW()-4)="","",TRIM(UPPER(INDEX(L_Status,ROW()-4))))</f>
        <v/>
      </c>
      <c r="J3796">
        <f>IF(INDEX(L_ID,ROW()-4)="","",IF(SUMPRODUCT((P_ID=INDEX(L_ID,ROW()-4))*(P_StatusN="INACTIVE"))&gt;0,1,0))</f>
        <v/>
      </c>
    </row>
    <row r="3797">
      <c r="A3797">
        <f>IF(INDEX(L_ID,ROW()-4)="","",IF(COUNTIF(P_ID,INDEX(L_ID,ROW()-4))&gt;0,1,0))</f>
        <v/>
      </c>
      <c r="B3797">
        <f>IF(INDEX(P_Type,ROW()-4)="","",TRIM(UPPER(INDEX(P_Type,ROW()-4))))</f>
        <v/>
      </c>
      <c r="D3797">
        <f>IF(INDEX(L_Type,ROW()-4)="","",TRIM(UPPER(INDEX(L_Type,ROW()-4))))</f>
        <v/>
      </c>
      <c r="E3797">
        <f>IF(INDEX(P_Status,ROW()-4)="","",TRIM(UPPER(INDEX(P_Status,ROW()-4))))</f>
        <v/>
      </c>
      <c r="G3797">
        <f>IF(INDEX(L_Status,ROW()-4)="","",TRIM(UPPER(INDEX(L_Status,ROW()-4))))</f>
        <v/>
      </c>
      <c r="J3797">
        <f>IF(INDEX(L_ID,ROW()-4)="","",IF(SUMPRODUCT((P_ID=INDEX(L_ID,ROW()-4))*(P_StatusN="INACTIVE"))&gt;0,1,0))</f>
        <v/>
      </c>
    </row>
    <row r="3798">
      <c r="A3798">
        <f>IF(INDEX(L_ID,ROW()-4)="","",IF(COUNTIF(P_ID,INDEX(L_ID,ROW()-4))&gt;0,1,0))</f>
        <v/>
      </c>
      <c r="B3798">
        <f>IF(INDEX(P_Type,ROW()-4)="","",TRIM(UPPER(INDEX(P_Type,ROW()-4))))</f>
        <v/>
      </c>
      <c r="D3798">
        <f>IF(INDEX(L_Type,ROW()-4)="","",TRIM(UPPER(INDEX(L_Type,ROW()-4))))</f>
        <v/>
      </c>
      <c r="E3798">
        <f>IF(INDEX(P_Status,ROW()-4)="","",TRIM(UPPER(INDEX(P_Status,ROW()-4))))</f>
        <v/>
      </c>
      <c r="G3798">
        <f>IF(INDEX(L_Status,ROW()-4)="","",TRIM(UPPER(INDEX(L_Status,ROW()-4))))</f>
        <v/>
      </c>
      <c r="J3798">
        <f>IF(INDEX(L_ID,ROW()-4)="","",IF(SUMPRODUCT((P_ID=INDEX(L_ID,ROW()-4))*(P_StatusN="INACTIVE"))&gt;0,1,0))</f>
        <v/>
      </c>
    </row>
    <row r="3799">
      <c r="A3799">
        <f>IF(INDEX(L_ID,ROW()-4)="","",IF(COUNTIF(P_ID,INDEX(L_ID,ROW()-4))&gt;0,1,0))</f>
        <v/>
      </c>
      <c r="B3799">
        <f>IF(INDEX(P_Type,ROW()-4)="","",TRIM(UPPER(INDEX(P_Type,ROW()-4))))</f>
        <v/>
      </c>
      <c r="D3799">
        <f>IF(INDEX(L_Type,ROW()-4)="","",TRIM(UPPER(INDEX(L_Type,ROW()-4))))</f>
        <v/>
      </c>
      <c r="E3799">
        <f>IF(INDEX(P_Status,ROW()-4)="","",TRIM(UPPER(INDEX(P_Status,ROW()-4))))</f>
        <v/>
      </c>
      <c r="G3799">
        <f>IF(INDEX(L_Status,ROW()-4)="","",TRIM(UPPER(INDEX(L_Status,ROW()-4))))</f>
        <v/>
      </c>
      <c r="J3799">
        <f>IF(INDEX(L_ID,ROW()-4)="","",IF(SUMPRODUCT((P_ID=INDEX(L_ID,ROW()-4))*(P_StatusN="INACTIVE"))&gt;0,1,0))</f>
        <v/>
      </c>
    </row>
    <row r="3800">
      <c r="A3800">
        <f>IF(INDEX(L_ID,ROW()-4)="","",IF(COUNTIF(P_ID,INDEX(L_ID,ROW()-4))&gt;0,1,0))</f>
        <v/>
      </c>
      <c r="B3800">
        <f>IF(INDEX(P_Type,ROW()-4)="","",TRIM(UPPER(INDEX(P_Type,ROW()-4))))</f>
        <v/>
      </c>
      <c r="D3800">
        <f>IF(INDEX(L_Type,ROW()-4)="","",TRIM(UPPER(INDEX(L_Type,ROW()-4))))</f>
        <v/>
      </c>
      <c r="E3800">
        <f>IF(INDEX(P_Status,ROW()-4)="","",TRIM(UPPER(INDEX(P_Status,ROW()-4))))</f>
        <v/>
      </c>
      <c r="G3800">
        <f>IF(INDEX(L_Status,ROW()-4)="","",TRIM(UPPER(INDEX(L_Status,ROW()-4))))</f>
        <v/>
      </c>
      <c r="J3800">
        <f>IF(INDEX(L_ID,ROW()-4)="","",IF(SUMPRODUCT((P_ID=INDEX(L_ID,ROW()-4))*(P_StatusN="INACTIVE"))&gt;0,1,0))</f>
        <v/>
      </c>
    </row>
    <row r="3801">
      <c r="A3801">
        <f>IF(INDEX(L_ID,ROW()-4)="","",IF(COUNTIF(P_ID,INDEX(L_ID,ROW()-4))&gt;0,1,0))</f>
        <v/>
      </c>
      <c r="B3801">
        <f>IF(INDEX(P_Type,ROW()-4)="","",TRIM(UPPER(INDEX(P_Type,ROW()-4))))</f>
        <v/>
      </c>
      <c r="D3801">
        <f>IF(INDEX(L_Type,ROW()-4)="","",TRIM(UPPER(INDEX(L_Type,ROW()-4))))</f>
        <v/>
      </c>
      <c r="E3801">
        <f>IF(INDEX(P_Status,ROW()-4)="","",TRIM(UPPER(INDEX(P_Status,ROW()-4))))</f>
        <v/>
      </c>
      <c r="G3801">
        <f>IF(INDEX(L_Status,ROW()-4)="","",TRIM(UPPER(INDEX(L_Status,ROW()-4))))</f>
        <v/>
      </c>
      <c r="J3801">
        <f>IF(INDEX(L_ID,ROW()-4)="","",IF(SUMPRODUCT((P_ID=INDEX(L_ID,ROW()-4))*(P_StatusN="INACTIVE"))&gt;0,1,0))</f>
        <v/>
      </c>
    </row>
    <row r="3802">
      <c r="A3802">
        <f>IF(INDEX(L_ID,ROW()-4)="","",IF(COUNTIF(P_ID,INDEX(L_ID,ROW()-4))&gt;0,1,0))</f>
        <v/>
      </c>
      <c r="B3802">
        <f>IF(INDEX(P_Type,ROW()-4)="","",TRIM(UPPER(INDEX(P_Type,ROW()-4))))</f>
        <v/>
      </c>
      <c r="D3802">
        <f>IF(INDEX(L_Type,ROW()-4)="","",TRIM(UPPER(INDEX(L_Type,ROW()-4))))</f>
        <v/>
      </c>
      <c r="E3802">
        <f>IF(INDEX(P_Status,ROW()-4)="","",TRIM(UPPER(INDEX(P_Status,ROW()-4))))</f>
        <v/>
      </c>
      <c r="G3802">
        <f>IF(INDEX(L_Status,ROW()-4)="","",TRIM(UPPER(INDEX(L_Status,ROW()-4))))</f>
        <v/>
      </c>
      <c r="J3802">
        <f>IF(INDEX(L_ID,ROW()-4)="","",IF(SUMPRODUCT((P_ID=INDEX(L_ID,ROW()-4))*(P_StatusN="INACTIVE"))&gt;0,1,0))</f>
        <v/>
      </c>
    </row>
    <row r="3803">
      <c r="A3803">
        <f>IF(INDEX(L_ID,ROW()-4)="","",IF(COUNTIF(P_ID,INDEX(L_ID,ROW()-4))&gt;0,1,0))</f>
        <v/>
      </c>
      <c r="B3803">
        <f>IF(INDEX(P_Type,ROW()-4)="","",TRIM(UPPER(INDEX(P_Type,ROW()-4))))</f>
        <v/>
      </c>
      <c r="D3803">
        <f>IF(INDEX(L_Type,ROW()-4)="","",TRIM(UPPER(INDEX(L_Type,ROW()-4))))</f>
        <v/>
      </c>
      <c r="E3803">
        <f>IF(INDEX(P_Status,ROW()-4)="","",TRIM(UPPER(INDEX(P_Status,ROW()-4))))</f>
        <v/>
      </c>
      <c r="G3803">
        <f>IF(INDEX(L_Status,ROW()-4)="","",TRIM(UPPER(INDEX(L_Status,ROW()-4))))</f>
        <v/>
      </c>
      <c r="J3803">
        <f>IF(INDEX(L_ID,ROW()-4)="","",IF(SUMPRODUCT((P_ID=INDEX(L_ID,ROW()-4))*(P_StatusN="INACTIVE"))&gt;0,1,0))</f>
        <v/>
      </c>
    </row>
    <row r="3804">
      <c r="A3804">
        <f>IF(INDEX(L_ID,ROW()-4)="","",IF(COUNTIF(P_ID,INDEX(L_ID,ROW()-4))&gt;0,1,0))</f>
        <v/>
      </c>
      <c r="B3804">
        <f>IF(INDEX(P_Type,ROW()-4)="","",TRIM(UPPER(INDEX(P_Type,ROW()-4))))</f>
        <v/>
      </c>
      <c r="D3804">
        <f>IF(INDEX(L_Type,ROW()-4)="","",TRIM(UPPER(INDEX(L_Type,ROW()-4))))</f>
        <v/>
      </c>
      <c r="E3804">
        <f>IF(INDEX(P_Status,ROW()-4)="","",TRIM(UPPER(INDEX(P_Status,ROW()-4))))</f>
        <v/>
      </c>
      <c r="G3804">
        <f>IF(INDEX(L_Status,ROW()-4)="","",TRIM(UPPER(INDEX(L_Status,ROW()-4))))</f>
        <v/>
      </c>
      <c r="J3804">
        <f>IF(INDEX(L_ID,ROW()-4)="","",IF(SUMPRODUCT((P_ID=INDEX(L_ID,ROW()-4))*(P_StatusN="INACTIVE"))&gt;0,1,0))</f>
        <v/>
      </c>
    </row>
    <row r="3805">
      <c r="A3805">
        <f>IF(INDEX(L_ID,ROW()-4)="","",IF(COUNTIF(P_ID,INDEX(L_ID,ROW()-4))&gt;0,1,0))</f>
        <v/>
      </c>
      <c r="B3805">
        <f>IF(INDEX(P_Type,ROW()-4)="","",TRIM(UPPER(INDEX(P_Type,ROW()-4))))</f>
        <v/>
      </c>
      <c r="D3805">
        <f>IF(INDEX(L_Type,ROW()-4)="","",TRIM(UPPER(INDEX(L_Type,ROW()-4))))</f>
        <v/>
      </c>
      <c r="E3805">
        <f>IF(INDEX(P_Status,ROW()-4)="","",TRIM(UPPER(INDEX(P_Status,ROW()-4))))</f>
        <v/>
      </c>
      <c r="G3805">
        <f>IF(INDEX(L_Status,ROW()-4)="","",TRIM(UPPER(INDEX(L_Status,ROW()-4))))</f>
        <v/>
      </c>
      <c r="J3805">
        <f>IF(INDEX(L_ID,ROW()-4)="","",IF(SUMPRODUCT((P_ID=INDEX(L_ID,ROW()-4))*(P_StatusN="INACTIVE"))&gt;0,1,0))</f>
        <v/>
      </c>
    </row>
    <row r="3806">
      <c r="A3806">
        <f>IF(INDEX(L_ID,ROW()-4)="","",IF(COUNTIF(P_ID,INDEX(L_ID,ROW()-4))&gt;0,1,0))</f>
        <v/>
      </c>
      <c r="B3806">
        <f>IF(INDEX(P_Type,ROW()-4)="","",TRIM(UPPER(INDEX(P_Type,ROW()-4))))</f>
        <v/>
      </c>
      <c r="D3806">
        <f>IF(INDEX(L_Type,ROW()-4)="","",TRIM(UPPER(INDEX(L_Type,ROW()-4))))</f>
        <v/>
      </c>
      <c r="E3806">
        <f>IF(INDEX(P_Status,ROW()-4)="","",TRIM(UPPER(INDEX(P_Status,ROW()-4))))</f>
        <v/>
      </c>
      <c r="G3806">
        <f>IF(INDEX(L_Status,ROW()-4)="","",TRIM(UPPER(INDEX(L_Status,ROW()-4))))</f>
        <v/>
      </c>
      <c r="J3806">
        <f>IF(INDEX(L_ID,ROW()-4)="","",IF(SUMPRODUCT((P_ID=INDEX(L_ID,ROW()-4))*(P_StatusN="INACTIVE"))&gt;0,1,0))</f>
        <v/>
      </c>
    </row>
    <row r="3807">
      <c r="A3807">
        <f>IF(INDEX(L_ID,ROW()-4)="","",IF(COUNTIF(P_ID,INDEX(L_ID,ROW()-4))&gt;0,1,0))</f>
        <v/>
      </c>
      <c r="B3807">
        <f>IF(INDEX(P_Type,ROW()-4)="","",TRIM(UPPER(INDEX(P_Type,ROW()-4))))</f>
        <v/>
      </c>
      <c r="D3807">
        <f>IF(INDEX(L_Type,ROW()-4)="","",TRIM(UPPER(INDEX(L_Type,ROW()-4))))</f>
        <v/>
      </c>
      <c r="E3807">
        <f>IF(INDEX(P_Status,ROW()-4)="","",TRIM(UPPER(INDEX(P_Status,ROW()-4))))</f>
        <v/>
      </c>
      <c r="G3807">
        <f>IF(INDEX(L_Status,ROW()-4)="","",TRIM(UPPER(INDEX(L_Status,ROW()-4))))</f>
        <v/>
      </c>
      <c r="J3807">
        <f>IF(INDEX(L_ID,ROW()-4)="","",IF(SUMPRODUCT((P_ID=INDEX(L_ID,ROW()-4))*(P_StatusN="INACTIVE"))&gt;0,1,0))</f>
        <v/>
      </c>
    </row>
    <row r="3808">
      <c r="A3808">
        <f>IF(INDEX(L_ID,ROW()-4)="","",IF(COUNTIF(P_ID,INDEX(L_ID,ROW()-4))&gt;0,1,0))</f>
        <v/>
      </c>
      <c r="B3808">
        <f>IF(INDEX(P_Type,ROW()-4)="","",TRIM(UPPER(INDEX(P_Type,ROW()-4))))</f>
        <v/>
      </c>
      <c r="D3808">
        <f>IF(INDEX(L_Type,ROW()-4)="","",TRIM(UPPER(INDEX(L_Type,ROW()-4))))</f>
        <v/>
      </c>
      <c r="E3808">
        <f>IF(INDEX(P_Status,ROW()-4)="","",TRIM(UPPER(INDEX(P_Status,ROW()-4))))</f>
        <v/>
      </c>
      <c r="G3808">
        <f>IF(INDEX(L_Status,ROW()-4)="","",TRIM(UPPER(INDEX(L_Status,ROW()-4))))</f>
        <v/>
      </c>
      <c r="J3808">
        <f>IF(INDEX(L_ID,ROW()-4)="","",IF(SUMPRODUCT((P_ID=INDEX(L_ID,ROW()-4))*(P_StatusN="INACTIVE"))&gt;0,1,0))</f>
        <v/>
      </c>
    </row>
    <row r="3809">
      <c r="A3809">
        <f>IF(INDEX(L_ID,ROW()-4)="","",IF(COUNTIF(P_ID,INDEX(L_ID,ROW()-4))&gt;0,1,0))</f>
        <v/>
      </c>
      <c r="B3809">
        <f>IF(INDEX(P_Type,ROW()-4)="","",TRIM(UPPER(INDEX(P_Type,ROW()-4))))</f>
        <v/>
      </c>
      <c r="D3809">
        <f>IF(INDEX(L_Type,ROW()-4)="","",TRIM(UPPER(INDEX(L_Type,ROW()-4))))</f>
        <v/>
      </c>
      <c r="E3809">
        <f>IF(INDEX(P_Status,ROW()-4)="","",TRIM(UPPER(INDEX(P_Status,ROW()-4))))</f>
        <v/>
      </c>
      <c r="G3809">
        <f>IF(INDEX(L_Status,ROW()-4)="","",TRIM(UPPER(INDEX(L_Status,ROW()-4))))</f>
        <v/>
      </c>
      <c r="J3809">
        <f>IF(INDEX(L_ID,ROW()-4)="","",IF(SUMPRODUCT((P_ID=INDEX(L_ID,ROW()-4))*(P_StatusN="INACTIVE"))&gt;0,1,0))</f>
        <v/>
      </c>
    </row>
    <row r="3810">
      <c r="A3810">
        <f>IF(INDEX(L_ID,ROW()-4)="","",IF(COUNTIF(P_ID,INDEX(L_ID,ROW()-4))&gt;0,1,0))</f>
        <v/>
      </c>
      <c r="B3810">
        <f>IF(INDEX(P_Type,ROW()-4)="","",TRIM(UPPER(INDEX(P_Type,ROW()-4))))</f>
        <v/>
      </c>
      <c r="D3810">
        <f>IF(INDEX(L_Type,ROW()-4)="","",TRIM(UPPER(INDEX(L_Type,ROW()-4))))</f>
        <v/>
      </c>
      <c r="E3810">
        <f>IF(INDEX(P_Status,ROW()-4)="","",TRIM(UPPER(INDEX(P_Status,ROW()-4))))</f>
        <v/>
      </c>
      <c r="G3810">
        <f>IF(INDEX(L_Status,ROW()-4)="","",TRIM(UPPER(INDEX(L_Status,ROW()-4))))</f>
        <v/>
      </c>
      <c r="J3810">
        <f>IF(INDEX(L_ID,ROW()-4)="","",IF(SUMPRODUCT((P_ID=INDEX(L_ID,ROW()-4))*(P_StatusN="INACTIVE"))&gt;0,1,0))</f>
        <v/>
      </c>
    </row>
    <row r="3811">
      <c r="A3811">
        <f>IF(INDEX(L_ID,ROW()-4)="","",IF(COUNTIF(P_ID,INDEX(L_ID,ROW()-4))&gt;0,1,0))</f>
        <v/>
      </c>
      <c r="B3811">
        <f>IF(INDEX(P_Type,ROW()-4)="","",TRIM(UPPER(INDEX(P_Type,ROW()-4))))</f>
        <v/>
      </c>
      <c r="D3811">
        <f>IF(INDEX(L_Type,ROW()-4)="","",TRIM(UPPER(INDEX(L_Type,ROW()-4))))</f>
        <v/>
      </c>
      <c r="E3811">
        <f>IF(INDEX(P_Status,ROW()-4)="","",TRIM(UPPER(INDEX(P_Status,ROW()-4))))</f>
        <v/>
      </c>
      <c r="G3811">
        <f>IF(INDEX(L_Status,ROW()-4)="","",TRIM(UPPER(INDEX(L_Status,ROW()-4))))</f>
        <v/>
      </c>
      <c r="J3811">
        <f>IF(INDEX(L_ID,ROW()-4)="","",IF(SUMPRODUCT((P_ID=INDEX(L_ID,ROW()-4))*(P_StatusN="INACTIVE"))&gt;0,1,0))</f>
        <v/>
      </c>
    </row>
    <row r="3812">
      <c r="A3812">
        <f>IF(INDEX(L_ID,ROW()-4)="","",IF(COUNTIF(P_ID,INDEX(L_ID,ROW()-4))&gt;0,1,0))</f>
        <v/>
      </c>
      <c r="B3812">
        <f>IF(INDEX(P_Type,ROW()-4)="","",TRIM(UPPER(INDEX(P_Type,ROW()-4))))</f>
        <v/>
      </c>
      <c r="D3812">
        <f>IF(INDEX(L_Type,ROW()-4)="","",TRIM(UPPER(INDEX(L_Type,ROW()-4))))</f>
        <v/>
      </c>
      <c r="E3812">
        <f>IF(INDEX(P_Status,ROW()-4)="","",TRIM(UPPER(INDEX(P_Status,ROW()-4))))</f>
        <v/>
      </c>
      <c r="G3812">
        <f>IF(INDEX(L_Status,ROW()-4)="","",TRIM(UPPER(INDEX(L_Status,ROW()-4))))</f>
        <v/>
      </c>
      <c r="J3812">
        <f>IF(INDEX(L_ID,ROW()-4)="","",IF(SUMPRODUCT((P_ID=INDEX(L_ID,ROW()-4))*(P_StatusN="INACTIVE"))&gt;0,1,0))</f>
        <v/>
      </c>
    </row>
    <row r="3813">
      <c r="A3813">
        <f>IF(INDEX(L_ID,ROW()-4)="","",IF(COUNTIF(P_ID,INDEX(L_ID,ROW()-4))&gt;0,1,0))</f>
        <v/>
      </c>
      <c r="B3813">
        <f>IF(INDEX(P_Type,ROW()-4)="","",TRIM(UPPER(INDEX(P_Type,ROW()-4))))</f>
        <v/>
      </c>
      <c r="D3813">
        <f>IF(INDEX(L_Type,ROW()-4)="","",TRIM(UPPER(INDEX(L_Type,ROW()-4))))</f>
        <v/>
      </c>
      <c r="E3813">
        <f>IF(INDEX(P_Status,ROW()-4)="","",TRIM(UPPER(INDEX(P_Status,ROW()-4))))</f>
        <v/>
      </c>
      <c r="G3813">
        <f>IF(INDEX(L_Status,ROW()-4)="","",TRIM(UPPER(INDEX(L_Status,ROW()-4))))</f>
        <v/>
      </c>
      <c r="J3813">
        <f>IF(INDEX(L_ID,ROW()-4)="","",IF(SUMPRODUCT((P_ID=INDEX(L_ID,ROW()-4))*(P_StatusN="INACTIVE"))&gt;0,1,0))</f>
        <v/>
      </c>
    </row>
    <row r="3814">
      <c r="A3814">
        <f>IF(INDEX(L_ID,ROW()-4)="","",IF(COUNTIF(P_ID,INDEX(L_ID,ROW()-4))&gt;0,1,0))</f>
        <v/>
      </c>
      <c r="B3814">
        <f>IF(INDEX(P_Type,ROW()-4)="","",TRIM(UPPER(INDEX(P_Type,ROW()-4))))</f>
        <v/>
      </c>
      <c r="D3814">
        <f>IF(INDEX(L_Type,ROW()-4)="","",TRIM(UPPER(INDEX(L_Type,ROW()-4))))</f>
        <v/>
      </c>
      <c r="E3814">
        <f>IF(INDEX(P_Status,ROW()-4)="","",TRIM(UPPER(INDEX(P_Status,ROW()-4))))</f>
        <v/>
      </c>
      <c r="G3814">
        <f>IF(INDEX(L_Status,ROW()-4)="","",TRIM(UPPER(INDEX(L_Status,ROW()-4))))</f>
        <v/>
      </c>
      <c r="J3814">
        <f>IF(INDEX(L_ID,ROW()-4)="","",IF(SUMPRODUCT((P_ID=INDEX(L_ID,ROW()-4))*(P_StatusN="INACTIVE"))&gt;0,1,0))</f>
        <v/>
      </c>
    </row>
    <row r="3815">
      <c r="A3815">
        <f>IF(INDEX(L_ID,ROW()-4)="","",IF(COUNTIF(P_ID,INDEX(L_ID,ROW()-4))&gt;0,1,0))</f>
        <v/>
      </c>
      <c r="B3815">
        <f>IF(INDEX(P_Type,ROW()-4)="","",TRIM(UPPER(INDEX(P_Type,ROW()-4))))</f>
        <v/>
      </c>
      <c r="D3815">
        <f>IF(INDEX(L_Type,ROW()-4)="","",TRIM(UPPER(INDEX(L_Type,ROW()-4))))</f>
        <v/>
      </c>
      <c r="E3815">
        <f>IF(INDEX(P_Status,ROW()-4)="","",TRIM(UPPER(INDEX(P_Status,ROW()-4))))</f>
        <v/>
      </c>
      <c r="G3815">
        <f>IF(INDEX(L_Status,ROW()-4)="","",TRIM(UPPER(INDEX(L_Status,ROW()-4))))</f>
        <v/>
      </c>
      <c r="J3815">
        <f>IF(INDEX(L_ID,ROW()-4)="","",IF(SUMPRODUCT((P_ID=INDEX(L_ID,ROW()-4))*(P_StatusN="INACTIVE"))&gt;0,1,0))</f>
        <v/>
      </c>
    </row>
    <row r="3816">
      <c r="A3816">
        <f>IF(INDEX(L_ID,ROW()-4)="","",IF(COUNTIF(P_ID,INDEX(L_ID,ROW()-4))&gt;0,1,0))</f>
        <v/>
      </c>
      <c r="B3816">
        <f>IF(INDEX(P_Type,ROW()-4)="","",TRIM(UPPER(INDEX(P_Type,ROW()-4))))</f>
        <v/>
      </c>
      <c r="D3816">
        <f>IF(INDEX(L_Type,ROW()-4)="","",TRIM(UPPER(INDEX(L_Type,ROW()-4))))</f>
        <v/>
      </c>
      <c r="E3816">
        <f>IF(INDEX(P_Status,ROW()-4)="","",TRIM(UPPER(INDEX(P_Status,ROW()-4))))</f>
        <v/>
      </c>
      <c r="G3816">
        <f>IF(INDEX(L_Status,ROW()-4)="","",TRIM(UPPER(INDEX(L_Status,ROW()-4))))</f>
        <v/>
      </c>
      <c r="J3816">
        <f>IF(INDEX(L_ID,ROW()-4)="","",IF(SUMPRODUCT((P_ID=INDEX(L_ID,ROW()-4))*(P_StatusN="INACTIVE"))&gt;0,1,0))</f>
        <v/>
      </c>
    </row>
    <row r="3817">
      <c r="A3817">
        <f>IF(INDEX(L_ID,ROW()-4)="","",IF(COUNTIF(P_ID,INDEX(L_ID,ROW()-4))&gt;0,1,0))</f>
        <v/>
      </c>
      <c r="B3817">
        <f>IF(INDEX(P_Type,ROW()-4)="","",TRIM(UPPER(INDEX(P_Type,ROW()-4))))</f>
        <v/>
      </c>
      <c r="D3817">
        <f>IF(INDEX(L_Type,ROW()-4)="","",TRIM(UPPER(INDEX(L_Type,ROW()-4))))</f>
        <v/>
      </c>
      <c r="E3817">
        <f>IF(INDEX(P_Status,ROW()-4)="","",TRIM(UPPER(INDEX(P_Status,ROW()-4))))</f>
        <v/>
      </c>
      <c r="G3817">
        <f>IF(INDEX(L_Status,ROW()-4)="","",TRIM(UPPER(INDEX(L_Status,ROW()-4))))</f>
        <v/>
      </c>
      <c r="J3817">
        <f>IF(INDEX(L_ID,ROW()-4)="","",IF(SUMPRODUCT((P_ID=INDEX(L_ID,ROW()-4))*(P_StatusN="INACTIVE"))&gt;0,1,0))</f>
        <v/>
      </c>
    </row>
    <row r="3818">
      <c r="A3818">
        <f>IF(INDEX(L_ID,ROW()-4)="","",IF(COUNTIF(P_ID,INDEX(L_ID,ROW()-4))&gt;0,1,0))</f>
        <v/>
      </c>
      <c r="B3818">
        <f>IF(INDEX(P_Type,ROW()-4)="","",TRIM(UPPER(INDEX(P_Type,ROW()-4))))</f>
        <v/>
      </c>
      <c r="D3818">
        <f>IF(INDEX(L_Type,ROW()-4)="","",TRIM(UPPER(INDEX(L_Type,ROW()-4))))</f>
        <v/>
      </c>
      <c r="E3818">
        <f>IF(INDEX(P_Status,ROW()-4)="","",TRIM(UPPER(INDEX(P_Status,ROW()-4))))</f>
        <v/>
      </c>
      <c r="G3818">
        <f>IF(INDEX(L_Status,ROW()-4)="","",TRIM(UPPER(INDEX(L_Status,ROW()-4))))</f>
        <v/>
      </c>
      <c r="J3818">
        <f>IF(INDEX(L_ID,ROW()-4)="","",IF(SUMPRODUCT((P_ID=INDEX(L_ID,ROW()-4))*(P_StatusN="INACTIVE"))&gt;0,1,0))</f>
        <v/>
      </c>
    </row>
    <row r="3819">
      <c r="A3819">
        <f>IF(INDEX(L_ID,ROW()-4)="","",IF(COUNTIF(P_ID,INDEX(L_ID,ROW()-4))&gt;0,1,0))</f>
        <v/>
      </c>
      <c r="B3819">
        <f>IF(INDEX(P_Type,ROW()-4)="","",TRIM(UPPER(INDEX(P_Type,ROW()-4))))</f>
        <v/>
      </c>
      <c r="D3819">
        <f>IF(INDEX(L_Type,ROW()-4)="","",TRIM(UPPER(INDEX(L_Type,ROW()-4))))</f>
        <v/>
      </c>
      <c r="E3819">
        <f>IF(INDEX(P_Status,ROW()-4)="","",TRIM(UPPER(INDEX(P_Status,ROW()-4))))</f>
        <v/>
      </c>
      <c r="G3819">
        <f>IF(INDEX(L_Status,ROW()-4)="","",TRIM(UPPER(INDEX(L_Status,ROW()-4))))</f>
        <v/>
      </c>
      <c r="J3819">
        <f>IF(INDEX(L_ID,ROW()-4)="","",IF(SUMPRODUCT((P_ID=INDEX(L_ID,ROW()-4))*(P_StatusN="INACTIVE"))&gt;0,1,0))</f>
        <v/>
      </c>
    </row>
    <row r="3820">
      <c r="A3820">
        <f>IF(INDEX(L_ID,ROW()-4)="","",IF(COUNTIF(P_ID,INDEX(L_ID,ROW()-4))&gt;0,1,0))</f>
        <v/>
      </c>
      <c r="B3820">
        <f>IF(INDEX(P_Type,ROW()-4)="","",TRIM(UPPER(INDEX(P_Type,ROW()-4))))</f>
        <v/>
      </c>
      <c r="D3820">
        <f>IF(INDEX(L_Type,ROW()-4)="","",TRIM(UPPER(INDEX(L_Type,ROW()-4))))</f>
        <v/>
      </c>
      <c r="E3820">
        <f>IF(INDEX(P_Status,ROW()-4)="","",TRIM(UPPER(INDEX(P_Status,ROW()-4))))</f>
        <v/>
      </c>
      <c r="G3820">
        <f>IF(INDEX(L_Status,ROW()-4)="","",TRIM(UPPER(INDEX(L_Status,ROW()-4))))</f>
        <v/>
      </c>
      <c r="J3820">
        <f>IF(INDEX(L_ID,ROW()-4)="","",IF(SUMPRODUCT((P_ID=INDEX(L_ID,ROW()-4))*(P_StatusN="INACTIVE"))&gt;0,1,0))</f>
        <v/>
      </c>
    </row>
    <row r="3821">
      <c r="A3821">
        <f>IF(INDEX(L_ID,ROW()-4)="","",IF(COUNTIF(P_ID,INDEX(L_ID,ROW()-4))&gt;0,1,0))</f>
        <v/>
      </c>
      <c r="B3821">
        <f>IF(INDEX(P_Type,ROW()-4)="","",TRIM(UPPER(INDEX(P_Type,ROW()-4))))</f>
        <v/>
      </c>
      <c r="D3821">
        <f>IF(INDEX(L_Type,ROW()-4)="","",TRIM(UPPER(INDEX(L_Type,ROW()-4))))</f>
        <v/>
      </c>
      <c r="E3821">
        <f>IF(INDEX(P_Status,ROW()-4)="","",TRIM(UPPER(INDEX(P_Status,ROW()-4))))</f>
        <v/>
      </c>
      <c r="G3821">
        <f>IF(INDEX(L_Status,ROW()-4)="","",TRIM(UPPER(INDEX(L_Status,ROW()-4))))</f>
        <v/>
      </c>
      <c r="J3821">
        <f>IF(INDEX(L_ID,ROW()-4)="","",IF(SUMPRODUCT((P_ID=INDEX(L_ID,ROW()-4))*(P_StatusN="INACTIVE"))&gt;0,1,0))</f>
        <v/>
      </c>
    </row>
    <row r="3822">
      <c r="A3822">
        <f>IF(INDEX(L_ID,ROW()-4)="","",IF(COUNTIF(P_ID,INDEX(L_ID,ROW()-4))&gt;0,1,0))</f>
        <v/>
      </c>
      <c r="B3822">
        <f>IF(INDEX(P_Type,ROW()-4)="","",TRIM(UPPER(INDEX(P_Type,ROW()-4))))</f>
        <v/>
      </c>
      <c r="D3822">
        <f>IF(INDEX(L_Type,ROW()-4)="","",TRIM(UPPER(INDEX(L_Type,ROW()-4))))</f>
        <v/>
      </c>
      <c r="E3822">
        <f>IF(INDEX(P_Status,ROW()-4)="","",TRIM(UPPER(INDEX(P_Status,ROW()-4))))</f>
        <v/>
      </c>
      <c r="G3822">
        <f>IF(INDEX(L_Status,ROW()-4)="","",TRIM(UPPER(INDEX(L_Status,ROW()-4))))</f>
        <v/>
      </c>
      <c r="J3822">
        <f>IF(INDEX(L_ID,ROW()-4)="","",IF(SUMPRODUCT((P_ID=INDEX(L_ID,ROW()-4))*(P_StatusN="INACTIVE"))&gt;0,1,0))</f>
        <v/>
      </c>
    </row>
    <row r="3823">
      <c r="A3823">
        <f>IF(INDEX(L_ID,ROW()-4)="","",IF(COUNTIF(P_ID,INDEX(L_ID,ROW()-4))&gt;0,1,0))</f>
        <v/>
      </c>
      <c r="B3823">
        <f>IF(INDEX(P_Type,ROW()-4)="","",TRIM(UPPER(INDEX(P_Type,ROW()-4))))</f>
        <v/>
      </c>
      <c r="D3823">
        <f>IF(INDEX(L_Type,ROW()-4)="","",TRIM(UPPER(INDEX(L_Type,ROW()-4))))</f>
        <v/>
      </c>
      <c r="E3823">
        <f>IF(INDEX(P_Status,ROW()-4)="","",TRIM(UPPER(INDEX(P_Status,ROW()-4))))</f>
        <v/>
      </c>
      <c r="G3823">
        <f>IF(INDEX(L_Status,ROW()-4)="","",TRIM(UPPER(INDEX(L_Status,ROW()-4))))</f>
        <v/>
      </c>
      <c r="J3823">
        <f>IF(INDEX(L_ID,ROW()-4)="","",IF(SUMPRODUCT((P_ID=INDEX(L_ID,ROW()-4))*(P_StatusN="INACTIVE"))&gt;0,1,0))</f>
        <v/>
      </c>
    </row>
    <row r="3824">
      <c r="A3824">
        <f>IF(INDEX(L_ID,ROW()-4)="","",IF(COUNTIF(P_ID,INDEX(L_ID,ROW()-4))&gt;0,1,0))</f>
        <v/>
      </c>
      <c r="B3824">
        <f>IF(INDEX(P_Type,ROW()-4)="","",TRIM(UPPER(INDEX(P_Type,ROW()-4))))</f>
        <v/>
      </c>
      <c r="D3824">
        <f>IF(INDEX(L_Type,ROW()-4)="","",TRIM(UPPER(INDEX(L_Type,ROW()-4))))</f>
        <v/>
      </c>
      <c r="E3824">
        <f>IF(INDEX(P_Status,ROW()-4)="","",TRIM(UPPER(INDEX(P_Status,ROW()-4))))</f>
        <v/>
      </c>
      <c r="G3824">
        <f>IF(INDEX(L_Status,ROW()-4)="","",TRIM(UPPER(INDEX(L_Status,ROW()-4))))</f>
        <v/>
      </c>
      <c r="J3824">
        <f>IF(INDEX(L_ID,ROW()-4)="","",IF(SUMPRODUCT((P_ID=INDEX(L_ID,ROW()-4))*(P_StatusN="INACTIVE"))&gt;0,1,0))</f>
        <v/>
      </c>
    </row>
    <row r="3825">
      <c r="A3825">
        <f>IF(INDEX(L_ID,ROW()-4)="","",IF(COUNTIF(P_ID,INDEX(L_ID,ROW()-4))&gt;0,1,0))</f>
        <v/>
      </c>
      <c r="B3825">
        <f>IF(INDEX(P_Type,ROW()-4)="","",TRIM(UPPER(INDEX(P_Type,ROW()-4))))</f>
        <v/>
      </c>
      <c r="D3825">
        <f>IF(INDEX(L_Type,ROW()-4)="","",TRIM(UPPER(INDEX(L_Type,ROW()-4))))</f>
        <v/>
      </c>
      <c r="E3825">
        <f>IF(INDEX(P_Status,ROW()-4)="","",TRIM(UPPER(INDEX(P_Status,ROW()-4))))</f>
        <v/>
      </c>
      <c r="G3825">
        <f>IF(INDEX(L_Status,ROW()-4)="","",TRIM(UPPER(INDEX(L_Status,ROW()-4))))</f>
        <v/>
      </c>
      <c r="J3825">
        <f>IF(INDEX(L_ID,ROW()-4)="","",IF(SUMPRODUCT((P_ID=INDEX(L_ID,ROW()-4))*(P_StatusN="INACTIVE"))&gt;0,1,0))</f>
        <v/>
      </c>
    </row>
    <row r="3826">
      <c r="A3826">
        <f>IF(INDEX(L_ID,ROW()-4)="","",IF(COUNTIF(P_ID,INDEX(L_ID,ROW()-4))&gt;0,1,0))</f>
        <v/>
      </c>
      <c r="B3826">
        <f>IF(INDEX(P_Type,ROW()-4)="","",TRIM(UPPER(INDEX(P_Type,ROW()-4))))</f>
        <v/>
      </c>
      <c r="D3826">
        <f>IF(INDEX(L_Type,ROW()-4)="","",TRIM(UPPER(INDEX(L_Type,ROW()-4))))</f>
        <v/>
      </c>
      <c r="E3826">
        <f>IF(INDEX(P_Status,ROW()-4)="","",TRIM(UPPER(INDEX(P_Status,ROW()-4))))</f>
        <v/>
      </c>
      <c r="G3826">
        <f>IF(INDEX(L_Status,ROW()-4)="","",TRIM(UPPER(INDEX(L_Status,ROW()-4))))</f>
        <v/>
      </c>
      <c r="J3826">
        <f>IF(INDEX(L_ID,ROW()-4)="","",IF(SUMPRODUCT((P_ID=INDEX(L_ID,ROW()-4))*(P_StatusN="INACTIVE"))&gt;0,1,0))</f>
        <v/>
      </c>
    </row>
    <row r="3827">
      <c r="A3827">
        <f>IF(INDEX(L_ID,ROW()-4)="","",IF(COUNTIF(P_ID,INDEX(L_ID,ROW()-4))&gt;0,1,0))</f>
        <v/>
      </c>
      <c r="B3827">
        <f>IF(INDEX(P_Type,ROW()-4)="","",TRIM(UPPER(INDEX(P_Type,ROW()-4))))</f>
        <v/>
      </c>
      <c r="D3827">
        <f>IF(INDEX(L_Type,ROW()-4)="","",TRIM(UPPER(INDEX(L_Type,ROW()-4))))</f>
        <v/>
      </c>
      <c r="E3827">
        <f>IF(INDEX(P_Status,ROW()-4)="","",TRIM(UPPER(INDEX(P_Status,ROW()-4))))</f>
        <v/>
      </c>
      <c r="G3827">
        <f>IF(INDEX(L_Status,ROW()-4)="","",TRIM(UPPER(INDEX(L_Status,ROW()-4))))</f>
        <v/>
      </c>
      <c r="J3827">
        <f>IF(INDEX(L_ID,ROW()-4)="","",IF(SUMPRODUCT((P_ID=INDEX(L_ID,ROW()-4))*(P_StatusN="INACTIVE"))&gt;0,1,0))</f>
        <v/>
      </c>
    </row>
    <row r="3828">
      <c r="A3828">
        <f>IF(INDEX(L_ID,ROW()-4)="","",IF(COUNTIF(P_ID,INDEX(L_ID,ROW()-4))&gt;0,1,0))</f>
        <v/>
      </c>
      <c r="B3828">
        <f>IF(INDEX(P_Type,ROW()-4)="","",TRIM(UPPER(INDEX(P_Type,ROW()-4))))</f>
        <v/>
      </c>
      <c r="D3828">
        <f>IF(INDEX(L_Type,ROW()-4)="","",TRIM(UPPER(INDEX(L_Type,ROW()-4))))</f>
        <v/>
      </c>
      <c r="E3828">
        <f>IF(INDEX(P_Status,ROW()-4)="","",TRIM(UPPER(INDEX(P_Status,ROW()-4))))</f>
        <v/>
      </c>
      <c r="G3828">
        <f>IF(INDEX(L_Status,ROW()-4)="","",TRIM(UPPER(INDEX(L_Status,ROW()-4))))</f>
        <v/>
      </c>
      <c r="J3828">
        <f>IF(INDEX(L_ID,ROW()-4)="","",IF(SUMPRODUCT((P_ID=INDEX(L_ID,ROW()-4))*(P_StatusN="INACTIVE"))&gt;0,1,0))</f>
        <v/>
      </c>
    </row>
    <row r="3829">
      <c r="A3829">
        <f>IF(INDEX(L_ID,ROW()-4)="","",IF(COUNTIF(P_ID,INDEX(L_ID,ROW()-4))&gt;0,1,0))</f>
        <v/>
      </c>
      <c r="B3829">
        <f>IF(INDEX(P_Type,ROW()-4)="","",TRIM(UPPER(INDEX(P_Type,ROW()-4))))</f>
        <v/>
      </c>
      <c r="D3829">
        <f>IF(INDEX(L_Type,ROW()-4)="","",TRIM(UPPER(INDEX(L_Type,ROW()-4))))</f>
        <v/>
      </c>
      <c r="E3829">
        <f>IF(INDEX(P_Status,ROW()-4)="","",TRIM(UPPER(INDEX(P_Status,ROW()-4))))</f>
        <v/>
      </c>
      <c r="G3829">
        <f>IF(INDEX(L_Status,ROW()-4)="","",TRIM(UPPER(INDEX(L_Status,ROW()-4))))</f>
        <v/>
      </c>
      <c r="J3829">
        <f>IF(INDEX(L_ID,ROW()-4)="","",IF(SUMPRODUCT((P_ID=INDEX(L_ID,ROW()-4))*(P_StatusN="INACTIVE"))&gt;0,1,0))</f>
        <v/>
      </c>
    </row>
    <row r="3830">
      <c r="A3830">
        <f>IF(INDEX(L_ID,ROW()-4)="","",IF(COUNTIF(P_ID,INDEX(L_ID,ROW()-4))&gt;0,1,0))</f>
        <v/>
      </c>
      <c r="B3830">
        <f>IF(INDEX(P_Type,ROW()-4)="","",TRIM(UPPER(INDEX(P_Type,ROW()-4))))</f>
        <v/>
      </c>
      <c r="D3830">
        <f>IF(INDEX(L_Type,ROW()-4)="","",TRIM(UPPER(INDEX(L_Type,ROW()-4))))</f>
        <v/>
      </c>
      <c r="E3830">
        <f>IF(INDEX(P_Status,ROW()-4)="","",TRIM(UPPER(INDEX(P_Status,ROW()-4))))</f>
        <v/>
      </c>
      <c r="G3830">
        <f>IF(INDEX(L_Status,ROW()-4)="","",TRIM(UPPER(INDEX(L_Status,ROW()-4))))</f>
        <v/>
      </c>
      <c r="J3830">
        <f>IF(INDEX(L_ID,ROW()-4)="","",IF(SUMPRODUCT((P_ID=INDEX(L_ID,ROW()-4))*(P_StatusN="INACTIVE"))&gt;0,1,0))</f>
        <v/>
      </c>
    </row>
    <row r="3831">
      <c r="A3831">
        <f>IF(INDEX(L_ID,ROW()-4)="","",IF(COUNTIF(P_ID,INDEX(L_ID,ROW()-4))&gt;0,1,0))</f>
        <v/>
      </c>
      <c r="B3831">
        <f>IF(INDEX(P_Type,ROW()-4)="","",TRIM(UPPER(INDEX(P_Type,ROW()-4))))</f>
        <v/>
      </c>
      <c r="D3831">
        <f>IF(INDEX(L_Type,ROW()-4)="","",TRIM(UPPER(INDEX(L_Type,ROW()-4))))</f>
        <v/>
      </c>
      <c r="E3831">
        <f>IF(INDEX(P_Status,ROW()-4)="","",TRIM(UPPER(INDEX(P_Status,ROW()-4))))</f>
        <v/>
      </c>
      <c r="G3831">
        <f>IF(INDEX(L_Status,ROW()-4)="","",TRIM(UPPER(INDEX(L_Status,ROW()-4))))</f>
        <v/>
      </c>
      <c r="J3831">
        <f>IF(INDEX(L_ID,ROW()-4)="","",IF(SUMPRODUCT((P_ID=INDEX(L_ID,ROW()-4))*(P_StatusN="INACTIVE"))&gt;0,1,0))</f>
        <v/>
      </c>
    </row>
    <row r="3832">
      <c r="A3832">
        <f>IF(INDEX(L_ID,ROW()-4)="","",IF(COUNTIF(P_ID,INDEX(L_ID,ROW()-4))&gt;0,1,0))</f>
        <v/>
      </c>
      <c r="B3832">
        <f>IF(INDEX(P_Type,ROW()-4)="","",TRIM(UPPER(INDEX(P_Type,ROW()-4))))</f>
        <v/>
      </c>
      <c r="D3832">
        <f>IF(INDEX(L_Type,ROW()-4)="","",TRIM(UPPER(INDEX(L_Type,ROW()-4))))</f>
        <v/>
      </c>
      <c r="E3832">
        <f>IF(INDEX(P_Status,ROW()-4)="","",TRIM(UPPER(INDEX(P_Status,ROW()-4))))</f>
        <v/>
      </c>
      <c r="G3832">
        <f>IF(INDEX(L_Status,ROW()-4)="","",TRIM(UPPER(INDEX(L_Status,ROW()-4))))</f>
        <v/>
      </c>
      <c r="J3832">
        <f>IF(INDEX(L_ID,ROW()-4)="","",IF(SUMPRODUCT((P_ID=INDEX(L_ID,ROW()-4))*(P_StatusN="INACTIVE"))&gt;0,1,0))</f>
        <v/>
      </c>
    </row>
    <row r="3833">
      <c r="A3833">
        <f>IF(INDEX(L_ID,ROW()-4)="","",IF(COUNTIF(P_ID,INDEX(L_ID,ROW()-4))&gt;0,1,0))</f>
        <v/>
      </c>
      <c r="B3833">
        <f>IF(INDEX(P_Type,ROW()-4)="","",TRIM(UPPER(INDEX(P_Type,ROW()-4))))</f>
        <v/>
      </c>
      <c r="D3833">
        <f>IF(INDEX(L_Type,ROW()-4)="","",TRIM(UPPER(INDEX(L_Type,ROW()-4))))</f>
        <v/>
      </c>
      <c r="E3833">
        <f>IF(INDEX(P_Status,ROW()-4)="","",TRIM(UPPER(INDEX(P_Status,ROW()-4))))</f>
        <v/>
      </c>
      <c r="G3833">
        <f>IF(INDEX(L_Status,ROW()-4)="","",TRIM(UPPER(INDEX(L_Status,ROW()-4))))</f>
        <v/>
      </c>
      <c r="J3833">
        <f>IF(INDEX(L_ID,ROW()-4)="","",IF(SUMPRODUCT((P_ID=INDEX(L_ID,ROW()-4))*(P_StatusN="INACTIVE"))&gt;0,1,0))</f>
        <v/>
      </c>
    </row>
    <row r="3834">
      <c r="A3834">
        <f>IF(INDEX(L_ID,ROW()-4)="","",IF(COUNTIF(P_ID,INDEX(L_ID,ROW()-4))&gt;0,1,0))</f>
        <v/>
      </c>
      <c r="B3834">
        <f>IF(INDEX(P_Type,ROW()-4)="","",TRIM(UPPER(INDEX(P_Type,ROW()-4))))</f>
        <v/>
      </c>
      <c r="D3834">
        <f>IF(INDEX(L_Type,ROW()-4)="","",TRIM(UPPER(INDEX(L_Type,ROW()-4))))</f>
        <v/>
      </c>
      <c r="E3834">
        <f>IF(INDEX(P_Status,ROW()-4)="","",TRIM(UPPER(INDEX(P_Status,ROW()-4))))</f>
        <v/>
      </c>
      <c r="G3834">
        <f>IF(INDEX(L_Status,ROW()-4)="","",TRIM(UPPER(INDEX(L_Status,ROW()-4))))</f>
        <v/>
      </c>
      <c r="J3834">
        <f>IF(INDEX(L_ID,ROW()-4)="","",IF(SUMPRODUCT((P_ID=INDEX(L_ID,ROW()-4))*(P_StatusN="INACTIVE"))&gt;0,1,0))</f>
        <v/>
      </c>
    </row>
    <row r="3835">
      <c r="A3835">
        <f>IF(INDEX(L_ID,ROW()-4)="","",IF(COUNTIF(P_ID,INDEX(L_ID,ROW()-4))&gt;0,1,0))</f>
        <v/>
      </c>
      <c r="B3835">
        <f>IF(INDEX(P_Type,ROW()-4)="","",TRIM(UPPER(INDEX(P_Type,ROW()-4))))</f>
        <v/>
      </c>
      <c r="D3835">
        <f>IF(INDEX(L_Type,ROW()-4)="","",TRIM(UPPER(INDEX(L_Type,ROW()-4))))</f>
        <v/>
      </c>
      <c r="E3835">
        <f>IF(INDEX(P_Status,ROW()-4)="","",TRIM(UPPER(INDEX(P_Status,ROW()-4))))</f>
        <v/>
      </c>
      <c r="G3835">
        <f>IF(INDEX(L_Status,ROW()-4)="","",TRIM(UPPER(INDEX(L_Status,ROW()-4))))</f>
        <v/>
      </c>
      <c r="J3835">
        <f>IF(INDEX(L_ID,ROW()-4)="","",IF(SUMPRODUCT((P_ID=INDEX(L_ID,ROW()-4))*(P_StatusN="INACTIVE"))&gt;0,1,0))</f>
        <v/>
      </c>
    </row>
    <row r="3836">
      <c r="A3836">
        <f>IF(INDEX(L_ID,ROW()-4)="","",IF(COUNTIF(P_ID,INDEX(L_ID,ROW()-4))&gt;0,1,0))</f>
        <v/>
      </c>
      <c r="B3836">
        <f>IF(INDEX(P_Type,ROW()-4)="","",TRIM(UPPER(INDEX(P_Type,ROW()-4))))</f>
        <v/>
      </c>
      <c r="D3836">
        <f>IF(INDEX(L_Type,ROW()-4)="","",TRIM(UPPER(INDEX(L_Type,ROW()-4))))</f>
        <v/>
      </c>
      <c r="E3836">
        <f>IF(INDEX(P_Status,ROW()-4)="","",TRIM(UPPER(INDEX(P_Status,ROW()-4))))</f>
        <v/>
      </c>
      <c r="G3836">
        <f>IF(INDEX(L_Status,ROW()-4)="","",TRIM(UPPER(INDEX(L_Status,ROW()-4))))</f>
        <v/>
      </c>
      <c r="J3836">
        <f>IF(INDEX(L_ID,ROW()-4)="","",IF(SUMPRODUCT((P_ID=INDEX(L_ID,ROW()-4))*(P_StatusN="INACTIVE"))&gt;0,1,0))</f>
        <v/>
      </c>
    </row>
    <row r="3837">
      <c r="A3837">
        <f>IF(INDEX(L_ID,ROW()-4)="","",IF(COUNTIF(P_ID,INDEX(L_ID,ROW()-4))&gt;0,1,0))</f>
        <v/>
      </c>
      <c r="B3837">
        <f>IF(INDEX(P_Type,ROW()-4)="","",TRIM(UPPER(INDEX(P_Type,ROW()-4))))</f>
        <v/>
      </c>
      <c r="D3837">
        <f>IF(INDEX(L_Type,ROW()-4)="","",TRIM(UPPER(INDEX(L_Type,ROW()-4))))</f>
        <v/>
      </c>
      <c r="E3837">
        <f>IF(INDEX(P_Status,ROW()-4)="","",TRIM(UPPER(INDEX(P_Status,ROW()-4))))</f>
        <v/>
      </c>
      <c r="G3837">
        <f>IF(INDEX(L_Status,ROW()-4)="","",TRIM(UPPER(INDEX(L_Status,ROW()-4))))</f>
        <v/>
      </c>
      <c r="J3837">
        <f>IF(INDEX(L_ID,ROW()-4)="","",IF(SUMPRODUCT((P_ID=INDEX(L_ID,ROW()-4))*(P_StatusN="INACTIVE"))&gt;0,1,0))</f>
        <v/>
      </c>
    </row>
    <row r="3838">
      <c r="A3838">
        <f>IF(INDEX(L_ID,ROW()-4)="","",IF(COUNTIF(P_ID,INDEX(L_ID,ROW()-4))&gt;0,1,0))</f>
        <v/>
      </c>
      <c r="B3838">
        <f>IF(INDEX(P_Type,ROW()-4)="","",TRIM(UPPER(INDEX(P_Type,ROW()-4))))</f>
        <v/>
      </c>
      <c r="D3838">
        <f>IF(INDEX(L_Type,ROW()-4)="","",TRIM(UPPER(INDEX(L_Type,ROW()-4))))</f>
        <v/>
      </c>
      <c r="E3838">
        <f>IF(INDEX(P_Status,ROW()-4)="","",TRIM(UPPER(INDEX(P_Status,ROW()-4))))</f>
        <v/>
      </c>
      <c r="G3838">
        <f>IF(INDEX(L_Status,ROW()-4)="","",TRIM(UPPER(INDEX(L_Status,ROW()-4))))</f>
        <v/>
      </c>
      <c r="J3838">
        <f>IF(INDEX(L_ID,ROW()-4)="","",IF(SUMPRODUCT((P_ID=INDEX(L_ID,ROW()-4))*(P_StatusN="INACTIVE"))&gt;0,1,0))</f>
        <v/>
      </c>
    </row>
    <row r="3839">
      <c r="A3839">
        <f>IF(INDEX(L_ID,ROW()-4)="","",IF(COUNTIF(P_ID,INDEX(L_ID,ROW()-4))&gt;0,1,0))</f>
        <v/>
      </c>
      <c r="B3839">
        <f>IF(INDEX(P_Type,ROW()-4)="","",TRIM(UPPER(INDEX(P_Type,ROW()-4))))</f>
        <v/>
      </c>
      <c r="D3839">
        <f>IF(INDEX(L_Type,ROW()-4)="","",TRIM(UPPER(INDEX(L_Type,ROW()-4))))</f>
        <v/>
      </c>
      <c r="E3839">
        <f>IF(INDEX(P_Status,ROW()-4)="","",TRIM(UPPER(INDEX(P_Status,ROW()-4))))</f>
        <v/>
      </c>
      <c r="G3839">
        <f>IF(INDEX(L_Status,ROW()-4)="","",TRIM(UPPER(INDEX(L_Status,ROW()-4))))</f>
        <v/>
      </c>
      <c r="J3839">
        <f>IF(INDEX(L_ID,ROW()-4)="","",IF(SUMPRODUCT((P_ID=INDEX(L_ID,ROW()-4))*(P_StatusN="INACTIVE"))&gt;0,1,0))</f>
        <v/>
      </c>
    </row>
    <row r="3840">
      <c r="A3840">
        <f>IF(INDEX(L_ID,ROW()-4)="","",IF(COUNTIF(P_ID,INDEX(L_ID,ROW()-4))&gt;0,1,0))</f>
        <v/>
      </c>
      <c r="B3840">
        <f>IF(INDEX(P_Type,ROW()-4)="","",TRIM(UPPER(INDEX(P_Type,ROW()-4))))</f>
        <v/>
      </c>
      <c r="D3840">
        <f>IF(INDEX(L_Type,ROW()-4)="","",TRIM(UPPER(INDEX(L_Type,ROW()-4))))</f>
        <v/>
      </c>
      <c r="E3840">
        <f>IF(INDEX(P_Status,ROW()-4)="","",TRIM(UPPER(INDEX(P_Status,ROW()-4))))</f>
        <v/>
      </c>
      <c r="G3840">
        <f>IF(INDEX(L_Status,ROW()-4)="","",TRIM(UPPER(INDEX(L_Status,ROW()-4))))</f>
        <v/>
      </c>
      <c r="J3840">
        <f>IF(INDEX(L_ID,ROW()-4)="","",IF(SUMPRODUCT((P_ID=INDEX(L_ID,ROW()-4))*(P_StatusN="INACTIVE"))&gt;0,1,0))</f>
        <v/>
      </c>
    </row>
    <row r="3841">
      <c r="A3841">
        <f>IF(INDEX(L_ID,ROW()-4)="","",IF(COUNTIF(P_ID,INDEX(L_ID,ROW()-4))&gt;0,1,0))</f>
        <v/>
      </c>
      <c r="B3841">
        <f>IF(INDEX(P_Type,ROW()-4)="","",TRIM(UPPER(INDEX(P_Type,ROW()-4))))</f>
        <v/>
      </c>
      <c r="D3841">
        <f>IF(INDEX(L_Type,ROW()-4)="","",TRIM(UPPER(INDEX(L_Type,ROW()-4))))</f>
        <v/>
      </c>
      <c r="E3841">
        <f>IF(INDEX(P_Status,ROW()-4)="","",TRIM(UPPER(INDEX(P_Status,ROW()-4))))</f>
        <v/>
      </c>
      <c r="G3841">
        <f>IF(INDEX(L_Status,ROW()-4)="","",TRIM(UPPER(INDEX(L_Status,ROW()-4))))</f>
        <v/>
      </c>
      <c r="J3841">
        <f>IF(INDEX(L_ID,ROW()-4)="","",IF(SUMPRODUCT((P_ID=INDEX(L_ID,ROW()-4))*(P_StatusN="INACTIVE"))&gt;0,1,0))</f>
        <v/>
      </c>
    </row>
    <row r="3842">
      <c r="A3842">
        <f>IF(INDEX(L_ID,ROW()-4)="","",IF(COUNTIF(P_ID,INDEX(L_ID,ROW()-4))&gt;0,1,0))</f>
        <v/>
      </c>
      <c r="B3842">
        <f>IF(INDEX(P_Type,ROW()-4)="","",TRIM(UPPER(INDEX(P_Type,ROW()-4))))</f>
        <v/>
      </c>
      <c r="D3842">
        <f>IF(INDEX(L_Type,ROW()-4)="","",TRIM(UPPER(INDEX(L_Type,ROW()-4))))</f>
        <v/>
      </c>
      <c r="E3842">
        <f>IF(INDEX(P_Status,ROW()-4)="","",TRIM(UPPER(INDEX(P_Status,ROW()-4))))</f>
        <v/>
      </c>
      <c r="G3842">
        <f>IF(INDEX(L_Status,ROW()-4)="","",TRIM(UPPER(INDEX(L_Status,ROW()-4))))</f>
        <v/>
      </c>
      <c r="J3842">
        <f>IF(INDEX(L_ID,ROW()-4)="","",IF(SUMPRODUCT((P_ID=INDEX(L_ID,ROW()-4))*(P_StatusN="INACTIVE"))&gt;0,1,0))</f>
        <v/>
      </c>
    </row>
    <row r="3843">
      <c r="A3843">
        <f>IF(INDEX(L_ID,ROW()-4)="","",IF(COUNTIF(P_ID,INDEX(L_ID,ROW()-4))&gt;0,1,0))</f>
        <v/>
      </c>
      <c r="B3843">
        <f>IF(INDEX(P_Type,ROW()-4)="","",TRIM(UPPER(INDEX(P_Type,ROW()-4))))</f>
        <v/>
      </c>
      <c r="D3843">
        <f>IF(INDEX(L_Type,ROW()-4)="","",TRIM(UPPER(INDEX(L_Type,ROW()-4))))</f>
        <v/>
      </c>
      <c r="E3843">
        <f>IF(INDEX(P_Status,ROW()-4)="","",TRIM(UPPER(INDEX(P_Status,ROW()-4))))</f>
        <v/>
      </c>
      <c r="G3843">
        <f>IF(INDEX(L_Status,ROW()-4)="","",TRIM(UPPER(INDEX(L_Status,ROW()-4))))</f>
        <v/>
      </c>
      <c r="J3843">
        <f>IF(INDEX(L_ID,ROW()-4)="","",IF(SUMPRODUCT((P_ID=INDEX(L_ID,ROW()-4))*(P_StatusN="INACTIVE"))&gt;0,1,0))</f>
        <v/>
      </c>
    </row>
    <row r="3844">
      <c r="A3844">
        <f>IF(INDEX(L_ID,ROW()-4)="","",IF(COUNTIF(P_ID,INDEX(L_ID,ROW()-4))&gt;0,1,0))</f>
        <v/>
      </c>
      <c r="B3844">
        <f>IF(INDEX(P_Type,ROW()-4)="","",TRIM(UPPER(INDEX(P_Type,ROW()-4))))</f>
        <v/>
      </c>
      <c r="D3844">
        <f>IF(INDEX(L_Type,ROW()-4)="","",TRIM(UPPER(INDEX(L_Type,ROW()-4))))</f>
        <v/>
      </c>
      <c r="E3844">
        <f>IF(INDEX(P_Status,ROW()-4)="","",TRIM(UPPER(INDEX(P_Status,ROW()-4))))</f>
        <v/>
      </c>
      <c r="G3844">
        <f>IF(INDEX(L_Status,ROW()-4)="","",TRIM(UPPER(INDEX(L_Status,ROW()-4))))</f>
        <v/>
      </c>
      <c r="J3844">
        <f>IF(INDEX(L_ID,ROW()-4)="","",IF(SUMPRODUCT((P_ID=INDEX(L_ID,ROW()-4))*(P_StatusN="INACTIVE"))&gt;0,1,0))</f>
        <v/>
      </c>
    </row>
    <row r="3845">
      <c r="A3845">
        <f>IF(INDEX(L_ID,ROW()-4)="","",IF(COUNTIF(P_ID,INDEX(L_ID,ROW()-4))&gt;0,1,0))</f>
        <v/>
      </c>
      <c r="B3845">
        <f>IF(INDEX(P_Type,ROW()-4)="","",TRIM(UPPER(INDEX(P_Type,ROW()-4))))</f>
        <v/>
      </c>
      <c r="D3845">
        <f>IF(INDEX(L_Type,ROW()-4)="","",TRIM(UPPER(INDEX(L_Type,ROW()-4))))</f>
        <v/>
      </c>
      <c r="E3845">
        <f>IF(INDEX(P_Status,ROW()-4)="","",TRIM(UPPER(INDEX(P_Status,ROW()-4))))</f>
        <v/>
      </c>
      <c r="G3845">
        <f>IF(INDEX(L_Status,ROW()-4)="","",TRIM(UPPER(INDEX(L_Status,ROW()-4))))</f>
        <v/>
      </c>
      <c r="J3845">
        <f>IF(INDEX(L_ID,ROW()-4)="","",IF(SUMPRODUCT((P_ID=INDEX(L_ID,ROW()-4))*(P_StatusN="INACTIVE"))&gt;0,1,0))</f>
        <v/>
      </c>
    </row>
    <row r="3846">
      <c r="A3846">
        <f>IF(INDEX(L_ID,ROW()-4)="","",IF(COUNTIF(P_ID,INDEX(L_ID,ROW()-4))&gt;0,1,0))</f>
        <v/>
      </c>
      <c r="B3846">
        <f>IF(INDEX(P_Type,ROW()-4)="","",TRIM(UPPER(INDEX(P_Type,ROW()-4))))</f>
        <v/>
      </c>
      <c r="D3846">
        <f>IF(INDEX(L_Type,ROW()-4)="","",TRIM(UPPER(INDEX(L_Type,ROW()-4))))</f>
        <v/>
      </c>
      <c r="E3846">
        <f>IF(INDEX(P_Status,ROW()-4)="","",TRIM(UPPER(INDEX(P_Status,ROW()-4))))</f>
        <v/>
      </c>
      <c r="G3846">
        <f>IF(INDEX(L_Status,ROW()-4)="","",TRIM(UPPER(INDEX(L_Status,ROW()-4))))</f>
        <v/>
      </c>
      <c r="J3846">
        <f>IF(INDEX(L_ID,ROW()-4)="","",IF(SUMPRODUCT((P_ID=INDEX(L_ID,ROW()-4))*(P_StatusN="INACTIVE"))&gt;0,1,0))</f>
        <v/>
      </c>
    </row>
    <row r="3847">
      <c r="A3847">
        <f>IF(INDEX(L_ID,ROW()-4)="","",IF(COUNTIF(P_ID,INDEX(L_ID,ROW()-4))&gt;0,1,0))</f>
        <v/>
      </c>
      <c r="B3847">
        <f>IF(INDEX(P_Type,ROW()-4)="","",TRIM(UPPER(INDEX(P_Type,ROW()-4))))</f>
        <v/>
      </c>
      <c r="D3847">
        <f>IF(INDEX(L_Type,ROW()-4)="","",TRIM(UPPER(INDEX(L_Type,ROW()-4))))</f>
        <v/>
      </c>
      <c r="E3847">
        <f>IF(INDEX(P_Status,ROW()-4)="","",TRIM(UPPER(INDEX(P_Status,ROW()-4))))</f>
        <v/>
      </c>
      <c r="G3847">
        <f>IF(INDEX(L_Status,ROW()-4)="","",TRIM(UPPER(INDEX(L_Status,ROW()-4))))</f>
        <v/>
      </c>
      <c r="J3847">
        <f>IF(INDEX(L_ID,ROW()-4)="","",IF(SUMPRODUCT((P_ID=INDEX(L_ID,ROW()-4))*(P_StatusN="INACTIVE"))&gt;0,1,0))</f>
        <v/>
      </c>
    </row>
    <row r="3848">
      <c r="A3848">
        <f>IF(INDEX(L_ID,ROW()-4)="","",IF(COUNTIF(P_ID,INDEX(L_ID,ROW()-4))&gt;0,1,0))</f>
        <v/>
      </c>
      <c r="B3848">
        <f>IF(INDEX(P_Type,ROW()-4)="","",TRIM(UPPER(INDEX(P_Type,ROW()-4))))</f>
        <v/>
      </c>
      <c r="D3848">
        <f>IF(INDEX(L_Type,ROW()-4)="","",TRIM(UPPER(INDEX(L_Type,ROW()-4))))</f>
        <v/>
      </c>
      <c r="E3848">
        <f>IF(INDEX(P_Status,ROW()-4)="","",TRIM(UPPER(INDEX(P_Status,ROW()-4))))</f>
        <v/>
      </c>
      <c r="G3848">
        <f>IF(INDEX(L_Status,ROW()-4)="","",TRIM(UPPER(INDEX(L_Status,ROW()-4))))</f>
        <v/>
      </c>
      <c r="J3848">
        <f>IF(INDEX(L_ID,ROW()-4)="","",IF(SUMPRODUCT((P_ID=INDEX(L_ID,ROW()-4))*(P_StatusN="INACTIVE"))&gt;0,1,0))</f>
        <v/>
      </c>
    </row>
    <row r="3849">
      <c r="A3849">
        <f>IF(INDEX(L_ID,ROW()-4)="","",IF(COUNTIF(P_ID,INDEX(L_ID,ROW()-4))&gt;0,1,0))</f>
        <v/>
      </c>
      <c r="B3849">
        <f>IF(INDEX(P_Type,ROW()-4)="","",TRIM(UPPER(INDEX(P_Type,ROW()-4))))</f>
        <v/>
      </c>
      <c r="D3849">
        <f>IF(INDEX(L_Type,ROW()-4)="","",TRIM(UPPER(INDEX(L_Type,ROW()-4))))</f>
        <v/>
      </c>
      <c r="E3849">
        <f>IF(INDEX(P_Status,ROW()-4)="","",TRIM(UPPER(INDEX(P_Status,ROW()-4))))</f>
        <v/>
      </c>
      <c r="G3849">
        <f>IF(INDEX(L_Status,ROW()-4)="","",TRIM(UPPER(INDEX(L_Status,ROW()-4))))</f>
        <v/>
      </c>
      <c r="J3849">
        <f>IF(INDEX(L_ID,ROW()-4)="","",IF(SUMPRODUCT((P_ID=INDEX(L_ID,ROW()-4))*(P_StatusN="INACTIVE"))&gt;0,1,0))</f>
        <v/>
      </c>
    </row>
    <row r="3850">
      <c r="A3850">
        <f>IF(INDEX(L_ID,ROW()-4)="","",IF(COUNTIF(P_ID,INDEX(L_ID,ROW()-4))&gt;0,1,0))</f>
        <v/>
      </c>
      <c r="B3850">
        <f>IF(INDEX(P_Type,ROW()-4)="","",TRIM(UPPER(INDEX(P_Type,ROW()-4))))</f>
        <v/>
      </c>
      <c r="D3850">
        <f>IF(INDEX(L_Type,ROW()-4)="","",TRIM(UPPER(INDEX(L_Type,ROW()-4))))</f>
        <v/>
      </c>
      <c r="E3850">
        <f>IF(INDEX(P_Status,ROW()-4)="","",TRIM(UPPER(INDEX(P_Status,ROW()-4))))</f>
        <v/>
      </c>
      <c r="G3850">
        <f>IF(INDEX(L_Status,ROW()-4)="","",TRIM(UPPER(INDEX(L_Status,ROW()-4))))</f>
        <v/>
      </c>
      <c r="J3850">
        <f>IF(INDEX(L_ID,ROW()-4)="","",IF(SUMPRODUCT((P_ID=INDEX(L_ID,ROW()-4))*(P_StatusN="INACTIVE"))&gt;0,1,0))</f>
        <v/>
      </c>
    </row>
    <row r="3851">
      <c r="A3851">
        <f>IF(INDEX(L_ID,ROW()-4)="","",IF(COUNTIF(P_ID,INDEX(L_ID,ROW()-4))&gt;0,1,0))</f>
        <v/>
      </c>
      <c r="B3851">
        <f>IF(INDEX(P_Type,ROW()-4)="","",TRIM(UPPER(INDEX(P_Type,ROW()-4))))</f>
        <v/>
      </c>
      <c r="D3851">
        <f>IF(INDEX(L_Type,ROW()-4)="","",TRIM(UPPER(INDEX(L_Type,ROW()-4))))</f>
        <v/>
      </c>
      <c r="E3851">
        <f>IF(INDEX(P_Status,ROW()-4)="","",TRIM(UPPER(INDEX(P_Status,ROW()-4))))</f>
        <v/>
      </c>
      <c r="G3851">
        <f>IF(INDEX(L_Status,ROW()-4)="","",TRIM(UPPER(INDEX(L_Status,ROW()-4))))</f>
        <v/>
      </c>
      <c r="J3851">
        <f>IF(INDEX(L_ID,ROW()-4)="","",IF(SUMPRODUCT((P_ID=INDEX(L_ID,ROW()-4))*(P_StatusN="INACTIVE"))&gt;0,1,0))</f>
        <v/>
      </c>
    </row>
    <row r="3852">
      <c r="A3852">
        <f>IF(INDEX(L_ID,ROW()-4)="","",IF(COUNTIF(P_ID,INDEX(L_ID,ROW()-4))&gt;0,1,0))</f>
        <v/>
      </c>
      <c r="B3852">
        <f>IF(INDEX(P_Type,ROW()-4)="","",TRIM(UPPER(INDEX(P_Type,ROW()-4))))</f>
        <v/>
      </c>
      <c r="D3852">
        <f>IF(INDEX(L_Type,ROW()-4)="","",TRIM(UPPER(INDEX(L_Type,ROW()-4))))</f>
        <v/>
      </c>
      <c r="E3852">
        <f>IF(INDEX(P_Status,ROW()-4)="","",TRIM(UPPER(INDEX(P_Status,ROW()-4))))</f>
        <v/>
      </c>
      <c r="G3852">
        <f>IF(INDEX(L_Status,ROW()-4)="","",TRIM(UPPER(INDEX(L_Status,ROW()-4))))</f>
        <v/>
      </c>
      <c r="J3852">
        <f>IF(INDEX(L_ID,ROW()-4)="","",IF(SUMPRODUCT((P_ID=INDEX(L_ID,ROW()-4))*(P_StatusN="INACTIVE"))&gt;0,1,0))</f>
        <v/>
      </c>
    </row>
    <row r="3853">
      <c r="A3853">
        <f>IF(INDEX(L_ID,ROW()-4)="","",IF(COUNTIF(P_ID,INDEX(L_ID,ROW()-4))&gt;0,1,0))</f>
        <v/>
      </c>
      <c r="B3853">
        <f>IF(INDEX(P_Type,ROW()-4)="","",TRIM(UPPER(INDEX(P_Type,ROW()-4))))</f>
        <v/>
      </c>
      <c r="D3853">
        <f>IF(INDEX(L_Type,ROW()-4)="","",TRIM(UPPER(INDEX(L_Type,ROW()-4))))</f>
        <v/>
      </c>
      <c r="E3853">
        <f>IF(INDEX(P_Status,ROW()-4)="","",TRIM(UPPER(INDEX(P_Status,ROW()-4))))</f>
        <v/>
      </c>
      <c r="G3853">
        <f>IF(INDEX(L_Status,ROW()-4)="","",TRIM(UPPER(INDEX(L_Status,ROW()-4))))</f>
        <v/>
      </c>
      <c r="J3853">
        <f>IF(INDEX(L_ID,ROW()-4)="","",IF(SUMPRODUCT((P_ID=INDEX(L_ID,ROW()-4))*(P_StatusN="INACTIVE"))&gt;0,1,0))</f>
        <v/>
      </c>
    </row>
    <row r="3854">
      <c r="A3854">
        <f>IF(INDEX(L_ID,ROW()-4)="","",IF(COUNTIF(P_ID,INDEX(L_ID,ROW()-4))&gt;0,1,0))</f>
        <v/>
      </c>
      <c r="B3854">
        <f>IF(INDEX(P_Type,ROW()-4)="","",TRIM(UPPER(INDEX(P_Type,ROW()-4))))</f>
        <v/>
      </c>
      <c r="D3854">
        <f>IF(INDEX(L_Type,ROW()-4)="","",TRIM(UPPER(INDEX(L_Type,ROW()-4))))</f>
        <v/>
      </c>
      <c r="E3854">
        <f>IF(INDEX(P_Status,ROW()-4)="","",TRIM(UPPER(INDEX(P_Status,ROW()-4))))</f>
        <v/>
      </c>
      <c r="G3854">
        <f>IF(INDEX(L_Status,ROW()-4)="","",TRIM(UPPER(INDEX(L_Status,ROW()-4))))</f>
        <v/>
      </c>
      <c r="J3854">
        <f>IF(INDEX(L_ID,ROW()-4)="","",IF(SUMPRODUCT((P_ID=INDEX(L_ID,ROW()-4))*(P_StatusN="INACTIVE"))&gt;0,1,0))</f>
        <v/>
      </c>
    </row>
    <row r="3855">
      <c r="A3855">
        <f>IF(INDEX(L_ID,ROW()-4)="","",IF(COUNTIF(P_ID,INDEX(L_ID,ROW()-4))&gt;0,1,0))</f>
        <v/>
      </c>
      <c r="B3855">
        <f>IF(INDEX(P_Type,ROW()-4)="","",TRIM(UPPER(INDEX(P_Type,ROW()-4))))</f>
        <v/>
      </c>
      <c r="D3855">
        <f>IF(INDEX(L_Type,ROW()-4)="","",TRIM(UPPER(INDEX(L_Type,ROW()-4))))</f>
        <v/>
      </c>
      <c r="E3855">
        <f>IF(INDEX(P_Status,ROW()-4)="","",TRIM(UPPER(INDEX(P_Status,ROW()-4))))</f>
        <v/>
      </c>
      <c r="G3855">
        <f>IF(INDEX(L_Status,ROW()-4)="","",TRIM(UPPER(INDEX(L_Status,ROW()-4))))</f>
        <v/>
      </c>
      <c r="J3855">
        <f>IF(INDEX(L_ID,ROW()-4)="","",IF(SUMPRODUCT((P_ID=INDEX(L_ID,ROW()-4))*(P_StatusN="INACTIVE"))&gt;0,1,0))</f>
        <v/>
      </c>
    </row>
    <row r="3856">
      <c r="A3856">
        <f>IF(INDEX(L_ID,ROW()-4)="","",IF(COUNTIF(P_ID,INDEX(L_ID,ROW()-4))&gt;0,1,0))</f>
        <v/>
      </c>
      <c r="B3856">
        <f>IF(INDEX(P_Type,ROW()-4)="","",TRIM(UPPER(INDEX(P_Type,ROW()-4))))</f>
        <v/>
      </c>
      <c r="D3856">
        <f>IF(INDEX(L_Type,ROW()-4)="","",TRIM(UPPER(INDEX(L_Type,ROW()-4))))</f>
        <v/>
      </c>
      <c r="E3856">
        <f>IF(INDEX(P_Status,ROW()-4)="","",TRIM(UPPER(INDEX(P_Status,ROW()-4))))</f>
        <v/>
      </c>
      <c r="G3856">
        <f>IF(INDEX(L_Status,ROW()-4)="","",TRIM(UPPER(INDEX(L_Status,ROW()-4))))</f>
        <v/>
      </c>
      <c r="J3856">
        <f>IF(INDEX(L_ID,ROW()-4)="","",IF(SUMPRODUCT((P_ID=INDEX(L_ID,ROW()-4))*(P_StatusN="INACTIVE"))&gt;0,1,0))</f>
        <v/>
      </c>
    </row>
    <row r="3857">
      <c r="A3857">
        <f>IF(INDEX(L_ID,ROW()-4)="","",IF(COUNTIF(P_ID,INDEX(L_ID,ROW()-4))&gt;0,1,0))</f>
        <v/>
      </c>
      <c r="B3857">
        <f>IF(INDEX(P_Type,ROW()-4)="","",TRIM(UPPER(INDEX(P_Type,ROW()-4))))</f>
        <v/>
      </c>
      <c r="D3857">
        <f>IF(INDEX(L_Type,ROW()-4)="","",TRIM(UPPER(INDEX(L_Type,ROW()-4))))</f>
        <v/>
      </c>
      <c r="E3857">
        <f>IF(INDEX(P_Status,ROW()-4)="","",TRIM(UPPER(INDEX(P_Status,ROW()-4))))</f>
        <v/>
      </c>
      <c r="G3857">
        <f>IF(INDEX(L_Status,ROW()-4)="","",TRIM(UPPER(INDEX(L_Status,ROW()-4))))</f>
        <v/>
      </c>
      <c r="J3857">
        <f>IF(INDEX(L_ID,ROW()-4)="","",IF(SUMPRODUCT((P_ID=INDEX(L_ID,ROW()-4))*(P_StatusN="INACTIVE"))&gt;0,1,0))</f>
        <v/>
      </c>
    </row>
    <row r="3858">
      <c r="A3858">
        <f>IF(INDEX(L_ID,ROW()-4)="","",IF(COUNTIF(P_ID,INDEX(L_ID,ROW()-4))&gt;0,1,0))</f>
        <v/>
      </c>
      <c r="B3858">
        <f>IF(INDEX(P_Type,ROW()-4)="","",TRIM(UPPER(INDEX(P_Type,ROW()-4))))</f>
        <v/>
      </c>
      <c r="D3858">
        <f>IF(INDEX(L_Type,ROW()-4)="","",TRIM(UPPER(INDEX(L_Type,ROW()-4))))</f>
        <v/>
      </c>
      <c r="E3858">
        <f>IF(INDEX(P_Status,ROW()-4)="","",TRIM(UPPER(INDEX(P_Status,ROW()-4))))</f>
        <v/>
      </c>
      <c r="G3858">
        <f>IF(INDEX(L_Status,ROW()-4)="","",TRIM(UPPER(INDEX(L_Status,ROW()-4))))</f>
        <v/>
      </c>
      <c r="J3858">
        <f>IF(INDEX(L_ID,ROW()-4)="","",IF(SUMPRODUCT((P_ID=INDEX(L_ID,ROW()-4))*(P_StatusN="INACTIVE"))&gt;0,1,0))</f>
        <v/>
      </c>
    </row>
    <row r="3859">
      <c r="A3859">
        <f>IF(INDEX(L_ID,ROW()-4)="","",IF(COUNTIF(P_ID,INDEX(L_ID,ROW()-4))&gt;0,1,0))</f>
        <v/>
      </c>
      <c r="B3859">
        <f>IF(INDEX(P_Type,ROW()-4)="","",TRIM(UPPER(INDEX(P_Type,ROW()-4))))</f>
        <v/>
      </c>
      <c r="D3859">
        <f>IF(INDEX(L_Type,ROW()-4)="","",TRIM(UPPER(INDEX(L_Type,ROW()-4))))</f>
        <v/>
      </c>
      <c r="E3859">
        <f>IF(INDEX(P_Status,ROW()-4)="","",TRIM(UPPER(INDEX(P_Status,ROW()-4))))</f>
        <v/>
      </c>
      <c r="G3859">
        <f>IF(INDEX(L_Status,ROW()-4)="","",TRIM(UPPER(INDEX(L_Status,ROW()-4))))</f>
        <v/>
      </c>
      <c r="J3859">
        <f>IF(INDEX(L_ID,ROW()-4)="","",IF(SUMPRODUCT((P_ID=INDEX(L_ID,ROW()-4))*(P_StatusN="INACTIVE"))&gt;0,1,0))</f>
        <v/>
      </c>
    </row>
    <row r="3860">
      <c r="A3860">
        <f>IF(INDEX(L_ID,ROW()-4)="","",IF(COUNTIF(P_ID,INDEX(L_ID,ROW()-4))&gt;0,1,0))</f>
        <v/>
      </c>
      <c r="B3860">
        <f>IF(INDEX(P_Type,ROW()-4)="","",TRIM(UPPER(INDEX(P_Type,ROW()-4))))</f>
        <v/>
      </c>
      <c r="D3860">
        <f>IF(INDEX(L_Type,ROW()-4)="","",TRIM(UPPER(INDEX(L_Type,ROW()-4))))</f>
        <v/>
      </c>
      <c r="E3860">
        <f>IF(INDEX(P_Status,ROW()-4)="","",TRIM(UPPER(INDEX(P_Status,ROW()-4))))</f>
        <v/>
      </c>
      <c r="G3860">
        <f>IF(INDEX(L_Status,ROW()-4)="","",TRIM(UPPER(INDEX(L_Status,ROW()-4))))</f>
        <v/>
      </c>
      <c r="J3860">
        <f>IF(INDEX(L_ID,ROW()-4)="","",IF(SUMPRODUCT((P_ID=INDEX(L_ID,ROW()-4))*(P_StatusN="INACTIVE"))&gt;0,1,0))</f>
        <v/>
      </c>
    </row>
    <row r="3861">
      <c r="A3861">
        <f>IF(INDEX(L_ID,ROW()-4)="","",IF(COUNTIF(P_ID,INDEX(L_ID,ROW()-4))&gt;0,1,0))</f>
        <v/>
      </c>
      <c r="B3861">
        <f>IF(INDEX(P_Type,ROW()-4)="","",TRIM(UPPER(INDEX(P_Type,ROW()-4))))</f>
        <v/>
      </c>
      <c r="D3861">
        <f>IF(INDEX(L_Type,ROW()-4)="","",TRIM(UPPER(INDEX(L_Type,ROW()-4))))</f>
        <v/>
      </c>
      <c r="E3861">
        <f>IF(INDEX(P_Status,ROW()-4)="","",TRIM(UPPER(INDEX(P_Status,ROW()-4))))</f>
        <v/>
      </c>
      <c r="G3861">
        <f>IF(INDEX(L_Status,ROW()-4)="","",TRIM(UPPER(INDEX(L_Status,ROW()-4))))</f>
        <v/>
      </c>
      <c r="J3861">
        <f>IF(INDEX(L_ID,ROW()-4)="","",IF(SUMPRODUCT((P_ID=INDEX(L_ID,ROW()-4))*(P_StatusN="INACTIVE"))&gt;0,1,0))</f>
        <v/>
      </c>
    </row>
    <row r="3862">
      <c r="A3862">
        <f>IF(INDEX(L_ID,ROW()-4)="","",IF(COUNTIF(P_ID,INDEX(L_ID,ROW()-4))&gt;0,1,0))</f>
        <v/>
      </c>
      <c r="B3862">
        <f>IF(INDEX(P_Type,ROW()-4)="","",TRIM(UPPER(INDEX(P_Type,ROW()-4))))</f>
        <v/>
      </c>
      <c r="D3862">
        <f>IF(INDEX(L_Type,ROW()-4)="","",TRIM(UPPER(INDEX(L_Type,ROW()-4))))</f>
        <v/>
      </c>
      <c r="E3862">
        <f>IF(INDEX(P_Status,ROW()-4)="","",TRIM(UPPER(INDEX(P_Status,ROW()-4))))</f>
        <v/>
      </c>
      <c r="G3862">
        <f>IF(INDEX(L_Status,ROW()-4)="","",TRIM(UPPER(INDEX(L_Status,ROW()-4))))</f>
        <v/>
      </c>
      <c r="J3862">
        <f>IF(INDEX(L_ID,ROW()-4)="","",IF(SUMPRODUCT((P_ID=INDEX(L_ID,ROW()-4))*(P_StatusN="INACTIVE"))&gt;0,1,0))</f>
        <v/>
      </c>
    </row>
    <row r="3863">
      <c r="A3863">
        <f>IF(INDEX(L_ID,ROW()-4)="","",IF(COUNTIF(P_ID,INDEX(L_ID,ROW()-4))&gt;0,1,0))</f>
        <v/>
      </c>
      <c r="B3863">
        <f>IF(INDEX(P_Type,ROW()-4)="","",TRIM(UPPER(INDEX(P_Type,ROW()-4))))</f>
        <v/>
      </c>
      <c r="D3863">
        <f>IF(INDEX(L_Type,ROW()-4)="","",TRIM(UPPER(INDEX(L_Type,ROW()-4))))</f>
        <v/>
      </c>
      <c r="E3863">
        <f>IF(INDEX(P_Status,ROW()-4)="","",TRIM(UPPER(INDEX(P_Status,ROW()-4))))</f>
        <v/>
      </c>
      <c r="G3863">
        <f>IF(INDEX(L_Status,ROW()-4)="","",TRIM(UPPER(INDEX(L_Status,ROW()-4))))</f>
        <v/>
      </c>
      <c r="J3863">
        <f>IF(INDEX(L_ID,ROW()-4)="","",IF(SUMPRODUCT((P_ID=INDEX(L_ID,ROW()-4))*(P_StatusN="INACTIVE"))&gt;0,1,0))</f>
        <v/>
      </c>
    </row>
    <row r="3864">
      <c r="A3864">
        <f>IF(INDEX(L_ID,ROW()-4)="","",IF(COUNTIF(P_ID,INDEX(L_ID,ROW()-4))&gt;0,1,0))</f>
        <v/>
      </c>
      <c r="B3864">
        <f>IF(INDEX(P_Type,ROW()-4)="","",TRIM(UPPER(INDEX(P_Type,ROW()-4))))</f>
        <v/>
      </c>
      <c r="D3864">
        <f>IF(INDEX(L_Type,ROW()-4)="","",TRIM(UPPER(INDEX(L_Type,ROW()-4))))</f>
        <v/>
      </c>
      <c r="E3864">
        <f>IF(INDEX(P_Status,ROW()-4)="","",TRIM(UPPER(INDEX(P_Status,ROW()-4))))</f>
        <v/>
      </c>
      <c r="G3864">
        <f>IF(INDEX(L_Status,ROW()-4)="","",TRIM(UPPER(INDEX(L_Status,ROW()-4))))</f>
        <v/>
      </c>
      <c r="J3864">
        <f>IF(INDEX(L_ID,ROW()-4)="","",IF(SUMPRODUCT((P_ID=INDEX(L_ID,ROW()-4))*(P_StatusN="INACTIVE"))&gt;0,1,0))</f>
        <v/>
      </c>
    </row>
    <row r="3865">
      <c r="A3865">
        <f>IF(INDEX(L_ID,ROW()-4)="","",IF(COUNTIF(P_ID,INDEX(L_ID,ROW()-4))&gt;0,1,0))</f>
        <v/>
      </c>
      <c r="B3865">
        <f>IF(INDEX(P_Type,ROW()-4)="","",TRIM(UPPER(INDEX(P_Type,ROW()-4))))</f>
        <v/>
      </c>
      <c r="D3865">
        <f>IF(INDEX(L_Type,ROW()-4)="","",TRIM(UPPER(INDEX(L_Type,ROW()-4))))</f>
        <v/>
      </c>
      <c r="E3865">
        <f>IF(INDEX(P_Status,ROW()-4)="","",TRIM(UPPER(INDEX(P_Status,ROW()-4))))</f>
        <v/>
      </c>
      <c r="G3865">
        <f>IF(INDEX(L_Status,ROW()-4)="","",TRIM(UPPER(INDEX(L_Status,ROW()-4))))</f>
        <v/>
      </c>
      <c r="J3865">
        <f>IF(INDEX(L_ID,ROW()-4)="","",IF(SUMPRODUCT((P_ID=INDEX(L_ID,ROW()-4))*(P_StatusN="INACTIVE"))&gt;0,1,0))</f>
        <v/>
      </c>
    </row>
    <row r="3866">
      <c r="A3866">
        <f>IF(INDEX(L_ID,ROW()-4)="","",IF(COUNTIF(P_ID,INDEX(L_ID,ROW()-4))&gt;0,1,0))</f>
        <v/>
      </c>
      <c r="B3866">
        <f>IF(INDEX(P_Type,ROW()-4)="","",TRIM(UPPER(INDEX(P_Type,ROW()-4))))</f>
        <v/>
      </c>
      <c r="D3866">
        <f>IF(INDEX(L_Type,ROW()-4)="","",TRIM(UPPER(INDEX(L_Type,ROW()-4))))</f>
        <v/>
      </c>
      <c r="E3866">
        <f>IF(INDEX(P_Status,ROW()-4)="","",TRIM(UPPER(INDEX(P_Status,ROW()-4))))</f>
        <v/>
      </c>
      <c r="G3866">
        <f>IF(INDEX(L_Status,ROW()-4)="","",TRIM(UPPER(INDEX(L_Status,ROW()-4))))</f>
        <v/>
      </c>
      <c r="J3866">
        <f>IF(INDEX(L_ID,ROW()-4)="","",IF(SUMPRODUCT((P_ID=INDEX(L_ID,ROW()-4))*(P_StatusN="INACTIVE"))&gt;0,1,0))</f>
        <v/>
      </c>
    </row>
    <row r="3867">
      <c r="A3867">
        <f>IF(INDEX(L_ID,ROW()-4)="","",IF(COUNTIF(P_ID,INDEX(L_ID,ROW()-4))&gt;0,1,0))</f>
        <v/>
      </c>
      <c r="B3867">
        <f>IF(INDEX(P_Type,ROW()-4)="","",TRIM(UPPER(INDEX(P_Type,ROW()-4))))</f>
        <v/>
      </c>
      <c r="D3867">
        <f>IF(INDEX(L_Type,ROW()-4)="","",TRIM(UPPER(INDEX(L_Type,ROW()-4))))</f>
        <v/>
      </c>
      <c r="E3867">
        <f>IF(INDEX(P_Status,ROW()-4)="","",TRIM(UPPER(INDEX(P_Status,ROW()-4))))</f>
        <v/>
      </c>
      <c r="G3867">
        <f>IF(INDEX(L_Status,ROW()-4)="","",TRIM(UPPER(INDEX(L_Status,ROW()-4))))</f>
        <v/>
      </c>
      <c r="J3867">
        <f>IF(INDEX(L_ID,ROW()-4)="","",IF(SUMPRODUCT((P_ID=INDEX(L_ID,ROW()-4))*(P_StatusN="INACTIVE"))&gt;0,1,0))</f>
        <v/>
      </c>
    </row>
    <row r="3868">
      <c r="A3868">
        <f>IF(INDEX(L_ID,ROW()-4)="","",IF(COUNTIF(P_ID,INDEX(L_ID,ROW()-4))&gt;0,1,0))</f>
        <v/>
      </c>
      <c r="B3868">
        <f>IF(INDEX(P_Type,ROW()-4)="","",TRIM(UPPER(INDEX(P_Type,ROW()-4))))</f>
        <v/>
      </c>
      <c r="D3868">
        <f>IF(INDEX(L_Type,ROW()-4)="","",TRIM(UPPER(INDEX(L_Type,ROW()-4))))</f>
        <v/>
      </c>
      <c r="E3868">
        <f>IF(INDEX(P_Status,ROW()-4)="","",TRIM(UPPER(INDEX(P_Status,ROW()-4))))</f>
        <v/>
      </c>
      <c r="G3868">
        <f>IF(INDEX(L_Status,ROW()-4)="","",TRIM(UPPER(INDEX(L_Status,ROW()-4))))</f>
        <v/>
      </c>
      <c r="J3868">
        <f>IF(INDEX(L_ID,ROW()-4)="","",IF(SUMPRODUCT((P_ID=INDEX(L_ID,ROW()-4))*(P_StatusN="INACTIVE"))&gt;0,1,0))</f>
        <v/>
      </c>
    </row>
    <row r="3869">
      <c r="A3869">
        <f>IF(INDEX(L_ID,ROW()-4)="","",IF(COUNTIF(P_ID,INDEX(L_ID,ROW()-4))&gt;0,1,0))</f>
        <v/>
      </c>
      <c r="B3869">
        <f>IF(INDEX(P_Type,ROW()-4)="","",TRIM(UPPER(INDEX(P_Type,ROW()-4))))</f>
        <v/>
      </c>
      <c r="D3869">
        <f>IF(INDEX(L_Type,ROW()-4)="","",TRIM(UPPER(INDEX(L_Type,ROW()-4))))</f>
        <v/>
      </c>
      <c r="E3869">
        <f>IF(INDEX(P_Status,ROW()-4)="","",TRIM(UPPER(INDEX(P_Status,ROW()-4))))</f>
        <v/>
      </c>
      <c r="G3869">
        <f>IF(INDEX(L_Status,ROW()-4)="","",TRIM(UPPER(INDEX(L_Status,ROW()-4))))</f>
        <v/>
      </c>
      <c r="J3869">
        <f>IF(INDEX(L_ID,ROW()-4)="","",IF(SUMPRODUCT((P_ID=INDEX(L_ID,ROW()-4))*(P_StatusN="INACTIVE"))&gt;0,1,0))</f>
        <v/>
      </c>
    </row>
    <row r="3870">
      <c r="A3870">
        <f>IF(INDEX(L_ID,ROW()-4)="","",IF(COUNTIF(P_ID,INDEX(L_ID,ROW()-4))&gt;0,1,0))</f>
        <v/>
      </c>
      <c r="B3870">
        <f>IF(INDEX(P_Type,ROW()-4)="","",TRIM(UPPER(INDEX(P_Type,ROW()-4))))</f>
        <v/>
      </c>
      <c r="D3870">
        <f>IF(INDEX(L_Type,ROW()-4)="","",TRIM(UPPER(INDEX(L_Type,ROW()-4))))</f>
        <v/>
      </c>
      <c r="E3870">
        <f>IF(INDEX(P_Status,ROW()-4)="","",TRIM(UPPER(INDEX(P_Status,ROW()-4))))</f>
        <v/>
      </c>
      <c r="G3870">
        <f>IF(INDEX(L_Status,ROW()-4)="","",TRIM(UPPER(INDEX(L_Status,ROW()-4))))</f>
        <v/>
      </c>
      <c r="J3870">
        <f>IF(INDEX(L_ID,ROW()-4)="","",IF(SUMPRODUCT((P_ID=INDEX(L_ID,ROW()-4))*(P_StatusN="INACTIVE"))&gt;0,1,0))</f>
        <v/>
      </c>
    </row>
    <row r="3871">
      <c r="A3871">
        <f>IF(INDEX(L_ID,ROW()-4)="","",IF(COUNTIF(P_ID,INDEX(L_ID,ROW()-4))&gt;0,1,0))</f>
        <v/>
      </c>
      <c r="B3871">
        <f>IF(INDEX(P_Type,ROW()-4)="","",TRIM(UPPER(INDEX(P_Type,ROW()-4))))</f>
        <v/>
      </c>
      <c r="D3871">
        <f>IF(INDEX(L_Type,ROW()-4)="","",TRIM(UPPER(INDEX(L_Type,ROW()-4))))</f>
        <v/>
      </c>
      <c r="E3871">
        <f>IF(INDEX(P_Status,ROW()-4)="","",TRIM(UPPER(INDEX(P_Status,ROW()-4))))</f>
        <v/>
      </c>
      <c r="G3871">
        <f>IF(INDEX(L_Status,ROW()-4)="","",TRIM(UPPER(INDEX(L_Status,ROW()-4))))</f>
        <v/>
      </c>
      <c r="J3871">
        <f>IF(INDEX(L_ID,ROW()-4)="","",IF(SUMPRODUCT((P_ID=INDEX(L_ID,ROW()-4))*(P_StatusN="INACTIVE"))&gt;0,1,0))</f>
        <v/>
      </c>
    </row>
    <row r="3872">
      <c r="A3872">
        <f>IF(INDEX(L_ID,ROW()-4)="","",IF(COUNTIF(P_ID,INDEX(L_ID,ROW()-4))&gt;0,1,0))</f>
        <v/>
      </c>
      <c r="B3872">
        <f>IF(INDEX(P_Type,ROW()-4)="","",TRIM(UPPER(INDEX(P_Type,ROW()-4))))</f>
        <v/>
      </c>
      <c r="D3872">
        <f>IF(INDEX(L_Type,ROW()-4)="","",TRIM(UPPER(INDEX(L_Type,ROW()-4))))</f>
        <v/>
      </c>
      <c r="E3872">
        <f>IF(INDEX(P_Status,ROW()-4)="","",TRIM(UPPER(INDEX(P_Status,ROW()-4))))</f>
        <v/>
      </c>
      <c r="G3872">
        <f>IF(INDEX(L_Status,ROW()-4)="","",TRIM(UPPER(INDEX(L_Status,ROW()-4))))</f>
        <v/>
      </c>
      <c r="J3872">
        <f>IF(INDEX(L_ID,ROW()-4)="","",IF(SUMPRODUCT((P_ID=INDEX(L_ID,ROW()-4))*(P_StatusN="INACTIVE"))&gt;0,1,0))</f>
        <v/>
      </c>
    </row>
    <row r="3873">
      <c r="A3873">
        <f>IF(INDEX(L_ID,ROW()-4)="","",IF(COUNTIF(P_ID,INDEX(L_ID,ROW()-4))&gt;0,1,0))</f>
        <v/>
      </c>
      <c r="B3873">
        <f>IF(INDEX(P_Type,ROW()-4)="","",TRIM(UPPER(INDEX(P_Type,ROW()-4))))</f>
        <v/>
      </c>
      <c r="D3873">
        <f>IF(INDEX(L_Type,ROW()-4)="","",TRIM(UPPER(INDEX(L_Type,ROW()-4))))</f>
        <v/>
      </c>
      <c r="E3873">
        <f>IF(INDEX(P_Status,ROW()-4)="","",TRIM(UPPER(INDEX(P_Status,ROW()-4))))</f>
        <v/>
      </c>
      <c r="G3873">
        <f>IF(INDEX(L_Status,ROW()-4)="","",TRIM(UPPER(INDEX(L_Status,ROW()-4))))</f>
        <v/>
      </c>
      <c r="J3873">
        <f>IF(INDEX(L_ID,ROW()-4)="","",IF(SUMPRODUCT((P_ID=INDEX(L_ID,ROW()-4))*(P_StatusN="INACTIVE"))&gt;0,1,0))</f>
        <v/>
      </c>
    </row>
    <row r="3874">
      <c r="A3874">
        <f>IF(INDEX(L_ID,ROW()-4)="","",IF(COUNTIF(P_ID,INDEX(L_ID,ROW()-4))&gt;0,1,0))</f>
        <v/>
      </c>
      <c r="B3874">
        <f>IF(INDEX(P_Type,ROW()-4)="","",TRIM(UPPER(INDEX(P_Type,ROW()-4))))</f>
        <v/>
      </c>
      <c r="D3874">
        <f>IF(INDEX(L_Type,ROW()-4)="","",TRIM(UPPER(INDEX(L_Type,ROW()-4))))</f>
        <v/>
      </c>
      <c r="E3874">
        <f>IF(INDEX(P_Status,ROW()-4)="","",TRIM(UPPER(INDEX(P_Status,ROW()-4))))</f>
        <v/>
      </c>
      <c r="G3874">
        <f>IF(INDEX(L_Status,ROW()-4)="","",TRIM(UPPER(INDEX(L_Status,ROW()-4))))</f>
        <v/>
      </c>
      <c r="J3874">
        <f>IF(INDEX(L_ID,ROW()-4)="","",IF(SUMPRODUCT((P_ID=INDEX(L_ID,ROW()-4))*(P_StatusN="INACTIVE"))&gt;0,1,0))</f>
        <v/>
      </c>
    </row>
    <row r="3875">
      <c r="A3875">
        <f>IF(INDEX(L_ID,ROW()-4)="","",IF(COUNTIF(P_ID,INDEX(L_ID,ROW()-4))&gt;0,1,0))</f>
        <v/>
      </c>
      <c r="B3875">
        <f>IF(INDEX(P_Type,ROW()-4)="","",TRIM(UPPER(INDEX(P_Type,ROW()-4))))</f>
        <v/>
      </c>
      <c r="D3875">
        <f>IF(INDEX(L_Type,ROW()-4)="","",TRIM(UPPER(INDEX(L_Type,ROW()-4))))</f>
        <v/>
      </c>
      <c r="E3875">
        <f>IF(INDEX(P_Status,ROW()-4)="","",TRIM(UPPER(INDEX(P_Status,ROW()-4))))</f>
        <v/>
      </c>
      <c r="G3875">
        <f>IF(INDEX(L_Status,ROW()-4)="","",TRIM(UPPER(INDEX(L_Status,ROW()-4))))</f>
        <v/>
      </c>
      <c r="J3875">
        <f>IF(INDEX(L_ID,ROW()-4)="","",IF(SUMPRODUCT((P_ID=INDEX(L_ID,ROW()-4))*(P_StatusN="INACTIVE"))&gt;0,1,0))</f>
        <v/>
      </c>
    </row>
    <row r="3876">
      <c r="A3876">
        <f>IF(INDEX(L_ID,ROW()-4)="","",IF(COUNTIF(P_ID,INDEX(L_ID,ROW()-4))&gt;0,1,0))</f>
        <v/>
      </c>
      <c r="B3876">
        <f>IF(INDEX(P_Type,ROW()-4)="","",TRIM(UPPER(INDEX(P_Type,ROW()-4))))</f>
        <v/>
      </c>
      <c r="D3876">
        <f>IF(INDEX(L_Type,ROW()-4)="","",TRIM(UPPER(INDEX(L_Type,ROW()-4))))</f>
        <v/>
      </c>
      <c r="E3876">
        <f>IF(INDEX(P_Status,ROW()-4)="","",TRIM(UPPER(INDEX(P_Status,ROW()-4))))</f>
        <v/>
      </c>
      <c r="G3876">
        <f>IF(INDEX(L_Status,ROW()-4)="","",TRIM(UPPER(INDEX(L_Status,ROW()-4))))</f>
        <v/>
      </c>
      <c r="J3876">
        <f>IF(INDEX(L_ID,ROW()-4)="","",IF(SUMPRODUCT((P_ID=INDEX(L_ID,ROW()-4))*(P_StatusN="INACTIVE"))&gt;0,1,0))</f>
        <v/>
      </c>
    </row>
    <row r="3877">
      <c r="A3877">
        <f>IF(INDEX(L_ID,ROW()-4)="","",IF(COUNTIF(P_ID,INDEX(L_ID,ROW()-4))&gt;0,1,0))</f>
        <v/>
      </c>
      <c r="B3877">
        <f>IF(INDEX(P_Type,ROW()-4)="","",TRIM(UPPER(INDEX(P_Type,ROW()-4))))</f>
        <v/>
      </c>
      <c r="D3877">
        <f>IF(INDEX(L_Type,ROW()-4)="","",TRIM(UPPER(INDEX(L_Type,ROW()-4))))</f>
        <v/>
      </c>
      <c r="E3877">
        <f>IF(INDEX(P_Status,ROW()-4)="","",TRIM(UPPER(INDEX(P_Status,ROW()-4))))</f>
        <v/>
      </c>
      <c r="G3877">
        <f>IF(INDEX(L_Status,ROW()-4)="","",TRIM(UPPER(INDEX(L_Status,ROW()-4))))</f>
        <v/>
      </c>
      <c r="J3877">
        <f>IF(INDEX(L_ID,ROW()-4)="","",IF(SUMPRODUCT((P_ID=INDEX(L_ID,ROW()-4))*(P_StatusN="INACTIVE"))&gt;0,1,0))</f>
        <v/>
      </c>
    </row>
    <row r="3878">
      <c r="A3878">
        <f>IF(INDEX(L_ID,ROW()-4)="","",IF(COUNTIF(P_ID,INDEX(L_ID,ROW()-4))&gt;0,1,0))</f>
        <v/>
      </c>
      <c r="B3878">
        <f>IF(INDEX(P_Type,ROW()-4)="","",TRIM(UPPER(INDEX(P_Type,ROW()-4))))</f>
        <v/>
      </c>
      <c r="D3878">
        <f>IF(INDEX(L_Type,ROW()-4)="","",TRIM(UPPER(INDEX(L_Type,ROW()-4))))</f>
        <v/>
      </c>
      <c r="E3878">
        <f>IF(INDEX(P_Status,ROW()-4)="","",TRIM(UPPER(INDEX(P_Status,ROW()-4))))</f>
        <v/>
      </c>
      <c r="G3878">
        <f>IF(INDEX(L_Status,ROW()-4)="","",TRIM(UPPER(INDEX(L_Status,ROW()-4))))</f>
        <v/>
      </c>
      <c r="J3878">
        <f>IF(INDEX(L_ID,ROW()-4)="","",IF(SUMPRODUCT((P_ID=INDEX(L_ID,ROW()-4))*(P_StatusN="INACTIVE"))&gt;0,1,0))</f>
        <v/>
      </c>
    </row>
    <row r="3879">
      <c r="A3879">
        <f>IF(INDEX(L_ID,ROW()-4)="","",IF(COUNTIF(P_ID,INDEX(L_ID,ROW()-4))&gt;0,1,0))</f>
        <v/>
      </c>
      <c r="B3879">
        <f>IF(INDEX(P_Type,ROW()-4)="","",TRIM(UPPER(INDEX(P_Type,ROW()-4))))</f>
        <v/>
      </c>
      <c r="D3879">
        <f>IF(INDEX(L_Type,ROW()-4)="","",TRIM(UPPER(INDEX(L_Type,ROW()-4))))</f>
        <v/>
      </c>
      <c r="E3879">
        <f>IF(INDEX(P_Status,ROW()-4)="","",TRIM(UPPER(INDEX(P_Status,ROW()-4))))</f>
        <v/>
      </c>
      <c r="G3879">
        <f>IF(INDEX(L_Status,ROW()-4)="","",TRIM(UPPER(INDEX(L_Status,ROW()-4))))</f>
        <v/>
      </c>
      <c r="J3879">
        <f>IF(INDEX(L_ID,ROW()-4)="","",IF(SUMPRODUCT((P_ID=INDEX(L_ID,ROW()-4))*(P_StatusN="INACTIVE"))&gt;0,1,0))</f>
        <v/>
      </c>
    </row>
    <row r="3880">
      <c r="A3880">
        <f>IF(INDEX(L_ID,ROW()-4)="","",IF(COUNTIF(P_ID,INDEX(L_ID,ROW()-4))&gt;0,1,0))</f>
        <v/>
      </c>
      <c r="B3880">
        <f>IF(INDEX(P_Type,ROW()-4)="","",TRIM(UPPER(INDEX(P_Type,ROW()-4))))</f>
        <v/>
      </c>
      <c r="D3880">
        <f>IF(INDEX(L_Type,ROW()-4)="","",TRIM(UPPER(INDEX(L_Type,ROW()-4))))</f>
        <v/>
      </c>
      <c r="E3880">
        <f>IF(INDEX(P_Status,ROW()-4)="","",TRIM(UPPER(INDEX(P_Status,ROW()-4))))</f>
        <v/>
      </c>
      <c r="G3880">
        <f>IF(INDEX(L_Status,ROW()-4)="","",TRIM(UPPER(INDEX(L_Status,ROW()-4))))</f>
        <v/>
      </c>
      <c r="J3880">
        <f>IF(INDEX(L_ID,ROW()-4)="","",IF(SUMPRODUCT((P_ID=INDEX(L_ID,ROW()-4))*(P_StatusN="INACTIVE"))&gt;0,1,0))</f>
        <v/>
      </c>
    </row>
    <row r="3881">
      <c r="A3881">
        <f>IF(INDEX(L_ID,ROW()-4)="","",IF(COUNTIF(P_ID,INDEX(L_ID,ROW()-4))&gt;0,1,0))</f>
        <v/>
      </c>
      <c r="B3881">
        <f>IF(INDEX(P_Type,ROW()-4)="","",TRIM(UPPER(INDEX(P_Type,ROW()-4))))</f>
        <v/>
      </c>
      <c r="D3881">
        <f>IF(INDEX(L_Type,ROW()-4)="","",TRIM(UPPER(INDEX(L_Type,ROW()-4))))</f>
        <v/>
      </c>
      <c r="E3881">
        <f>IF(INDEX(P_Status,ROW()-4)="","",TRIM(UPPER(INDEX(P_Status,ROW()-4))))</f>
        <v/>
      </c>
      <c r="G3881">
        <f>IF(INDEX(L_Status,ROW()-4)="","",TRIM(UPPER(INDEX(L_Status,ROW()-4))))</f>
        <v/>
      </c>
      <c r="J3881">
        <f>IF(INDEX(L_ID,ROW()-4)="","",IF(SUMPRODUCT((P_ID=INDEX(L_ID,ROW()-4))*(P_StatusN="INACTIVE"))&gt;0,1,0))</f>
        <v/>
      </c>
    </row>
    <row r="3882">
      <c r="A3882">
        <f>IF(INDEX(L_ID,ROW()-4)="","",IF(COUNTIF(P_ID,INDEX(L_ID,ROW()-4))&gt;0,1,0))</f>
        <v/>
      </c>
      <c r="B3882">
        <f>IF(INDEX(P_Type,ROW()-4)="","",TRIM(UPPER(INDEX(P_Type,ROW()-4))))</f>
        <v/>
      </c>
      <c r="D3882">
        <f>IF(INDEX(L_Type,ROW()-4)="","",TRIM(UPPER(INDEX(L_Type,ROW()-4))))</f>
        <v/>
      </c>
      <c r="E3882">
        <f>IF(INDEX(P_Status,ROW()-4)="","",TRIM(UPPER(INDEX(P_Status,ROW()-4))))</f>
        <v/>
      </c>
      <c r="G3882">
        <f>IF(INDEX(L_Status,ROW()-4)="","",TRIM(UPPER(INDEX(L_Status,ROW()-4))))</f>
        <v/>
      </c>
      <c r="J3882">
        <f>IF(INDEX(L_ID,ROW()-4)="","",IF(SUMPRODUCT((P_ID=INDEX(L_ID,ROW()-4))*(P_StatusN="INACTIVE"))&gt;0,1,0))</f>
        <v/>
      </c>
    </row>
    <row r="3883">
      <c r="A3883">
        <f>IF(INDEX(L_ID,ROW()-4)="","",IF(COUNTIF(P_ID,INDEX(L_ID,ROW()-4))&gt;0,1,0))</f>
        <v/>
      </c>
      <c r="B3883">
        <f>IF(INDEX(P_Type,ROW()-4)="","",TRIM(UPPER(INDEX(P_Type,ROW()-4))))</f>
        <v/>
      </c>
      <c r="D3883">
        <f>IF(INDEX(L_Type,ROW()-4)="","",TRIM(UPPER(INDEX(L_Type,ROW()-4))))</f>
        <v/>
      </c>
      <c r="E3883">
        <f>IF(INDEX(P_Status,ROW()-4)="","",TRIM(UPPER(INDEX(P_Status,ROW()-4))))</f>
        <v/>
      </c>
      <c r="G3883">
        <f>IF(INDEX(L_Status,ROW()-4)="","",TRIM(UPPER(INDEX(L_Status,ROW()-4))))</f>
        <v/>
      </c>
      <c r="J3883">
        <f>IF(INDEX(L_ID,ROW()-4)="","",IF(SUMPRODUCT((P_ID=INDEX(L_ID,ROW()-4))*(P_StatusN="INACTIVE"))&gt;0,1,0))</f>
        <v/>
      </c>
    </row>
    <row r="3884">
      <c r="A3884">
        <f>IF(INDEX(L_ID,ROW()-4)="","",IF(COUNTIF(P_ID,INDEX(L_ID,ROW()-4))&gt;0,1,0))</f>
        <v/>
      </c>
      <c r="B3884">
        <f>IF(INDEX(P_Type,ROW()-4)="","",TRIM(UPPER(INDEX(P_Type,ROW()-4))))</f>
        <v/>
      </c>
      <c r="D3884">
        <f>IF(INDEX(L_Type,ROW()-4)="","",TRIM(UPPER(INDEX(L_Type,ROW()-4))))</f>
        <v/>
      </c>
      <c r="E3884">
        <f>IF(INDEX(P_Status,ROW()-4)="","",TRIM(UPPER(INDEX(P_Status,ROW()-4))))</f>
        <v/>
      </c>
      <c r="G3884">
        <f>IF(INDEX(L_Status,ROW()-4)="","",TRIM(UPPER(INDEX(L_Status,ROW()-4))))</f>
        <v/>
      </c>
      <c r="J3884">
        <f>IF(INDEX(L_ID,ROW()-4)="","",IF(SUMPRODUCT((P_ID=INDEX(L_ID,ROW()-4))*(P_StatusN="INACTIVE"))&gt;0,1,0))</f>
        <v/>
      </c>
    </row>
    <row r="3885">
      <c r="A3885">
        <f>IF(INDEX(L_ID,ROW()-4)="","",IF(COUNTIF(P_ID,INDEX(L_ID,ROW()-4))&gt;0,1,0))</f>
        <v/>
      </c>
      <c r="B3885">
        <f>IF(INDEX(P_Type,ROW()-4)="","",TRIM(UPPER(INDEX(P_Type,ROW()-4))))</f>
        <v/>
      </c>
      <c r="D3885">
        <f>IF(INDEX(L_Type,ROW()-4)="","",TRIM(UPPER(INDEX(L_Type,ROW()-4))))</f>
        <v/>
      </c>
      <c r="E3885">
        <f>IF(INDEX(P_Status,ROW()-4)="","",TRIM(UPPER(INDEX(P_Status,ROW()-4))))</f>
        <v/>
      </c>
      <c r="G3885">
        <f>IF(INDEX(L_Status,ROW()-4)="","",TRIM(UPPER(INDEX(L_Status,ROW()-4))))</f>
        <v/>
      </c>
      <c r="J3885">
        <f>IF(INDEX(L_ID,ROW()-4)="","",IF(SUMPRODUCT((P_ID=INDEX(L_ID,ROW()-4))*(P_StatusN="INACTIVE"))&gt;0,1,0))</f>
        <v/>
      </c>
    </row>
    <row r="3886">
      <c r="A3886">
        <f>IF(INDEX(L_ID,ROW()-4)="","",IF(COUNTIF(P_ID,INDEX(L_ID,ROW()-4))&gt;0,1,0))</f>
        <v/>
      </c>
      <c r="B3886">
        <f>IF(INDEX(P_Type,ROW()-4)="","",TRIM(UPPER(INDEX(P_Type,ROW()-4))))</f>
        <v/>
      </c>
      <c r="D3886">
        <f>IF(INDEX(L_Type,ROW()-4)="","",TRIM(UPPER(INDEX(L_Type,ROW()-4))))</f>
        <v/>
      </c>
      <c r="E3886">
        <f>IF(INDEX(P_Status,ROW()-4)="","",TRIM(UPPER(INDEX(P_Status,ROW()-4))))</f>
        <v/>
      </c>
      <c r="G3886">
        <f>IF(INDEX(L_Status,ROW()-4)="","",TRIM(UPPER(INDEX(L_Status,ROW()-4))))</f>
        <v/>
      </c>
      <c r="J3886">
        <f>IF(INDEX(L_ID,ROW()-4)="","",IF(SUMPRODUCT((P_ID=INDEX(L_ID,ROW()-4))*(P_StatusN="INACTIVE"))&gt;0,1,0))</f>
        <v/>
      </c>
    </row>
    <row r="3887">
      <c r="A3887">
        <f>IF(INDEX(L_ID,ROW()-4)="","",IF(COUNTIF(P_ID,INDEX(L_ID,ROW()-4))&gt;0,1,0))</f>
        <v/>
      </c>
      <c r="B3887">
        <f>IF(INDEX(P_Type,ROW()-4)="","",TRIM(UPPER(INDEX(P_Type,ROW()-4))))</f>
        <v/>
      </c>
      <c r="D3887">
        <f>IF(INDEX(L_Type,ROW()-4)="","",TRIM(UPPER(INDEX(L_Type,ROW()-4))))</f>
        <v/>
      </c>
      <c r="E3887">
        <f>IF(INDEX(P_Status,ROW()-4)="","",TRIM(UPPER(INDEX(P_Status,ROW()-4))))</f>
        <v/>
      </c>
      <c r="G3887">
        <f>IF(INDEX(L_Status,ROW()-4)="","",TRIM(UPPER(INDEX(L_Status,ROW()-4))))</f>
        <v/>
      </c>
      <c r="J3887">
        <f>IF(INDEX(L_ID,ROW()-4)="","",IF(SUMPRODUCT((P_ID=INDEX(L_ID,ROW()-4))*(P_StatusN="INACTIVE"))&gt;0,1,0))</f>
        <v/>
      </c>
    </row>
    <row r="3888">
      <c r="A3888">
        <f>IF(INDEX(L_ID,ROW()-4)="","",IF(COUNTIF(P_ID,INDEX(L_ID,ROW()-4))&gt;0,1,0))</f>
        <v/>
      </c>
      <c r="B3888">
        <f>IF(INDEX(P_Type,ROW()-4)="","",TRIM(UPPER(INDEX(P_Type,ROW()-4))))</f>
        <v/>
      </c>
      <c r="D3888">
        <f>IF(INDEX(L_Type,ROW()-4)="","",TRIM(UPPER(INDEX(L_Type,ROW()-4))))</f>
        <v/>
      </c>
      <c r="E3888">
        <f>IF(INDEX(P_Status,ROW()-4)="","",TRIM(UPPER(INDEX(P_Status,ROW()-4))))</f>
        <v/>
      </c>
      <c r="G3888">
        <f>IF(INDEX(L_Status,ROW()-4)="","",TRIM(UPPER(INDEX(L_Status,ROW()-4))))</f>
        <v/>
      </c>
      <c r="J3888">
        <f>IF(INDEX(L_ID,ROW()-4)="","",IF(SUMPRODUCT((P_ID=INDEX(L_ID,ROW()-4))*(P_StatusN="INACTIVE"))&gt;0,1,0))</f>
        <v/>
      </c>
    </row>
    <row r="3889">
      <c r="A3889">
        <f>IF(INDEX(L_ID,ROW()-4)="","",IF(COUNTIF(P_ID,INDEX(L_ID,ROW()-4))&gt;0,1,0))</f>
        <v/>
      </c>
      <c r="B3889">
        <f>IF(INDEX(P_Type,ROW()-4)="","",TRIM(UPPER(INDEX(P_Type,ROW()-4))))</f>
        <v/>
      </c>
      <c r="D3889">
        <f>IF(INDEX(L_Type,ROW()-4)="","",TRIM(UPPER(INDEX(L_Type,ROW()-4))))</f>
        <v/>
      </c>
      <c r="E3889">
        <f>IF(INDEX(P_Status,ROW()-4)="","",TRIM(UPPER(INDEX(P_Status,ROW()-4))))</f>
        <v/>
      </c>
      <c r="G3889">
        <f>IF(INDEX(L_Status,ROW()-4)="","",TRIM(UPPER(INDEX(L_Status,ROW()-4))))</f>
        <v/>
      </c>
      <c r="J3889">
        <f>IF(INDEX(L_ID,ROW()-4)="","",IF(SUMPRODUCT((P_ID=INDEX(L_ID,ROW()-4))*(P_StatusN="INACTIVE"))&gt;0,1,0))</f>
        <v/>
      </c>
    </row>
    <row r="3890">
      <c r="A3890">
        <f>IF(INDEX(L_ID,ROW()-4)="","",IF(COUNTIF(P_ID,INDEX(L_ID,ROW()-4))&gt;0,1,0))</f>
        <v/>
      </c>
      <c r="B3890">
        <f>IF(INDEX(P_Type,ROW()-4)="","",TRIM(UPPER(INDEX(P_Type,ROW()-4))))</f>
        <v/>
      </c>
      <c r="D3890">
        <f>IF(INDEX(L_Type,ROW()-4)="","",TRIM(UPPER(INDEX(L_Type,ROW()-4))))</f>
        <v/>
      </c>
      <c r="E3890">
        <f>IF(INDEX(P_Status,ROW()-4)="","",TRIM(UPPER(INDEX(P_Status,ROW()-4))))</f>
        <v/>
      </c>
      <c r="G3890">
        <f>IF(INDEX(L_Status,ROW()-4)="","",TRIM(UPPER(INDEX(L_Status,ROW()-4))))</f>
        <v/>
      </c>
      <c r="J3890">
        <f>IF(INDEX(L_ID,ROW()-4)="","",IF(SUMPRODUCT((P_ID=INDEX(L_ID,ROW()-4))*(P_StatusN="INACTIVE"))&gt;0,1,0))</f>
        <v/>
      </c>
    </row>
    <row r="3891">
      <c r="A3891">
        <f>IF(INDEX(L_ID,ROW()-4)="","",IF(COUNTIF(P_ID,INDEX(L_ID,ROW()-4))&gt;0,1,0))</f>
        <v/>
      </c>
      <c r="B3891">
        <f>IF(INDEX(P_Type,ROW()-4)="","",TRIM(UPPER(INDEX(P_Type,ROW()-4))))</f>
        <v/>
      </c>
      <c r="D3891">
        <f>IF(INDEX(L_Type,ROW()-4)="","",TRIM(UPPER(INDEX(L_Type,ROW()-4))))</f>
        <v/>
      </c>
      <c r="E3891">
        <f>IF(INDEX(P_Status,ROW()-4)="","",TRIM(UPPER(INDEX(P_Status,ROW()-4))))</f>
        <v/>
      </c>
      <c r="G3891">
        <f>IF(INDEX(L_Status,ROW()-4)="","",TRIM(UPPER(INDEX(L_Status,ROW()-4))))</f>
        <v/>
      </c>
      <c r="J3891">
        <f>IF(INDEX(L_ID,ROW()-4)="","",IF(SUMPRODUCT((P_ID=INDEX(L_ID,ROW()-4))*(P_StatusN="INACTIVE"))&gt;0,1,0))</f>
        <v/>
      </c>
    </row>
    <row r="3892">
      <c r="A3892">
        <f>IF(INDEX(L_ID,ROW()-4)="","",IF(COUNTIF(P_ID,INDEX(L_ID,ROW()-4))&gt;0,1,0))</f>
        <v/>
      </c>
      <c r="B3892">
        <f>IF(INDEX(P_Type,ROW()-4)="","",TRIM(UPPER(INDEX(P_Type,ROW()-4))))</f>
        <v/>
      </c>
      <c r="D3892">
        <f>IF(INDEX(L_Type,ROW()-4)="","",TRIM(UPPER(INDEX(L_Type,ROW()-4))))</f>
        <v/>
      </c>
      <c r="E3892">
        <f>IF(INDEX(P_Status,ROW()-4)="","",TRIM(UPPER(INDEX(P_Status,ROW()-4))))</f>
        <v/>
      </c>
      <c r="G3892">
        <f>IF(INDEX(L_Status,ROW()-4)="","",TRIM(UPPER(INDEX(L_Status,ROW()-4))))</f>
        <v/>
      </c>
      <c r="J3892">
        <f>IF(INDEX(L_ID,ROW()-4)="","",IF(SUMPRODUCT((P_ID=INDEX(L_ID,ROW()-4))*(P_StatusN="INACTIVE"))&gt;0,1,0))</f>
        <v/>
      </c>
    </row>
    <row r="3893">
      <c r="A3893">
        <f>IF(INDEX(L_ID,ROW()-4)="","",IF(COUNTIF(P_ID,INDEX(L_ID,ROW()-4))&gt;0,1,0))</f>
        <v/>
      </c>
      <c r="B3893">
        <f>IF(INDEX(P_Type,ROW()-4)="","",TRIM(UPPER(INDEX(P_Type,ROW()-4))))</f>
        <v/>
      </c>
      <c r="D3893">
        <f>IF(INDEX(L_Type,ROW()-4)="","",TRIM(UPPER(INDEX(L_Type,ROW()-4))))</f>
        <v/>
      </c>
      <c r="E3893">
        <f>IF(INDEX(P_Status,ROW()-4)="","",TRIM(UPPER(INDEX(P_Status,ROW()-4))))</f>
        <v/>
      </c>
      <c r="G3893">
        <f>IF(INDEX(L_Status,ROW()-4)="","",TRIM(UPPER(INDEX(L_Status,ROW()-4))))</f>
        <v/>
      </c>
      <c r="J3893">
        <f>IF(INDEX(L_ID,ROW()-4)="","",IF(SUMPRODUCT((P_ID=INDEX(L_ID,ROW()-4))*(P_StatusN="INACTIVE"))&gt;0,1,0))</f>
        <v/>
      </c>
    </row>
    <row r="3894">
      <c r="A3894">
        <f>IF(INDEX(L_ID,ROW()-4)="","",IF(COUNTIF(P_ID,INDEX(L_ID,ROW()-4))&gt;0,1,0))</f>
        <v/>
      </c>
      <c r="B3894">
        <f>IF(INDEX(P_Type,ROW()-4)="","",TRIM(UPPER(INDEX(P_Type,ROW()-4))))</f>
        <v/>
      </c>
      <c r="D3894">
        <f>IF(INDEX(L_Type,ROW()-4)="","",TRIM(UPPER(INDEX(L_Type,ROW()-4))))</f>
        <v/>
      </c>
      <c r="E3894">
        <f>IF(INDEX(P_Status,ROW()-4)="","",TRIM(UPPER(INDEX(P_Status,ROW()-4))))</f>
        <v/>
      </c>
      <c r="G3894">
        <f>IF(INDEX(L_Status,ROW()-4)="","",TRIM(UPPER(INDEX(L_Status,ROW()-4))))</f>
        <v/>
      </c>
      <c r="J3894">
        <f>IF(INDEX(L_ID,ROW()-4)="","",IF(SUMPRODUCT((P_ID=INDEX(L_ID,ROW()-4))*(P_StatusN="INACTIVE"))&gt;0,1,0))</f>
        <v/>
      </c>
    </row>
    <row r="3895">
      <c r="A3895">
        <f>IF(INDEX(L_ID,ROW()-4)="","",IF(COUNTIF(P_ID,INDEX(L_ID,ROW()-4))&gt;0,1,0))</f>
        <v/>
      </c>
      <c r="B3895">
        <f>IF(INDEX(P_Type,ROW()-4)="","",TRIM(UPPER(INDEX(P_Type,ROW()-4))))</f>
        <v/>
      </c>
      <c r="D3895">
        <f>IF(INDEX(L_Type,ROW()-4)="","",TRIM(UPPER(INDEX(L_Type,ROW()-4))))</f>
        <v/>
      </c>
      <c r="E3895">
        <f>IF(INDEX(P_Status,ROW()-4)="","",TRIM(UPPER(INDEX(P_Status,ROW()-4))))</f>
        <v/>
      </c>
      <c r="G3895">
        <f>IF(INDEX(L_Status,ROW()-4)="","",TRIM(UPPER(INDEX(L_Status,ROW()-4))))</f>
        <v/>
      </c>
      <c r="J3895">
        <f>IF(INDEX(L_ID,ROW()-4)="","",IF(SUMPRODUCT((P_ID=INDEX(L_ID,ROW()-4))*(P_StatusN="INACTIVE"))&gt;0,1,0))</f>
        <v/>
      </c>
    </row>
    <row r="3896">
      <c r="A3896">
        <f>IF(INDEX(L_ID,ROW()-4)="","",IF(COUNTIF(P_ID,INDEX(L_ID,ROW()-4))&gt;0,1,0))</f>
        <v/>
      </c>
      <c r="B3896">
        <f>IF(INDEX(P_Type,ROW()-4)="","",TRIM(UPPER(INDEX(P_Type,ROW()-4))))</f>
        <v/>
      </c>
      <c r="D3896">
        <f>IF(INDEX(L_Type,ROW()-4)="","",TRIM(UPPER(INDEX(L_Type,ROW()-4))))</f>
        <v/>
      </c>
      <c r="E3896">
        <f>IF(INDEX(P_Status,ROW()-4)="","",TRIM(UPPER(INDEX(P_Status,ROW()-4))))</f>
        <v/>
      </c>
      <c r="G3896">
        <f>IF(INDEX(L_Status,ROW()-4)="","",TRIM(UPPER(INDEX(L_Status,ROW()-4))))</f>
        <v/>
      </c>
      <c r="J3896">
        <f>IF(INDEX(L_ID,ROW()-4)="","",IF(SUMPRODUCT((P_ID=INDEX(L_ID,ROW()-4))*(P_StatusN="INACTIVE"))&gt;0,1,0))</f>
        <v/>
      </c>
    </row>
    <row r="3897">
      <c r="A3897">
        <f>IF(INDEX(L_ID,ROW()-4)="","",IF(COUNTIF(P_ID,INDEX(L_ID,ROW()-4))&gt;0,1,0))</f>
        <v/>
      </c>
      <c r="B3897">
        <f>IF(INDEX(P_Type,ROW()-4)="","",TRIM(UPPER(INDEX(P_Type,ROW()-4))))</f>
        <v/>
      </c>
      <c r="D3897">
        <f>IF(INDEX(L_Type,ROW()-4)="","",TRIM(UPPER(INDEX(L_Type,ROW()-4))))</f>
        <v/>
      </c>
      <c r="E3897">
        <f>IF(INDEX(P_Status,ROW()-4)="","",TRIM(UPPER(INDEX(P_Status,ROW()-4))))</f>
        <v/>
      </c>
      <c r="G3897">
        <f>IF(INDEX(L_Status,ROW()-4)="","",TRIM(UPPER(INDEX(L_Status,ROW()-4))))</f>
        <v/>
      </c>
      <c r="J3897">
        <f>IF(INDEX(L_ID,ROW()-4)="","",IF(SUMPRODUCT((P_ID=INDEX(L_ID,ROW()-4))*(P_StatusN="INACTIVE"))&gt;0,1,0))</f>
        <v/>
      </c>
    </row>
    <row r="3898">
      <c r="A3898">
        <f>IF(INDEX(L_ID,ROW()-4)="","",IF(COUNTIF(P_ID,INDEX(L_ID,ROW()-4))&gt;0,1,0))</f>
        <v/>
      </c>
      <c r="B3898">
        <f>IF(INDEX(P_Type,ROW()-4)="","",TRIM(UPPER(INDEX(P_Type,ROW()-4))))</f>
        <v/>
      </c>
      <c r="D3898">
        <f>IF(INDEX(L_Type,ROW()-4)="","",TRIM(UPPER(INDEX(L_Type,ROW()-4))))</f>
        <v/>
      </c>
      <c r="E3898">
        <f>IF(INDEX(P_Status,ROW()-4)="","",TRIM(UPPER(INDEX(P_Status,ROW()-4))))</f>
        <v/>
      </c>
      <c r="G3898">
        <f>IF(INDEX(L_Status,ROW()-4)="","",TRIM(UPPER(INDEX(L_Status,ROW()-4))))</f>
        <v/>
      </c>
      <c r="J3898">
        <f>IF(INDEX(L_ID,ROW()-4)="","",IF(SUMPRODUCT((P_ID=INDEX(L_ID,ROW()-4))*(P_StatusN="INACTIVE"))&gt;0,1,0))</f>
        <v/>
      </c>
    </row>
    <row r="3899">
      <c r="A3899">
        <f>IF(INDEX(L_ID,ROW()-4)="","",IF(COUNTIF(P_ID,INDEX(L_ID,ROW()-4))&gt;0,1,0))</f>
        <v/>
      </c>
      <c r="B3899">
        <f>IF(INDEX(P_Type,ROW()-4)="","",TRIM(UPPER(INDEX(P_Type,ROW()-4))))</f>
        <v/>
      </c>
      <c r="D3899">
        <f>IF(INDEX(L_Type,ROW()-4)="","",TRIM(UPPER(INDEX(L_Type,ROW()-4))))</f>
        <v/>
      </c>
      <c r="E3899">
        <f>IF(INDEX(P_Status,ROW()-4)="","",TRIM(UPPER(INDEX(P_Status,ROW()-4))))</f>
        <v/>
      </c>
      <c r="G3899">
        <f>IF(INDEX(L_Status,ROW()-4)="","",TRIM(UPPER(INDEX(L_Status,ROW()-4))))</f>
        <v/>
      </c>
      <c r="J3899">
        <f>IF(INDEX(L_ID,ROW()-4)="","",IF(SUMPRODUCT((P_ID=INDEX(L_ID,ROW()-4))*(P_StatusN="INACTIVE"))&gt;0,1,0))</f>
        <v/>
      </c>
    </row>
    <row r="3900">
      <c r="A3900">
        <f>IF(INDEX(L_ID,ROW()-4)="","",IF(COUNTIF(P_ID,INDEX(L_ID,ROW()-4))&gt;0,1,0))</f>
        <v/>
      </c>
      <c r="B3900">
        <f>IF(INDEX(P_Type,ROW()-4)="","",TRIM(UPPER(INDEX(P_Type,ROW()-4))))</f>
        <v/>
      </c>
      <c r="D3900">
        <f>IF(INDEX(L_Type,ROW()-4)="","",TRIM(UPPER(INDEX(L_Type,ROW()-4))))</f>
        <v/>
      </c>
      <c r="E3900">
        <f>IF(INDEX(P_Status,ROW()-4)="","",TRIM(UPPER(INDEX(P_Status,ROW()-4))))</f>
        <v/>
      </c>
      <c r="G3900">
        <f>IF(INDEX(L_Status,ROW()-4)="","",TRIM(UPPER(INDEX(L_Status,ROW()-4))))</f>
        <v/>
      </c>
      <c r="J3900">
        <f>IF(INDEX(L_ID,ROW()-4)="","",IF(SUMPRODUCT((P_ID=INDEX(L_ID,ROW()-4))*(P_StatusN="INACTIVE"))&gt;0,1,0))</f>
        <v/>
      </c>
    </row>
    <row r="3901">
      <c r="A3901">
        <f>IF(INDEX(L_ID,ROW()-4)="","",IF(COUNTIF(P_ID,INDEX(L_ID,ROW()-4))&gt;0,1,0))</f>
        <v/>
      </c>
      <c r="B3901">
        <f>IF(INDEX(P_Type,ROW()-4)="","",TRIM(UPPER(INDEX(P_Type,ROW()-4))))</f>
        <v/>
      </c>
      <c r="D3901">
        <f>IF(INDEX(L_Type,ROW()-4)="","",TRIM(UPPER(INDEX(L_Type,ROW()-4))))</f>
        <v/>
      </c>
      <c r="E3901">
        <f>IF(INDEX(P_Status,ROW()-4)="","",TRIM(UPPER(INDEX(P_Status,ROW()-4))))</f>
        <v/>
      </c>
      <c r="G3901">
        <f>IF(INDEX(L_Status,ROW()-4)="","",TRIM(UPPER(INDEX(L_Status,ROW()-4))))</f>
        <v/>
      </c>
      <c r="J3901">
        <f>IF(INDEX(L_ID,ROW()-4)="","",IF(SUMPRODUCT((P_ID=INDEX(L_ID,ROW()-4))*(P_StatusN="INACTIVE"))&gt;0,1,0))</f>
        <v/>
      </c>
    </row>
    <row r="3902">
      <c r="A3902">
        <f>IF(INDEX(L_ID,ROW()-4)="","",IF(COUNTIF(P_ID,INDEX(L_ID,ROW()-4))&gt;0,1,0))</f>
        <v/>
      </c>
      <c r="B3902">
        <f>IF(INDEX(P_Type,ROW()-4)="","",TRIM(UPPER(INDEX(P_Type,ROW()-4))))</f>
        <v/>
      </c>
      <c r="D3902">
        <f>IF(INDEX(L_Type,ROW()-4)="","",TRIM(UPPER(INDEX(L_Type,ROW()-4))))</f>
        <v/>
      </c>
      <c r="E3902">
        <f>IF(INDEX(P_Status,ROW()-4)="","",TRIM(UPPER(INDEX(P_Status,ROW()-4))))</f>
        <v/>
      </c>
      <c r="G3902">
        <f>IF(INDEX(L_Status,ROW()-4)="","",TRIM(UPPER(INDEX(L_Status,ROW()-4))))</f>
        <v/>
      </c>
      <c r="J3902">
        <f>IF(INDEX(L_ID,ROW()-4)="","",IF(SUMPRODUCT((P_ID=INDEX(L_ID,ROW()-4))*(P_StatusN="INACTIVE"))&gt;0,1,0))</f>
        <v/>
      </c>
    </row>
    <row r="3903">
      <c r="A3903">
        <f>IF(INDEX(L_ID,ROW()-4)="","",IF(COUNTIF(P_ID,INDEX(L_ID,ROW()-4))&gt;0,1,0))</f>
        <v/>
      </c>
      <c r="B3903">
        <f>IF(INDEX(P_Type,ROW()-4)="","",TRIM(UPPER(INDEX(P_Type,ROW()-4))))</f>
        <v/>
      </c>
      <c r="D3903">
        <f>IF(INDEX(L_Type,ROW()-4)="","",TRIM(UPPER(INDEX(L_Type,ROW()-4))))</f>
        <v/>
      </c>
      <c r="E3903">
        <f>IF(INDEX(P_Status,ROW()-4)="","",TRIM(UPPER(INDEX(P_Status,ROW()-4))))</f>
        <v/>
      </c>
      <c r="G3903">
        <f>IF(INDEX(L_Status,ROW()-4)="","",TRIM(UPPER(INDEX(L_Status,ROW()-4))))</f>
        <v/>
      </c>
      <c r="J3903">
        <f>IF(INDEX(L_ID,ROW()-4)="","",IF(SUMPRODUCT((P_ID=INDEX(L_ID,ROW()-4))*(P_StatusN="INACTIVE"))&gt;0,1,0))</f>
        <v/>
      </c>
    </row>
    <row r="3904">
      <c r="A3904">
        <f>IF(INDEX(L_ID,ROW()-4)="","",IF(COUNTIF(P_ID,INDEX(L_ID,ROW()-4))&gt;0,1,0))</f>
        <v/>
      </c>
      <c r="B3904">
        <f>IF(INDEX(P_Type,ROW()-4)="","",TRIM(UPPER(INDEX(P_Type,ROW()-4))))</f>
        <v/>
      </c>
      <c r="D3904">
        <f>IF(INDEX(L_Type,ROW()-4)="","",TRIM(UPPER(INDEX(L_Type,ROW()-4))))</f>
        <v/>
      </c>
      <c r="E3904">
        <f>IF(INDEX(P_Status,ROW()-4)="","",TRIM(UPPER(INDEX(P_Status,ROW()-4))))</f>
        <v/>
      </c>
      <c r="G3904">
        <f>IF(INDEX(L_Status,ROW()-4)="","",TRIM(UPPER(INDEX(L_Status,ROW()-4))))</f>
        <v/>
      </c>
      <c r="J3904">
        <f>IF(INDEX(L_ID,ROW()-4)="","",IF(SUMPRODUCT((P_ID=INDEX(L_ID,ROW()-4))*(P_StatusN="INACTIVE"))&gt;0,1,0))</f>
        <v/>
      </c>
    </row>
    <row r="3905">
      <c r="A3905">
        <f>IF(INDEX(L_ID,ROW()-4)="","",IF(COUNTIF(P_ID,INDEX(L_ID,ROW()-4))&gt;0,1,0))</f>
        <v/>
      </c>
      <c r="B3905">
        <f>IF(INDEX(P_Type,ROW()-4)="","",TRIM(UPPER(INDEX(P_Type,ROW()-4))))</f>
        <v/>
      </c>
      <c r="D3905">
        <f>IF(INDEX(L_Type,ROW()-4)="","",TRIM(UPPER(INDEX(L_Type,ROW()-4))))</f>
        <v/>
      </c>
      <c r="E3905">
        <f>IF(INDEX(P_Status,ROW()-4)="","",TRIM(UPPER(INDEX(P_Status,ROW()-4))))</f>
        <v/>
      </c>
      <c r="G3905">
        <f>IF(INDEX(L_Status,ROW()-4)="","",TRIM(UPPER(INDEX(L_Status,ROW()-4))))</f>
        <v/>
      </c>
      <c r="J3905">
        <f>IF(INDEX(L_ID,ROW()-4)="","",IF(SUMPRODUCT((P_ID=INDEX(L_ID,ROW()-4))*(P_StatusN="INACTIVE"))&gt;0,1,0))</f>
        <v/>
      </c>
    </row>
    <row r="3906">
      <c r="A3906">
        <f>IF(INDEX(L_ID,ROW()-4)="","",IF(COUNTIF(P_ID,INDEX(L_ID,ROW()-4))&gt;0,1,0))</f>
        <v/>
      </c>
      <c r="B3906">
        <f>IF(INDEX(P_Type,ROW()-4)="","",TRIM(UPPER(INDEX(P_Type,ROW()-4))))</f>
        <v/>
      </c>
      <c r="D3906">
        <f>IF(INDEX(L_Type,ROW()-4)="","",TRIM(UPPER(INDEX(L_Type,ROW()-4))))</f>
        <v/>
      </c>
      <c r="E3906">
        <f>IF(INDEX(P_Status,ROW()-4)="","",TRIM(UPPER(INDEX(P_Status,ROW()-4))))</f>
        <v/>
      </c>
      <c r="G3906">
        <f>IF(INDEX(L_Status,ROW()-4)="","",TRIM(UPPER(INDEX(L_Status,ROW()-4))))</f>
        <v/>
      </c>
      <c r="J3906">
        <f>IF(INDEX(L_ID,ROW()-4)="","",IF(SUMPRODUCT((P_ID=INDEX(L_ID,ROW()-4))*(P_StatusN="INACTIVE"))&gt;0,1,0))</f>
        <v/>
      </c>
    </row>
    <row r="3907">
      <c r="A3907">
        <f>IF(INDEX(L_ID,ROW()-4)="","",IF(COUNTIF(P_ID,INDEX(L_ID,ROW()-4))&gt;0,1,0))</f>
        <v/>
      </c>
      <c r="B3907">
        <f>IF(INDEX(P_Type,ROW()-4)="","",TRIM(UPPER(INDEX(P_Type,ROW()-4))))</f>
        <v/>
      </c>
      <c r="D3907">
        <f>IF(INDEX(L_Type,ROW()-4)="","",TRIM(UPPER(INDEX(L_Type,ROW()-4))))</f>
        <v/>
      </c>
      <c r="E3907">
        <f>IF(INDEX(P_Status,ROW()-4)="","",TRIM(UPPER(INDEX(P_Status,ROW()-4))))</f>
        <v/>
      </c>
      <c r="G3907">
        <f>IF(INDEX(L_Status,ROW()-4)="","",TRIM(UPPER(INDEX(L_Status,ROW()-4))))</f>
        <v/>
      </c>
      <c r="J3907">
        <f>IF(INDEX(L_ID,ROW()-4)="","",IF(SUMPRODUCT((P_ID=INDEX(L_ID,ROW()-4))*(P_StatusN="INACTIVE"))&gt;0,1,0))</f>
        <v/>
      </c>
    </row>
    <row r="3908">
      <c r="A3908">
        <f>IF(INDEX(L_ID,ROW()-4)="","",IF(COUNTIF(P_ID,INDEX(L_ID,ROW()-4))&gt;0,1,0))</f>
        <v/>
      </c>
      <c r="B3908">
        <f>IF(INDEX(P_Type,ROW()-4)="","",TRIM(UPPER(INDEX(P_Type,ROW()-4))))</f>
        <v/>
      </c>
      <c r="D3908">
        <f>IF(INDEX(L_Type,ROW()-4)="","",TRIM(UPPER(INDEX(L_Type,ROW()-4))))</f>
        <v/>
      </c>
      <c r="E3908">
        <f>IF(INDEX(P_Status,ROW()-4)="","",TRIM(UPPER(INDEX(P_Status,ROW()-4))))</f>
        <v/>
      </c>
      <c r="G3908">
        <f>IF(INDEX(L_Status,ROW()-4)="","",TRIM(UPPER(INDEX(L_Status,ROW()-4))))</f>
        <v/>
      </c>
      <c r="J3908">
        <f>IF(INDEX(L_ID,ROW()-4)="","",IF(SUMPRODUCT((P_ID=INDEX(L_ID,ROW()-4))*(P_StatusN="INACTIVE"))&gt;0,1,0))</f>
        <v/>
      </c>
    </row>
    <row r="3909">
      <c r="A3909">
        <f>IF(INDEX(L_ID,ROW()-4)="","",IF(COUNTIF(P_ID,INDEX(L_ID,ROW()-4))&gt;0,1,0))</f>
        <v/>
      </c>
      <c r="B3909">
        <f>IF(INDEX(P_Type,ROW()-4)="","",TRIM(UPPER(INDEX(P_Type,ROW()-4))))</f>
        <v/>
      </c>
      <c r="D3909">
        <f>IF(INDEX(L_Type,ROW()-4)="","",TRIM(UPPER(INDEX(L_Type,ROW()-4))))</f>
        <v/>
      </c>
      <c r="E3909">
        <f>IF(INDEX(P_Status,ROW()-4)="","",TRIM(UPPER(INDEX(P_Status,ROW()-4))))</f>
        <v/>
      </c>
      <c r="G3909">
        <f>IF(INDEX(L_Status,ROW()-4)="","",TRIM(UPPER(INDEX(L_Status,ROW()-4))))</f>
        <v/>
      </c>
      <c r="J3909">
        <f>IF(INDEX(L_ID,ROW()-4)="","",IF(SUMPRODUCT((P_ID=INDEX(L_ID,ROW()-4))*(P_StatusN="INACTIVE"))&gt;0,1,0))</f>
        <v/>
      </c>
    </row>
    <row r="3910">
      <c r="A3910">
        <f>IF(INDEX(L_ID,ROW()-4)="","",IF(COUNTIF(P_ID,INDEX(L_ID,ROW()-4))&gt;0,1,0))</f>
        <v/>
      </c>
      <c r="B3910">
        <f>IF(INDEX(P_Type,ROW()-4)="","",TRIM(UPPER(INDEX(P_Type,ROW()-4))))</f>
        <v/>
      </c>
      <c r="D3910">
        <f>IF(INDEX(L_Type,ROW()-4)="","",TRIM(UPPER(INDEX(L_Type,ROW()-4))))</f>
        <v/>
      </c>
      <c r="E3910">
        <f>IF(INDEX(P_Status,ROW()-4)="","",TRIM(UPPER(INDEX(P_Status,ROW()-4))))</f>
        <v/>
      </c>
      <c r="G3910">
        <f>IF(INDEX(L_Status,ROW()-4)="","",TRIM(UPPER(INDEX(L_Status,ROW()-4))))</f>
        <v/>
      </c>
      <c r="J3910">
        <f>IF(INDEX(L_ID,ROW()-4)="","",IF(SUMPRODUCT((P_ID=INDEX(L_ID,ROW()-4))*(P_StatusN="INACTIVE"))&gt;0,1,0))</f>
        <v/>
      </c>
    </row>
    <row r="3911">
      <c r="A3911">
        <f>IF(INDEX(L_ID,ROW()-4)="","",IF(COUNTIF(P_ID,INDEX(L_ID,ROW()-4))&gt;0,1,0))</f>
        <v/>
      </c>
      <c r="B3911">
        <f>IF(INDEX(P_Type,ROW()-4)="","",TRIM(UPPER(INDEX(P_Type,ROW()-4))))</f>
        <v/>
      </c>
      <c r="D3911">
        <f>IF(INDEX(L_Type,ROW()-4)="","",TRIM(UPPER(INDEX(L_Type,ROW()-4))))</f>
        <v/>
      </c>
      <c r="E3911">
        <f>IF(INDEX(P_Status,ROW()-4)="","",TRIM(UPPER(INDEX(P_Status,ROW()-4))))</f>
        <v/>
      </c>
      <c r="G3911">
        <f>IF(INDEX(L_Status,ROW()-4)="","",TRIM(UPPER(INDEX(L_Status,ROW()-4))))</f>
        <v/>
      </c>
      <c r="J3911">
        <f>IF(INDEX(L_ID,ROW()-4)="","",IF(SUMPRODUCT((P_ID=INDEX(L_ID,ROW()-4))*(P_StatusN="INACTIVE"))&gt;0,1,0))</f>
        <v/>
      </c>
    </row>
    <row r="3912">
      <c r="A3912">
        <f>IF(INDEX(L_ID,ROW()-4)="","",IF(COUNTIF(P_ID,INDEX(L_ID,ROW()-4))&gt;0,1,0))</f>
        <v/>
      </c>
      <c r="B3912">
        <f>IF(INDEX(P_Type,ROW()-4)="","",TRIM(UPPER(INDEX(P_Type,ROW()-4))))</f>
        <v/>
      </c>
      <c r="D3912">
        <f>IF(INDEX(L_Type,ROW()-4)="","",TRIM(UPPER(INDEX(L_Type,ROW()-4))))</f>
        <v/>
      </c>
      <c r="E3912">
        <f>IF(INDEX(P_Status,ROW()-4)="","",TRIM(UPPER(INDEX(P_Status,ROW()-4))))</f>
        <v/>
      </c>
      <c r="G3912">
        <f>IF(INDEX(L_Status,ROW()-4)="","",TRIM(UPPER(INDEX(L_Status,ROW()-4))))</f>
        <v/>
      </c>
      <c r="J3912">
        <f>IF(INDEX(L_ID,ROW()-4)="","",IF(SUMPRODUCT((P_ID=INDEX(L_ID,ROW()-4))*(P_StatusN="INACTIVE"))&gt;0,1,0))</f>
        <v/>
      </c>
    </row>
    <row r="3913">
      <c r="A3913">
        <f>IF(INDEX(L_ID,ROW()-4)="","",IF(COUNTIF(P_ID,INDEX(L_ID,ROW()-4))&gt;0,1,0))</f>
        <v/>
      </c>
      <c r="B3913">
        <f>IF(INDEX(P_Type,ROW()-4)="","",TRIM(UPPER(INDEX(P_Type,ROW()-4))))</f>
        <v/>
      </c>
      <c r="D3913">
        <f>IF(INDEX(L_Type,ROW()-4)="","",TRIM(UPPER(INDEX(L_Type,ROW()-4))))</f>
        <v/>
      </c>
      <c r="E3913">
        <f>IF(INDEX(P_Status,ROW()-4)="","",TRIM(UPPER(INDEX(P_Status,ROW()-4))))</f>
        <v/>
      </c>
      <c r="G3913">
        <f>IF(INDEX(L_Status,ROW()-4)="","",TRIM(UPPER(INDEX(L_Status,ROW()-4))))</f>
        <v/>
      </c>
      <c r="J3913">
        <f>IF(INDEX(L_ID,ROW()-4)="","",IF(SUMPRODUCT((P_ID=INDEX(L_ID,ROW()-4))*(P_StatusN="INACTIVE"))&gt;0,1,0))</f>
        <v/>
      </c>
    </row>
    <row r="3914">
      <c r="A3914">
        <f>IF(INDEX(L_ID,ROW()-4)="","",IF(COUNTIF(P_ID,INDEX(L_ID,ROW()-4))&gt;0,1,0))</f>
        <v/>
      </c>
      <c r="B3914">
        <f>IF(INDEX(P_Type,ROW()-4)="","",TRIM(UPPER(INDEX(P_Type,ROW()-4))))</f>
        <v/>
      </c>
      <c r="D3914">
        <f>IF(INDEX(L_Type,ROW()-4)="","",TRIM(UPPER(INDEX(L_Type,ROW()-4))))</f>
        <v/>
      </c>
      <c r="E3914">
        <f>IF(INDEX(P_Status,ROW()-4)="","",TRIM(UPPER(INDEX(P_Status,ROW()-4))))</f>
        <v/>
      </c>
      <c r="G3914">
        <f>IF(INDEX(L_Status,ROW()-4)="","",TRIM(UPPER(INDEX(L_Status,ROW()-4))))</f>
        <v/>
      </c>
      <c r="J3914">
        <f>IF(INDEX(L_ID,ROW()-4)="","",IF(SUMPRODUCT((P_ID=INDEX(L_ID,ROW()-4))*(P_StatusN="INACTIVE"))&gt;0,1,0))</f>
        <v/>
      </c>
    </row>
    <row r="3915">
      <c r="A3915">
        <f>IF(INDEX(L_ID,ROW()-4)="","",IF(COUNTIF(P_ID,INDEX(L_ID,ROW()-4))&gt;0,1,0))</f>
        <v/>
      </c>
      <c r="B3915">
        <f>IF(INDEX(P_Type,ROW()-4)="","",TRIM(UPPER(INDEX(P_Type,ROW()-4))))</f>
        <v/>
      </c>
      <c r="D3915">
        <f>IF(INDEX(L_Type,ROW()-4)="","",TRIM(UPPER(INDEX(L_Type,ROW()-4))))</f>
        <v/>
      </c>
      <c r="E3915">
        <f>IF(INDEX(P_Status,ROW()-4)="","",TRIM(UPPER(INDEX(P_Status,ROW()-4))))</f>
        <v/>
      </c>
      <c r="G3915">
        <f>IF(INDEX(L_Status,ROW()-4)="","",TRIM(UPPER(INDEX(L_Status,ROW()-4))))</f>
        <v/>
      </c>
      <c r="J3915">
        <f>IF(INDEX(L_ID,ROW()-4)="","",IF(SUMPRODUCT((P_ID=INDEX(L_ID,ROW()-4))*(P_StatusN="INACTIVE"))&gt;0,1,0))</f>
        <v/>
      </c>
    </row>
    <row r="3916">
      <c r="A3916">
        <f>IF(INDEX(L_ID,ROW()-4)="","",IF(COUNTIF(P_ID,INDEX(L_ID,ROW()-4))&gt;0,1,0))</f>
        <v/>
      </c>
      <c r="B3916">
        <f>IF(INDEX(P_Type,ROW()-4)="","",TRIM(UPPER(INDEX(P_Type,ROW()-4))))</f>
        <v/>
      </c>
      <c r="D3916">
        <f>IF(INDEX(L_Type,ROW()-4)="","",TRIM(UPPER(INDEX(L_Type,ROW()-4))))</f>
        <v/>
      </c>
      <c r="E3916">
        <f>IF(INDEX(P_Status,ROW()-4)="","",TRIM(UPPER(INDEX(P_Status,ROW()-4))))</f>
        <v/>
      </c>
      <c r="G3916">
        <f>IF(INDEX(L_Status,ROW()-4)="","",TRIM(UPPER(INDEX(L_Status,ROW()-4))))</f>
        <v/>
      </c>
      <c r="J3916">
        <f>IF(INDEX(L_ID,ROW()-4)="","",IF(SUMPRODUCT((P_ID=INDEX(L_ID,ROW()-4))*(P_StatusN="INACTIVE"))&gt;0,1,0))</f>
        <v/>
      </c>
    </row>
    <row r="3917">
      <c r="A3917">
        <f>IF(INDEX(L_ID,ROW()-4)="","",IF(COUNTIF(P_ID,INDEX(L_ID,ROW()-4))&gt;0,1,0))</f>
        <v/>
      </c>
      <c r="B3917">
        <f>IF(INDEX(P_Type,ROW()-4)="","",TRIM(UPPER(INDEX(P_Type,ROW()-4))))</f>
        <v/>
      </c>
      <c r="D3917">
        <f>IF(INDEX(L_Type,ROW()-4)="","",TRIM(UPPER(INDEX(L_Type,ROW()-4))))</f>
        <v/>
      </c>
      <c r="E3917">
        <f>IF(INDEX(P_Status,ROW()-4)="","",TRIM(UPPER(INDEX(P_Status,ROW()-4))))</f>
        <v/>
      </c>
      <c r="G3917">
        <f>IF(INDEX(L_Status,ROW()-4)="","",TRIM(UPPER(INDEX(L_Status,ROW()-4))))</f>
        <v/>
      </c>
      <c r="J3917">
        <f>IF(INDEX(L_ID,ROW()-4)="","",IF(SUMPRODUCT((P_ID=INDEX(L_ID,ROW()-4))*(P_StatusN="INACTIVE"))&gt;0,1,0))</f>
        <v/>
      </c>
    </row>
    <row r="3918">
      <c r="A3918">
        <f>IF(INDEX(L_ID,ROW()-4)="","",IF(COUNTIF(P_ID,INDEX(L_ID,ROW()-4))&gt;0,1,0))</f>
        <v/>
      </c>
      <c r="B3918">
        <f>IF(INDEX(P_Type,ROW()-4)="","",TRIM(UPPER(INDEX(P_Type,ROW()-4))))</f>
        <v/>
      </c>
      <c r="D3918">
        <f>IF(INDEX(L_Type,ROW()-4)="","",TRIM(UPPER(INDEX(L_Type,ROW()-4))))</f>
        <v/>
      </c>
      <c r="E3918">
        <f>IF(INDEX(P_Status,ROW()-4)="","",TRIM(UPPER(INDEX(P_Status,ROW()-4))))</f>
        <v/>
      </c>
      <c r="G3918">
        <f>IF(INDEX(L_Status,ROW()-4)="","",TRIM(UPPER(INDEX(L_Status,ROW()-4))))</f>
        <v/>
      </c>
      <c r="J3918">
        <f>IF(INDEX(L_ID,ROW()-4)="","",IF(SUMPRODUCT((P_ID=INDEX(L_ID,ROW()-4))*(P_StatusN="INACTIVE"))&gt;0,1,0))</f>
        <v/>
      </c>
    </row>
    <row r="3919">
      <c r="A3919">
        <f>IF(INDEX(L_ID,ROW()-4)="","",IF(COUNTIF(P_ID,INDEX(L_ID,ROW()-4))&gt;0,1,0))</f>
        <v/>
      </c>
      <c r="B3919">
        <f>IF(INDEX(P_Type,ROW()-4)="","",TRIM(UPPER(INDEX(P_Type,ROW()-4))))</f>
        <v/>
      </c>
      <c r="D3919">
        <f>IF(INDEX(L_Type,ROW()-4)="","",TRIM(UPPER(INDEX(L_Type,ROW()-4))))</f>
        <v/>
      </c>
      <c r="E3919">
        <f>IF(INDEX(P_Status,ROW()-4)="","",TRIM(UPPER(INDEX(P_Status,ROW()-4))))</f>
        <v/>
      </c>
      <c r="G3919">
        <f>IF(INDEX(L_Status,ROW()-4)="","",TRIM(UPPER(INDEX(L_Status,ROW()-4))))</f>
        <v/>
      </c>
      <c r="J3919">
        <f>IF(INDEX(L_ID,ROW()-4)="","",IF(SUMPRODUCT((P_ID=INDEX(L_ID,ROW()-4))*(P_StatusN="INACTIVE"))&gt;0,1,0))</f>
        <v/>
      </c>
    </row>
    <row r="3920">
      <c r="A3920">
        <f>IF(INDEX(L_ID,ROW()-4)="","",IF(COUNTIF(P_ID,INDEX(L_ID,ROW()-4))&gt;0,1,0))</f>
        <v/>
      </c>
      <c r="B3920">
        <f>IF(INDEX(P_Type,ROW()-4)="","",TRIM(UPPER(INDEX(P_Type,ROW()-4))))</f>
        <v/>
      </c>
      <c r="D3920">
        <f>IF(INDEX(L_Type,ROW()-4)="","",TRIM(UPPER(INDEX(L_Type,ROW()-4))))</f>
        <v/>
      </c>
      <c r="E3920">
        <f>IF(INDEX(P_Status,ROW()-4)="","",TRIM(UPPER(INDEX(P_Status,ROW()-4))))</f>
        <v/>
      </c>
      <c r="G3920">
        <f>IF(INDEX(L_Status,ROW()-4)="","",TRIM(UPPER(INDEX(L_Status,ROW()-4))))</f>
        <v/>
      </c>
      <c r="J3920">
        <f>IF(INDEX(L_ID,ROW()-4)="","",IF(SUMPRODUCT((P_ID=INDEX(L_ID,ROW()-4))*(P_StatusN="INACTIVE"))&gt;0,1,0))</f>
        <v/>
      </c>
    </row>
    <row r="3921">
      <c r="A3921">
        <f>IF(INDEX(L_ID,ROW()-4)="","",IF(COUNTIF(P_ID,INDEX(L_ID,ROW()-4))&gt;0,1,0))</f>
        <v/>
      </c>
      <c r="B3921">
        <f>IF(INDEX(P_Type,ROW()-4)="","",TRIM(UPPER(INDEX(P_Type,ROW()-4))))</f>
        <v/>
      </c>
      <c r="D3921">
        <f>IF(INDEX(L_Type,ROW()-4)="","",TRIM(UPPER(INDEX(L_Type,ROW()-4))))</f>
        <v/>
      </c>
      <c r="E3921">
        <f>IF(INDEX(P_Status,ROW()-4)="","",TRIM(UPPER(INDEX(P_Status,ROW()-4))))</f>
        <v/>
      </c>
      <c r="G3921">
        <f>IF(INDEX(L_Status,ROW()-4)="","",TRIM(UPPER(INDEX(L_Status,ROW()-4))))</f>
        <v/>
      </c>
      <c r="J3921">
        <f>IF(INDEX(L_ID,ROW()-4)="","",IF(SUMPRODUCT((P_ID=INDEX(L_ID,ROW()-4))*(P_StatusN="INACTIVE"))&gt;0,1,0))</f>
        <v/>
      </c>
    </row>
    <row r="3922">
      <c r="A3922">
        <f>IF(INDEX(L_ID,ROW()-4)="","",IF(COUNTIF(P_ID,INDEX(L_ID,ROW()-4))&gt;0,1,0))</f>
        <v/>
      </c>
      <c r="B3922">
        <f>IF(INDEX(P_Type,ROW()-4)="","",TRIM(UPPER(INDEX(P_Type,ROW()-4))))</f>
        <v/>
      </c>
      <c r="D3922">
        <f>IF(INDEX(L_Type,ROW()-4)="","",TRIM(UPPER(INDEX(L_Type,ROW()-4))))</f>
        <v/>
      </c>
      <c r="E3922">
        <f>IF(INDEX(P_Status,ROW()-4)="","",TRIM(UPPER(INDEX(P_Status,ROW()-4))))</f>
        <v/>
      </c>
      <c r="G3922">
        <f>IF(INDEX(L_Status,ROW()-4)="","",TRIM(UPPER(INDEX(L_Status,ROW()-4))))</f>
        <v/>
      </c>
      <c r="J3922">
        <f>IF(INDEX(L_ID,ROW()-4)="","",IF(SUMPRODUCT((P_ID=INDEX(L_ID,ROW()-4))*(P_StatusN="INACTIVE"))&gt;0,1,0))</f>
        <v/>
      </c>
    </row>
    <row r="3923">
      <c r="A3923">
        <f>IF(INDEX(L_ID,ROW()-4)="","",IF(COUNTIF(P_ID,INDEX(L_ID,ROW()-4))&gt;0,1,0))</f>
        <v/>
      </c>
      <c r="B3923">
        <f>IF(INDEX(P_Type,ROW()-4)="","",TRIM(UPPER(INDEX(P_Type,ROW()-4))))</f>
        <v/>
      </c>
      <c r="D3923">
        <f>IF(INDEX(L_Type,ROW()-4)="","",TRIM(UPPER(INDEX(L_Type,ROW()-4))))</f>
        <v/>
      </c>
      <c r="E3923">
        <f>IF(INDEX(P_Status,ROW()-4)="","",TRIM(UPPER(INDEX(P_Status,ROW()-4))))</f>
        <v/>
      </c>
      <c r="G3923">
        <f>IF(INDEX(L_Status,ROW()-4)="","",TRIM(UPPER(INDEX(L_Status,ROW()-4))))</f>
        <v/>
      </c>
      <c r="J3923">
        <f>IF(INDEX(L_ID,ROW()-4)="","",IF(SUMPRODUCT((P_ID=INDEX(L_ID,ROW()-4))*(P_StatusN="INACTIVE"))&gt;0,1,0))</f>
        <v/>
      </c>
    </row>
    <row r="3924">
      <c r="A3924">
        <f>IF(INDEX(L_ID,ROW()-4)="","",IF(COUNTIF(P_ID,INDEX(L_ID,ROW()-4))&gt;0,1,0))</f>
        <v/>
      </c>
      <c r="B3924">
        <f>IF(INDEX(P_Type,ROW()-4)="","",TRIM(UPPER(INDEX(P_Type,ROW()-4))))</f>
        <v/>
      </c>
      <c r="D3924">
        <f>IF(INDEX(L_Type,ROW()-4)="","",TRIM(UPPER(INDEX(L_Type,ROW()-4))))</f>
        <v/>
      </c>
      <c r="E3924">
        <f>IF(INDEX(P_Status,ROW()-4)="","",TRIM(UPPER(INDEX(P_Status,ROW()-4))))</f>
        <v/>
      </c>
      <c r="G3924">
        <f>IF(INDEX(L_Status,ROW()-4)="","",TRIM(UPPER(INDEX(L_Status,ROW()-4))))</f>
        <v/>
      </c>
      <c r="J3924">
        <f>IF(INDEX(L_ID,ROW()-4)="","",IF(SUMPRODUCT((P_ID=INDEX(L_ID,ROW()-4))*(P_StatusN="INACTIVE"))&gt;0,1,0))</f>
        <v/>
      </c>
    </row>
    <row r="3925">
      <c r="A3925">
        <f>IF(INDEX(L_ID,ROW()-4)="","",IF(COUNTIF(P_ID,INDEX(L_ID,ROW()-4))&gt;0,1,0))</f>
        <v/>
      </c>
      <c r="B3925">
        <f>IF(INDEX(P_Type,ROW()-4)="","",TRIM(UPPER(INDEX(P_Type,ROW()-4))))</f>
        <v/>
      </c>
      <c r="D3925">
        <f>IF(INDEX(L_Type,ROW()-4)="","",TRIM(UPPER(INDEX(L_Type,ROW()-4))))</f>
        <v/>
      </c>
      <c r="E3925">
        <f>IF(INDEX(P_Status,ROW()-4)="","",TRIM(UPPER(INDEX(P_Status,ROW()-4))))</f>
        <v/>
      </c>
      <c r="G3925">
        <f>IF(INDEX(L_Status,ROW()-4)="","",TRIM(UPPER(INDEX(L_Status,ROW()-4))))</f>
        <v/>
      </c>
      <c r="J3925">
        <f>IF(INDEX(L_ID,ROW()-4)="","",IF(SUMPRODUCT((P_ID=INDEX(L_ID,ROW()-4))*(P_StatusN="INACTIVE"))&gt;0,1,0))</f>
        <v/>
      </c>
    </row>
    <row r="3926">
      <c r="A3926">
        <f>IF(INDEX(L_ID,ROW()-4)="","",IF(COUNTIF(P_ID,INDEX(L_ID,ROW()-4))&gt;0,1,0))</f>
        <v/>
      </c>
      <c r="B3926">
        <f>IF(INDEX(P_Type,ROW()-4)="","",TRIM(UPPER(INDEX(P_Type,ROW()-4))))</f>
        <v/>
      </c>
      <c r="D3926">
        <f>IF(INDEX(L_Type,ROW()-4)="","",TRIM(UPPER(INDEX(L_Type,ROW()-4))))</f>
        <v/>
      </c>
      <c r="E3926">
        <f>IF(INDEX(P_Status,ROW()-4)="","",TRIM(UPPER(INDEX(P_Status,ROW()-4))))</f>
        <v/>
      </c>
      <c r="G3926">
        <f>IF(INDEX(L_Status,ROW()-4)="","",TRIM(UPPER(INDEX(L_Status,ROW()-4))))</f>
        <v/>
      </c>
      <c r="J3926">
        <f>IF(INDEX(L_ID,ROW()-4)="","",IF(SUMPRODUCT((P_ID=INDEX(L_ID,ROW()-4))*(P_StatusN="INACTIVE"))&gt;0,1,0))</f>
        <v/>
      </c>
    </row>
    <row r="3927">
      <c r="A3927">
        <f>IF(INDEX(L_ID,ROW()-4)="","",IF(COUNTIF(P_ID,INDEX(L_ID,ROW()-4))&gt;0,1,0))</f>
        <v/>
      </c>
      <c r="B3927">
        <f>IF(INDEX(P_Type,ROW()-4)="","",TRIM(UPPER(INDEX(P_Type,ROW()-4))))</f>
        <v/>
      </c>
      <c r="D3927">
        <f>IF(INDEX(L_Type,ROW()-4)="","",TRIM(UPPER(INDEX(L_Type,ROW()-4))))</f>
        <v/>
      </c>
      <c r="E3927">
        <f>IF(INDEX(P_Status,ROW()-4)="","",TRIM(UPPER(INDEX(P_Status,ROW()-4))))</f>
        <v/>
      </c>
      <c r="G3927">
        <f>IF(INDEX(L_Status,ROW()-4)="","",TRIM(UPPER(INDEX(L_Status,ROW()-4))))</f>
        <v/>
      </c>
      <c r="J3927">
        <f>IF(INDEX(L_ID,ROW()-4)="","",IF(SUMPRODUCT((P_ID=INDEX(L_ID,ROW()-4))*(P_StatusN="INACTIVE"))&gt;0,1,0))</f>
        <v/>
      </c>
    </row>
    <row r="3928">
      <c r="A3928">
        <f>IF(INDEX(L_ID,ROW()-4)="","",IF(COUNTIF(P_ID,INDEX(L_ID,ROW()-4))&gt;0,1,0))</f>
        <v/>
      </c>
      <c r="B3928">
        <f>IF(INDEX(P_Type,ROW()-4)="","",TRIM(UPPER(INDEX(P_Type,ROW()-4))))</f>
        <v/>
      </c>
      <c r="D3928">
        <f>IF(INDEX(L_Type,ROW()-4)="","",TRIM(UPPER(INDEX(L_Type,ROW()-4))))</f>
        <v/>
      </c>
      <c r="E3928">
        <f>IF(INDEX(P_Status,ROW()-4)="","",TRIM(UPPER(INDEX(P_Status,ROW()-4))))</f>
        <v/>
      </c>
      <c r="G3928">
        <f>IF(INDEX(L_Status,ROW()-4)="","",TRIM(UPPER(INDEX(L_Status,ROW()-4))))</f>
        <v/>
      </c>
      <c r="J3928">
        <f>IF(INDEX(L_ID,ROW()-4)="","",IF(SUMPRODUCT((P_ID=INDEX(L_ID,ROW()-4))*(P_StatusN="INACTIVE"))&gt;0,1,0))</f>
        <v/>
      </c>
    </row>
    <row r="3929">
      <c r="A3929">
        <f>IF(INDEX(L_ID,ROW()-4)="","",IF(COUNTIF(P_ID,INDEX(L_ID,ROW()-4))&gt;0,1,0))</f>
        <v/>
      </c>
      <c r="B3929">
        <f>IF(INDEX(P_Type,ROW()-4)="","",TRIM(UPPER(INDEX(P_Type,ROW()-4))))</f>
        <v/>
      </c>
      <c r="D3929">
        <f>IF(INDEX(L_Type,ROW()-4)="","",TRIM(UPPER(INDEX(L_Type,ROW()-4))))</f>
        <v/>
      </c>
      <c r="E3929">
        <f>IF(INDEX(P_Status,ROW()-4)="","",TRIM(UPPER(INDEX(P_Status,ROW()-4))))</f>
        <v/>
      </c>
      <c r="G3929">
        <f>IF(INDEX(L_Status,ROW()-4)="","",TRIM(UPPER(INDEX(L_Status,ROW()-4))))</f>
        <v/>
      </c>
      <c r="J3929">
        <f>IF(INDEX(L_ID,ROW()-4)="","",IF(SUMPRODUCT((P_ID=INDEX(L_ID,ROW()-4))*(P_StatusN="INACTIVE"))&gt;0,1,0))</f>
        <v/>
      </c>
    </row>
    <row r="3930">
      <c r="A3930">
        <f>IF(INDEX(L_ID,ROW()-4)="","",IF(COUNTIF(P_ID,INDEX(L_ID,ROW()-4))&gt;0,1,0))</f>
        <v/>
      </c>
      <c r="B3930">
        <f>IF(INDEX(P_Type,ROW()-4)="","",TRIM(UPPER(INDEX(P_Type,ROW()-4))))</f>
        <v/>
      </c>
      <c r="D3930">
        <f>IF(INDEX(L_Type,ROW()-4)="","",TRIM(UPPER(INDEX(L_Type,ROW()-4))))</f>
        <v/>
      </c>
      <c r="E3930">
        <f>IF(INDEX(P_Status,ROW()-4)="","",TRIM(UPPER(INDEX(P_Status,ROW()-4))))</f>
        <v/>
      </c>
      <c r="G3930">
        <f>IF(INDEX(L_Status,ROW()-4)="","",TRIM(UPPER(INDEX(L_Status,ROW()-4))))</f>
        <v/>
      </c>
      <c r="J3930">
        <f>IF(INDEX(L_ID,ROW()-4)="","",IF(SUMPRODUCT((P_ID=INDEX(L_ID,ROW()-4))*(P_StatusN="INACTIVE"))&gt;0,1,0))</f>
        <v/>
      </c>
    </row>
    <row r="3931">
      <c r="A3931">
        <f>IF(INDEX(L_ID,ROW()-4)="","",IF(COUNTIF(P_ID,INDEX(L_ID,ROW()-4))&gt;0,1,0))</f>
        <v/>
      </c>
      <c r="B3931">
        <f>IF(INDEX(P_Type,ROW()-4)="","",TRIM(UPPER(INDEX(P_Type,ROW()-4))))</f>
        <v/>
      </c>
      <c r="D3931">
        <f>IF(INDEX(L_Type,ROW()-4)="","",TRIM(UPPER(INDEX(L_Type,ROW()-4))))</f>
        <v/>
      </c>
      <c r="E3931">
        <f>IF(INDEX(P_Status,ROW()-4)="","",TRIM(UPPER(INDEX(P_Status,ROW()-4))))</f>
        <v/>
      </c>
      <c r="G3931">
        <f>IF(INDEX(L_Status,ROW()-4)="","",TRIM(UPPER(INDEX(L_Status,ROW()-4))))</f>
        <v/>
      </c>
      <c r="J3931">
        <f>IF(INDEX(L_ID,ROW()-4)="","",IF(SUMPRODUCT((P_ID=INDEX(L_ID,ROW()-4))*(P_StatusN="INACTIVE"))&gt;0,1,0))</f>
        <v/>
      </c>
    </row>
    <row r="3932">
      <c r="A3932">
        <f>IF(INDEX(L_ID,ROW()-4)="","",IF(COUNTIF(P_ID,INDEX(L_ID,ROW()-4))&gt;0,1,0))</f>
        <v/>
      </c>
      <c r="B3932">
        <f>IF(INDEX(P_Type,ROW()-4)="","",TRIM(UPPER(INDEX(P_Type,ROW()-4))))</f>
        <v/>
      </c>
      <c r="D3932">
        <f>IF(INDEX(L_Type,ROW()-4)="","",TRIM(UPPER(INDEX(L_Type,ROW()-4))))</f>
        <v/>
      </c>
      <c r="E3932">
        <f>IF(INDEX(P_Status,ROW()-4)="","",TRIM(UPPER(INDEX(P_Status,ROW()-4))))</f>
        <v/>
      </c>
      <c r="G3932">
        <f>IF(INDEX(L_Status,ROW()-4)="","",TRIM(UPPER(INDEX(L_Status,ROW()-4))))</f>
        <v/>
      </c>
      <c r="J3932">
        <f>IF(INDEX(L_ID,ROW()-4)="","",IF(SUMPRODUCT((P_ID=INDEX(L_ID,ROW()-4))*(P_StatusN="INACTIVE"))&gt;0,1,0))</f>
        <v/>
      </c>
    </row>
    <row r="3933">
      <c r="A3933">
        <f>IF(INDEX(L_ID,ROW()-4)="","",IF(COUNTIF(P_ID,INDEX(L_ID,ROW()-4))&gt;0,1,0))</f>
        <v/>
      </c>
      <c r="B3933">
        <f>IF(INDEX(P_Type,ROW()-4)="","",TRIM(UPPER(INDEX(P_Type,ROW()-4))))</f>
        <v/>
      </c>
      <c r="D3933">
        <f>IF(INDEX(L_Type,ROW()-4)="","",TRIM(UPPER(INDEX(L_Type,ROW()-4))))</f>
        <v/>
      </c>
      <c r="E3933">
        <f>IF(INDEX(P_Status,ROW()-4)="","",TRIM(UPPER(INDEX(P_Status,ROW()-4))))</f>
        <v/>
      </c>
      <c r="G3933">
        <f>IF(INDEX(L_Status,ROW()-4)="","",TRIM(UPPER(INDEX(L_Status,ROW()-4))))</f>
        <v/>
      </c>
      <c r="J3933">
        <f>IF(INDEX(L_ID,ROW()-4)="","",IF(SUMPRODUCT((P_ID=INDEX(L_ID,ROW()-4))*(P_StatusN="INACTIVE"))&gt;0,1,0))</f>
        <v/>
      </c>
    </row>
    <row r="3934">
      <c r="A3934">
        <f>IF(INDEX(L_ID,ROW()-4)="","",IF(COUNTIF(P_ID,INDEX(L_ID,ROW()-4))&gt;0,1,0))</f>
        <v/>
      </c>
      <c r="B3934">
        <f>IF(INDEX(P_Type,ROW()-4)="","",TRIM(UPPER(INDEX(P_Type,ROW()-4))))</f>
        <v/>
      </c>
      <c r="D3934">
        <f>IF(INDEX(L_Type,ROW()-4)="","",TRIM(UPPER(INDEX(L_Type,ROW()-4))))</f>
        <v/>
      </c>
      <c r="E3934">
        <f>IF(INDEX(P_Status,ROW()-4)="","",TRIM(UPPER(INDEX(P_Status,ROW()-4))))</f>
        <v/>
      </c>
      <c r="G3934">
        <f>IF(INDEX(L_Status,ROW()-4)="","",TRIM(UPPER(INDEX(L_Status,ROW()-4))))</f>
        <v/>
      </c>
      <c r="J3934">
        <f>IF(INDEX(L_ID,ROW()-4)="","",IF(SUMPRODUCT((P_ID=INDEX(L_ID,ROW()-4))*(P_StatusN="INACTIVE"))&gt;0,1,0))</f>
        <v/>
      </c>
    </row>
    <row r="3935">
      <c r="A3935">
        <f>IF(INDEX(L_ID,ROW()-4)="","",IF(COUNTIF(P_ID,INDEX(L_ID,ROW()-4))&gt;0,1,0))</f>
        <v/>
      </c>
      <c r="B3935">
        <f>IF(INDEX(P_Type,ROW()-4)="","",TRIM(UPPER(INDEX(P_Type,ROW()-4))))</f>
        <v/>
      </c>
      <c r="D3935">
        <f>IF(INDEX(L_Type,ROW()-4)="","",TRIM(UPPER(INDEX(L_Type,ROW()-4))))</f>
        <v/>
      </c>
      <c r="E3935">
        <f>IF(INDEX(P_Status,ROW()-4)="","",TRIM(UPPER(INDEX(P_Status,ROW()-4))))</f>
        <v/>
      </c>
      <c r="G3935">
        <f>IF(INDEX(L_Status,ROW()-4)="","",TRIM(UPPER(INDEX(L_Status,ROW()-4))))</f>
        <v/>
      </c>
      <c r="J3935">
        <f>IF(INDEX(L_ID,ROW()-4)="","",IF(SUMPRODUCT((P_ID=INDEX(L_ID,ROW()-4))*(P_StatusN="INACTIVE"))&gt;0,1,0))</f>
        <v/>
      </c>
    </row>
    <row r="3936">
      <c r="A3936">
        <f>IF(INDEX(L_ID,ROW()-4)="","",IF(COUNTIF(P_ID,INDEX(L_ID,ROW()-4))&gt;0,1,0))</f>
        <v/>
      </c>
      <c r="B3936">
        <f>IF(INDEX(P_Type,ROW()-4)="","",TRIM(UPPER(INDEX(P_Type,ROW()-4))))</f>
        <v/>
      </c>
      <c r="D3936">
        <f>IF(INDEX(L_Type,ROW()-4)="","",TRIM(UPPER(INDEX(L_Type,ROW()-4))))</f>
        <v/>
      </c>
      <c r="E3936">
        <f>IF(INDEX(P_Status,ROW()-4)="","",TRIM(UPPER(INDEX(P_Status,ROW()-4))))</f>
        <v/>
      </c>
      <c r="G3936">
        <f>IF(INDEX(L_Status,ROW()-4)="","",TRIM(UPPER(INDEX(L_Status,ROW()-4))))</f>
        <v/>
      </c>
      <c r="J3936">
        <f>IF(INDEX(L_ID,ROW()-4)="","",IF(SUMPRODUCT((P_ID=INDEX(L_ID,ROW()-4))*(P_StatusN="INACTIVE"))&gt;0,1,0))</f>
        <v/>
      </c>
    </row>
    <row r="3937">
      <c r="A3937">
        <f>IF(INDEX(L_ID,ROW()-4)="","",IF(COUNTIF(P_ID,INDEX(L_ID,ROW()-4))&gt;0,1,0))</f>
        <v/>
      </c>
      <c r="B3937">
        <f>IF(INDEX(P_Type,ROW()-4)="","",TRIM(UPPER(INDEX(P_Type,ROW()-4))))</f>
        <v/>
      </c>
      <c r="D3937">
        <f>IF(INDEX(L_Type,ROW()-4)="","",TRIM(UPPER(INDEX(L_Type,ROW()-4))))</f>
        <v/>
      </c>
      <c r="E3937">
        <f>IF(INDEX(P_Status,ROW()-4)="","",TRIM(UPPER(INDEX(P_Status,ROW()-4))))</f>
        <v/>
      </c>
      <c r="G3937">
        <f>IF(INDEX(L_Status,ROW()-4)="","",TRIM(UPPER(INDEX(L_Status,ROW()-4))))</f>
        <v/>
      </c>
      <c r="J3937">
        <f>IF(INDEX(L_ID,ROW()-4)="","",IF(SUMPRODUCT((P_ID=INDEX(L_ID,ROW()-4))*(P_StatusN="INACTIVE"))&gt;0,1,0))</f>
        <v/>
      </c>
    </row>
    <row r="3938">
      <c r="A3938">
        <f>IF(INDEX(L_ID,ROW()-4)="","",IF(COUNTIF(P_ID,INDEX(L_ID,ROW()-4))&gt;0,1,0))</f>
        <v/>
      </c>
      <c r="B3938">
        <f>IF(INDEX(P_Type,ROW()-4)="","",TRIM(UPPER(INDEX(P_Type,ROW()-4))))</f>
        <v/>
      </c>
      <c r="D3938">
        <f>IF(INDEX(L_Type,ROW()-4)="","",TRIM(UPPER(INDEX(L_Type,ROW()-4))))</f>
        <v/>
      </c>
      <c r="E3938">
        <f>IF(INDEX(P_Status,ROW()-4)="","",TRIM(UPPER(INDEX(P_Status,ROW()-4))))</f>
        <v/>
      </c>
      <c r="G3938">
        <f>IF(INDEX(L_Status,ROW()-4)="","",TRIM(UPPER(INDEX(L_Status,ROW()-4))))</f>
        <v/>
      </c>
      <c r="J3938">
        <f>IF(INDEX(L_ID,ROW()-4)="","",IF(SUMPRODUCT((P_ID=INDEX(L_ID,ROW()-4))*(P_StatusN="INACTIVE"))&gt;0,1,0))</f>
        <v/>
      </c>
    </row>
    <row r="3939">
      <c r="A3939">
        <f>IF(INDEX(L_ID,ROW()-4)="","",IF(COUNTIF(P_ID,INDEX(L_ID,ROW()-4))&gt;0,1,0))</f>
        <v/>
      </c>
      <c r="B3939">
        <f>IF(INDEX(P_Type,ROW()-4)="","",TRIM(UPPER(INDEX(P_Type,ROW()-4))))</f>
        <v/>
      </c>
      <c r="D3939">
        <f>IF(INDEX(L_Type,ROW()-4)="","",TRIM(UPPER(INDEX(L_Type,ROW()-4))))</f>
        <v/>
      </c>
      <c r="E3939">
        <f>IF(INDEX(P_Status,ROW()-4)="","",TRIM(UPPER(INDEX(P_Status,ROW()-4))))</f>
        <v/>
      </c>
      <c r="G3939">
        <f>IF(INDEX(L_Status,ROW()-4)="","",TRIM(UPPER(INDEX(L_Status,ROW()-4))))</f>
        <v/>
      </c>
      <c r="J3939">
        <f>IF(INDEX(L_ID,ROW()-4)="","",IF(SUMPRODUCT((P_ID=INDEX(L_ID,ROW()-4))*(P_StatusN="INACTIVE"))&gt;0,1,0))</f>
        <v/>
      </c>
    </row>
    <row r="3940">
      <c r="A3940">
        <f>IF(INDEX(L_ID,ROW()-4)="","",IF(COUNTIF(P_ID,INDEX(L_ID,ROW()-4))&gt;0,1,0))</f>
        <v/>
      </c>
      <c r="B3940">
        <f>IF(INDEX(P_Type,ROW()-4)="","",TRIM(UPPER(INDEX(P_Type,ROW()-4))))</f>
        <v/>
      </c>
      <c r="D3940">
        <f>IF(INDEX(L_Type,ROW()-4)="","",TRIM(UPPER(INDEX(L_Type,ROW()-4))))</f>
        <v/>
      </c>
      <c r="E3940">
        <f>IF(INDEX(P_Status,ROW()-4)="","",TRIM(UPPER(INDEX(P_Status,ROW()-4))))</f>
        <v/>
      </c>
      <c r="G3940">
        <f>IF(INDEX(L_Status,ROW()-4)="","",TRIM(UPPER(INDEX(L_Status,ROW()-4))))</f>
        <v/>
      </c>
      <c r="J3940">
        <f>IF(INDEX(L_ID,ROW()-4)="","",IF(SUMPRODUCT((P_ID=INDEX(L_ID,ROW()-4))*(P_StatusN="INACTIVE"))&gt;0,1,0))</f>
        <v/>
      </c>
    </row>
    <row r="3941">
      <c r="A3941">
        <f>IF(INDEX(L_ID,ROW()-4)="","",IF(COUNTIF(P_ID,INDEX(L_ID,ROW()-4))&gt;0,1,0))</f>
        <v/>
      </c>
      <c r="B3941">
        <f>IF(INDEX(P_Type,ROW()-4)="","",TRIM(UPPER(INDEX(P_Type,ROW()-4))))</f>
        <v/>
      </c>
      <c r="D3941">
        <f>IF(INDEX(L_Type,ROW()-4)="","",TRIM(UPPER(INDEX(L_Type,ROW()-4))))</f>
        <v/>
      </c>
      <c r="E3941">
        <f>IF(INDEX(P_Status,ROW()-4)="","",TRIM(UPPER(INDEX(P_Status,ROW()-4))))</f>
        <v/>
      </c>
      <c r="G3941">
        <f>IF(INDEX(L_Status,ROW()-4)="","",TRIM(UPPER(INDEX(L_Status,ROW()-4))))</f>
        <v/>
      </c>
      <c r="J3941">
        <f>IF(INDEX(L_ID,ROW()-4)="","",IF(SUMPRODUCT((P_ID=INDEX(L_ID,ROW()-4))*(P_StatusN="INACTIVE"))&gt;0,1,0))</f>
        <v/>
      </c>
    </row>
    <row r="3942">
      <c r="A3942">
        <f>IF(INDEX(L_ID,ROW()-4)="","",IF(COUNTIF(P_ID,INDEX(L_ID,ROW()-4))&gt;0,1,0))</f>
        <v/>
      </c>
      <c r="B3942">
        <f>IF(INDEX(P_Type,ROW()-4)="","",TRIM(UPPER(INDEX(P_Type,ROW()-4))))</f>
        <v/>
      </c>
      <c r="D3942">
        <f>IF(INDEX(L_Type,ROW()-4)="","",TRIM(UPPER(INDEX(L_Type,ROW()-4))))</f>
        <v/>
      </c>
      <c r="E3942">
        <f>IF(INDEX(P_Status,ROW()-4)="","",TRIM(UPPER(INDEX(P_Status,ROW()-4))))</f>
        <v/>
      </c>
      <c r="G3942">
        <f>IF(INDEX(L_Status,ROW()-4)="","",TRIM(UPPER(INDEX(L_Status,ROW()-4))))</f>
        <v/>
      </c>
      <c r="J3942">
        <f>IF(INDEX(L_ID,ROW()-4)="","",IF(SUMPRODUCT((P_ID=INDEX(L_ID,ROW()-4))*(P_StatusN="INACTIVE"))&gt;0,1,0))</f>
        <v/>
      </c>
    </row>
    <row r="3943">
      <c r="A3943">
        <f>IF(INDEX(L_ID,ROW()-4)="","",IF(COUNTIF(P_ID,INDEX(L_ID,ROW()-4))&gt;0,1,0))</f>
        <v/>
      </c>
      <c r="B3943">
        <f>IF(INDEX(P_Type,ROW()-4)="","",TRIM(UPPER(INDEX(P_Type,ROW()-4))))</f>
        <v/>
      </c>
      <c r="D3943">
        <f>IF(INDEX(L_Type,ROW()-4)="","",TRIM(UPPER(INDEX(L_Type,ROW()-4))))</f>
        <v/>
      </c>
      <c r="E3943">
        <f>IF(INDEX(P_Status,ROW()-4)="","",TRIM(UPPER(INDEX(P_Status,ROW()-4))))</f>
        <v/>
      </c>
      <c r="G3943">
        <f>IF(INDEX(L_Status,ROW()-4)="","",TRIM(UPPER(INDEX(L_Status,ROW()-4))))</f>
        <v/>
      </c>
      <c r="J3943">
        <f>IF(INDEX(L_ID,ROW()-4)="","",IF(SUMPRODUCT((P_ID=INDEX(L_ID,ROW()-4))*(P_StatusN="INACTIVE"))&gt;0,1,0))</f>
        <v/>
      </c>
    </row>
    <row r="3944">
      <c r="A3944">
        <f>IF(INDEX(L_ID,ROW()-4)="","",IF(COUNTIF(P_ID,INDEX(L_ID,ROW()-4))&gt;0,1,0))</f>
        <v/>
      </c>
      <c r="B3944">
        <f>IF(INDEX(P_Type,ROW()-4)="","",TRIM(UPPER(INDEX(P_Type,ROW()-4))))</f>
        <v/>
      </c>
      <c r="D3944">
        <f>IF(INDEX(L_Type,ROW()-4)="","",TRIM(UPPER(INDEX(L_Type,ROW()-4))))</f>
        <v/>
      </c>
      <c r="E3944">
        <f>IF(INDEX(P_Status,ROW()-4)="","",TRIM(UPPER(INDEX(P_Status,ROW()-4))))</f>
        <v/>
      </c>
      <c r="G3944">
        <f>IF(INDEX(L_Status,ROW()-4)="","",TRIM(UPPER(INDEX(L_Status,ROW()-4))))</f>
        <v/>
      </c>
      <c r="J3944">
        <f>IF(INDEX(L_ID,ROW()-4)="","",IF(SUMPRODUCT((P_ID=INDEX(L_ID,ROW()-4))*(P_StatusN="INACTIVE"))&gt;0,1,0))</f>
        <v/>
      </c>
    </row>
    <row r="3945">
      <c r="A3945">
        <f>IF(INDEX(L_ID,ROW()-4)="","",IF(COUNTIF(P_ID,INDEX(L_ID,ROW()-4))&gt;0,1,0))</f>
        <v/>
      </c>
      <c r="B3945">
        <f>IF(INDEX(P_Type,ROW()-4)="","",TRIM(UPPER(INDEX(P_Type,ROW()-4))))</f>
        <v/>
      </c>
      <c r="D3945">
        <f>IF(INDEX(L_Type,ROW()-4)="","",TRIM(UPPER(INDEX(L_Type,ROW()-4))))</f>
        <v/>
      </c>
      <c r="E3945">
        <f>IF(INDEX(P_Status,ROW()-4)="","",TRIM(UPPER(INDEX(P_Status,ROW()-4))))</f>
        <v/>
      </c>
      <c r="G3945">
        <f>IF(INDEX(L_Status,ROW()-4)="","",TRIM(UPPER(INDEX(L_Status,ROW()-4))))</f>
        <v/>
      </c>
      <c r="J3945">
        <f>IF(INDEX(L_ID,ROW()-4)="","",IF(SUMPRODUCT((P_ID=INDEX(L_ID,ROW()-4))*(P_StatusN="INACTIVE"))&gt;0,1,0))</f>
        <v/>
      </c>
    </row>
    <row r="3946">
      <c r="A3946">
        <f>IF(INDEX(L_ID,ROW()-4)="","",IF(COUNTIF(P_ID,INDEX(L_ID,ROW()-4))&gt;0,1,0))</f>
        <v/>
      </c>
      <c r="B3946">
        <f>IF(INDEX(P_Type,ROW()-4)="","",TRIM(UPPER(INDEX(P_Type,ROW()-4))))</f>
        <v/>
      </c>
      <c r="D3946">
        <f>IF(INDEX(L_Type,ROW()-4)="","",TRIM(UPPER(INDEX(L_Type,ROW()-4))))</f>
        <v/>
      </c>
      <c r="E3946">
        <f>IF(INDEX(P_Status,ROW()-4)="","",TRIM(UPPER(INDEX(P_Status,ROW()-4))))</f>
        <v/>
      </c>
      <c r="G3946">
        <f>IF(INDEX(L_Status,ROW()-4)="","",TRIM(UPPER(INDEX(L_Status,ROW()-4))))</f>
        <v/>
      </c>
      <c r="J3946">
        <f>IF(INDEX(L_ID,ROW()-4)="","",IF(SUMPRODUCT((P_ID=INDEX(L_ID,ROW()-4))*(P_StatusN="INACTIVE"))&gt;0,1,0))</f>
        <v/>
      </c>
    </row>
    <row r="3947">
      <c r="A3947">
        <f>IF(INDEX(L_ID,ROW()-4)="","",IF(COUNTIF(P_ID,INDEX(L_ID,ROW()-4))&gt;0,1,0))</f>
        <v/>
      </c>
      <c r="B3947">
        <f>IF(INDEX(P_Type,ROW()-4)="","",TRIM(UPPER(INDEX(P_Type,ROW()-4))))</f>
        <v/>
      </c>
      <c r="D3947">
        <f>IF(INDEX(L_Type,ROW()-4)="","",TRIM(UPPER(INDEX(L_Type,ROW()-4))))</f>
        <v/>
      </c>
      <c r="E3947">
        <f>IF(INDEX(P_Status,ROW()-4)="","",TRIM(UPPER(INDEX(P_Status,ROW()-4))))</f>
        <v/>
      </c>
      <c r="G3947">
        <f>IF(INDEX(L_Status,ROW()-4)="","",TRIM(UPPER(INDEX(L_Status,ROW()-4))))</f>
        <v/>
      </c>
      <c r="J3947">
        <f>IF(INDEX(L_ID,ROW()-4)="","",IF(SUMPRODUCT((P_ID=INDEX(L_ID,ROW()-4))*(P_StatusN="INACTIVE"))&gt;0,1,0))</f>
        <v/>
      </c>
    </row>
    <row r="3948">
      <c r="A3948">
        <f>IF(INDEX(L_ID,ROW()-4)="","",IF(COUNTIF(P_ID,INDEX(L_ID,ROW()-4))&gt;0,1,0))</f>
        <v/>
      </c>
      <c r="B3948">
        <f>IF(INDEX(P_Type,ROW()-4)="","",TRIM(UPPER(INDEX(P_Type,ROW()-4))))</f>
        <v/>
      </c>
      <c r="D3948">
        <f>IF(INDEX(L_Type,ROW()-4)="","",TRIM(UPPER(INDEX(L_Type,ROW()-4))))</f>
        <v/>
      </c>
      <c r="E3948">
        <f>IF(INDEX(P_Status,ROW()-4)="","",TRIM(UPPER(INDEX(P_Status,ROW()-4))))</f>
        <v/>
      </c>
      <c r="G3948">
        <f>IF(INDEX(L_Status,ROW()-4)="","",TRIM(UPPER(INDEX(L_Status,ROW()-4))))</f>
        <v/>
      </c>
      <c r="J3948">
        <f>IF(INDEX(L_ID,ROW()-4)="","",IF(SUMPRODUCT((P_ID=INDEX(L_ID,ROW()-4))*(P_StatusN="INACTIVE"))&gt;0,1,0))</f>
        <v/>
      </c>
    </row>
    <row r="3949">
      <c r="A3949">
        <f>IF(INDEX(L_ID,ROW()-4)="","",IF(COUNTIF(P_ID,INDEX(L_ID,ROW()-4))&gt;0,1,0))</f>
        <v/>
      </c>
      <c r="B3949">
        <f>IF(INDEX(P_Type,ROW()-4)="","",TRIM(UPPER(INDEX(P_Type,ROW()-4))))</f>
        <v/>
      </c>
      <c r="D3949">
        <f>IF(INDEX(L_Type,ROW()-4)="","",TRIM(UPPER(INDEX(L_Type,ROW()-4))))</f>
        <v/>
      </c>
      <c r="E3949">
        <f>IF(INDEX(P_Status,ROW()-4)="","",TRIM(UPPER(INDEX(P_Status,ROW()-4))))</f>
        <v/>
      </c>
      <c r="G3949">
        <f>IF(INDEX(L_Status,ROW()-4)="","",TRIM(UPPER(INDEX(L_Status,ROW()-4))))</f>
        <v/>
      </c>
      <c r="J3949">
        <f>IF(INDEX(L_ID,ROW()-4)="","",IF(SUMPRODUCT((P_ID=INDEX(L_ID,ROW()-4))*(P_StatusN="INACTIVE"))&gt;0,1,0))</f>
        <v/>
      </c>
    </row>
    <row r="3950">
      <c r="A3950">
        <f>IF(INDEX(L_ID,ROW()-4)="","",IF(COUNTIF(P_ID,INDEX(L_ID,ROW()-4))&gt;0,1,0))</f>
        <v/>
      </c>
      <c r="B3950">
        <f>IF(INDEX(P_Type,ROW()-4)="","",TRIM(UPPER(INDEX(P_Type,ROW()-4))))</f>
        <v/>
      </c>
      <c r="D3950">
        <f>IF(INDEX(L_Type,ROW()-4)="","",TRIM(UPPER(INDEX(L_Type,ROW()-4))))</f>
        <v/>
      </c>
      <c r="E3950">
        <f>IF(INDEX(P_Status,ROW()-4)="","",TRIM(UPPER(INDEX(P_Status,ROW()-4))))</f>
        <v/>
      </c>
      <c r="G3950">
        <f>IF(INDEX(L_Status,ROW()-4)="","",TRIM(UPPER(INDEX(L_Status,ROW()-4))))</f>
        <v/>
      </c>
      <c r="J3950">
        <f>IF(INDEX(L_ID,ROW()-4)="","",IF(SUMPRODUCT((P_ID=INDEX(L_ID,ROW()-4))*(P_StatusN="INACTIVE"))&gt;0,1,0))</f>
        <v/>
      </c>
    </row>
    <row r="3951">
      <c r="A3951">
        <f>IF(INDEX(L_ID,ROW()-4)="","",IF(COUNTIF(P_ID,INDEX(L_ID,ROW()-4))&gt;0,1,0))</f>
        <v/>
      </c>
      <c r="B3951">
        <f>IF(INDEX(P_Type,ROW()-4)="","",TRIM(UPPER(INDEX(P_Type,ROW()-4))))</f>
        <v/>
      </c>
      <c r="D3951">
        <f>IF(INDEX(L_Type,ROW()-4)="","",TRIM(UPPER(INDEX(L_Type,ROW()-4))))</f>
        <v/>
      </c>
      <c r="E3951">
        <f>IF(INDEX(P_Status,ROW()-4)="","",TRIM(UPPER(INDEX(P_Status,ROW()-4))))</f>
        <v/>
      </c>
      <c r="G3951">
        <f>IF(INDEX(L_Status,ROW()-4)="","",TRIM(UPPER(INDEX(L_Status,ROW()-4))))</f>
        <v/>
      </c>
      <c r="J3951">
        <f>IF(INDEX(L_ID,ROW()-4)="","",IF(SUMPRODUCT((P_ID=INDEX(L_ID,ROW()-4))*(P_StatusN="INACTIVE"))&gt;0,1,0))</f>
        <v/>
      </c>
    </row>
    <row r="3952">
      <c r="A3952">
        <f>IF(INDEX(L_ID,ROW()-4)="","",IF(COUNTIF(P_ID,INDEX(L_ID,ROW()-4))&gt;0,1,0))</f>
        <v/>
      </c>
      <c r="B3952">
        <f>IF(INDEX(P_Type,ROW()-4)="","",TRIM(UPPER(INDEX(P_Type,ROW()-4))))</f>
        <v/>
      </c>
      <c r="D3952">
        <f>IF(INDEX(L_Type,ROW()-4)="","",TRIM(UPPER(INDEX(L_Type,ROW()-4))))</f>
        <v/>
      </c>
      <c r="E3952">
        <f>IF(INDEX(P_Status,ROW()-4)="","",TRIM(UPPER(INDEX(P_Status,ROW()-4))))</f>
        <v/>
      </c>
      <c r="G3952">
        <f>IF(INDEX(L_Status,ROW()-4)="","",TRIM(UPPER(INDEX(L_Status,ROW()-4))))</f>
        <v/>
      </c>
      <c r="J3952">
        <f>IF(INDEX(L_ID,ROW()-4)="","",IF(SUMPRODUCT((P_ID=INDEX(L_ID,ROW()-4))*(P_StatusN="INACTIVE"))&gt;0,1,0))</f>
        <v/>
      </c>
    </row>
    <row r="3953">
      <c r="A3953">
        <f>IF(INDEX(L_ID,ROW()-4)="","",IF(COUNTIF(P_ID,INDEX(L_ID,ROW()-4))&gt;0,1,0))</f>
        <v/>
      </c>
      <c r="B3953">
        <f>IF(INDEX(P_Type,ROW()-4)="","",TRIM(UPPER(INDEX(P_Type,ROW()-4))))</f>
        <v/>
      </c>
      <c r="D3953">
        <f>IF(INDEX(L_Type,ROW()-4)="","",TRIM(UPPER(INDEX(L_Type,ROW()-4))))</f>
        <v/>
      </c>
      <c r="E3953">
        <f>IF(INDEX(P_Status,ROW()-4)="","",TRIM(UPPER(INDEX(P_Status,ROW()-4))))</f>
        <v/>
      </c>
      <c r="G3953">
        <f>IF(INDEX(L_Status,ROW()-4)="","",TRIM(UPPER(INDEX(L_Status,ROW()-4))))</f>
        <v/>
      </c>
      <c r="J3953">
        <f>IF(INDEX(L_ID,ROW()-4)="","",IF(SUMPRODUCT((P_ID=INDEX(L_ID,ROW()-4))*(P_StatusN="INACTIVE"))&gt;0,1,0))</f>
        <v/>
      </c>
    </row>
    <row r="3954">
      <c r="A3954">
        <f>IF(INDEX(L_ID,ROW()-4)="","",IF(COUNTIF(P_ID,INDEX(L_ID,ROW()-4))&gt;0,1,0))</f>
        <v/>
      </c>
      <c r="B3954">
        <f>IF(INDEX(P_Type,ROW()-4)="","",TRIM(UPPER(INDEX(P_Type,ROW()-4))))</f>
        <v/>
      </c>
      <c r="D3954">
        <f>IF(INDEX(L_Type,ROW()-4)="","",TRIM(UPPER(INDEX(L_Type,ROW()-4))))</f>
        <v/>
      </c>
      <c r="E3954">
        <f>IF(INDEX(P_Status,ROW()-4)="","",TRIM(UPPER(INDEX(P_Status,ROW()-4))))</f>
        <v/>
      </c>
      <c r="G3954">
        <f>IF(INDEX(L_Status,ROW()-4)="","",TRIM(UPPER(INDEX(L_Status,ROW()-4))))</f>
        <v/>
      </c>
      <c r="J3954">
        <f>IF(INDEX(L_ID,ROW()-4)="","",IF(SUMPRODUCT((P_ID=INDEX(L_ID,ROW()-4))*(P_StatusN="INACTIVE"))&gt;0,1,0))</f>
        <v/>
      </c>
    </row>
    <row r="3955">
      <c r="A3955">
        <f>IF(INDEX(L_ID,ROW()-4)="","",IF(COUNTIF(P_ID,INDEX(L_ID,ROW()-4))&gt;0,1,0))</f>
        <v/>
      </c>
      <c r="B3955">
        <f>IF(INDEX(P_Type,ROW()-4)="","",TRIM(UPPER(INDEX(P_Type,ROW()-4))))</f>
        <v/>
      </c>
      <c r="D3955">
        <f>IF(INDEX(L_Type,ROW()-4)="","",TRIM(UPPER(INDEX(L_Type,ROW()-4))))</f>
        <v/>
      </c>
      <c r="E3955">
        <f>IF(INDEX(P_Status,ROW()-4)="","",TRIM(UPPER(INDEX(P_Status,ROW()-4))))</f>
        <v/>
      </c>
      <c r="G3955">
        <f>IF(INDEX(L_Status,ROW()-4)="","",TRIM(UPPER(INDEX(L_Status,ROW()-4))))</f>
        <v/>
      </c>
      <c r="J3955">
        <f>IF(INDEX(L_ID,ROW()-4)="","",IF(SUMPRODUCT((P_ID=INDEX(L_ID,ROW()-4))*(P_StatusN="INACTIVE"))&gt;0,1,0))</f>
        <v/>
      </c>
    </row>
    <row r="3956">
      <c r="A3956">
        <f>IF(INDEX(L_ID,ROW()-4)="","",IF(COUNTIF(P_ID,INDEX(L_ID,ROW()-4))&gt;0,1,0))</f>
        <v/>
      </c>
      <c r="B3956">
        <f>IF(INDEX(P_Type,ROW()-4)="","",TRIM(UPPER(INDEX(P_Type,ROW()-4))))</f>
        <v/>
      </c>
      <c r="D3956">
        <f>IF(INDEX(L_Type,ROW()-4)="","",TRIM(UPPER(INDEX(L_Type,ROW()-4))))</f>
        <v/>
      </c>
      <c r="E3956">
        <f>IF(INDEX(P_Status,ROW()-4)="","",TRIM(UPPER(INDEX(P_Status,ROW()-4))))</f>
        <v/>
      </c>
      <c r="G3956">
        <f>IF(INDEX(L_Status,ROW()-4)="","",TRIM(UPPER(INDEX(L_Status,ROW()-4))))</f>
        <v/>
      </c>
      <c r="J3956">
        <f>IF(INDEX(L_ID,ROW()-4)="","",IF(SUMPRODUCT((P_ID=INDEX(L_ID,ROW()-4))*(P_StatusN="INACTIVE"))&gt;0,1,0))</f>
        <v/>
      </c>
    </row>
    <row r="3957">
      <c r="A3957">
        <f>IF(INDEX(L_ID,ROW()-4)="","",IF(COUNTIF(P_ID,INDEX(L_ID,ROW()-4))&gt;0,1,0))</f>
        <v/>
      </c>
      <c r="B3957">
        <f>IF(INDEX(P_Type,ROW()-4)="","",TRIM(UPPER(INDEX(P_Type,ROW()-4))))</f>
        <v/>
      </c>
      <c r="D3957">
        <f>IF(INDEX(L_Type,ROW()-4)="","",TRIM(UPPER(INDEX(L_Type,ROW()-4))))</f>
        <v/>
      </c>
      <c r="E3957">
        <f>IF(INDEX(P_Status,ROW()-4)="","",TRIM(UPPER(INDEX(P_Status,ROW()-4))))</f>
        <v/>
      </c>
      <c r="G3957">
        <f>IF(INDEX(L_Status,ROW()-4)="","",TRIM(UPPER(INDEX(L_Status,ROW()-4))))</f>
        <v/>
      </c>
      <c r="J3957">
        <f>IF(INDEX(L_ID,ROW()-4)="","",IF(SUMPRODUCT((P_ID=INDEX(L_ID,ROW()-4))*(P_StatusN="INACTIVE"))&gt;0,1,0))</f>
        <v/>
      </c>
    </row>
    <row r="3958">
      <c r="A3958">
        <f>IF(INDEX(L_ID,ROW()-4)="","",IF(COUNTIF(P_ID,INDEX(L_ID,ROW()-4))&gt;0,1,0))</f>
        <v/>
      </c>
      <c r="B3958">
        <f>IF(INDEX(P_Type,ROW()-4)="","",TRIM(UPPER(INDEX(P_Type,ROW()-4))))</f>
        <v/>
      </c>
      <c r="D3958">
        <f>IF(INDEX(L_Type,ROW()-4)="","",TRIM(UPPER(INDEX(L_Type,ROW()-4))))</f>
        <v/>
      </c>
      <c r="E3958">
        <f>IF(INDEX(P_Status,ROW()-4)="","",TRIM(UPPER(INDEX(P_Status,ROW()-4))))</f>
        <v/>
      </c>
      <c r="G3958">
        <f>IF(INDEX(L_Status,ROW()-4)="","",TRIM(UPPER(INDEX(L_Status,ROW()-4))))</f>
        <v/>
      </c>
      <c r="J3958">
        <f>IF(INDEX(L_ID,ROW()-4)="","",IF(SUMPRODUCT((P_ID=INDEX(L_ID,ROW()-4))*(P_StatusN="INACTIVE"))&gt;0,1,0))</f>
        <v/>
      </c>
    </row>
    <row r="3959">
      <c r="A3959">
        <f>IF(INDEX(L_ID,ROW()-4)="","",IF(COUNTIF(P_ID,INDEX(L_ID,ROW()-4))&gt;0,1,0))</f>
        <v/>
      </c>
      <c r="B3959">
        <f>IF(INDEX(P_Type,ROW()-4)="","",TRIM(UPPER(INDEX(P_Type,ROW()-4))))</f>
        <v/>
      </c>
      <c r="D3959">
        <f>IF(INDEX(L_Type,ROW()-4)="","",TRIM(UPPER(INDEX(L_Type,ROW()-4))))</f>
        <v/>
      </c>
      <c r="E3959">
        <f>IF(INDEX(P_Status,ROW()-4)="","",TRIM(UPPER(INDEX(P_Status,ROW()-4))))</f>
        <v/>
      </c>
      <c r="G3959">
        <f>IF(INDEX(L_Status,ROW()-4)="","",TRIM(UPPER(INDEX(L_Status,ROW()-4))))</f>
        <v/>
      </c>
      <c r="J3959">
        <f>IF(INDEX(L_ID,ROW()-4)="","",IF(SUMPRODUCT((P_ID=INDEX(L_ID,ROW()-4))*(P_StatusN="INACTIVE"))&gt;0,1,0))</f>
        <v/>
      </c>
    </row>
    <row r="3960">
      <c r="A3960">
        <f>IF(INDEX(L_ID,ROW()-4)="","",IF(COUNTIF(P_ID,INDEX(L_ID,ROW()-4))&gt;0,1,0))</f>
        <v/>
      </c>
      <c r="B3960">
        <f>IF(INDEX(P_Type,ROW()-4)="","",TRIM(UPPER(INDEX(P_Type,ROW()-4))))</f>
        <v/>
      </c>
      <c r="D3960">
        <f>IF(INDEX(L_Type,ROW()-4)="","",TRIM(UPPER(INDEX(L_Type,ROW()-4))))</f>
        <v/>
      </c>
      <c r="E3960">
        <f>IF(INDEX(P_Status,ROW()-4)="","",TRIM(UPPER(INDEX(P_Status,ROW()-4))))</f>
        <v/>
      </c>
      <c r="G3960">
        <f>IF(INDEX(L_Status,ROW()-4)="","",TRIM(UPPER(INDEX(L_Status,ROW()-4))))</f>
        <v/>
      </c>
      <c r="J3960">
        <f>IF(INDEX(L_ID,ROW()-4)="","",IF(SUMPRODUCT((P_ID=INDEX(L_ID,ROW()-4))*(P_StatusN="INACTIVE"))&gt;0,1,0))</f>
        <v/>
      </c>
    </row>
    <row r="3961">
      <c r="A3961">
        <f>IF(INDEX(L_ID,ROW()-4)="","",IF(COUNTIF(P_ID,INDEX(L_ID,ROW()-4))&gt;0,1,0))</f>
        <v/>
      </c>
      <c r="B3961">
        <f>IF(INDEX(P_Type,ROW()-4)="","",TRIM(UPPER(INDEX(P_Type,ROW()-4))))</f>
        <v/>
      </c>
      <c r="D3961">
        <f>IF(INDEX(L_Type,ROW()-4)="","",TRIM(UPPER(INDEX(L_Type,ROW()-4))))</f>
        <v/>
      </c>
      <c r="E3961">
        <f>IF(INDEX(P_Status,ROW()-4)="","",TRIM(UPPER(INDEX(P_Status,ROW()-4))))</f>
        <v/>
      </c>
      <c r="G3961">
        <f>IF(INDEX(L_Status,ROW()-4)="","",TRIM(UPPER(INDEX(L_Status,ROW()-4))))</f>
        <v/>
      </c>
      <c r="J3961">
        <f>IF(INDEX(L_ID,ROW()-4)="","",IF(SUMPRODUCT((P_ID=INDEX(L_ID,ROW()-4))*(P_StatusN="INACTIVE"))&gt;0,1,0))</f>
        <v/>
      </c>
    </row>
    <row r="3962">
      <c r="A3962">
        <f>IF(INDEX(L_ID,ROW()-4)="","",IF(COUNTIF(P_ID,INDEX(L_ID,ROW()-4))&gt;0,1,0))</f>
        <v/>
      </c>
      <c r="B3962">
        <f>IF(INDEX(P_Type,ROW()-4)="","",TRIM(UPPER(INDEX(P_Type,ROW()-4))))</f>
        <v/>
      </c>
      <c r="D3962">
        <f>IF(INDEX(L_Type,ROW()-4)="","",TRIM(UPPER(INDEX(L_Type,ROW()-4))))</f>
        <v/>
      </c>
      <c r="E3962">
        <f>IF(INDEX(P_Status,ROW()-4)="","",TRIM(UPPER(INDEX(P_Status,ROW()-4))))</f>
        <v/>
      </c>
      <c r="G3962">
        <f>IF(INDEX(L_Status,ROW()-4)="","",TRIM(UPPER(INDEX(L_Status,ROW()-4))))</f>
        <v/>
      </c>
      <c r="J3962">
        <f>IF(INDEX(L_ID,ROW()-4)="","",IF(SUMPRODUCT((P_ID=INDEX(L_ID,ROW()-4))*(P_StatusN="INACTIVE"))&gt;0,1,0))</f>
        <v/>
      </c>
    </row>
    <row r="3963">
      <c r="A3963">
        <f>IF(INDEX(L_ID,ROW()-4)="","",IF(COUNTIF(P_ID,INDEX(L_ID,ROW()-4))&gt;0,1,0))</f>
        <v/>
      </c>
      <c r="B3963">
        <f>IF(INDEX(P_Type,ROW()-4)="","",TRIM(UPPER(INDEX(P_Type,ROW()-4))))</f>
        <v/>
      </c>
      <c r="D3963">
        <f>IF(INDEX(L_Type,ROW()-4)="","",TRIM(UPPER(INDEX(L_Type,ROW()-4))))</f>
        <v/>
      </c>
      <c r="E3963">
        <f>IF(INDEX(P_Status,ROW()-4)="","",TRIM(UPPER(INDEX(P_Status,ROW()-4))))</f>
        <v/>
      </c>
      <c r="G3963">
        <f>IF(INDEX(L_Status,ROW()-4)="","",TRIM(UPPER(INDEX(L_Status,ROW()-4))))</f>
        <v/>
      </c>
      <c r="J3963">
        <f>IF(INDEX(L_ID,ROW()-4)="","",IF(SUMPRODUCT((P_ID=INDEX(L_ID,ROW()-4))*(P_StatusN="INACTIVE"))&gt;0,1,0))</f>
        <v/>
      </c>
    </row>
    <row r="3964">
      <c r="A3964">
        <f>IF(INDEX(L_ID,ROW()-4)="","",IF(COUNTIF(P_ID,INDEX(L_ID,ROW()-4))&gt;0,1,0))</f>
        <v/>
      </c>
      <c r="B3964">
        <f>IF(INDEX(P_Type,ROW()-4)="","",TRIM(UPPER(INDEX(P_Type,ROW()-4))))</f>
        <v/>
      </c>
      <c r="D3964">
        <f>IF(INDEX(L_Type,ROW()-4)="","",TRIM(UPPER(INDEX(L_Type,ROW()-4))))</f>
        <v/>
      </c>
      <c r="E3964">
        <f>IF(INDEX(P_Status,ROW()-4)="","",TRIM(UPPER(INDEX(P_Status,ROW()-4))))</f>
        <v/>
      </c>
      <c r="G3964">
        <f>IF(INDEX(L_Status,ROW()-4)="","",TRIM(UPPER(INDEX(L_Status,ROW()-4))))</f>
        <v/>
      </c>
      <c r="J3964">
        <f>IF(INDEX(L_ID,ROW()-4)="","",IF(SUMPRODUCT((P_ID=INDEX(L_ID,ROW()-4))*(P_StatusN="INACTIVE"))&gt;0,1,0))</f>
        <v/>
      </c>
    </row>
    <row r="3965">
      <c r="A3965">
        <f>IF(INDEX(L_ID,ROW()-4)="","",IF(COUNTIF(P_ID,INDEX(L_ID,ROW()-4))&gt;0,1,0))</f>
        <v/>
      </c>
      <c r="B3965">
        <f>IF(INDEX(P_Type,ROW()-4)="","",TRIM(UPPER(INDEX(P_Type,ROW()-4))))</f>
        <v/>
      </c>
      <c r="D3965">
        <f>IF(INDEX(L_Type,ROW()-4)="","",TRIM(UPPER(INDEX(L_Type,ROW()-4))))</f>
        <v/>
      </c>
      <c r="E3965">
        <f>IF(INDEX(P_Status,ROW()-4)="","",TRIM(UPPER(INDEX(P_Status,ROW()-4))))</f>
        <v/>
      </c>
      <c r="G3965">
        <f>IF(INDEX(L_Status,ROW()-4)="","",TRIM(UPPER(INDEX(L_Status,ROW()-4))))</f>
        <v/>
      </c>
      <c r="J3965">
        <f>IF(INDEX(L_ID,ROW()-4)="","",IF(SUMPRODUCT((P_ID=INDEX(L_ID,ROW()-4))*(P_StatusN="INACTIVE"))&gt;0,1,0))</f>
        <v/>
      </c>
    </row>
    <row r="3966">
      <c r="A3966">
        <f>IF(INDEX(L_ID,ROW()-4)="","",IF(COUNTIF(P_ID,INDEX(L_ID,ROW()-4))&gt;0,1,0))</f>
        <v/>
      </c>
      <c r="B3966">
        <f>IF(INDEX(P_Type,ROW()-4)="","",TRIM(UPPER(INDEX(P_Type,ROW()-4))))</f>
        <v/>
      </c>
      <c r="D3966">
        <f>IF(INDEX(L_Type,ROW()-4)="","",TRIM(UPPER(INDEX(L_Type,ROW()-4))))</f>
        <v/>
      </c>
      <c r="E3966">
        <f>IF(INDEX(P_Status,ROW()-4)="","",TRIM(UPPER(INDEX(P_Status,ROW()-4))))</f>
        <v/>
      </c>
      <c r="G3966">
        <f>IF(INDEX(L_Status,ROW()-4)="","",TRIM(UPPER(INDEX(L_Status,ROW()-4))))</f>
        <v/>
      </c>
      <c r="J3966">
        <f>IF(INDEX(L_ID,ROW()-4)="","",IF(SUMPRODUCT((P_ID=INDEX(L_ID,ROW()-4))*(P_StatusN="INACTIVE"))&gt;0,1,0))</f>
        <v/>
      </c>
    </row>
    <row r="3967">
      <c r="A3967">
        <f>IF(INDEX(L_ID,ROW()-4)="","",IF(COUNTIF(P_ID,INDEX(L_ID,ROW()-4))&gt;0,1,0))</f>
        <v/>
      </c>
      <c r="B3967">
        <f>IF(INDEX(P_Type,ROW()-4)="","",TRIM(UPPER(INDEX(P_Type,ROW()-4))))</f>
        <v/>
      </c>
      <c r="D3967">
        <f>IF(INDEX(L_Type,ROW()-4)="","",TRIM(UPPER(INDEX(L_Type,ROW()-4))))</f>
        <v/>
      </c>
      <c r="E3967">
        <f>IF(INDEX(P_Status,ROW()-4)="","",TRIM(UPPER(INDEX(P_Status,ROW()-4))))</f>
        <v/>
      </c>
      <c r="G3967">
        <f>IF(INDEX(L_Status,ROW()-4)="","",TRIM(UPPER(INDEX(L_Status,ROW()-4))))</f>
        <v/>
      </c>
      <c r="J3967">
        <f>IF(INDEX(L_ID,ROW()-4)="","",IF(SUMPRODUCT((P_ID=INDEX(L_ID,ROW()-4))*(P_StatusN="INACTIVE"))&gt;0,1,0))</f>
        <v/>
      </c>
    </row>
    <row r="3968">
      <c r="A3968">
        <f>IF(INDEX(L_ID,ROW()-4)="","",IF(COUNTIF(P_ID,INDEX(L_ID,ROW()-4))&gt;0,1,0))</f>
        <v/>
      </c>
      <c r="B3968">
        <f>IF(INDEX(P_Type,ROW()-4)="","",TRIM(UPPER(INDEX(P_Type,ROW()-4))))</f>
        <v/>
      </c>
      <c r="D3968">
        <f>IF(INDEX(L_Type,ROW()-4)="","",TRIM(UPPER(INDEX(L_Type,ROW()-4))))</f>
        <v/>
      </c>
      <c r="E3968">
        <f>IF(INDEX(P_Status,ROW()-4)="","",TRIM(UPPER(INDEX(P_Status,ROW()-4))))</f>
        <v/>
      </c>
      <c r="G3968">
        <f>IF(INDEX(L_Status,ROW()-4)="","",TRIM(UPPER(INDEX(L_Status,ROW()-4))))</f>
        <v/>
      </c>
      <c r="J3968">
        <f>IF(INDEX(L_ID,ROW()-4)="","",IF(SUMPRODUCT((P_ID=INDEX(L_ID,ROW()-4))*(P_StatusN="INACTIVE"))&gt;0,1,0))</f>
        <v/>
      </c>
    </row>
    <row r="3969">
      <c r="A3969">
        <f>IF(INDEX(L_ID,ROW()-4)="","",IF(COUNTIF(P_ID,INDEX(L_ID,ROW()-4))&gt;0,1,0))</f>
        <v/>
      </c>
      <c r="B3969">
        <f>IF(INDEX(P_Type,ROW()-4)="","",TRIM(UPPER(INDEX(P_Type,ROW()-4))))</f>
        <v/>
      </c>
      <c r="D3969">
        <f>IF(INDEX(L_Type,ROW()-4)="","",TRIM(UPPER(INDEX(L_Type,ROW()-4))))</f>
        <v/>
      </c>
      <c r="E3969">
        <f>IF(INDEX(P_Status,ROW()-4)="","",TRIM(UPPER(INDEX(P_Status,ROW()-4))))</f>
        <v/>
      </c>
      <c r="G3969">
        <f>IF(INDEX(L_Status,ROW()-4)="","",TRIM(UPPER(INDEX(L_Status,ROW()-4))))</f>
        <v/>
      </c>
      <c r="J3969">
        <f>IF(INDEX(L_ID,ROW()-4)="","",IF(SUMPRODUCT((P_ID=INDEX(L_ID,ROW()-4))*(P_StatusN="INACTIVE"))&gt;0,1,0))</f>
        <v/>
      </c>
    </row>
    <row r="3970">
      <c r="A3970">
        <f>IF(INDEX(L_ID,ROW()-4)="","",IF(COUNTIF(P_ID,INDEX(L_ID,ROW()-4))&gt;0,1,0))</f>
        <v/>
      </c>
      <c r="B3970">
        <f>IF(INDEX(P_Type,ROW()-4)="","",TRIM(UPPER(INDEX(P_Type,ROW()-4))))</f>
        <v/>
      </c>
      <c r="D3970">
        <f>IF(INDEX(L_Type,ROW()-4)="","",TRIM(UPPER(INDEX(L_Type,ROW()-4))))</f>
        <v/>
      </c>
      <c r="E3970">
        <f>IF(INDEX(P_Status,ROW()-4)="","",TRIM(UPPER(INDEX(P_Status,ROW()-4))))</f>
        <v/>
      </c>
      <c r="G3970">
        <f>IF(INDEX(L_Status,ROW()-4)="","",TRIM(UPPER(INDEX(L_Status,ROW()-4))))</f>
        <v/>
      </c>
      <c r="J3970">
        <f>IF(INDEX(L_ID,ROW()-4)="","",IF(SUMPRODUCT((P_ID=INDEX(L_ID,ROW()-4))*(P_StatusN="INACTIVE"))&gt;0,1,0))</f>
        <v/>
      </c>
    </row>
    <row r="3971">
      <c r="A3971">
        <f>IF(INDEX(L_ID,ROW()-4)="","",IF(COUNTIF(P_ID,INDEX(L_ID,ROW()-4))&gt;0,1,0))</f>
        <v/>
      </c>
      <c r="B3971">
        <f>IF(INDEX(P_Type,ROW()-4)="","",TRIM(UPPER(INDEX(P_Type,ROW()-4))))</f>
        <v/>
      </c>
      <c r="D3971">
        <f>IF(INDEX(L_Type,ROW()-4)="","",TRIM(UPPER(INDEX(L_Type,ROW()-4))))</f>
        <v/>
      </c>
      <c r="E3971">
        <f>IF(INDEX(P_Status,ROW()-4)="","",TRIM(UPPER(INDEX(P_Status,ROW()-4))))</f>
        <v/>
      </c>
      <c r="G3971">
        <f>IF(INDEX(L_Status,ROW()-4)="","",TRIM(UPPER(INDEX(L_Status,ROW()-4))))</f>
        <v/>
      </c>
      <c r="J3971">
        <f>IF(INDEX(L_ID,ROW()-4)="","",IF(SUMPRODUCT((P_ID=INDEX(L_ID,ROW()-4))*(P_StatusN="INACTIVE"))&gt;0,1,0))</f>
        <v/>
      </c>
    </row>
    <row r="3972">
      <c r="A3972">
        <f>IF(INDEX(L_ID,ROW()-4)="","",IF(COUNTIF(P_ID,INDEX(L_ID,ROW()-4))&gt;0,1,0))</f>
        <v/>
      </c>
      <c r="B3972">
        <f>IF(INDEX(P_Type,ROW()-4)="","",TRIM(UPPER(INDEX(P_Type,ROW()-4))))</f>
        <v/>
      </c>
      <c r="D3972">
        <f>IF(INDEX(L_Type,ROW()-4)="","",TRIM(UPPER(INDEX(L_Type,ROW()-4))))</f>
        <v/>
      </c>
      <c r="E3972">
        <f>IF(INDEX(P_Status,ROW()-4)="","",TRIM(UPPER(INDEX(P_Status,ROW()-4))))</f>
        <v/>
      </c>
      <c r="G3972">
        <f>IF(INDEX(L_Status,ROW()-4)="","",TRIM(UPPER(INDEX(L_Status,ROW()-4))))</f>
        <v/>
      </c>
      <c r="J3972">
        <f>IF(INDEX(L_ID,ROW()-4)="","",IF(SUMPRODUCT((P_ID=INDEX(L_ID,ROW()-4))*(P_StatusN="INACTIVE"))&gt;0,1,0))</f>
        <v/>
      </c>
    </row>
    <row r="3973">
      <c r="A3973">
        <f>IF(INDEX(L_ID,ROW()-4)="","",IF(COUNTIF(P_ID,INDEX(L_ID,ROW()-4))&gt;0,1,0))</f>
        <v/>
      </c>
      <c r="B3973">
        <f>IF(INDEX(P_Type,ROW()-4)="","",TRIM(UPPER(INDEX(P_Type,ROW()-4))))</f>
        <v/>
      </c>
      <c r="D3973">
        <f>IF(INDEX(L_Type,ROW()-4)="","",TRIM(UPPER(INDEX(L_Type,ROW()-4))))</f>
        <v/>
      </c>
      <c r="E3973">
        <f>IF(INDEX(P_Status,ROW()-4)="","",TRIM(UPPER(INDEX(P_Status,ROW()-4))))</f>
        <v/>
      </c>
      <c r="G3973">
        <f>IF(INDEX(L_Status,ROW()-4)="","",TRIM(UPPER(INDEX(L_Status,ROW()-4))))</f>
        <v/>
      </c>
      <c r="J3973">
        <f>IF(INDEX(L_ID,ROW()-4)="","",IF(SUMPRODUCT((P_ID=INDEX(L_ID,ROW()-4))*(P_StatusN="INACTIVE"))&gt;0,1,0))</f>
        <v/>
      </c>
    </row>
    <row r="3974">
      <c r="A3974">
        <f>IF(INDEX(L_ID,ROW()-4)="","",IF(COUNTIF(P_ID,INDEX(L_ID,ROW()-4))&gt;0,1,0))</f>
        <v/>
      </c>
      <c r="B3974">
        <f>IF(INDEX(P_Type,ROW()-4)="","",TRIM(UPPER(INDEX(P_Type,ROW()-4))))</f>
        <v/>
      </c>
      <c r="D3974">
        <f>IF(INDEX(L_Type,ROW()-4)="","",TRIM(UPPER(INDEX(L_Type,ROW()-4))))</f>
        <v/>
      </c>
      <c r="E3974">
        <f>IF(INDEX(P_Status,ROW()-4)="","",TRIM(UPPER(INDEX(P_Status,ROW()-4))))</f>
        <v/>
      </c>
      <c r="G3974">
        <f>IF(INDEX(L_Status,ROW()-4)="","",TRIM(UPPER(INDEX(L_Status,ROW()-4))))</f>
        <v/>
      </c>
      <c r="J3974">
        <f>IF(INDEX(L_ID,ROW()-4)="","",IF(SUMPRODUCT((P_ID=INDEX(L_ID,ROW()-4))*(P_StatusN="INACTIVE"))&gt;0,1,0))</f>
        <v/>
      </c>
    </row>
    <row r="3975">
      <c r="A3975">
        <f>IF(INDEX(L_ID,ROW()-4)="","",IF(COUNTIF(P_ID,INDEX(L_ID,ROW()-4))&gt;0,1,0))</f>
        <v/>
      </c>
      <c r="B3975">
        <f>IF(INDEX(P_Type,ROW()-4)="","",TRIM(UPPER(INDEX(P_Type,ROW()-4))))</f>
        <v/>
      </c>
      <c r="D3975">
        <f>IF(INDEX(L_Type,ROW()-4)="","",TRIM(UPPER(INDEX(L_Type,ROW()-4))))</f>
        <v/>
      </c>
      <c r="E3975">
        <f>IF(INDEX(P_Status,ROW()-4)="","",TRIM(UPPER(INDEX(P_Status,ROW()-4))))</f>
        <v/>
      </c>
      <c r="G3975">
        <f>IF(INDEX(L_Status,ROW()-4)="","",TRIM(UPPER(INDEX(L_Status,ROW()-4))))</f>
        <v/>
      </c>
      <c r="J3975">
        <f>IF(INDEX(L_ID,ROW()-4)="","",IF(SUMPRODUCT((P_ID=INDEX(L_ID,ROW()-4))*(P_StatusN="INACTIVE"))&gt;0,1,0))</f>
        <v/>
      </c>
    </row>
    <row r="3976">
      <c r="A3976">
        <f>IF(INDEX(L_ID,ROW()-4)="","",IF(COUNTIF(P_ID,INDEX(L_ID,ROW()-4))&gt;0,1,0))</f>
        <v/>
      </c>
      <c r="B3976">
        <f>IF(INDEX(P_Type,ROW()-4)="","",TRIM(UPPER(INDEX(P_Type,ROW()-4))))</f>
        <v/>
      </c>
      <c r="D3976">
        <f>IF(INDEX(L_Type,ROW()-4)="","",TRIM(UPPER(INDEX(L_Type,ROW()-4))))</f>
        <v/>
      </c>
      <c r="E3976">
        <f>IF(INDEX(P_Status,ROW()-4)="","",TRIM(UPPER(INDEX(P_Status,ROW()-4))))</f>
        <v/>
      </c>
      <c r="G3976">
        <f>IF(INDEX(L_Status,ROW()-4)="","",TRIM(UPPER(INDEX(L_Status,ROW()-4))))</f>
        <v/>
      </c>
      <c r="J3976">
        <f>IF(INDEX(L_ID,ROW()-4)="","",IF(SUMPRODUCT((P_ID=INDEX(L_ID,ROW()-4))*(P_StatusN="INACTIVE"))&gt;0,1,0))</f>
        <v/>
      </c>
    </row>
    <row r="3977">
      <c r="A3977">
        <f>IF(INDEX(L_ID,ROW()-4)="","",IF(COUNTIF(P_ID,INDEX(L_ID,ROW()-4))&gt;0,1,0))</f>
        <v/>
      </c>
      <c r="B3977">
        <f>IF(INDEX(P_Type,ROW()-4)="","",TRIM(UPPER(INDEX(P_Type,ROW()-4))))</f>
        <v/>
      </c>
      <c r="D3977">
        <f>IF(INDEX(L_Type,ROW()-4)="","",TRIM(UPPER(INDEX(L_Type,ROW()-4))))</f>
        <v/>
      </c>
      <c r="E3977">
        <f>IF(INDEX(P_Status,ROW()-4)="","",TRIM(UPPER(INDEX(P_Status,ROW()-4))))</f>
        <v/>
      </c>
      <c r="G3977">
        <f>IF(INDEX(L_Status,ROW()-4)="","",TRIM(UPPER(INDEX(L_Status,ROW()-4))))</f>
        <v/>
      </c>
      <c r="J3977">
        <f>IF(INDEX(L_ID,ROW()-4)="","",IF(SUMPRODUCT((P_ID=INDEX(L_ID,ROW()-4))*(P_StatusN="INACTIVE"))&gt;0,1,0))</f>
        <v/>
      </c>
    </row>
    <row r="3978">
      <c r="A3978">
        <f>IF(INDEX(L_ID,ROW()-4)="","",IF(COUNTIF(P_ID,INDEX(L_ID,ROW()-4))&gt;0,1,0))</f>
        <v/>
      </c>
      <c r="B3978">
        <f>IF(INDEX(P_Type,ROW()-4)="","",TRIM(UPPER(INDEX(P_Type,ROW()-4))))</f>
        <v/>
      </c>
      <c r="D3978">
        <f>IF(INDEX(L_Type,ROW()-4)="","",TRIM(UPPER(INDEX(L_Type,ROW()-4))))</f>
        <v/>
      </c>
      <c r="E3978">
        <f>IF(INDEX(P_Status,ROW()-4)="","",TRIM(UPPER(INDEX(P_Status,ROW()-4))))</f>
        <v/>
      </c>
      <c r="G3978">
        <f>IF(INDEX(L_Status,ROW()-4)="","",TRIM(UPPER(INDEX(L_Status,ROW()-4))))</f>
        <v/>
      </c>
      <c r="J3978">
        <f>IF(INDEX(L_ID,ROW()-4)="","",IF(SUMPRODUCT((P_ID=INDEX(L_ID,ROW()-4))*(P_StatusN="INACTIVE"))&gt;0,1,0))</f>
        <v/>
      </c>
    </row>
    <row r="3979">
      <c r="A3979">
        <f>IF(INDEX(L_ID,ROW()-4)="","",IF(COUNTIF(P_ID,INDEX(L_ID,ROW()-4))&gt;0,1,0))</f>
        <v/>
      </c>
      <c r="B3979">
        <f>IF(INDEX(P_Type,ROW()-4)="","",TRIM(UPPER(INDEX(P_Type,ROW()-4))))</f>
        <v/>
      </c>
      <c r="D3979">
        <f>IF(INDEX(L_Type,ROW()-4)="","",TRIM(UPPER(INDEX(L_Type,ROW()-4))))</f>
        <v/>
      </c>
      <c r="E3979">
        <f>IF(INDEX(P_Status,ROW()-4)="","",TRIM(UPPER(INDEX(P_Status,ROW()-4))))</f>
        <v/>
      </c>
      <c r="G3979">
        <f>IF(INDEX(L_Status,ROW()-4)="","",TRIM(UPPER(INDEX(L_Status,ROW()-4))))</f>
        <v/>
      </c>
      <c r="J3979">
        <f>IF(INDEX(L_ID,ROW()-4)="","",IF(SUMPRODUCT((P_ID=INDEX(L_ID,ROW()-4))*(P_StatusN="INACTIVE"))&gt;0,1,0))</f>
        <v/>
      </c>
    </row>
    <row r="3980">
      <c r="A3980">
        <f>IF(INDEX(L_ID,ROW()-4)="","",IF(COUNTIF(P_ID,INDEX(L_ID,ROW()-4))&gt;0,1,0))</f>
        <v/>
      </c>
      <c r="B3980">
        <f>IF(INDEX(P_Type,ROW()-4)="","",TRIM(UPPER(INDEX(P_Type,ROW()-4))))</f>
        <v/>
      </c>
      <c r="D3980">
        <f>IF(INDEX(L_Type,ROW()-4)="","",TRIM(UPPER(INDEX(L_Type,ROW()-4))))</f>
        <v/>
      </c>
      <c r="E3980">
        <f>IF(INDEX(P_Status,ROW()-4)="","",TRIM(UPPER(INDEX(P_Status,ROW()-4))))</f>
        <v/>
      </c>
      <c r="G3980">
        <f>IF(INDEX(L_Status,ROW()-4)="","",TRIM(UPPER(INDEX(L_Status,ROW()-4))))</f>
        <v/>
      </c>
      <c r="J3980">
        <f>IF(INDEX(L_ID,ROW()-4)="","",IF(SUMPRODUCT((P_ID=INDEX(L_ID,ROW()-4))*(P_StatusN="INACTIVE"))&gt;0,1,0))</f>
        <v/>
      </c>
    </row>
    <row r="3981">
      <c r="A3981">
        <f>IF(INDEX(L_ID,ROW()-4)="","",IF(COUNTIF(P_ID,INDEX(L_ID,ROW()-4))&gt;0,1,0))</f>
        <v/>
      </c>
      <c r="B3981">
        <f>IF(INDEX(P_Type,ROW()-4)="","",TRIM(UPPER(INDEX(P_Type,ROW()-4))))</f>
        <v/>
      </c>
      <c r="D3981">
        <f>IF(INDEX(L_Type,ROW()-4)="","",TRIM(UPPER(INDEX(L_Type,ROW()-4))))</f>
        <v/>
      </c>
      <c r="E3981">
        <f>IF(INDEX(P_Status,ROW()-4)="","",TRIM(UPPER(INDEX(P_Status,ROW()-4))))</f>
        <v/>
      </c>
      <c r="G3981">
        <f>IF(INDEX(L_Status,ROW()-4)="","",TRIM(UPPER(INDEX(L_Status,ROW()-4))))</f>
        <v/>
      </c>
      <c r="J3981">
        <f>IF(INDEX(L_ID,ROW()-4)="","",IF(SUMPRODUCT((P_ID=INDEX(L_ID,ROW()-4))*(P_StatusN="INACTIVE"))&gt;0,1,0))</f>
        <v/>
      </c>
    </row>
    <row r="3982">
      <c r="A3982">
        <f>IF(INDEX(L_ID,ROW()-4)="","",IF(COUNTIF(P_ID,INDEX(L_ID,ROW()-4))&gt;0,1,0))</f>
        <v/>
      </c>
      <c r="B3982">
        <f>IF(INDEX(P_Type,ROW()-4)="","",TRIM(UPPER(INDEX(P_Type,ROW()-4))))</f>
        <v/>
      </c>
      <c r="D3982">
        <f>IF(INDEX(L_Type,ROW()-4)="","",TRIM(UPPER(INDEX(L_Type,ROW()-4))))</f>
        <v/>
      </c>
      <c r="E3982">
        <f>IF(INDEX(P_Status,ROW()-4)="","",TRIM(UPPER(INDEX(P_Status,ROW()-4))))</f>
        <v/>
      </c>
      <c r="G3982">
        <f>IF(INDEX(L_Status,ROW()-4)="","",TRIM(UPPER(INDEX(L_Status,ROW()-4))))</f>
        <v/>
      </c>
      <c r="J3982">
        <f>IF(INDEX(L_ID,ROW()-4)="","",IF(SUMPRODUCT((P_ID=INDEX(L_ID,ROW()-4))*(P_StatusN="INACTIVE"))&gt;0,1,0))</f>
        <v/>
      </c>
    </row>
    <row r="3983">
      <c r="A3983">
        <f>IF(INDEX(L_ID,ROW()-4)="","",IF(COUNTIF(P_ID,INDEX(L_ID,ROW()-4))&gt;0,1,0))</f>
        <v/>
      </c>
      <c r="B3983">
        <f>IF(INDEX(P_Type,ROW()-4)="","",TRIM(UPPER(INDEX(P_Type,ROW()-4))))</f>
        <v/>
      </c>
      <c r="D3983">
        <f>IF(INDEX(L_Type,ROW()-4)="","",TRIM(UPPER(INDEX(L_Type,ROW()-4))))</f>
        <v/>
      </c>
      <c r="E3983">
        <f>IF(INDEX(P_Status,ROW()-4)="","",TRIM(UPPER(INDEX(P_Status,ROW()-4))))</f>
        <v/>
      </c>
      <c r="G3983">
        <f>IF(INDEX(L_Status,ROW()-4)="","",TRIM(UPPER(INDEX(L_Status,ROW()-4))))</f>
        <v/>
      </c>
      <c r="J3983">
        <f>IF(INDEX(L_ID,ROW()-4)="","",IF(SUMPRODUCT((P_ID=INDEX(L_ID,ROW()-4))*(P_StatusN="INACTIVE"))&gt;0,1,0))</f>
        <v/>
      </c>
    </row>
    <row r="3984">
      <c r="A3984">
        <f>IF(INDEX(L_ID,ROW()-4)="","",IF(COUNTIF(P_ID,INDEX(L_ID,ROW()-4))&gt;0,1,0))</f>
        <v/>
      </c>
      <c r="B3984">
        <f>IF(INDEX(P_Type,ROW()-4)="","",TRIM(UPPER(INDEX(P_Type,ROW()-4))))</f>
        <v/>
      </c>
      <c r="D3984">
        <f>IF(INDEX(L_Type,ROW()-4)="","",TRIM(UPPER(INDEX(L_Type,ROW()-4))))</f>
        <v/>
      </c>
      <c r="E3984">
        <f>IF(INDEX(P_Status,ROW()-4)="","",TRIM(UPPER(INDEX(P_Status,ROW()-4))))</f>
        <v/>
      </c>
      <c r="G3984">
        <f>IF(INDEX(L_Status,ROW()-4)="","",TRIM(UPPER(INDEX(L_Status,ROW()-4))))</f>
        <v/>
      </c>
      <c r="J3984">
        <f>IF(INDEX(L_ID,ROW()-4)="","",IF(SUMPRODUCT((P_ID=INDEX(L_ID,ROW()-4))*(P_StatusN="INACTIVE"))&gt;0,1,0))</f>
        <v/>
      </c>
    </row>
    <row r="3985">
      <c r="A3985">
        <f>IF(INDEX(L_ID,ROW()-4)="","",IF(COUNTIF(P_ID,INDEX(L_ID,ROW()-4))&gt;0,1,0))</f>
        <v/>
      </c>
      <c r="B3985">
        <f>IF(INDEX(P_Type,ROW()-4)="","",TRIM(UPPER(INDEX(P_Type,ROW()-4))))</f>
        <v/>
      </c>
      <c r="D3985">
        <f>IF(INDEX(L_Type,ROW()-4)="","",TRIM(UPPER(INDEX(L_Type,ROW()-4))))</f>
        <v/>
      </c>
      <c r="E3985">
        <f>IF(INDEX(P_Status,ROW()-4)="","",TRIM(UPPER(INDEX(P_Status,ROW()-4))))</f>
        <v/>
      </c>
      <c r="G3985">
        <f>IF(INDEX(L_Status,ROW()-4)="","",TRIM(UPPER(INDEX(L_Status,ROW()-4))))</f>
        <v/>
      </c>
      <c r="J3985">
        <f>IF(INDEX(L_ID,ROW()-4)="","",IF(SUMPRODUCT((P_ID=INDEX(L_ID,ROW()-4))*(P_StatusN="INACTIVE"))&gt;0,1,0))</f>
        <v/>
      </c>
    </row>
    <row r="3986">
      <c r="A3986">
        <f>IF(INDEX(L_ID,ROW()-4)="","",IF(COUNTIF(P_ID,INDEX(L_ID,ROW()-4))&gt;0,1,0))</f>
        <v/>
      </c>
      <c r="B3986">
        <f>IF(INDEX(P_Type,ROW()-4)="","",TRIM(UPPER(INDEX(P_Type,ROW()-4))))</f>
        <v/>
      </c>
      <c r="D3986">
        <f>IF(INDEX(L_Type,ROW()-4)="","",TRIM(UPPER(INDEX(L_Type,ROW()-4))))</f>
        <v/>
      </c>
      <c r="E3986">
        <f>IF(INDEX(P_Status,ROW()-4)="","",TRIM(UPPER(INDEX(P_Status,ROW()-4))))</f>
        <v/>
      </c>
      <c r="G3986">
        <f>IF(INDEX(L_Status,ROW()-4)="","",TRIM(UPPER(INDEX(L_Status,ROW()-4))))</f>
        <v/>
      </c>
      <c r="J3986">
        <f>IF(INDEX(L_ID,ROW()-4)="","",IF(SUMPRODUCT((P_ID=INDEX(L_ID,ROW()-4))*(P_StatusN="INACTIVE"))&gt;0,1,0))</f>
        <v/>
      </c>
    </row>
    <row r="3987">
      <c r="A3987">
        <f>IF(INDEX(L_ID,ROW()-4)="","",IF(COUNTIF(P_ID,INDEX(L_ID,ROW()-4))&gt;0,1,0))</f>
        <v/>
      </c>
      <c r="B3987">
        <f>IF(INDEX(P_Type,ROW()-4)="","",TRIM(UPPER(INDEX(P_Type,ROW()-4))))</f>
        <v/>
      </c>
      <c r="D3987">
        <f>IF(INDEX(L_Type,ROW()-4)="","",TRIM(UPPER(INDEX(L_Type,ROW()-4))))</f>
        <v/>
      </c>
      <c r="E3987">
        <f>IF(INDEX(P_Status,ROW()-4)="","",TRIM(UPPER(INDEX(P_Status,ROW()-4))))</f>
        <v/>
      </c>
      <c r="G3987">
        <f>IF(INDEX(L_Status,ROW()-4)="","",TRIM(UPPER(INDEX(L_Status,ROW()-4))))</f>
        <v/>
      </c>
      <c r="J3987">
        <f>IF(INDEX(L_ID,ROW()-4)="","",IF(SUMPRODUCT((P_ID=INDEX(L_ID,ROW()-4))*(P_StatusN="INACTIVE"))&gt;0,1,0))</f>
        <v/>
      </c>
    </row>
    <row r="3988">
      <c r="A3988">
        <f>IF(INDEX(L_ID,ROW()-4)="","",IF(COUNTIF(P_ID,INDEX(L_ID,ROW()-4))&gt;0,1,0))</f>
        <v/>
      </c>
      <c r="B3988">
        <f>IF(INDEX(P_Type,ROW()-4)="","",TRIM(UPPER(INDEX(P_Type,ROW()-4))))</f>
        <v/>
      </c>
      <c r="D3988">
        <f>IF(INDEX(L_Type,ROW()-4)="","",TRIM(UPPER(INDEX(L_Type,ROW()-4))))</f>
        <v/>
      </c>
      <c r="E3988">
        <f>IF(INDEX(P_Status,ROW()-4)="","",TRIM(UPPER(INDEX(P_Status,ROW()-4))))</f>
        <v/>
      </c>
      <c r="G3988">
        <f>IF(INDEX(L_Status,ROW()-4)="","",TRIM(UPPER(INDEX(L_Status,ROW()-4))))</f>
        <v/>
      </c>
      <c r="J3988">
        <f>IF(INDEX(L_ID,ROW()-4)="","",IF(SUMPRODUCT((P_ID=INDEX(L_ID,ROW()-4))*(P_StatusN="INACTIVE"))&gt;0,1,0))</f>
        <v/>
      </c>
    </row>
    <row r="3989">
      <c r="A3989">
        <f>IF(INDEX(L_ID,ROW()-4)="","",IF(COUNTIF(P_ID,INDEX(L_ID,ROW()-4))&gt;0,1,0))</f>
        <v/>
      </c>
      <c r="B3989">
        <f>IF(INDEX(P_Type,ROW()-4)="","",TRIM(UPPER(INDEX(P_Type,ROW()-4))))</f>
        <v/>
      </c>
      <c r="D3989">
        <f>IF(INDEX(L_Type,ROW()-4)="","",TRIM(UPPER(INDEX(L_Type,ROW()-4))))</f>
        <v/>
      </c>
      <c r="E3989">
        <f>IF(INDEX(P_Status,ROW()-4)="","",TRIM(UPPER(INDEX(P_Status,ROW()-4))))</f>
        <v/>
      </c>
      <c r="G3989">
        <f>IF(INDEX(L_Status,ROW()-4)="","",TRIM(UPPER(INDEX(L_Status,ROW()-4))))</f>
        <v/>
      </c>
      <c r="J3989">
        <f>IF(INDEX(L_ID,ROW()-4)="","",IF(SUMPRODUCT((P_ID=INDEX(L_ID,ROW()-4))*(P_StatusN="INACTIVE"))&gt;0,1,0))</f>
        <v/>
      </c>
    </row>
    <row r="3990">
      <c r="A3990">
        <f>IF(INDEX(L_ID,ROW()-4)="","",IF(COUNTIF(P_ID,INDEX(L_ID,ROW()-4))&gt;0,1,0))</f>
        <v/>
      </c>
      <c r="B3990">
        <f>IF(INDEX(P_Type,ROW()-4)="","",TRIM(UPPER(INDEX(P_Type,ROW()-4))))</f>
        <v/>
      </c>
      <c r="D3990">
        <f>IF(INDEX(L_Type,ROW()-4)="","",TRIM(UPPER(INDEX(L_Type,ROW()-4))))</f>
        <v/>
      </c>
      <c r="E3990">
        <f>IF(INDEX(P_Status,ROW()-4)="","",TRIM(UPPER(INDEX(P_Status,ROW()-4))))</f>
        <v/>
      </c>
      <c r="G3990">
        <f>IF(INDEX(L_Status,ROW()-4)="","",TRIM(UPPER(INDEX(L_Status,ROW()-4))))</f>
        <v/>
      </c>
      <c r="J3990">
        <f>IF(INDEX(L_ID,ROW()-4)="","",IF(SUMPRODUCT((P_ID=INDEX(L_ID,ROW()-4))*(P_StatusN="INACTIVE"))&gt;0,1,0))</f>
        <v/>
      </c>
    </row>
    <row r="3991">
      <c r="A3991">
        <f>IF(INDEX(L_ID,ROW()-4)="","",IF(COUNTIF(P_ID,INDEX(L_ID,ROW()-4))&gt;0,1,0))</f>
        <v/>
      </c>
      <c r="B3991">
        <f>IF(INDEX(P_Type,ROW()-4)="","",TRIM(UPPER(INDEX(P_Type,ROW()-4))))</f>
        <v/>
      </c>
      <c r="D3991">
        <f>IF(INDEX(L_Type,ROW()-4)="","",TRIM(UPPER(INDEX(L_Type,ROW()-4))))</f>
        <v/>
      </c>
      <c r="E3991">
        <f>IF(INDEX(P_Status,ROW()-4)="","",TRIM(UPPER(INDEX(P_Status,ROW()-4))))</f>
        <v/>
      </c>
      <c r="G3991">
        <f>IF(INDEX(L_Status,ROW()-4)="","",TRIM(UPPER(INDEX(L_Status,ROW()-4))))</f>
        <v/>
      </c>
      <c r="J3991">
        <f>IF(INDEX(L_ID,ROW()-4)="","",IF(SUMPRODUCT((P_ID=INDEX(L_ID,ROW()-4))*(P_StatusN="INACTIVE"))&gt;0,1,0))</f>
        <v/>
      </c>
    </row>
    <row r="3992">
      <c r="A3992">
        <f>IF(INDEX(L_ID,ROW()-4)="","",IF(COUNTIF(P_ID,INDEX(L_ID,ROW()-4))&gt;0,1,0))</f>
        <v/>
      </c>
      <c r="B3992">
        <f>IF(INDEX(P_Type,ROW()-4)="","",TRIM(UPPER(INDEX(P_Type,ROW()-4))))</f>
        <v/>
      </c>
      <c r="D3992">
        <f>IF(INDEX(L_Type,ROW()-4)="","",TRIM(UPPER(INDEX(L_Type,ROW()-4))))</f>
        <v/>
      </c>
      <c r="E3992">
        <f>IF(INDEX(P_Status,ROW()-4)="","",TRIM(UPPER(INDEX(P_Status,ROW()-4))))</f>
        <v/>
      </c>
      <c r="G3992">
        <f>IF(INDEX(L_Status,ROW()-4)="","",TRIM(UPPER(INDEX(L_Status,ROW()-4))))</f>
        <v/>
      </c>
      <c r="J3992">
        <f>IF(INDEX(L_ID,ROW()-4)="","",IF(SUMPRODUCT((P_ID=INDEX(L_ID,ROW()-4))*(P_StatusN="INACTIVE"))&gt;0,1,0))</f>
        <v/>
      </c>
    </row>
    <row r="3993">
      <c r="A3993">
        <f>IF(INDEX(L_ID,ROW()-4)="","",IF(COUNTIF(P_ID,INDEX(L_ID,ROW()-4))&gt;0,1,0))</f>
        <v/>
      </c>
      <c r="B3993">
        <f>IF(INDEX(P_Type,ROW()-4)="","",TRIM(UPPER(INDEX(P_Type,ROW()-4))))</f>
        <v/>
      </c>
      <c r="D3993">
        <f>IF(INDEX(L_Type,ROW()-4)="","",TRIM(UPPER(INDEX(L_Type,ROW()-4))))</f>
        <v/>
      </c>
      <c r="E3993">
        <f>IF(INDEX(P_Status,ROW()-4)="","",TRIM(UPPER(INDEX(P_Status,ROW()-4))))</f>
        <v/>
      </c>
      <c r="G3993">
        <f>IF(INDEX(L_Status,ROW()-4)="","",TRIM(UPPER(INDEX(L_Status,ROW()-4))))</f>
        <v/>
      </c>
      <c r="J3993">
        <f>IF(INDEX(L_ID,ROW()-4)="","",IF(SUMPRODUCT((P_ID=INDEX(L_ID,ROW()-4))*(P_StatusN="INACTIVE"))&gt;0,1,0))</f>
        <v/>
      </c>
    </row>
    <row r="3994">
      <c r="A3994">
        <f>IF(INDEX(L_ID,ROW()-4)="","",IF(COUNTIF(P_ID,INDEX(L_ID,ROW()-4))&gt;0,1,0))</f>
        <v/>
      </c>
      <c r="B3994">
        <f>IF(INDEX(P_Type,ROW()-4)="","",TRIM(UPPER(INDEX(P_Type,ROW()-4))))</f>
        <v/>
      </c>
      <c r="D3994">
        <f>IF(INDEX(L_Type,ROW()-4)="","",TRIM(UPPER(INDEX(L_Type,ROW()-4))))</f>
        <v/>
      </c>
      <c r="E3994">
        <f>IF(INDEX(P_Status,ROW()-4)="","",TRIM(UPPER(INDEX(P_Status,ROW()-4))))</f>
        <v/>
      </c>
      <c r="G3994">
        <f>IF(INDEX(L_Status,ROW()-4)="","",TRIM(UPPER(INDEX(L_Status,ROW()-4))))</f>
        <v/>
      </c>
      <c r="J3994">
        <f>IF(INDEX(L_ID,ROW()-4)="","",IF(SUMPRODUCT((P_ID=INDEX(L_ID,ROW()-4))*(P_StatusN="INACTIVE"))&gt;0,1,0))</f>
        <v/>
      </c>
    </row>
    <row r="3995">
      <c r="A3995">
        <f>IF(INDEX(L_ID,ROW()-4)="","",IF(COUNTIF(P_ID,INDEX(L_ID,ROW()-4))&gt;0,1,0))</f>
        <v/>
      </c>
      <c r="B3995">
        <f>IF(INDEX(P_Type,ROW()-4)="","",TRIM(UPPER(INDEX(P_Type,ROW()-4))))</f>
        <v/>
      </c>
      <c r="D3995">
        <f>IF(INDEX(L_Type,ROW()-4)="","",TRIM(UPPER(INDEX(L_Type,ROW()-4))))</f>
        <v/>
      </c>
      <c r="E3995">
        <f>IF(INDEX(P_Status,ROW()-4)="","",TRIM(UPPER(INDEX(P_Status,ROW()-4))))</f>
        <v/>
      </c>
      <c r="G3995">
        <f>IF(INDEX(L_Status,ROW()-4)="","",TRIM(UPPER(INDEX(L_Status,ROW()-4))))</f>
        <v/>
      </c>
      <c r="J3995">
        <f>IF(INDEX(L_ID,ROW()-4)="","",IF(SUMPRODUCT((P_ID=INDEX(L_ID,ROW()-4))*(P_StatusN="INACTIVE"))&gt;0,1,0))</f>
        <v/>
      </c>
    </row>
    <row r="3996">
      <c r="A3996">
        <f>IF(INDEX(L_ID,ROW()-4)="","",IF(COUNTIF(P_ID,INDEX(L_ID,ROW()-4))&gt;0,1,0))</f>
        <v/>
      </c>
      <c r="B3996">
        <f>IF(INDEX(P_Type,ROW()-4)="","",TRIM(UPPER(INDEX(P_Type,ROW()-4))))</f>
        <v/>
      </c>
      <c r="D3996">
        <f>IF(INDEX(L_Type,ROW()-4)="","",TRIM(UPPER(INDEX(L_Type,ROW()-4))))</f>
        <v/>
      </c>
      <c r="E3996">
        <f>IF(INDEX(P_Status,ROW()-4)="","",TRIM(UPPER(INDEX(P_Status,ROW()-4))))</f>
        <v/>
      </c>
      <c r="G3996">
        <f>IF(INDEX(L_Status,ROW()-4)="","",TRIM(UPPER(INDEX(L_Status,ROW()-4))))</f>
        <v/>
      </c>
      <c r="J3996">
        <f>IF(INDEX(L_ID,ROW()-4)="","",IF(SUMPRODUCT((P_ID=INDEX(L_ID,ROW()-4))*(P_StatusN="INACTIVE"))&gt;0,1,0))</f>
        <v/>
      </c>
    </row>
    <row r="3997">
      <c r="A3997">
        <f>IF(INDEX(L_ID,ROW()-4)="","",IF(COUNTIF(P_ID,INDEX(L_ID,ROW()-4))&gt;0,1,0))</f>
        <v/>
      </c>
      <c r="B3997">
        <f>IF(INDEX(P_Type,ROW()-4)="","",TRIM(UPPER(INDEX(P_Type,ROW()-4))))</f>
        <v/>
      </c>
      <c r="D3997">
        <f>IF(INDEX(L_Type,ROW()-4)="","",TRIM(UPPER(INDEX(L_Type,ROW()-4))))</f>
        <v/>
      </c>
      <c r="E3997">
        <f>IF(INDEX(P_Status,ROW()-4)="","",TRIM(UPPER(INDEX(P_Status,ROW()-4))))</f>
        <v/>
      </c>
      <c r="G3997">
        <f>IF(INDEX(L_Status,ROW()-4)="","",TRIM(UPPER(INDEX(L_Status,ROW()-4))))</f>
        <v/>
      </c>
      <c r="J3997">
        <f>IF(INDEX(L_ID,ROW()-4)="","",IF(SUMPRODUCT((P_ID=INDEX(L_ID,ROW()-4))*(P_StatusN="INACTIVE"))&gt;0,1,0))</f>
        <v/>
      </c>
    </row>
    <row r="3998">
      <c r="A3998">
        <f>IF(INDEX(L_ID,ROW()-4)="","",IF(COUNTIF(P_ID,INDEX(L_ID,ROW()-4))&gt;0,1,0))</f>
        <v/>
      </c>
      <c r="B3998">
        <f>IF(INDEX(P_Type,ROW()-4)="","",TRIM(UPPER(INDEX(P_Type,ROW()-4))))</f>
        <v/>
      </c>
      <c r="D3998">
        <f>IF(INDEX(L_Type,ROW()-4)="","",TRIM(UPPER(INDEX(L_Type,ROW()-4))))</f>
        <v/>
      </c>
      <c r="E3998">
        <f>IF(INDEX(P_Status,ROW()-4)="","",TRIM(UPPER(INDEX(P_Status,ROW()-4))))</f>
        <v/>
      </c>
      <c r="G3998">
        <f>IF(INDEX(L_Status,ROW()-4)="","",TRIM(UPPER(INDEX(L_Status,ROW()-4))))</f>
        <v/>
      </c>
      <c r="J3998">
        <f>IF(INDEX(L_ID,ROW()-4)="","",IF(SUMPRODUCT((P_ID=INDEX(L_ID,ROW()-4))*(P_StatusN="INACTIVE"))&gt;0,1,0))</f>
        <v/>
      </c>
    </row>
    <row r="3999">
      <c r="A3999">
        <f>IF(INDEX(L_ID,ROW()-4)="","",IF(COUNTIF(P_ID,INDEX(L_ID,ROW()-4))&gt;0,1,0))</f>
        <v/>
      </c>
      <c r="B3999">
        <f>IF(INDEX(P_Type,ROW()-4)="","",TRIM(UPPER(INDEX(P_Type,ROW()-4))))</f>
        <v/>
      </c>
      <c r="D3999">
        <f>IF(INDEX(L_Type,ROW()-4)="","",TRIM(UPPER(INDEX(L_Type,ROW()-4))))</f>
        <v/>
      </c>
      <c r="E3999">
        <f>IF(INDEX(P_Status,ROW()-4)="","",TRIM(UPPER(INDEX(P_Status,ROW()-4))))</f>
        <v/>
      </c>
      <c r="G3999">
        <f>IF(INDEX(L_Status,ROW()-4)="","",TRIM(UPPER(INDEX(L_Status,ROW()-4))))</f>
        <v/>
      </c>
      <c r="J3999">
        <f>IF(INDEX(L_ID,ROW()-4)="","",IF(SUMPRODUCT((P_ID=INDEX(L_ID,ROW()-4))*(P_StatusN="INACTIVE"))&gt;0,1,0))</f>
        <v/>
      </c>
    </row>
    <row r="4000">
      <c r="A4000">
        <f>IF(INDEX(L_ID,ROW()-4)="","",IF(COUNTIF(P_ID,INDEX(L_ID,ROW()-4))&gt;0,1,0))</f>
        <v/>
      </c>
      <c r="B4000">
        <f>IF(INDEX(P_Type,ROW()-4)="","",TRIM(UPPER(INDEX(P_Type,ROW()-4))))</f>
        <v/>
      </c>
      <c r="D4000">
        <f>IF(INDEX(L_Type,ROW()-4)="","",TRIM(UPPER(INDEX(L_Type,ROW()-4))))</f>
        <v/>
      </c>
      <c r="E4000">
        <f>IF(INDEX(P_Status,ROW()-4)="","",TRIM(UPPER(INDEX(P_Status,ROW()-4))))</f>
        <v/>
      </c>
      <c r="G4000">
        <f>IF(INDEX(L_Status,ROW()-4)="","",TRIM(UPPER(INDEX(L_Status,ROW()-4))))</f>
        <v/>
      </c>
      <c r="J4000">
        <f>IF(INDEX(L_ID,ROW()-4)="","",IF(SUMPRODUCT((P_ID=INDEX(L_ID,ROW()-4))*(P_StatusN="INACTIVE"))&gt;0,1,0))</f>
        <v/>
      </c>
    </row>
    <row r="4001">
      <c r="A4001">
        <f>IF(INDEX(L_ID,ROW()-4)="","",IF(COUNTIF(P_ID,INDEX(L_ID,ROW()-4))&gt;0,1,0))</f>
        <v/>
      </c>
      <c r="B4001">
        <f>IF(INDEX(P_Type,ROW()-4)="","",TRIM(UPPER(INDEX(P_Type,ROW()-4))))</f>
        <v/>
      </c>
      <c r="D4001">
        <f>IF(INDEX(L_Type,ROW()-4)="","",TRIM(UPPER(INDEX(L_Type,ROW()-4))))</f>
        <v/>
      </c>
      <c r="E4001">
        <f>IF(INDEX(P_Status,ROW()-4)="","",TRIM(UPPER(INDEX(P_Status,ROW()-4))))</f>
        <v/>
      </c>
      <c r="G4001">
        <f>IF(INDEX(L_Status,ROW()-4)="","",TRIM(UPPER(INDEX(L_Status,ROW()-4))))</f>
        <v/>
      </c>
      <c r="J4001">
        <f>IF(INDEX(L_ID,ROW()-4)="","",IF(SUMPRODUCT((P_ID=INDEX(L_ID,ROW()-4))*(P_StatusN="INACTIVE"))&gt;0,1,0))</f>
        <v/>
      </c>
    </row>
    <row r="4002">
      <c r="A4002">
        <f>IF(INDEX(L_ID,ROW()-4)="","",IF(COUNTIF(P_ID,INDEX(L_ID,ROW()-4))&gt;0,1,0))</f>
        <v/>
      </c>
      <c r="B4002">
        <f>IF(INDEX(P_Type,ROW()-4)="","",TRIM(UPPER(INDEX(P_Type,ROW()-4))))</f>
        <v/>
      </c>
      <c r="D4002">
        <f>IF(INDEX(L_Type,ROW()-4)="","",TRIM(UPPER(INDEX(L_Type,ROW()-4))))</f>
        <v/>
      </c>
      <c r="E4002">
        <f>IF(INDEX(P_Status,ROW()-4)="","",TRIM(UPPER(INDEX(P_Status,ROW()-4))))</f>
        <v/>
      </c>
      <c r="G4002">
        <f>IF(INDEX(L_Status,ROW()-4)="","",TRIM(UPPER(INDEX(L_Status,ROW()-4))))</f>
        <v/>
      </c>
      <c r="J4002">
        <f>IF(INDEX(L_ID,ROW()-4)="","",IF(SUMPRODUCT((P_ID=INDEX(L_ID,ROW()-4))*(P_StatusN="INACTIVE"))&gt;0,1,0))</f>
        <v/>
      </c>
    </row>
    <row r="4003">
      <c r="A4003">
        <f>IF(INDEX(L_ID,ROW()-4)="","",IF(COUNTIF(P_ID,INDEX(L_ID,ROW()-4))&gt;0,1,0))</f>
        <v/>
      </c>
      <c r="B4003">
        <f>IF(INDEX(P_Type,ROW()-4)="","",TRIM(UPPER(INDEX(P_Type,ROW()-4))))</f>
        <v/>
      </c>
      <c r="D4003">
        <f>IF(INDEX(L_Type,ROW()-4)="","",TRIM(UPPER(INDEX(L_Type,ROW()-4))))</f>
        <v/>
      </c>
      <c r="E4003">
        <f>IF(INDEX(P_Status,ROW()-4)="","",TRIM(UPPER(INDEX(P_Status,ROW()-4))))</f>
        <v/>
      </c>
      <c r="G4003">
        <f>IF(INDEX(L_Status,ROW()-4)="","",TRIM(UPPER(INDEX(L_Status,ROW()-4))))</f>
        <v/>
      </c>
      <c r="J4003">
        <f>IF(INDEX(L_ID,ROW()-4)="","",IF(SUMPRODUCT((P_ID=INDEX(L_ID,ROW()-4))*(P_StatusN="INACTIVE"))&gt;0,1,0))</f>
        <v/>
      </c>
    </row>
    <row r="4004">
      <c r="A4004">
        <f>IF(INDEX(L_ID,ROW()-4)="","",IF(COUNTIF(P_ID,INDEX(L_ID,ROW()-4))&gt;0,1,0))</f>
        <v/>
      </c>
      <c r="B4004">
        <f>IF(INDEX(P_Type,ROW()-4)="","",TRIM(UPPER(INDEX(P_Type,ROW()-4))))</f>
        <v/>
      </c>
      <c r="D4004">
        <f>IF(INDEX(L_Type,ROW()-4)="","",TRIM(UPPER(INDEX(L_Type,ROW()-4))))</f>
        <v/>
      </c>
      <c r="E4004">
        <f>IF(INDEX(P_Status,ROW()-4)="","",TRIM(UPPER(INDEX(P_Status,ROW()-4))))</f>
        <v/>
      </c>
      <c r="G4004">
        <f>IF(INDEX(L_Status,ROW()-4)="","",TRIM(UPPER(INDEX(L_Status,ROW()-4))))</f>
        <v/>
      </c>
      <c r="J4004">
        <f>IF(INDEX(L_ID,ROW()-4)="","",IF(SUMPRODUCT((P_ID=INDEX(L_ID,ROW()-4))*(P_StatusN="INACTIVE"))&gt;0,1,0))</f>
        <v/>
      </c>
    </row>
    <row r="4005">
      <c r="A4005">
        <f>IF(INDEX(L_ID,ROW()-4)="","",IF(COUNTIF(P_ID,INDEX(L_ID,ROW()-4))&gt;0,1,0))</f>
        <v/>
      </c>
      <c r="B4005">
        <f>IF(INDEX(P_Type,ROW()-4)="","",TRIM(UPPER(INDEX(P_Type,ROW()-4))))</f>
        <v/>
      </c>
      <c r="D4005">
        <f>IF(INDEX(L_Type,ROW()-4)="","",TRIM(UPPER(INDEX(L_Type,ROW()-4))))</f>
        <v/>
      </c>
      <c r="E4005">
        <f>IF(INDEX(P_Status,ROW()-4)="","",TRIM(UPPER(INDEX(P_Status,ROW()-4))))</f>
        <v/>
      </c>
      <c r="G4005">
        <f>IF(INDEX(L_Status,ROW()-4)="","",TRIM(UPPER(INDEX(L_Status,ROW()-4))))</f>
        <v/>
      </c>
      <c r="J4005">
        <f>IF(INDEX(L_ID,ROW()-4)="","",IF(SUMPRODUCT((P_ID=INDEX(L_ID,ROW()-4))*(P_StatusN="INACTIVE"))&gt;0,1,0))</f>
        <v/>
      </c>
    </row>
    <row r="4006">
      <c r="A4006">
        <f>IF(INDEX(L_ID,ROW()-4)="","",IF(COUNTIF(P_ID,INDEX(L_ID,ROW()-4))&gt;0,1,0))</f>
        <v/>
      </c>
      <c r="B4006">
        <f>IF(INDEX(P_Type,ROW()-4)="","",TRIM(UPPER(INDEX(P_Type,ROW()-4))))</f>
        <v/>
      </c>
      <c r="D4006">
        <f>IF(INDEX(L_Type,ROW()-4)="","",TRIM(UPPER(INDEX(L_Type,ROW()-4))))</f>
        <v/>
      </c>
      <c r="E4006">
        <f>IF(INDEX(P_Status,ROW()-4)="","",TRIM(UPPER(INDEX(P_Status,ROW()-4))))</f>
        <v/>
      </c>
      <c r="G4006">
        <f>IF(INDEX(L_Status,ROW()-4)="","",TRIM(UPPER(INDEX(L_Status,ROW()-4))))</f>
        <v/>
      </c>
      <c r="J4006">
        <f>IF(INDEX(L_ID,ROW()-4)="","",IF(SUMPRODUCT((P_ID=INDEX(L_ID,ROW()-4))*(P_StatusN="INACTIVE"))&gt;0,1,0))</f>
        <v/>
      </c>
    </row>
    <row r="4007">
      <c r="A4007">
        <f>IF(INDEX(L_ID,ROW()-4)="","",IF(COUNTIF(P_ID,INDEX(L_ID,ROW()-4))&gt;0,1,0))</f>
        <v/>
      </c>
      <c r="B4007">
        <f>IF(INDEX(P_Type,ROW()-4)="","",TRIM(UPPER(INDEX(P_Type,ROW()-4))))</f>
        <v/>
      </c>
      <c r="D4007">
        <f>IF(INDEX(L_Type,ROW()-4)="","",TRIM(UPPER(INDEX(L_Type,ROW()-4))))</f>
        <v/>
      </c>
      <c r="E4007">
        <f>IF(INDEX(P_Status,ROW()-4)="","",TRIM(UPPER(INDEX(P_Status,ROW()-4))))</f>
        <v/>
      </c>
      <c r="G4007">
        <f>IF(INDEX(L_Status,ROW()-4)="","",TRIM(UPPER(INDEX(L_Status,ROW()-4))))</f>
        <v/>
      </c>
      <c r="J4007">
        <f>IF(INDEX(L_ID,ROW()-4)="","",IF(SUMPRODUCT((P_ID=INDEX(L_ID,ROW()-4))*(P_StatusN="INACTIVE"))&gt;0,1,0))</f>
        <v/>
      </c>
    </row>
    <row r="4008">
      <c r="A4008">
        <f>IF(INDEX(L_ID,ROW()-4)="","",IF(COUNTIF(P_ID,INDEX(L_ID,ROW()-4))&gt;0,1,0))</f>
        <v/>
      </c>
      <c r="B4008">
        <f>IF(INDEX(P_Type,ROW()-4)="","",TRIM(UPPER(INDEX(P_Type,ROW()-4))))</f>
        <v/>
      </c>
      <c r="D4008">
        <f>IF(INDEX(L_Type,ROW()-4)="","",TRIM(UPPER(INDEX(L_Type,ROW()-4))))</f>
        <v/>
      </c>
      <c r="E4008">
        <f>IF(INDEX(P_Status,ROW()-4)="","",TRIM(UPPER(INDEX(P_Status,ROW()-4))))</f>
        <v/>
      </c>
      <c r="G4008">
        <f>IF(INDEX(L_Status,ROW()-4)="","",TRIM(UPPER(INDEX(L_Status,ROW()-4))))</f>
        <v/>
      </c>
      <c r="J4008">
        <f>IF(INDEX(L_ID,ROW()-4)="","",IF(SUMPRODUCT((P_ID=INDEX(L_ID,ROW()-4))*(P_StatusN="INACTIVE"))&gt;0,1,0))</f>
        <v/>
      </c>
    </row>
    <row r="4009">
      <c r="A4009">
        <f>IF(INDEX(L_ID,ROW()-4)="","",IF(COUNTIF(P_ID,INDEX(L_ID,ROW()-4))&gt;0,1,0))</f>
        <v/>
      </c>
      <c r="B4009">
        <f>IF(INDEX(P_Type,ROW()-4)="","",TRIM(UPPER(INDEX(P_Type,ROW()-4))))</f>
        <v/>
      </c>
      <c r="D4009">
        <f>IF(INDEX(L_Type,ROW()-4)="","",TRIM(UPPER(INDEX(L_Type,ROW()-4))))</f>
        <v/>
      </c>
      <c r="E4009">
        <f>IF(INDEX(P_Status,ROW()-4)="","",TRIM(UPPER(INDEX(P_Status,ROW()-4))))</f>
        <v/>
      </c>
      <c r="G4009">
        <f>IF(INDEX(L_Status,ROW()-4)="","",TRIM(UPPER(INDEX(L_Status,ROW()-4))))</f>
        <v/>
      </c>
      <c r="J4009">
        <f>IF(INDEX(L_ID,ROW()-4)="","",IF(SUMPRODUCT((P_ID=INDEX(L_ID,ROW()-4))*(P_StatusN="INACTIVE"))&gt;0,1,0))</f>
        <v/>
      </c>
    </row>
    <row r="4010">
      <c r="A4010">
        <f>IF(INDEX(L_ID,ROW()-4)="","",IF(COUNTIF(P_ID,INDEX(L_ID,ROW()-4))&gt;0,1,0))</f>
        <v/>
      </c>
      <c r="B4010">
        <f>IF(INDEX(P_Type,ROW()-4)="","",TRIM(UPPER(INDEX(P_Type,ROW()-4))))</f>
        <v/>
      </c>
      <c r="D4010">
        <f>IF(INDEX(L_Type,ROW()-4)="","",TRIM(UPPER(INDEX(L_Type,ROW()-4))))</f>
        <v/>
      </c>
      <c r="E4010">
        <f>IF(INDEX(P_Status,ROW()-4)="","",TRIM(UPPER(INDEX(P_Status,ROW()-4))))</f>
        <v/>
      </c>
      <c r="G4010">
        <f>IF(INDEX(L_Status,ROW()-4)="","",TRIM(UPPER(INDEX(L_Status,ROW()-4))))</f>
        <v/>
      </c>
      <c r="J4010">
        <f>IF(INDEX(L_ID,ROW()-4)="","",IF(SUMPRODUCT((P_ID=INDEX(L_ID,ROW()-4))*(P_StatusN="INACTIVE"))&gt;0,1,0))</f>
        <v/>
      </c>
    </row>
    <row r="4011">
      <c r="A4011">
        <f>IF(INDEX(L_ID,ROW()-4)="","",IF(COUNTIF(P_ID,INDEX(L_ID,ROW()-4))&gt;0,1,0))</f>
        <v/>
      </c>
      <c r="B4011">
        <f>IF(INDEX(P_Type,ROW()-4)="","",TRIM(UPPER(INDEX(P_Type,ROW()-4))))</f>
        <v/>
      </c>
      <c r="D4011">
        <f>IF(INDEX(L_Type,ROW()-4)="","",TRIM(UPPER(INDEX(L_Type,ROW()-4))))</f>
        <v/>
      </c>
      <c r="E4011">
        <f>IF(INDEX(P_Status,ROW()-4)="","",TRIM(UPPER(INDEX(P_Status,ROW()-4))))</f>
        <v/>
      </c>
      <c r="G4011">
        <f>IF(INDEX(L_Status,ROW()-4)="","",TRIM(UPPER(INDEX(L_Status,ROW()-4))))</f>
        <v/>
      </c>
      <c r="J4011">
        <f>IF(INDEX(L_ID,ROW()-4)="","",IF(SUMPRODUCT((P_ID=INDEX(L_ID,ROW()-4))*(P_StatusN="INACTIVE"))&gt;0,1,0))</f>
        <v/>
      </c>
    </row>
    <row r="4012">
      <c r="A4012">
        <f>IF(INDEX(L_ID,ROW()-4)="","",IF(COUNTIF(P_ID,INDEX(L_ID,ROW()-4))&gt;0,1,0))</f>
        <v/>
      </c>
      <c r="B4012">
        <f>IF(INDEX(P_Type,ROW()-4)="","",TRIM(UPPER(INDEX(P_Type,ROW()-4))))</f>
        <v/>
      </c>
      <c r="D4012">
        <f>IF(INDEX(L_Type,ROW()-4)="","",TRIM(UPPER(INDEX(L_Type,ROW()-4))))</f>
        <v/>
      </c>
      <c r="E4012">
        <f>IF(INDEX(P_Status,ROW()-4)="","",TRIM(UPPER(INDEX(P_Status,ROW()-4))))</f>
        <v/>
      </c>
      <c r="G4012">
        <f>IF(INDEX(L_Status,ROW()-4)="","",TRIM(UPPER(INDEX(L_Status,ROW()-4))))</f>
        <v/>
      </c>
      <c r="J4012">
        <f>IF(INDEX(L_ID,ROW()-4)="","",IF(SUMPRODUCT((P_ID=INDEX(L_ID,ROW()-4))*(P_StatusN="INACTIVE"))&gt;0,1,0))</f>
        <v/>
      </c>
    </row>
    <row r="4013">
      <c r="A4013">
        <f>IF(INDEX(L_ID,ROW()-4)="","",IF(COUNTIF(P_ID,INDEX(L_ID,ROW()-4))&gt;0,1,0))</f>
        <v/>
      </c>
      <c r="B4013">
        <f>IF(INDEX(P_Type,ROW()-4)="","",TRIM(UPPER(INDEX(P_Type,ROW()-4))))</f>
        <v/>
      </c>
      <c r="D4013">
        <f>IF(INDEX(L_Type,ROW()-4)="","",TRIM(UPPER(INDEX(L_Type,ROW()-4))))</f>
        <v/>
      </c>
      <c r="E4013">
        <f>IF(INDEX(P_Status,ROW()-4)="","",TRIM(UPPER(INDEX(P_Status,ROW()-4))))</f>
        <v/>
      </c>
      <c r="G4013">
        <f>IF(INDEX(L_Status,ROW()-4)="","",TRIM(UPPER(INDEX(L_Status,ROW()-4))))</f>
        <v/>
      </c>
      <c r="J4013">
        <f>IF(INDEX(L_ID,ROW()-4)="","",IF(SUMPRODUCT((P_ID=INDEX(L_ID,ROW()-4))*(P_StatusN="INACTIVE"))&gt;0,1,0))</f>
        <v/>
      </c>
    </row>
    <row r="4014">
      <c r="A4014">
        <f>IF(INDEX(L_ID,ROW()-4)="","",IF(COUNTIF(P_ID,INDEX(L_ID,ROW()-4))&gt;0,1,0))</f>
        <v/>
      </c>
      <c r="B4014">
        <f>IF(INDEX(P_Type,ROW()-4)="","",TRIM(UPPER(INDEX(P_Type,ROW()-4))))</f>
        <v/>
      </c>
      <c r="D4014">
        <f>IF(INDEX(L_Type,ROW()-4)="","",TRIM(UPPER(INDEX(L_Type,ROW()-4))))</f>
        <v/>
      </c>
      <c r="E4014">
        <f>IF(INDEX(P_Status,ROW()-4)="","",TRIM(UPPER(INDEX(P_Status,ROW()-4))))</f>
        <v/>
      </c>
      <c r="G4014">
        <f>IF(INDEX(L_Status,ROW()-4)="","",TRIM(UPPER(INDEX(L_Status,ROW()-4))))</f>
        <v/>
      </c>
      <c r="J4014">
        <f>IF(INDEX(L_ID,ROW()-4)="","",IF(SUMPRODUCT((P_ID=INDEX(L_ID,ROW()-4))*(P_StatusN="INACTIVE"))&gt;0,1,0))</f>
        <v/>
      </c>
    </row>
    <row r="4015">
      <c r="A4015">
        <f>IF(INDEX(L_ID,ROW()-4)="","",IF(COUNTIF(P_ID,INDEX(L_ID,ROW()-4))&gt;0,1,0))</f>
        <v/>
      </c>
      <c r="B4015">
        <f>IF(INDEX(P_Type,ROW()-4)="","",TRIM(UPPER(INDEX(P_Type,ROW()-4))))</f>
        <v/>
      </c>
      <c r="D4015">
        <f>IF(INDEX(L_Type,ROW()-4)="","",TRIM(UPPER(INDEX(L_Type,ROW()-4))))</f>
        <v/>
      </c>
      <c r="E4015">
        <f>IF(INDEX(P_Status,ROW()-4)="","",TRIM(UPPER(INDEX(P_Status,ROW()-4))))</f>
        <v/>
      </c>
      <c r="G4015">
        <f>IF(INDEX(L_Status,ROW()-4)="","",TRIM(UPPER(INDEX(L_Status,ROW()-4))))</f>
        <v/>
      </c>
      <c r="J4015">
        <f>IF(INDEX(L_ID,ROW()-4)="","",IF(SUMPRODUCT((P_ID=INDEX(L_ID,ROW()-4))*(P_StatusN="INACTIVE"))&gt;0,1,0))</f>
        <v/>
      </c>
    </row>
    <row r="4016">
      <c r="A4016">
        <f>IF(INDEX(L_ID,ROW()-4)="","",IF(COUNTIF(P_ID,INDEX(L_ID,ROW()-4))&gt;0,1,0))</f>
        <v/>
      </c>
      <c r="B4016">
        <f>IF(INDEX(P_Type,ROW()-4)="","",TRIM(UPPER(INDEX(P_Type,ROW()-4))))</f>
        <v/>
      </c>
      <c r="D4016">
        <f>IF(INDEX(L_Type,ROW()-4)="","",TRIM(UPPER(INDEX(L_Type,ROW()-4))))</f>
        <v/>
      </c>
      <c r="E4016">
        <f>IF(INDEX(P_Status,ROW()-4)="","",TRIM(UPPER(INDEX(P_Status,ROW()-4))))</f>
        <v/>
      </c>
      <c r="G4016">
        <f>IF(INDEX(L_Status,ROW()-4)="","",TRIM(UPPER(INDEX(L_Status,ROW()-4))))</f>
        <v/>
      </c>
      <c r="J4016">
        <f>IF(INDEX(L_ID,ROW()-4)="","",IF(SUMPRODUCT((P_ID=INDEX(L_ID,ROW()-4))*(P_StatusN="INACTIVE"))&gt;0,1,0))</f>
        <v/>
      </c>
    </row>
    <row r="4017">
      <c r="A4017">
        <f>IF(INDEX(L_ID,ROW()-4)="","",IF(COUNTIF(P_ID,INDEX(L_ID,ROW()-4))&gt;0,1,0))</f>
        <v/>
      </c>
      <c r="B4017">
        <f>IF(INDEX(P_Type,ROW()-4)="","",TRIM(UPPER(INDEX(P_Type,ROW()-4))))</f>
        <v/>
      </c>
      <c r="D4017">
        <f>IF(INDEX(L_Type,ROW()-4)="","",TRIM(UPPER(INDEX(L_Type,ROW()-4))))</f>
        <v/>
      </c>
      <c r="E4017">
        <f>IF(INDEX(P_Status,ROW()-4)="","",TRIM(UPPER(INDEX(P_Status,ROW()-4))))</f>
        <v/>
      </c>
      <c r="G4017">
        <f>IF(INDEX(L_Status,ROW()-4)="","",TRIM(UPPER(INDEX(L_Status,ROW()-4))))</f>
        <v/>
      </c>
      <c r="J4017">
        <f>IF(INDEX(L_ID,ROW()-4)="","",IF(SUMPRODUCT((P_ID=INDEX(L_ID,ROW()-4))*(P_StatusN="INACTIVE"))&gt;0,1,0))</f>
        <v/>
      </c>
    </row>
    <row r="4018">
      <c r="A4018">
        <f>IF(INDEX(L_ID,ROW()-4)="","",IF(COUNTIF(P_ID,INDEX(L_ID,ROW()-4))&gt;0,1,0))</f>
        <v/>
      </c>
      <c r="B4018">
        <f>IF(INDEX(P_Type,ROW()-4)="","",TRIM(UPPER(INDEX(P_Type,ROW()-4))))</f>
        <v/>
      </c>
      <c r="D4018">
        <f>IF(INDEX(L_Type,ROW()-4)="","",TRIM(UPPER(INDEX(L_Type,ROW()-4))))</f>
        <v/>
      </c>
      <c r="E4018">
        <f>IF(INDEX(P_Status,ROW()-4)="","",TRIM(UPPER(INDEX(P_Status,ROW()-4))))</f>
        <v/>
      </c>
      <c r="G4018">
        <f>IF(INDEX(L_Status,ROW()-4)="","",TRIM(UPPER(INDEX(L_Status,ROW()-4))))</f>
        <v/>
      </c>
      <c r="J4018">
        <f>IF(INDEX(L_ID,ROW()-4)="","",IF(SUMPRODUCT((P_ID=INDEX(L_ID,ROW()-4))*(P_StatusN="INACTIVE"))&gt;0,1,0))</f>
        <v/>
      </c>
    </row>
    <row r="4019">
      <c r="A4019">
        <f>IF(INDEX(L_ID,ROW()-4)="","",IF(COUNTIF(P_ID,INDEX(L_ID,ROW()-4))&gt;0,1,0))</f>
        <v/>
      </c>
      <c r="B4019">
        <f>IF(INDEX(P_Type,ROW()-4)="","",TRIM(UPPER(INDEX(P_Type,ROW()-4))))</f>
        <v/>
      </c>
      <c r="D4019">
        <f>IF(INDEX(L_Type,ROW()-4)="","",TRIM(UPPER(INDEX(L_Type,ROW()-4))))</f>
        <v/>
      </c>
      <c r="E4019">
        <f>IF(INDEX(P_Status,ROW()-4)="","",TRIM(UPPER(INDEX(P_Status,ROW()-4))))</f>
        <v/>
      </c>
      <c r="G4019">
        <f>IF(INDEX(L_Status,ROW()-4)="","",TRIM(UPPER(INDEX(L_Status,ROW()-4))))</f>
        <v/>
      </c>
      <c r="J4019">
        <f>IF(INDEX(L_ID,ROW()-4)="","",IF(SUMPRODUCT((P_ID=INDEX(L_ID,ROW()-4))*(P_StatusN="INACTIVE"))&gt;0,1,0))</f>
        <v/>
      </c>
    </row>
    <row r="4020">
      <c r="A4020">
        <f>IF(INDEX(L_ID,ROW()-4)="","",IF(COUNTIF(P_ID,INDEX(L_ID,ROW()-4))&gt;0,1,0))</f>
        <v/>
      </c>
      <c r="B4020">
        <f>IF(INDEX(P_Type,ROW()-4)="","",TRIM(UPPER(INDEX(P_Type,ROW()-4))))</f>
        <v/>
      </c>
      <c r="D4020">
        <f>IF(INDEX(L_Type,ROW()-4)="","",TRIM(UPPER(INDEX(L_Type,ROW()-4))))</f>
        <v/>
      </c>
      <c r="E4020">
        <f>IF(INDEX(P_Status,ROW()-4)="","",TRIM(UPPER(INDEX(P_Status,ROW()-4))))</f>
        <v/>
      </c>
      <c r="G4020">
        <f>IF(INDEX(L_Status,ROW()-4)="","",TRIM(UPPER(INDEX(L_Status,ROW()-4))))</f>
        <v/>
      </c>
      <c r="J4020">
        <f>IF(INDEX(L_ID,ROW()-4)="","",IF(SUMPRODUCT((P_ID=INDEX(L_ID,ROW()-4))*(P_StatusN="INACTIVE"))&gt;0,1,0))</f>
        <v/>
      </c>
    </row>
    <row r="4021">
      <c r="A4021">
        <f>IF(INDEX(L_ID,ROW()-4)="","",IF(COUNTIF(P_ID,INDEX(L_ID,ROW()-4))&gt;0,1,0))</f>
        <v/>
      </c>
      <c r="B4021">
        <f>IF(INDEX(P_Type,ROW()-4)="","",TRIM(UPPER(INDEX(P_Type,ROW()-4))))</f>
        <v/>
      </c>
      <c r="D4021">
        <f>IF(INDEX(L_Type,ROW()-4)="","",TRIM(UPPER(INDEX(L_Type,ROW()-4))))</f>
        <v/>
      </c>
      <c r="E4021">
        <f>IF(INDEX(P_Status,ROW()-4)="","",TRIM(UPPER(INDEX(P_Status,ROW()-4))))</f>
        <v/>
      </c>
      <c r="G4021">
        <f>IF(INDEX(L_Status,ROW()-4)="","",TRIM(UPPER(INDEX(L_Status,ROW()-4))))</f>
        <v/>
      </c>
      <c r="J4021">
        <f>IF(INDEX(L_ID,ROW()-4)="","",IF(SUMPRODUCT((P_ID=INDEX(L_ID,ROW()-4))*(P_StatusN="INACTIVE"))&gt;0,1,0))</f>
        <v/>
      </c>
    </row>
    <row r="4022">
      <c r="A4022">
        <f>IF(INDEX(L_ID,ROW()-4)="","",IF(COUNTIF(P_ID,INDEX(L_ID,ROW()-4))&gt;0,1,0))</f>
        <v/>
      </c>
      <c r="B4022">
        <f>IF(INDEX(P_Type,ROW()-4)="","",TRIM(UPPER(INDEX(P_Type,ROW()-4))))</f>
        <v/>
      </c>
      <c r="D4022">
        <f>IF(INDEX(L_Type,ROW()-4)="","",TRIM(UPPER(INDEX(L_Type,ROW()-4))))</f>
        <v/>
      </c>
      <c r="E4022">
        <f>IF(INDEX(P_Status,ROW()-4)="","",TRIM(UPPER(INDEX(P_Status,ROW()-4))))</f>
        <v/>
      </c>
      <c r="G4022">
        <f>IF(INDEX(L_Status,ROW()-4)="","",TRIM(UPPER(INDEX(L_Status,ROW()-4))))</f>
        <v/>
      </c>
      <c r="J4022">
        <f>IF(INDEX(L_ID,ROW()-4)="","",IF(SUMPRODUCT((P_ID=INDEX(L_ID,ROW()-4))*(P_StatusN="INACTIVE"))&gt;0,1,0))</f>
        <v/>
      </c>
    </row>
    <row r="4023">
      <c r="A4023">
        <f>IF(INDEX(L_ID,ROW()-4)="","",IF(COUNTIF(P_ID,INDEX(L_ID,ROW()-4))&gt;0,1,0))</f>
        <v/>
      </c>
      <c r="B4023">
        <f>IF(INDEX(P_Type,ROW()-4)="","",TRIM(UPPER(INDEX(P_Type,ROW()-4))))</f>
        <v/>
      </c>
      <c r="D4023">
        <f>IF(INDEX(L_Type,ROW()-4)="","",TRIM(UPPER(INDEX(L_Type,ROW()-4))))</f>
        <v/>
      </c>
      <c r="E4023">
        <f>IF(INDEX(P_Status,ROW()-4)="","",TRIM(UPPER(INDEX(P_Status,ROW()-4))))</f>
        <v/>
      </c>
      <c r="G4023">
        <f>IF(INDEX(L_Status,ROW()-4)="","",TRIM(UPPER(INDEX(L_Status,ROW()-4))))</f>
        <v/>
      </c>
      <c r="J4023">
        <f>IF(INDEX(L_ID,ROW()-4)="","",IF(SUMPRODUCT((P_ID=INDEX(L_ID,ROW()-4))*(P_StatusN="INACTIVE"))&gt;0,1,0))</f>
        <v/>
      </c>
    </row>
    <row r="4024">
      <c r="A4024">
        <f>IF(INDEX(L_ID,ROW()-4)="","",IF(COUNTIF(P_ID,INDEX(L_ID,ROW()-4))&gt;0,1,0))</f>
        <v/>
      </c>
      <c r="B4024">
        <f>IF(INDEX(P_Type,ROW()-4)="","",TRIM(UPPER(INDEX(P_Type,ROW()-4))))</f>
        <v/>
      </c>
      <c r="D4024">
        <f>IF(INDEX(L_Type,ROW()-4)="","",TRIM(UPPER(INDEX(L_Type,ROW()-4))))</f>
        <v/>
      </c>
      <c r="E4024">
        <f>IF(INDEX(P_Status,ROW()-4)="","",TRIM(UPPER(INDEX(P_Status,ROW()-4))))</f>
        <v/>
      </c>
      <c r="G4024">
        <f>IF(INDEX(L_Status,ROW()-4)="","",TRIM(UPPER(INDEX(L_Status,ROW()-4))))</f>
        <v/>
      </c>
      <c r="J4024">
        <f>IF(INDEX(L_ID,ROW()-4)="","",IF(SUMPRODUCT((P_ID=INDEX(L_ID,ROW()-4))*(P_StatusN="INACTIVE"))&gt;0,1,0))</f>
        <v/>
      </c>
    </row>
    <row r="4025">
      <c r="A4025">
        <f>IF(INDEX(L_ID,ROW()-4)="","",IF(COUNTIF(P_ID,INDEX(L_ID,ROW()-4))&gt;0,1,0))</f>
        <v/>
      </c>
      <c r="B4025">
        <f>IF(INDEX(P_Type,ROW()-4)="","",TRIM(UPPER(INDEX(P_Type,ROW()-4))))</f>
        <v/>
      </c>
      <c r="D4025">
        <f>IF(INDEX(L_Type,ROW()-4)="","",TRIM(UPPER(INDEX(L_Type,ROW()-4))))</f>
        <v/>
      </c>
      <c r="E4025">
        <f>IF(INDEX(P_Status,ROW()-4)="","",TRIM(UPPER(INDEX(P_Status,ROW()-4))))</f>
        <v/>
      </c>
      <c r="G4025">
        <f>IF(INDEX(L_Status,ROW()-4)="","",TRIM(UPPER(INDEX(L_Status,ROW()-4))))</f>
        <v/>
      </c>
      <c r="J4025">
        <f>IF(INDEX(L_ID,ROW()-4)="","",IF(SUMPRODUCT((P_ID=INDEX(L_ID,ROW()-4))*(P_StatusN="INACTIVE"))&gt;0,1,0))</f>
        <v/>
      </c>
    </row>
    <row r="4026">
      <c r="A4026">
        <f>IF(INDEX(L_ID,ROW()-4)="","",IF(COUNTIF(P_ID,INDEX(L_ID,ROW()-4))&gt;0,1,0))</f>
        <v/>
      </c>
      <c r="B4026">
        <f>IF(INDEX(P_Type,ROW()-4)="","",TRIM(UPPER(INDEX(P_Type,ROW()-4))))</f>
        <v/>
      </c>
      <c r="D4026">
        <f>IF(INDEX(L_Type,ROW()-4)="","",TRIM(UPPER(INDEX(L_Type,ROW()-4))))</f>
        <v/>
      </c>
      <c r="E4026">
        <f>IF(INDEX(P_Status,ROW()-4)="","",TRIM(UPPER(INDEX(P_Status,ROW()-4))))</f>
        <v/>
      </c>
      <c r="G4026">
        <f>IF(INDEX(L_Status,ROW()-4)="","",TRIM(UPPER(INDEX(L_Status,ROW()-4))))</f>
        <v/>
      </c>
      <c r="J4026">
        <f>IF(INDEX(L_ID,ROW()-4)="","",IF(SUMPRODUCT((P_ID=INDEX(L_ID,ROW()-4))*(P_StatusN="INACTIVE"))&gt;0,1,0))</f>
        <v/>
      </c>
    </row>
    <row r="4027">
      <c r="A4027">
        <f>IF(INDEX(L_ID,ROW()-4)="","",IF(COUNTIF(P_ID,INDEX(L_ID,ROW()-4))&gt;0,1,0))</f>
        <v/>
      </c>
      <c r="B4027">
        <f>IF(INDEX(P_Type,ROW()-4)="","",TRIM(UPPER(INDEX(P_Type,ROW()-4))))</f>
        <v/>
      </c>
      <c r="D4027">
        <f>IF(INDEX(L_Type,ROW()-4)="","",TRIM(UPPER(INDEX(L_Type,ROW()-4))))</f>
        <v/>
      </c>
      <c r="E4027">
        <f>IF(INDEX(P_Status,ROW()-4)="","",TRIM(UPPER(INDEX(P_Status,ROW()-4))))</f>
        <v/>
      </c>
      <c r="G4027">
        <f>IF(INDEX(L_Status,ROW()-4)="","",TRIM(UPPER(INDEX(L_Status,ROW()-4))))</f>
        <v/>
      </c>
      <c r="J4027">
        <f>IF(INDEX(L_ID,ROW()-4)="","",IF(SUMPRODUCT((P_ID=INDEX(L_ID,ROW()-4))*(P_StatusN="INACTIVE"))&gt;0,1,0))</f>
        <v/>
      </c>
    </row>
    <row r="4028">
      <c r="A4028">
        <f>IF(INDEX(L_ID,ROW()-4)="","",IF(COUNTIF(P_ID,INDEX(L_ID,ROW()-4))&gt;0,1,0))</f>
        <v/>
      </c>
      <c r="B4028">
        <f>IF(INDEX(P_Type,ROW()-4)="","",TRIM(UPPER(INDEX(P_Type,ROW()-4))))</f>
        <v/>
      </c>
      <c r="D4028">
        <f>IF(INDEX(L_Type,ROW()-4)="","",TRIM(UPPER(INDEX(L_Type,ROW()-4))))</f>
        <v/>
      </c>
      <c r="E4028">
        <f>IF(INDEX(P_Status,ROW()-4)="","",TRIM(UPPER(INDEX(P_Status,ROW()-4))))</f>
        <v/>
      </c>
      <c r="G4028">
        <f>IF(INDEX(L_Status,ROW()-4)="","",TRIM(UPPER(INDEX(L_Status,ROW()-4))))</f>
        <v/>
      </c>
      <c r="J4028">
        <f>IF(INDEX(L_ID,ROW()-4)="","",IF(SUMPRODUCT((P_ID=INDEX(L_ID,ROW()-4))*(P_StatusN="INACTIVE"))&gt;0,1,0))</f>
        <v/>
      </c>
    </row>
    <row r="4029">
      <c r="A4029">
        <f>IF(INDEX(L_ID,ROW()-4)="","",IF(COUNTIF(P_ID,INDEX(L_ID,ROW()-4))&gt;0,1,0))</f>
        <v/>
      </c>
      <c r="B4029">
        <f>IF(INDEX(P_Type,ROW()-4)="","",TRIM(UPPER(INDEX(P_Type,ROW()-4))))</f>
        <v/>
      </c>
      <c r="D4029">
        <f>IF(INDEX(L_Type,ROW()-4)="","",TRIM(UPPER(INDEX(L_Type,ROW()-4))))</f>
        <v/>
      </c>
      <c r="E4029">
        <f>IF(INDEX(P_Status,ROW()-4)="","",TRIM(UPPER(INDEX(P_Status,ROW()-4))))</f>
        <v/>
      </c>
      <c r="G4029">
        <f>IF(INDEX(L_Status,ROW()-4)="","",TRIM(UPPER(INDEX(L_Status,ROW()-4))))</f>
        <v/>
      </c>
      <c r="J4029">
        <f>IF(INDEX(L_ID,ROW()-4)="","",IF(SUMPRODUCT((P_ID=INDEX(L_ID,ROW()-4))*(P_StatusN="INACTIVE"))&gt;0,1,0))</f>
        <v/>
      </c>
    </row>
    <row r="4030">
      <c r="A4030">
        <f>IF(INDEX(L_ID,ROW()-4)="","",IF(COUNTIF(P_ID,INDEX(L_ID,ROW()-4))&gt;0,1,0))</f>
        <v/>
      </c>
      <c r="B4030">
        <f>IF(INDEX(P_Type,ROW()-4)="","",TRIM(UPPER(INDEX(P_Type,ROW()-4))))</f>
        <v/>
      </c>
      <c r="D4030">
        <f>IF(INDEX(L_Type,ROW()-4)="","",TRIM(UPPER(INDEX(L_Type,ROW()-4))))</f>
        <v/>
      </c>
      <c r="E4030">
        <f>IF(INDEX(P_Status,ROW()-4)="","",TRIM(UPPER(INDEX(P_Status,ROW()-4))))</f>
        <v/>
      </c>
      <c r="G4030">
        <f>IF(INDEX(L_Status,ROW()-4)="","",TRIM(UPPER(INDEX(L_Status,ROW()-4))))</f>
        <v/>
      </c>
      <c r="J4030">
        <f>IF(INDEX(L_ID,ROW()-4)="","",IF(SUMPRODUCT((P_ID=INDEX(L_ID,ROW()-4))*(P_StatusN="INACTIVE"))&gt;0,1,0))</f>
        <v/>
      </c>
    </row>
    <row r="4031">
      <c r="A4031">
        <f>IF(INDEX(L_ID,ROW()-4)="","",IF(COUNTIF(P_ID,INDEX(L_ID,ROW()-4))&gt;0,1,0))</f>
        <v/>
      </c>
      <c r="B4031">
        <f>IF(INDEX(P_Type,ROW()-4)="","",TRIM(UPPER(INDEX(P_Type,ROW()-4))))</f>
        <v/>
      </c>
      <c r="D4031">
        <f>IF(INDEX(L_Type,ROW()-4)="","",TRIM(UPPER(INDEX(L_Type,ROW()-4))))</f>
        <v/>
      </c>
      <c r="E4031">
        <f>IF(INDEX(P_Status,ROW()-4)="","",TRIM(UPPER(INDEX(P_Status,ROW()-4))))</f>
        <v/>
      </c>
      <c r="G4031">
        <f>IF(INDEX(L_Status,ROW()-4)="","",TRIM(UPPER(INDEX(L_Status,ROW()-4))))</f>
        <v/>
      </c>
      <c r="J4031">
        <f>IF(INDEX(L_ID,ROW()-4)="","",IF(SUMPRODUCT((P_ID=INDEX(L_ID,ROW()-4))*(P_StatusN="INACTIVE"))&gt;0,1,0))</f>
        <v/>
      </c>
    </row>
    <row r="4032">
      <c r="A4032">
        <f>IF(INDEX(L_ID,ROW()-4)="","",IF(COUNTIF(P_ID,INDEX(L_ID,ROW()-4))&gt;0,1,0))</f>
        <v/>
      </c>
      <c r="B4032">
        <f>IF(INDEX(P_Type,ROW()-4)="","",TRIM(UPPER(INDEX(P_Type,ROW()-4))))</f>
        <v/>
      </c>
      <c r="D4032">
        <f>IF(INDEX(L_Type,ROW()-4)="","",TRIM(UPPER(INDEX(L_Type,ROW()-4))))</f>
        <v/>
      </c>
      <c r="E4032">
        <f>IF(INDEX(P_Status,ROW()-4)="","",TRIM(UPPER(INDEX(P_Status,ROW()-4))))</f>
        <v/>
      </c>
      <c r="G4032">
        <f>IF(INDEX(L_Status,ROW()-4)="","",TRIM(UPPER(INDEX(L_Status,ROW()-4))))</f>
        <v/>
      </c>
      <c r="J4032">
        <f>IF(INDEX(L_ID,ROW()-4)="","",IF(SUMPRODUCT((P_ID=INDEX(L_ID,ROW()-4))*(P_StatusN="INACTIVE"))&gt;0,1,0))</f>
        <v/>
      </c>
    </row>
    <row r="4033">
      <c r="A4033">
        <f>IF(INDEX(L_ID,ROW()-4)="","",IF(COUNTIF(P_ID,INDEX(L_ID,ROW()-4))&gt;0,1,0))</f>
        <v/>
      </c>
      <c r="B4033">
        <f>IF(INDEX(P_Type,ROW()-4)="","",TRIM(UPPER(INDEX(P_Type,ROW()-4))))</f>
        <v/>
      </c>
      <c r="D4033">
        <f>IF(INDEX(L_Type,ROW()-4)="","",TRIM(UPPER(INDEX(L_Type,ROW()-4))))</f>
        <v/>
      </c>
      <c r="E4033">
        <f>IF(INDEX(P_Status,ROW()-4)="","",TRIM(UPPER(INDEX(P_Status,ROW()-4))))</f>
        <v/>
      </c>
      <c r="G4033">
        <f>IF(INDEX(L_Status,ROW()-4)="","",TRIM(UPPER(INDEX(L_Status,ROW()-4))))</f>
        <v/>
      </c>
      <c r="J4033">
        <f>IF(INDEX(L_ID,ROW()-4)="","",IF(SUMPRODUCT((P_ID=INDEX(L_ID,ROW()-4))*(P_StatusN="INACTIVE"))&gt;0,1,0))</f>
        <v/>
      </c>
    </row>
    <row r="4034">
      <c r="A4034">
        <f>IF(INDEX(L_ID,ROW()-4)="","",IF(COUNTIF(P_ID,INDEX(L_ID,ROW()-4))&gt;0,1,0))</f>
        <v/>
      </c>
      <c r="B4034">
        <f>IF(INDEX(P_Type,ROW()-4)="","",TRIM(UPPER(INDEX(P_Type,ROW()-4))))</f>
        <v/>
      </c>
      <c r="D4034">
        <f>IF(INDEX(L_Type,ROW()-4)="","",TRIM(UPPER(INDEX(L_Type,ROW()-4))))</f>
        <v/>
      </c>
      <c r="E4034">
        <f>IF(INDEX(P_Status,ROW()-4)="","",TRIM(UPPER(INDEX(P_Status,ROW()-4))))</f>
        <v/>
      </c>
      <c r="G4034">
        <f>IF(INDEX(L_Status,ROW()-4)="","",TRIM(UPPER(INDEX(L_Status,ROW()-4))))</f>
        <v/>
      </c>
      <c r="J4034">
        <f>IF(INDEX(L_ID,ROW()-4)="","",IF(SUMPRODUCT((P_ID=INDEX(L_ID,ROW()-4))*(P_StatusN="INACTIVE"))&gt;0,1,0))</f>
        <v/>
      </c>
    </row>
    <row r="4035">
      <c r="A4035">
        <f>IF(INDEX(L_ID,ROW()-4)="","",IF(COUNTIF(P_ID,INDEX(L_ID,ROW()-4))&gt;0,1,0))</f>
        <v/>
      </c>
      <c r="B4035">
        <f>IF(INDEX(P_Type,ROW()-4)="","",TRIM(UPPER(INDEX(P_Type,ROW()-4))))</f>
        <v/>
      </c>
      <c r="D4035">
        <f>IF(INDEX(L_Type,ROW()-4)="","",TRIM(UPPER(INDEX(L_Type,ROW()-4))))</f>
        <v/>
      </c>
      <c r="E4035">
        <f>IF(INDEX(P_Status,ROW()-4)="","",TRIM(UPPER(INDEX(P_Status,ROW()-4))))</f>
        <v/>
      </c>
      <c r="G4035">
        <f>IF(INDEX(L_Status,ROW()-4)="","",TRIM(UPPER(INDEX(L_Status,ROW()-4))))</f>
        <v/>
      </c>
      <c r="J4035">
        <f>IF(INDEX(L_ID,ROW()-4)="","",IF(SUMPRODUCT((P_ID=INDEX(L_ID,ROW()-4))*(P_StatusN="INACTIVE"))&gt;0,1,0))</f>
        <v/>
      </c>
    </row>
    <row r="4036">
      <c r="A4036">
        <f>IF(INDEX(L_ID,ROW()-4)="","",IF(COUNTIF(P_ID,INDEX(L_ID,ROW()-4))&gt;0,1,0))</f>
        <v/>
      </c>
      <c r="B4036">
        <f>IF(INDEX(P_Type,ROW()-4)="","",TRIM(UPPER(INDEX(P_Type,ROW()-4))))</f>
        <v/>
      </c>
      <c r="D4036">
        <f>IF(INDEX(L_Type,ROW()-4)="","",TRIM(UPPER(INDEX(L_Type,ROW()-4))))</f>
        <v/>
      </c>
      <c r="E4036">
        <f>IF(INDEX(P_Status,ROW()-4)="","",TRIM(UPPER(INDEX(P_Status,ROW()-4))))</f>
        <v/>
      </c>
      <c r="G4036">
        <f>IF(INDEX(L_Status,ROW()-4)="","",TRIM(UPPER(INDEX(L_Status,ROW()-4))))</f>
        <v/>
      </c>
      <c r="J4036">
        <f>IF(INDEX(L_ID,ROW()-4)="","",IF(SUMPRODUCT((P_ID=INDEX(L_ID,ROW()-4))*(P_StatusN="INACTIVE"))&gt;0,1,0))</f>
        <v/>
      </c>
    </row>
    <row r="4037">
      <c r="A4037">
        <f>IF(INDEX(L_ID,ROW()-4)="","",IF(COUNTIF(P_ID,INDEX(L_ID,ROW()-4))&gt;0,1,0))</f>
        <v/>
      </c>
      <c r="B4037">
        <f>IF(INDEX(P_Type,ROW()-4)="","",TRIM(UPPER(INDEX(P_Type,ROW()-4))))</f>
        <v/>
      </c>
      <c r="D4037">
        <f>IF(INDEX(L_Type,ROW()-4)="","",TRIM(UPPER(INDEX(L_Type,ROW()-4))))</f>
        <v/>
      </c>
      <c r="E4037">
        <f>IF(INDEX(P_Status,ROW()-4)="","",TRIM(UPPER(INDEX(P_Status,ROW()-4))))</f>
        <v/>
      </c>
      <c r="G4037">
        <f>IF(INDEX(L_Status,ROW()-4)="","",TRIM(UPPER(INDEX(L_Status,ROW()-4))))</f>
        <v/>
      </c>
      <c r="J4037">
        <f>IF(INDEX(L_ID,ROW()-4)="","",IF(SUMPRODUCT((P_ID=INDEX(L_ID,ROW()-4))*(P_StatusN="INACTIVE"))&gt;0,1,0))</f>
        <v/>
      </c>
    </row>
    <row r="4038">
      <c r="A4038">
        <f>IF(INDEX(L_ID,ROW()-4)="","",IF(COUNTIF(P_ID,INDEX(L_ID,ROW()-4))&gt;0,1,0))</f>
        <v/>
      </c>
      <c r="B4038">
        <f>IF(INDEX(P_Type,ROW()-4)="","",TRIM(UPPER(INDEX(P_Type,ROW()-4))))</f>
        <v/>
      </c>
      <c r="D4038">
        <f>IF(INDEX(L_Type,ROW()-4)="","",TRIM(UPPER(INDEX(L_Type,ROW()-4))))</f>
        <v/>
      </c>
      <c r="E4038">
        <f>IF(INDEX(P_Status,ROW()-4)="","",TRIM(UPPER(INDEX(P_Status,ROW()-4))))</f>
        <v/>
      </c>
      <c r="G4038">
        <f>IF(INDEX(L_Status,ROW()-4)="","",TRIM(UPPER(INDEX(L_Status,ROW()-4))))</f>
        <v/>
      </c>
      <c r="J4038">
        <f>IF(INDEX(L_ID,ROW()-4)="","",IF(SUMPRODUCT((P_ID=INDEX(L_ID,ROW()-4))*(P_StatusN="INACTIVE"))&gt;0,1,0))</f>
        <v/>
      </c>
    </row>
    <row r="4039">
      <c r="A4039">
        <f>IF(INDEX(L_ID,ROW()-4)="","",IF(COUNTIF(P_ID,INDEX(L_ID,ROW()-4))&gt;0,1,0))</f>
        <v/>
      </c>
      <c r="B4039">
        <f>IF(INDEX(P_Type,ROW()-4)="","",TRIM(UPPER(INDEX(P_Type,ROW()-4))))</f>
        <v/>
      </c>
      <c r="D4039">
        <f>IF(INDEX(L_Type,ROW()-4)="","",TRIM(UPPER(INDEX(L_Type,ROW()-4))))</f>
        <v/>
      </c>
      <c r="E4039">
        <f>IF(INDEX(P_Status,ROW()-4)="","",TRIM(UPPER(INDEX(P_Status,ROW()-4))))</f>
        <v/>
      </c>
      <c r="G4039">
        <f>IF(INDEX(L_Status,ROW()-4)="","",TRIM(UPPER(INDEX(L_Status,ROW()-4))))</f>
        <v/>
      </c>
      <c r="J4039">
        <f>IF(INDEX(L_ID,ROW()-4)="","",IF(SUMPRODUCT((P_ID=INDEX(L_ID,ROW()-4))*(P_StatusN="INACTIVE"))&gt;0,1,0))</f>
        <v/>
      </c>
    </row>
    <row r="4040">
      <c r="A4040">
        <f>IF(INDEX(L_ID,ROW()-4)="","",IF(COUNTIF(P_ID,INDEX(L_ID,ROW()-4))&gt;0,1,0))</f>
        <v/>
      </c>
      <c r="B4040">
        <f>IF(INDEX(P_Type,ROW()-4)="","",TRIM(UPPER(INDEX(P_Type,ROW()-4))))</f>
        <v/>
      </c>
      <c r="D4040">
        <f>IF(INDEX(L_Type,ROW()-4)="","",TRIM(UPPER(INDEX(L_Type,ROW()-4))))</f>
        <v/>
      </c>
      <c r="E4040">
        <f>IF(INDEX(P_Status,ROW()-4)="","",TRIM(UPPER(INDEX(P_Status,ROW()-4))))</f>
        <v/>
      </c>
      <c r="G4040">
        <f>IF(INDEX(L_Status,ROW()-4)="","",TRIM(UPPER(INDEX(L_Status,ROW()-4))))</f>
        <v/>
      </c>
      <c r="J4040">
        <f>IF(INDEX(L_ID,ROW()-4)="","",IF(SUMPRODUCT((P_ID=INDEX(L_ID,ROW()-4))*(P_StatusN="INACTIVE"))&gt;0,1,0))</f>
        <v/>
      </c>
    </row>
    <row r="4041">
      <c r="A4041">
        <f>IF(INDEX(L_ID,ROW()-4)="","",IF(COUNTIF(P_ID,INDEX(L_ID,ROW()-4))&gt;0,1,0))</f>
        <v/>
      </c>
      <c r="B4041">
        <f>IF(INDEX(P_Type,ROW()-4)="","",TRIM(UPPER(INDEX(P_Type,ROW()-4))))</f>
        <v/>
      </c>
      <c r="D4041">
        <f>IF(INDEX(L_Type,ROW()-4)="","",TRIM(UPPER(INDEX(L_Type,ROW()-4))))</f>
        <v/>
      </c>
      <c r="E4041">
        <f>IF(INDEX(P_Status,ROW()-4)="","",TRIM(UPPER(INDEX(P_Status,ROW()-4))))</f>
        <v/>
      </c>
      <c r="G4041">
        <f>IF(INDEX(L_Status,ROW()-4)="","",TRIM(UPPER(INDEX(L_Status,ROW()-4))))</f>
        <v/>
      </c>
      <c r="J4041">
        <f>IF(INDEX(L_ID,ROW()-4)="","",IF(SUMPRODUCT((P_ID=INDEX(L_ID,ROW()-4))*(P_StatusN="INACTIVE"))&gt;0,1,0))</f>
        <v/>
      </c>
    </row>
    <row r="4042">
      <c r="A4042">
        <f>IF(INDEX(L_ID,ROW()-4)="","",IF(COUNTIF(P_ID,INDEX(L_ID,ROW()-4))&gt;0,1,0))</f>
        <v/>
      </c>
      <c r="B4042">
        <f>IF(INDEX(P_Type,ROW()-4)="","",TRIM(UPPER(INDEX(P_Type,ROW()-4))))</f>
        <v/>
      </c>
      <c r="D4042">
        <f>IF(INDEX(L_Type,ROW()-4)="","",TRIM(UPPER(INDEX(L_Type,ROW()-4))))</f>
        <v/>
      </c>
      <c r="E4042">
        <f>IF(INDEX(P_Status,ROW()-4)="","",TRIM(UPPER(INDEX(P_Status,ROW()-4))))</f>
        <v/>
      </c>
      <c r="G4042">
        <f>IF(INDEX(L_Status,ROW()-4)="","",TRIM(UPPER(INDEX(L_Status,ROW()-4))))</f>
        <v/>
      </c>
      <c r="J4042">
        <f>IF(INDEX(L_ID,ROW()-4)="","",IF(SUMPRODUCT((P_ID=INDEX(L_ID,ROW()-4))*(P_StatusN="INACTIVE"))&gt;0,1,0))</f>
        <v/>
      </c>
    </row>
    <row r="4043">
      <c r="A4043">
        <f>IF(INDEX(L_ID,ROW()-4)="","",IF(COUNTIF(P_ID,INDEX(L_ID,ROW()-4))&gt;0,1,0))</f>
        <v/>
      </c>
      <c r="B4043">
        <f>IF(INDEX(P_Type,ROW()-4)="","",TRIM(UPPER(INDEX(P_Type,ROW()-4))))</f>
        <v/>
      </c>
      <c r="D4043">
        <f>IF(INDEX(L_Type,ROW()-4)="","",TRIM(UPPER(INDEX(L_Type,ROW()-4))))</f>
        <v/>
      </c>
      <c r="E4043">
        <f>IF(INDEX(P_Status,ROW()-4)="","",TRIM(UPPER(INDEX(P_Status,ROW()-4))))</f>
        <v/>
      </c>
      <c r="G4043">
        <f>IF(INDEX(L_Status,ROW()-4)="","",TRIM(UPPER(INDEX(L_Status,ROW()-4))))</f>
        <v/>
      </c>
      <c r="J4043">
        <f>IF(INDEX(L_ID,ROW()-4)="","",IF(SUMPRODUCT((P_ID=INDEX(L_ID,ROW()-4))*(P_StatusN="INACTIVE"))&gt;0,1,0))</f>
        <v/>
      </c>
    </row>
    <row r="4044">
      <c r="A4044">
        <f>IF(INDEX(L_ID,ROW()-4)="","",IF(COUNTIF(P_ID,INDEX(L_ID,ROW()-4))&gt;0,1,0))</f>
        <v/>
      </c>
      <c r="B4044">
        <f>IF(INDEX(P_Type,ROW()-4)="","",TRIM(UPPER(INDEX(P_Type,ROW()-4))))</f>
        <v/>
      </c>
      <c r="D4044">
        <f>IF(INDEX(L_Type,ROW()-4)="","",TRIM(UPPER(INDEX(L_Type,ROW()-4))))</f>
        <v/>
      </c>
      <c r="E4044">
        <f>IF(INDEX(P_Status,ROW()-4)="","",TRIM(UPPER(INDEX(P_Status,ROW()-4))))</f>
        <v/>
      </c>
      <c r="G4044">
        <f>IF(INDEX(L_Status,ROW()-4)="","",TRIM(UPPER(INDEX(L_Status,ROW()-4))))</f>
        <v/>
      </c>
      <c r="J4044">
        <f>IF(INDEX(L_ID,ROW()-4)="","",IF(SUMPRODUCT((P_ID=INDEX(L_ID,ROW()-4))*(P_StatusN="INACTIVE"))&gt;0,1,0))</f>
        <v/>
      </c>
    </row>
    <row r="4045">
      <c r="A4045">
        <f>IF(INDEX(L_ID,ROW()-4)="","",IF(COUNTIF(P_ID,INDEX(L_ID,ROW()-4))&gt;0,1,0))</f>
        <v/>
      </c>
      <c r="B4045">
        <f>IF(INDEX(P_Type,ROW()-4)="","",TRIM(UPPER(INDEX(P_Type,ROW()-4))))</f>
        <v/>
      </c>
      <c r="D4045">
        <f>IF(INDEX(L_Type,ROW()-4)="","",TRIM(UPPER(INDEX(L_Type,ROW()-4))))</f>
        <v/>
      </c>
      <c r="E4045">
        <f>IF(INDEX(P_Status,ROW()-4)="","",TRIM(UPPER(INDEX(P_Status,ROW()-4))))</f>
        <v/>
      </c>
      <c r="G4045">
        <f>IF(INDEX(L_Status,ROW()-4)="","",TRIM(UPPER(INDEX(L_Status,ROW()-4))))</f>
        <v/>
      </c>
      <c r="J4045">
        <f>IF(INDEX(L_ID,ROW()-4)="","",IF(SUMPRODUCT((P_ID=INDEX(L_ID,ROW()-4))*(P_StatusN="INACTIVE"))&gt;0,1,0))</f>
        <v/>
      </c>
    </row>
    <row r="4046">
      <c r="A4046">
        <f>IF(INDEX(L_ID,ROW()-4)="","",IF(COUNTIF(P_ID,INDEX(L_ID,ROW()-4))&gt;0,1,0))</f>
        <v/>
      </c>
      <c r="B4046">
        <f>IF(INDEX(P_Type,ROW()-4)="","",TRIM(UPPER(INDEX(P_Type,ROW()-4))))</f>
        <v/>
      </c>
      <c r="D4046">
        <f>IF(INDEX(L_Type,ROW()-4)="","",TRIM(UPPER(INDEX(L_Type,ROW()-4))))</f>
        <v/>
      </c>
      <c r="E4046">
        <f>IF(INDEX(P_Status,ROW()-4)="","",TRIM(UPPER(INDEX(P_Status,ROW()-4))))</f>
        <v/>
      </c>
      <c r="G4046">
        <f>IF(INDEX(L_Status,ROW()-4)="","",TRIM(UPPER(INDEX(L_Status,ROW()-4))))</f>
        <v/>
      </c>
      <c r="J4046">
        <f>IF(INDEX(L_ID,ROW()-4)="","",IF(SUMPRODUCT((P_ID=INDEX(L_ID,ROW()-4))*(P_StatusN="INACTIVE"))&gt;0,1,0))</f>
        <v/>
      </c>
    </row>
    <row r="4047">
      <c r="A4047">
        <f>IF(INDEX(L_ID,ROW()-4)="","",IF(COUNTIF(P_ID,INDEX(L_ID,ROW()-4))&gt;0,1,0))</f>
        <v/>
      </c>
      <c r="B4047">
        <f>IF(INDEX(P_Type,ROW()-4)="","",TRIM(UPPER(INDEX(P_Type,ROW()-4))))</f>
        <v/>
      </c>
      <c r="D4047">
        <f>IF(INDEX(L_Type,ROW()-4)="","",TRIM(UPPER(INDEX(L_Type,ROW()-4))))</f>
        <v/>
      </c>
      <c r="E4047">
        <f>IF(INDEX(P_Status,ROW()-4)="","",TRIM(UPPER(INDEX(P_Status,ROW()-4))))</f>
        <v/>
      </c>
      <c r="G4047">
        <f>IF(INDEX(L_Status,ROW()-4)="","",TRIM(UPPER(INDEX(L_Status,ROW()-4))))</f>
        <v/>
      </c>
      <c r="J4047">
        <f>IF(INDEX(L_ID,ROW()-4)="","",IF(SUMPRODUCT((P_ID=INDEX(L_ID,ROW()-4))*(P_StatusN="INACTIVE"))&gt;0,1,0))</f>
        <v/>
      </c>
    </row>
    <row r="4048">
      <c r="A4048">
        <f>IF(INDEX(L_ID,ROW()-4)="","",IF(COUNTIF(P_ID,INDEX(L_ID,ROW()-4))&gt;0,1,0))</f>
        <v/>
      </c>
      <c r="B4048">
        <f>IF(INDEX(P_Type,ROW()-4)="","",TRIM(UPPER(INDEX(P_Type,ROW()-4))))</f>
        <v/>
      </c>
      <c r="D4048">
        <f>IF(INDEX(L_Type,ROW()-4)="","",TRIM(UPPER(INDEX(L_Type,ROW()-4))))</f>
        <v/>
      </c>
      <c r="E4048">
        <f>IF(INDEX(P_Status,ROW()-4)="","",TRIM(UPPER(INDEX(P_Status,ROW()-4))))</f>
        <v/>
      </c>
      <c r="G4048">
        <f>IF(INDEX(L_Status,ROW()-4)="","",TRIM(UPPER(INDEX(L_Status,ROW()-4))))</f>
        <v/>
      </c>
      <c r="J4048">
        <f>IF(INDEX(L_ID,ROW()-4)="","",IF(SUMPRODUCT((P_ID=INDEX(L_ID,ROW()-4))*(P_StatusN="INACTIVE"))&gt;0,1,0))</f>
        <v/>
      </c>
    </row>
    <row r="4049">
      <c r="A4049">
        <f>IF(INDEX(L_ID,ROW()-4)="","",IF(COUNTIF(P_ID,INDEX(L_ID,ROW()-4))&gt;0,1,0))</f>
        <v/>
      </c>
      <c r="B4049">
        <f>IF(INDEX(P_Type,ROW()-4)="","",TRIM(UPPER(INDEX(P_Type,ROW()-4))))</f>
        <v/>
      </c>
      <c r="D4049">
        <f>IF(INDEX(L_Type,ROW()-4)="","",TRIM(UPPER(INDEX(L_Type,ROW()-4))))</f>
        <v/>
      </c>
      <c r="E4049">
        <f>IF(INDEX(P_Status,ROW()-4)="","",TRIM(UPPER(INDEX(P_Status,ROW()-4))))</f>
        <v/>
      </c>
      <c r="G4049">
        <f>IF(INDEX(L_Status,ROW()-4)="","",TRIM(UPPER(INDEX(L_Status,ROW()-4))))</f>
        <v/>
      </c>
      <c r="J4049">
        <f>IF(INDEX(L_ID,ROW()-4)="","",IF(SUMPRODUCT((P_ID=INDEX(L_ID,ROW()-4))*(P_StatusN="INACTIVE"))&gt;0,1,0))</f>
        <v/>
      </c>
    </row>
    <row r="4050">
      <c r="A4050">
        <f>IF(INDEX(L_ID,ROW()-4)="","",IF(COUNTIF(P_ID,INDEX(L_ID,ROW()-4))&gt;0,1,0))</f>
        <v/>
      </c>
      <c r="B4050">
        <f>IF(INDEX(P_Type,ROW()-4)="","",TRIM(UPPER(INDEX(P_Type,ROW()-4))))</f>
        <v/>
      </c>
      <c r="D4050">
        <f>IF(INDEX(L_Type,ROW()-4)="","",TRIM(UPPER(INDEX(L_Type,ROW()-4))))</f>
        <v/>
      </c>
      <c r="E4050">
        <f>IF(INDEX(P_Status,ROW()-4)="","",TRIM(UPPER(INDEX(P_Status,ROW()-4))))</f>
        <v/>
      </c>
      <c r="G4050">
        <f>IF(INDEX(L_Status,ROW()-4)="","",TRIM(UPPER(INDEX(L_Status,ROW()-4))))</f>
        <v/>
      </c>
      <c r="J4050">
        <f>IF(INDEX(L_ID,ROW()-4)="","",IF(SUMPRODUCT((P_ID=INDEX(L_ID,ROW()-4))*(P_StatusN="INACTIVE"))&gt;0,1,0))</f>
        <v/>
      </c>
    </row>
    <row r="4051">
      <c r="A4051">
        <f>IF(INDEX(L_ID,ROW()-4)="","",IF(COUNTIF(P_ID,INDEX(L_ID,ROW()-4))&gt;0,1,0))</f>
        <v/>
      </c>
      <c r="B4051">
        <f>IF(INDEX(P_Type,ROW()-4)="","",TRIM(UPPER(INDEX(P_Type,ROW()-4))))</f>
        <v/>
      </c>
      <c r="D4051">
        <f>IF(INDEX(L_Type,ROW()-4)="","",TRIM(UPPER(INDEX(L_Type,ROW()-4))))</f>
        <v/>
      </c>
      <c r="E4051">
        <f>IF(INDEX(P_Status,ROW()-4)="","",TRIM(UPPER(INDEX(P_Status,ROW()-4))))</f>
        <v/>
      </c>
      <c r="G4051">
        <f>IF(INDEX(L_Status,ROW()-4)="","",TRIM(UPPER(INDEX(L_Status,ROW()-4))))</f>
        <v/>
      </c>
      <c r="J4051">
        <f>IF(INDEX(L_ID,ROW()-4)="","",IF(SUMPRODUCT((P_ID=INDEX(L_ID,ROW()-4))*(P_StatusN="INACTIVE"))&gt;0,1,0))</f>
        <v/>
      </c>
    </row>
    <row r="4052">
      <c r="A4052">
        <f>IF(INDEX(L_ID,ROW()-4)="","",IF(COUNTIF(P_ID,INDEX(L_ID,ROW()-4))&gt;0,1,0))</f>
        <v/>
      </c>
      <c r="B4052">
        <f>IF(INDEX(P_Type,ROW()-4)="","",TRIM(UPPER(INDEX(P_Type,ROW()-4))))</f>
        <v/>
      </c>
      <c r="D4052">
        <f>IF(INDEX(L_Type,ROW()-4)="","",TRIM(UPPER(INDEX(L_Type,ROW()-4))))</f>
        <v/>
      </c>
      <c r="E4052">
        <f>IF(INDEX(P_Status,ROW()-4)="","",TRIM(UPPER(INDEX(P_Status,ROW()-4))))</f>
        <v/>
      </c>
      <c r="G4052">
        <f>IF(INDEX(L_Status,ROW()-4)="","",TRIM(UPPER(INDEX(L_Status,ROW()-4))))</f>
        <v/>
      </c>
      <c r="J4052">
        <f>IF(INDEX(L_ID,ROW()-4)="","",IF(SUMPRODUCT((P_ID=INDEX(L_ID,ROW()-4))*(P_StatusN="INACTIVE"))&gt;0,1,0))</f>
        <v/>
      </c>
    </row>
    <row r="4053">
      <c r="A4053">
        <f>IF(INDEX(L_ID,ROW()-4)="","",IF(COUNTIF(P_ID,INDEX(L_ID,ROW()-4))&gt;0,1,0))</f>
        <v/>
      </c>
      <c r="B4053">
        <f>IF(INDEX(P_Type,ROW()-4)="","",TRIM(UPPER(INDEX(P_Type,ROW()-4))))</f>
        <v/>
      </c>
      <c r="D4053">
        <f>IF(INDEX(L_Type,ROW()-4)="","",TRIM(UPPER(INDEX(L_Type,ROW()-4))))</f>
        <v/>
      </c>
      <c r="E4053">
        <f>IF(INDEX(P_Status,ROW()-4)="","",TRIM(UPPER(INDEX(P_Status,ROW()-4))))</f>
        <v/>
      </c>
      <c r="G4053">
        <f>IF(INDEX(L_Status,ROW()-4)="","",TRIM(UPPER(INDEX(L_Status,ROW()-4))))</f>
        <v/>
      </c>
      <c r="J4053">
        <f>IF(INDEX(L_ID,ROW()-4)="","",IF(SUMPRODUCT((P_ID=INDEX(L_ID,ROW()-4))*(P_StatusN="INACTIVE"))&gt;0,1,0))</f>
        <v/>
      </c>
    </row>
    <row r="4054">
      <c r="A4054">
        <f>IF(INDEX(L_ID,ROW()-4)="","",IF(COUNTIF(P_ID,INDEX(L_ID,ROW()-4))&gt;0,1,0))</f>
        <v/>
      </c>
      <c r="B4054">
        <f>IF(INDEX(P_Type,ROW()-4)="","",TRIM(UPPER(INDEX(P_Type,ROW()-4))))</f>
        <v/>
      </c>
      <c r="D4054">
        <f>IF(INDEX(L_Type,ROW()-4)="","",TRIM(UPPER(INDEX(L_Type,ROW()-4))))</f>
        <v/>
      </c>
      <c r="E4054">
        <f>IF(INDEX(P_Status,ROW()-4)="","",TRIM(UPPER(INDEX(P_Status,ROW()-4))))</f>
        <v/>
      </c>
      <c r="G4054">
        <f>IF(INDEX(L_Status,ROW()-4)="","",TRIM(UPPER(INDEX(L_Status,ROW()-4))))</f>
        <v/>
      </c>
      <c r="J4054">
        <f>IF(INDEX(L_ID,ROW()-4)="","",IF(SUMPRODUCT((P_ID=INDEX(L_ID,ROW()-4))*(P_StatusN="INACTIVE"))&gt;0,1,0))</f>
        <v/>
      </c>
    </row>
    <row r="4055">
      <c r="A4055">
        <f>IF(INDEX(L_ID,ROW()-4)="","",IF(COUNTIF(P_ID,INDEX(L_ID,ROW()-4))&gt;0,1,0))</f>
        <v/>
      </c>
      <c r="B4055">
        <f>IF(INDEX(P_Type,ROW()-4)="","",TRIM(UPPER(INDEX(P_Type,ROW()-4))))</f>
        <v/>
      </c>
      <c r="D4055">
        <f>IF(INDEX(L_Type,ROW()-4)="","",TRIM(UPPER(INDEX(L_Type,ROW()-4))))</f>
        <v/>
      </c>
      <c r="E4055">
        <f>IF(INDEX(P_Status,ROW()-4)="","",TRIM(UPPER(INDEX(P_Status,ROW()-4))))</f>
        <v/>
      </c>
      <c r="G4055">
        <f>IF(INDEX(L_Status,ROW()-4)="","",TRIM(UPPER(INDEX(L_Status,ROW()-4))))</f>
        <v/>
      </c>
      <c r="J4055">
        <f>IF(INDEX(L_ID,ROW()-4)="","",IF(SUMPRODUCT((P_ID=INDEX(L_ID,ROW()-4))*(P_StatusN="INACTIVE"))&gt;0,1,0))</f>
        <v/>
      </c>
    </row>
    <row r="4056">
      <c r="A4056">
        <f>IF(INDEX(L_ID,ROW()-4)="","",IF(COUNTIF(P_ID,INDEX(L_ID,ROW()-4))&gt;0,1,0))</f>
        <v/>
      </c>
      <c r="B4056">
        <f>IF(INDEX(P_Type,ROW()-4)="","",TRIM(UPPER(INDEX(P_Type,ROW()-4))))</f>
        <v/>
      </c>
      <c r="D4056">
        <f>IF(INDEX(L_Type,ROW()-4)="","",TRIM(UPPER(INDEX(L_Type,ROW()-4))))</f>
        <v/>
      </c>
      <c r="E4056">
        <f>IF(INDEX(P_Status,ROW()-4)="","",TRIM(UPPER(INDEX(P_Status,ROW()-4))))</f>
        <v/>
      </c>
      <c r="G4056">
        <f>IF(INDEX(L_Status,ROW()-4)="","",TRIM(UPPER(INDEX(L_Status,ROW()-4))))</f>
        <v/>
      </c>
      <c r="J4056">
        <f>IF(INDEX(L_ID,ROW()-4)="","",IF(SUMPRODUCT((P_ID=INDEX(L_ID,ROW()-4))*(P_StatusN="INACTIVE"))&gt;0,1,0))</f>
        <v/>
      </c>
    </row>
    <row r="4057">
      <c r="A4057">
        <f>IF(INDEX(L_ID,ROW()-4)="","",IF(COUNTIF(P_ID,INDEX(L_ID,ROW()-4))&gt;0,1,0))</f>
        <v/>
      </c>
      <c r="B4057">
        <f>IF(INDEX(P_Type,ROW()-4)="","",TRIM(UPPER(INDEX(P_Type,ROW()-4))))</f>
        <v/>
      </c>
      <c r="D4057">
        <f>IF(INDEX(L_Type,ROW()-4)="","",TRIM(UPPER(INDEX(L_Type,ROW()-4))))</f>
        <v/>
      </c>
      <c r="E4057">
        <f>IF(INDEX(P_Status,ROW()-4)="","",TRIM(UPPER(INDEX(P_Status,ROW()-4))))</f>
        <v/>
      </c>
      <c r="G4057">
        <f>IF(INDEX(L_Status,ROW()-4)="","",TRIM(UPPER(INDEX(L_Status,ROW()-4))))</f>
        <v/>
      </c>
      <c r="J4057">
        <f>IF(INDEX(L_ID,ROW()-4)="","",IF(SUMPRODUCT((P_ID=INDEX(L_ID,ROW()-4))*(P_StatusN="INACTIVE"))&gt;0,1,0))</f>
        <v/>
      </c>
    </row>
    <row r="4058">
      <c r="A4058">
        <f>IF(INDEX(L_ID,ROW()-4)="","",IF(COUNTIF(P_ID,INDEX(L_ID,ROW()-4))&gt;0,1,0))</f>
        <v/>
      </c>
      <c r="B4058">
        <f>IF(INDEX(P_Type,ROW()-4)="","",TRIM(UPPER(INDEX(P_Type,ROW()-4))))</f>
        <v/>
      </c>
      <c r="D4058">
        <f>IF(INDEX(L_Type,ROW()-4)="","",TRIM(UPPER(INDEX(L_Type,ROW()-4))))</f>
        <v/>
      </c>
      <c r="E4058">
        <f>IF(INDEX(P_Status,ROW()-4)="","",TRIM(UPPER(INDEX(P_Status,ROW()-4))))</f>
        <v/>
      </c>
      <c r="G4058">
        <f>IF(INDEX(L_Status,ROW()-4)="","",TRIM(UPPER(INDEX(L_Status,ROW()-4))))</f>
        <v/>
      </c>
      <c r="J4058">
        <f>IF(INDEX(L_ID,ROW()-4)="","",IF(SUMPRODUCT((P_ID=INDEX(L_ID,ROW()-4))*(P_StatusN="INACTIVE"))&gt;0,1,0))</f>
        <v/>
      </c>
    </row>
    <row r="4059">
      <c r="A4059">
        <f>IF(INDEX(L_ID,ROW()-4)="","",IF(COUNTIF(P_ID,INDEX(L_ID,ROW()-4))&gt;0,1,0))</f>
        <v/>
      </c>
      <c r="B4059">
        <f>IF(INDEX(P_Type,ROW()-4)="","",TRIM(UPPER(INDEX(P_Type,ROW()-4))))</f>
        <v/>
      </c>
      <c r="D4059">
        <f>IF(INDEX(L_Type,ROW()-4)="","",TRIM(UPPER(INDEX(L_Type,ROW()-4))))</f>
        <v/>
      </c>
      <c r="E4059">
        <f>IF(INDEX(P_Status,ROW()-4)="","",TRIM(UPPER(INDEX(P_Status,ROW()-4))))</f>
        <v/>
      </c>
      <c r="G4059">
        <f>IF(INDEX(L_Status,ROW()-4)="","",TRIM(UPPER(INDEX(L_Status,ROW()-4))))</f>
        <v/>
      </c>
      <c r="J4059">
        <f>IF(INDEX(L_ID,ROW()-4)="","",IF(SUMPRODUCT((P_ID=INDEX(L_ID,ROW()-4))*(P_StatusN="INACTIVE"))&gt;0,1,0))</f>
        <v/>
      </c>
    </row>
    <row r="4060">
      <c r="A4060">
        <f>IF(INDEX(L_ID,ROW()-4)="","",IF(COUNTIF(P_ID,INDEX(L_ID,ROW()-4))&gt;0,1,0))</f>
        <v/>
      </c>
      <c r="B4060">
        <f>IF(INDEX(P_Type,ROW()-4)="","",TRIM(UPPER(INDEX(P_Type,ROW()-4))))</f>
        <v/>
      </c>
      <c r="D4060">
        <f>IF(INDEX(L_Type,ROW()-4)="","",TRIM(UPPER(INDEX(L_Type,ROW()-4))))</f>
        <v/>
      </c>
      <c r="E4060">
        <f>IF(INDEX(P_Status,ROW()-4)="","",TRIM(UPPER(INDEX(P_Status,ROW()-4))))</f>
        <v/>
      </c>
      <c r="G4060">
        <f>IF(INDEX(L_Status,ROW()-4)="","",TRIM(UPPER(INDEX(L_Status,ROW()-4))))</f>
        <v/>
      </c>
      <c r="J4060">
        <f>IF(INDEX(L_ID,ROW()-4)="","",IF(SUMPRODUCT((P_ID=INDEX(L_ID,ROW()-4))*(P_StatusN="INACTIVE"))&gt;0,1,0))</f>
        <v/>
      </c>
    </row>
    <row r="4061">
      <c r="A4061">
        <f>IF(INDEX(L_ID,ROW()-4)="","",IF(COUNTIF(P_ID,INDEX(L_ID,ROW()-4))&gt;0,1,0))</f>
        <v/>
      </c>
      <c r="B4061">
        <f>IF(INDEX(P_Type,ROW()-4)="","",TRIM(UPPER(INDEX(P_Type,ROW()-4))))</f>
        <v/>
      </c>
      <c r="D4061">
        <f>IF(INDEX(L_Type,ROW()-4)="","",TRIM(UPPER(INDEX(L_Type,ROW()-4))))</f>
        <v/>
      </c>
      <c r="E4061">
        <f>IF(INDEX(P_Status,ROW()-4)="","",TRIM(UPPER(INDEX(P_Status,ROW()-4))))</f>
        <v/>
      </c>
      <c r="G4061">
        <f>IF(INDEX(L_Status,ROW()-4)="","",TRIM(UPPER(INDEX(L_Status,ROW()-4))))</f>
        <v/>
      </c>
      <c r="J4061">
        <f>IF(INDEX(L_ID,ROW()-4)="","",IF(SUMPRODUCT((P_ID=INDEX(L_ID,ROW()-4))*(P_StatusN="INACTIVE"))&gt;0,1,0))</f>
        <v/>
      </c>
    </row>
    <row r="4062">
      <c r="A4062">
        <f>IF(INDEX(L_ID,ROW()-4)="","",IF(COUNTIF(P_ID,INDEX(L_ID,ROW()-4))&gt;0,1,0))</f>
        <v/>
      </c>
      <c r="B4062">
        <f>IF(INDEX(P_Type,ROW()-4)="","",TRIM(UPPER(INDEX(P_Type,ROW()-4))))</f>
        <v/>
      </c>
      <c r="D4062">
        <f>IF(INDEX(L_Type,ROW()-4)="","",TRIM(UPPER(INDEX(L_Type,ROW()-4))))</f>
        <v/>
      </c>
      <c r="E4062">
        <f>IF(INDEX(P_Status,ROW()-4)="","",TRIM(UPPER(INDEX(P_Status,ROW()-4))))</f>
        <v/>
      </c>
      <c r="G4062">
        <f>IF(INDEX(L_Status,ROW()-4)="","",TRIM(UPPER(INDEX(L_Status,ROW()-4))))</f>
        <v/>
      </c>
      <c r="J4062">
        <f>IF(INDEX(L_ID,ROW()-4)="","",IF(SUMPRODUCT((P_ID=INDEX(L_ID,ROW()-4))*(P_StatusN="INACTIVE"))&gt;0,1,0))</f>
        <v/>
      </c>
    </row>
    <row r="4063">
      <c r="A4063">
        <f>IF(INDEX(L_ID,ROW()-4)="","",IF(COUNTIF(P_ID,INDEX(L_ID,ROW()-4))&gt;0,1,0))</f>
        <v/>
      </c>
      <c r="B4063">
        <f>IF(INDEX(P_Type,ROW()-4)="","",TRIM(UPPER(INDEX(P_Type,ROW()-4))))</f>
        <v/>
      </c>
      <c r="D4063">
        <f>IF(INDEX(L_Type,ROW()-4)="","",TRIM(UPPER(INDEX(L_Type,ROW()-4))))</f>
        <v/>
      </c>
      <c r="E4063">
        <f>IF(INDEX(P_Status,ROW()-4)="","",TRIM(UPPER(INDEX(P_Status,ROW()-4))))</f>
        <v/>
      </c>
      <c r="G4063">
        <f>IF(INDEX(L_Status,ROW()-4)="","",TRIM(UPPER(INDEX(L_Status,ROW()-4))))</f>
        <v/>
      </c>
      <c r="J4063">
        <f>IF(INDEX(L_ID,ROW()-4)="","",IF(SUMPRODUCT((P_ID=INDEX(L_ID,ROW()-4))*(P_StatusN="INACTIVE"))&gt;0,1,0))</f>
        <v/>
      </c>
    </row>
    <row r="4064">
      <c r="A4064">
        <f>IF(INDEX(L_ID,ROW()-4)="","",IF(COUNTIF(P_ID,INDEX(L_ID,ROW()-4))&gt;0,1,0))</f>
        <v/>
      </c>
      <c r="B4064">
        <f>IF(INDEX(P_Type,ROW()-4)="","",TRIM(UPPER(INDEX(P_Type,ROW()-4))))</f>
        <v/>
      </c>
      <c r="D4064">
        <f>IF(INDEX(L_Type,ROW()-4)="","",TRIM(UPPER(INDEX(L_Type,ROW()-4))))</f>
        <v/>
      </c>
      <c r="E4064">
        <f>IF(INDEX(P_Status,ROW()-4)="","",TRIM(UPPER(INDEX(P_Status,ROW()-4))))</f>
        <v/>
      </c>
      <c r="G4064">
        <f>IF(INDEX(L_Status,ROW()-4)="","",TRIM(UPPER(INDEX(L_Status,ROW()-4))))</f>
        <v/>
      </c>
      <c r="J4064">
        <f>IF(INDEX(L_ID,ROW()-4)="","",IF(SUMPRODUCT((P_ID=INDEX(L_ID,ROW()-4))*(P_StatusN="INACTIVE"))&gt;0,1,0))</f>
        <v/>
      </c>
    </row>
    <row r="4065">
      <c r="A4065">
        <f>IF(INDEX(L_ID,ROW()-4)="","",IF(COUNTIF(P_ID,INDEX(L_ID,ROW()-4))&gt;0,1,0))</f>
        <v/>
      </c>
      <c r="B4065">
        <f>IF(INDEX(P_Type,ROW()-4)="","",TRIM(UPPER(INDEX(P_Type,ROW()-4))))</f>
        <v/>
      </c>
      <c r="D4065">
        <f>IF(INDEX(L_Type,ROW()-4)="","",TRIM(UPPER(INDEX(L_Type,ROW()-4))))</f>
        <v/>
      </c>
      <c r="E4065">
        <f>IF(INDEX(P_Status,ROW()-4)="","",TRIM(UPPER(INDEX(P_Status,ROW()-4))))</f>
        <v/>
      </c>
      <c r="G4065">
        <f>IF(INDEX(L_Status,ROW()-4)="","",TRIM(UPPER(INDEX(L_Status,ROW()-4))))</f>
        <v/>
      </c>
      <c r="J4065">
        <f>IF(INDEX(L_ID,ROW()-4)="","",IF(SUMPRODUCT((P_ID=INDEX(L_ID,ROW()-4))*(P_StatusN="INACTIVE"))&gt;0,1,0))</f>
        <v/>
      </c>
    </row>
    <row r="4066">
      <c r="A4066">
        <f>IF(INDEX(L_ID,ROW()-4)="","",IF(COUNTIF(P_ID,INDEX(L_ID,ROW()-4))&gt;0,1,0))</f>
        <v/>
      </c>
      <c r="B4066">
        <f>IF(INDEX(P_Type,ROW()-4)="","",TRIM(UPPER(INDEX(P_Type,ROW()-4))))</f>
        <v/>
      </c>
      <c r="D4066">
        <f>IF(INDEX(L_Type,ROW()-4)="","",TRIM(UPPER(INDEX(L_Type,ROW()-4))))</f>
        <v/>
      </c>
      <c r="E4066">
        <f>IF(INDEX(P_Status,ROW()-4)="","",TRIM(UPPER(INDEX(P_Status,ROW()-4))))</f>
        <v/>
      </c>
      <c r="G4066">
        <f>IF(INDEX(L_Status,ROW()-4)="","",TRIM(UPPER(INDEX(L_Status,ROW()-4))))</f>
        <v/>
      </c>
      <c r="J4066">
        <f>IF(INDEX(L_ID,ROW()-4)="","",IF(SUMPRODUCT((P_ID=INDEX(L_ID,ROW()-4))*(P_StatusN="INACTIVE"))&gt;0,1,0))</f>
        <v/>
      </c>
    </row>
    <row r="4067">
      <c r="A4067">
        <f>IF(INDEX(L_ID,ROW()-4)="","",IF(COUNTIF(P_ID,INDEX(L_ID,ROW()-4))&gt;0,1,0))</f>
        <v/>
      </c>
      <c r="B4067">
        <f>IF(INDEX(P_Type,ROW()-4)="","",TRIM(UPPER(INDEX(P_Type,ROW()-4))))</f>
        <v/>
      </c>
      <c r="D4067">
        <f>IF(INDEX(L_Type,ROW()-4)="","",TRIM(UPPER(INDEX(L_Type,ROW()-4))))</f>
        <v/>
      </c>
      <c r="E4067">
        <f>IF(INDEX(P_Status,ROW()-4)="","",TRIM(UPPER(INDEX(P_Status,ROW()-4))))</f>
        <v/>
      </c>
      <c r="G4067">
        <f>IF(INDEX(L_Status,ROW()-4)="","",TRIM(UPPER(INDEX(L_Status,ROW()-4))))</f>
        <v/>
      </c>
      <c r="J4067">
        <f>IF(INDEX(L_ID,ROW()-4)="","",IF(SUMPRODUCT((P_ID=INDEX(L_ID,ROW()-4))*(P_StatusN="INACTIVE"))&gt;0,1,0))</f>
        <v/>
      </c>
    </row>
    <row r="4068">
      <c r="A4068">
        <f>IF(INDEX(L_ID,ROW()-4)="","",IF(COUNTIF(P_ID,INDEX(L_ID,ROW()-4))&gt;0,1,0))</f>
        <v/>
      </c>
      <c r="B4068">
        <f>IF(INDEX(P_Type,ROW()-4)="","",TRIM(UPPER(INDEX(P_Type,ROW()-4))))</f>
        <v/>
      </c>
      <c r="D4068">
        <f>IF(INDEX(L_Type,ROW()-4)="","",TRIM(UPPER(INDEX(L_Type,ROW()-4))))</f>
        <v/>
      </c>
      <c r="E4068">
        <f>IF(INDEX(P_Status,ROW()-4)="","",TRIM(UPPER(INDEX(P_Status,ROW()-4))))</f>
        <v/>
      </c>
      <c r="G4068">
        <f>IF(INDEX(L_Status,ROW()-4)="","",TRIM(UPPER(INDEX(L_Status,ROW()-4))))</f>
        <v/>
      </c>
      <c r="J4068">
        <f>IF(INDEX(L_ID,ROW()-4)="","",IF(SUMPRODUCT((P_ID=INDEX(L_ID,ROW()-4))*(P_StatusN="INACTIVE"))&gt;0,1,0))</f>
        <v/>
      </c>
    </row>
    <row r="4069">
      <c r="A4069">
        <f>IF(INDEX(L_ID,ROW()-4)="","",IF(COUNTIF(P_ID,INDEX(L_ID,ROW()-4))&gt;0,1,0))</f>
        <v/>
      </c>
      <c r="B4069">
        <f>IF(INDEX(P_Type,ROW()-4)="","",TRIM(UPPER(INDEX(P_Type,ROW()-4))))</f>
        <v/>
      </c>
      <c r="D4069">
        <f>IF(INDEX(L_Type,ROW()-4)="","",TRIM(UPPER(INDEX(L_Type,ROW()-4))))</f>
        <v/>
      </c>
      <c r="E4069">
        <f>IF(INDEX(P_Status,ROW()-4)="","",TRIM(UPPER(INDEX(P_Status,ROW()-4))))</f>
        <v/>
      </c>
      <c r="G4069">
        <f>IF(INDEX(L_Status,ROW()-4)="","",TRIM(UPPER(INDEX(L_Status,ROW()-4))))</f>
        <v/>
      </c>
      <c r="J4069">
        <f>IF(INDEX(L_ID,ROW()-4)="","",IF(SUMPRODUCT((P_ID=INDEX(L_ID,ROW()-4))*(P_StatusN="INACTIVE"))&gt;0,1,0))</f>
        <v/>
      </c>
    </row>
    <row r="4070">
      <c r="A4070">
        <f>IF(INDEX(L_ID,ROW()-4)="","",IF(COUNTIF(P_ID,INDEX(L_ID,ROW()-4))&gt;0,1,0))</f>
        <v/>
      </c>
      <c r="B4070">
        <f>IF(INDEX(P_Type,ROW()-4)="","",TRIM(UPPER(INDEX(P_Type,ROW()-4))))</f>
        <v/>
      </c>
      <c r="D4070">
        <f>IF(INDEX(L_Type,ROW()-4)="","",TRIM(UPPER(INDEX(L_Type,ROW()-4))))</f>
        <v/>
      </c>
      <c r="E4070">
        <f>IF(INDEX(P_Status,ROW()-4)="","",TRIM(UPPER(INDEX(P_Status,ROW()-4))))</f>
        <v/>
      </c>
      <c r="G4070">
        <f>IF(INDEX(L_Status,ROW()-4)="","",TRIM(UPPER(INDEX(L_Status,ROW()-4))))</f>
        <v/>
      </c>
      <c r="J4070">
        <f>IF(INDEX(L_ID,ROW()-4)="","",IF(SUMPRODUCT((P_ID=INDEX(L_ID,ROW()-4))*(P_StatusN="INACTIVE"))&gt;0,1,0))</f>
        <v/>
      </c>
    </row>
    <row r="4071">
      <c r="A4071">
        <f>IF(INDEX(L_ID,ROW()-4)="","",IF(COUNTIF(P_ID,INDEX(L_ID,ROW()-4))&gt;0,1,0))</f>
        <v/>
      </c>
      <c r="B4071">
        <f>IF(INDEX(P_Type,ROW()-4)="","",TRIM(UPPER(INDEX(P_Type,ROW()-4))))</f>
        <v/>
      </c>
      <c r="D4071">
        <f>IF(INDEX(L_Type,ROW()-4)="","",TRIM(UPPER(INDEX(L_Type,ROW()-4))))</f>
        <v/>
      </c>
      <c r="E4071">
        <f>IF(INDEX(P_Status,ROW()-4)="","",TRIM(UPPER(INDEX(P_Status,ROW()-4))))</f>
        <v/>
      </c>
      <c r="G4071">
        <f>IF(INDEX(L_Status,ROW()-4)="","",TRIM(UPPER(INDEX(L_Status,ROW()-4))))</f>
        <v/>
      </c>
      <c r="J4071">
        <f>IF(INDEX(L_ID,ROW()-4)="","",IF(SUMPRODUCT((P_ID=INDEX(L_ID,ROW()-4))*(P_StatusN="INACTIVE"))&gt;0,1,0))</f>
        <v/>
      </c>
    </row>
    <row r="4072">
      <c r="A4072">
        <f>IF(INDEX(L_ID,ROW()-4)="","",IF(COUNTIF(P_ID,INDEX(L_ID,ROW()-4))&gt;0,1,0))</f>
        <v/>
      </c>
      <c r="B4072">
        <f>IF(INDEX(P_Type,ROW()-4)="","",TRIM(UPPER(INDEX(P_Type,ROW()-4))))</f>
        <v/>
      </c>
      <c r="D4072">
        <f>IF(INDEX(L_Type,ROW()-4)="","",TRIM(UPPER(INDEX(L_Type,ROW()-4))))</f>
        <v/>
      </c>
      <c r="E4072">
        <f>IF(INDEX(P_Status,ROW()-4)="","",TRIM(UPPER(INDEX(P_Status,ROW()-4))))</f>
        <v/>
      </c>
      <c r="G4072">
        <f>IF(INDEX(L_Status,ROW()-4)="","",TRIM(UPPER(INDEX(L_Status,ROW()-4))))</f>
        <v/>
      </c>
      <c r="J4072">
        <f>IF(INDEX(L_ID,ROW()-4)="","",IF(SUMPRODUCT((P_ID=INDEX(L_ID,ROW()-4))*(P_StatusN="INACTIVE"))&gt;0,1,0))</f>
        <v/>
      </c>
    </row>
    <row r="4073">
      <c r="A4073">
        <f>IF(INDEX(L_ID,ROW()-4)="","",IF(COUNTIF(P_ID,INDEX(L_ID,ROW()-4))&gt;0,1,0))</f>
        <v/>
      </c>
      <c r="B4073">
        <f>IF(INDEX(P_Type,ROW()-4)="","",TRIM(UPPER(INDEX(P_Type,ROW()-4))))</f>
        <v/>
      </c>
      <c r="D4073">
        <f>IF(INDEX(L_Type,ROW()-4)="","",TRIM(UPPER(INDEX(L_Type,ROW()-4))))</f>
        <v/>
      </c>
      <c r="E4073">
        <f>IF(INDEX(P_Status,ROW()-4)="","",TRIM(UPPER(INDEX(P_Status,ROW()-4))))</f>
        <v/>
      </c>
      <c r="G4073">
        <f>IF(INDEX(L_Status,ROW()-4)="","",TRIM(UPPER(INDEX(L_Status,ROW()-4))))</f>
        <v/>
      </c>
      <c r="J4073">
        <f>IF(INDEX(L_ID,ROW()-4)="","",IF(SUMPRODUCT((P_ID=INDEX(L_ID,ROW()-4))*(P_StatusN="INACTIVE"))&gt;0,1,0))</f>
        <v/>
      </c>
    </row>
    <row r="4074">
      <c r="A4074">
        <f>IF(INDEX(L_ID,ROW()-4)="","",IF(COUNTIF(P_ID,INDEX(L_ID,ROW()-4))&gt;0,1,0))</f>
        <v/>
      </c>
      <c r="B4074">
        <f>IF(INDEX(P_Type,ROW()-4)="","",TRIM(UPPER(INDEX(P_Type,ROW()-4))))</f>
        <v/>
      </c>
      <c r="D4074">
        <f>IF(INDEX(L_Type,ROW()-4)="","",TRIM(UPPER(INDEX(L_Type,ROW()-4))))</f>
        <v/>
      </c>
      <c r="E4074">
        <f>IF(INDEX(P_Status,ROW()-4)="","",TRIM(UPPER(INDEX(P_Status,ROW()-4))))</f>
        <v/>
      </c>
      <c r="G4074">
        <f>IF(INDEX(L_Status,ROW()-4)="","",TRIM(UPPER(INDEX(L_Status,ROW()-4))))</f>
        <v/>
      </c>
      <c r="J4074">
        <f>IF(INDEX(L_ID,ROW()-4)="","",IF(SUMPRODUCT((P_ID=INDEX(L_ID,ROW()-4))*(P_StatusN="INACTIVE"))&gt;0,1,0))</f>
        <v/>
      </c>
    </row>
    <row r="4075">
      <c r="A4075">
        <f>IF(INDEX(L_ID,ROW()-4)="","",IF(COUNTIF(P_ID,INDEX(L_ID,ROW()-4))&gt;0,1,0))</f>
        <v/>
      </c>
      <c r="B4075">
        <f>IF(INDEX(P_Type,ROW()-4)="","",TRIM(UPPER(INDEX(P_Type,ROW()-4))))</f>
        <v/>
      </c>
      <c r="D4075">
        <f>IF(INDEX(L_Type,ROW()-4)="","",TRIM(UPPER(INDEX(L_Type,ROW()-4))))</f>
        <v/>
      </c>
      <c r="E4075">
        <f>IF(INDEX(P_Status,ROW()-4)="","",TRIM(UPPER(INDEX(P_Status,ROW()-4))))</f>
        <v/>
      </c>
      <c r="G4075">
        <f>IF(INDEX(L_Status,ROW()-4)="","",TRIM(UPPER(INDEX(L_Status,ROW()-4))))</f>
        <v/>
      </c>
      <c r="J4075">
        <f>IF(INDEX(L_ID,ROW()-4)="","",IF(SUMPRODUCT((P_ID=INDEX(L_ID,ROW()-4))*(P_StatusN="INACTIVE"))&gt;0,1,0))</f>
        <v/>
      </c>
    </row>
    <row r="4076">
      <c r="A4076">
        <f>IF(INDEX(L_ID,ROW()-4)="","",IF(COUNTIF(P_ID,INDEX(L_ID,ROW()-4))&gt;0,1,0))</f>
        <v/>
      </c>
      <c r="B4076">
        <f>IF(INDEX(P_Type,ROW()-4)="","",TRIM(UPPER(INDEX(P_Type,ROW()-4))))</f>
        <v/>
      </c>
      <c r="D4076">
        <f>IF(INDEX(L_Type,ROW()-4)="","",TRIM(UPPER(INDEX(L_Type,ROW()-4))))</f>
        <v/>
      </c>
      <c r="E4076">
        <f>IF(INDEX(P_Status,ROW()-4)="","",TRIM(UPPER(INDEX(P_Status,ROW()-4))))</f>
        <v/>
      </c>
      <c r="G4076">
        <f>IF(INDEX(L_Status,ROW()-4)="","",TRIM(UPPER(INDEX(L_Status,ROW()-4))))</f>
        <v/>
      </c>
      <c r="J4076">
        <f>IF(INDEX(L_ID,ROW()-4)="","",IF(SUMPRODUCT((P_ID=INDEX(L_ID,ROW()-4))*(P_StatusN="INACTIVE"))&gt;0,1,0))</f>
        <v/>
      </c>
    </row>
    <row r="4077">
      <c r="A4077">
        <f>IF(INDEX(L_ID,ROW()-4)="","",IF(COUNTIF(P_ID,INDEX(L_ID,ROW()-4))&gt;0,1,0))</f>
        <v/>
      </c>
      <c r="B4077">
        <f>IF(INDEX(P_Type,ROW()-4)="","",TRIM(UPPER(INDEX(P_Type,ROW()-4))))</f>
        <v/>
      </c>
      <c r="D4077">
        <f>IF(INDEX(L_Type,ROW()-4)="","",TRIM(UPPER(INDEX(L_Type,ROW()-4))))</f>
        <v/>
      </c>
      <c r="E4077">
        <f>IF(INDEX(P_Status,ROW()-4)="","",TRIM(UPPER(INDEX(P_Status,ROW()-4))))</f>
        <v/>
      </c>
      <c r="G4077">
        <f>IF(INDEX(L_Status,ROW()-4)="","",TRIM(UPPER(INDEX(L_Status,ROW()-4))))</f>
        <v/>
      </c>
      <c r="J4077">
        <f>IF(INDEX(L_ID,ROW()-4)="","",IF(SUMPRODUCT((P_ID=INDEX(L_ID,ROW()-4))*(P_StatusN="INACTIVE"))&gt;0,1,0))</f>
        <v/>
      </c>
    </row>
    <row r="4078">
      <c r="A4078">
        <f>IF(INDEX(L_ID,ROW()-4)="","",IF(COUNTIF(P_ID,INDEX(L_ID,ROW()-4))&gt;0,1,0))</f>
        <v/>
      </c>
      <c r="B4078">
        <f>IF(INDEX(P_Type,ROW()-4)="","",TRIM(UPPER(INDEX(P_Type,ROW()-4))))</f>
        <v/>
      </c>
      <c r="D4078">
        <f>IF(INDEX(L_Type,ROW()-4)="","",TRIM(UPPER(INDEX(L_Type,ROW()-4))))</f>
        <v/>
      </c>
      <c r="E4078">
        <f>IF(INDEX(P_Status,ROW()-4)="","",TRIM(UPPER(INDEX(P_Status,ROW()-4))))</f>
        <v/>
      </c>
      <c r="G4078">
        <f>IF(INDEX(L_Status,ROW()-4)="","",TRIM(UPPER(INDEX(L_Status,ROW()-4))))</f>
        <v/>
      </c>
      <c r="J4078">
        <f>IF(INDEX(L_ID,ROW()-4)="","",IF(SUMPRODUCT((P_ID=INDEX(L_ID,ROW()-4))*(P_StatusN="INACTIVE"))&gt;0,1,0))</f>
        <v/>
      </c>
    </row>
    <row r="4079">
      <c r="A4079">
        <f>IF(INDEX(L_ID,ROW()-4)="","",IF(COUNTIF(P_ID,INDEX(L_ID,ROW()-4))&gt;0,1,0))</f>
        <v/>
      </c>
      <c r="B4079">
        <f>IF(INDEX(P_Type,ROW()-4)="","",TRIM(UPPER(INDEX(P_Type,ROW()-4))))</f>
        <v/>
      </c>
      <c r="D4079">
        <f>IF(INDEX(L_Type,ROW()-4)="","",TRIM(UPPER(INDEX(L_Type,ROW()-4))))</f>
        <v/>
      </c>
      <c r="E4079">
        <f>IF(INDEX(P_Status,ROW()-4)="","",TRIM(UPPER(INDEX(P_Status,ROW()-4))))</f>
        <v/>
      </c>
      <c r="G4079">
        <f>IF(INDEX(L_Status,ROW()-4)="","",TRIM(UPPER(INDEX(L_Status,ROW()-4))))</f>
        <v/>
      </c>
      <c r="J4079">
        <f>IF(INDEX(L_ID,ROW()-4)="","",IF(SUMPRODUCT((P_ID=INDEX(L_ID,ROW()-4))*(P_StatusN="INACTIVE"))&gt;0,1,0))</f>
        <v/>
      </c>
    </row>
    <row r="4080">
      <c r="A4080">
        <f>IF(INDEX(L_ID,ROW()-4)="","",IF(COUNTIF(P_ID,INDEX(L_ID,ROW()-4))&gt;0,1,0))</f>
        <v/>
      </c>
      <c r="B4080">
        <f>IF(INDEX(P_Type,ROW()-4)="","",TRIM(UPPER(INDEX(P_Type,ROW()-4))))</f>
        <v/>
      </c>
      <c r="D4080">
        <f>IF(INDEX(L_Type,ROW()-4)="","",TRIM(UPPER(INDEX(L_Type,ROW()-4))))</f>
        <v/>
      </c>
      <c r="E4080">
        <f>IF(INDEX(P_Status,ROW()-4)="","",TRIM(UPPER(INDEX(P_Status,ROW()-4))))</f>
        <v/>
      </c>
      <c r="G4080">
        <f>IF(INDEX(L_Status,ROW()-4)="","",TRIM(UPPER(INDEX(L_Status,ROW()-4))))</f>
        <v/>
      </c>
      <c r="J4080">
        <f>IF(INDEX(L_ID,ROW()-4)="","",IF(SUMPRODUCT((P_ID=INDEX(L_ID,ROW()-4))*(P_StatusN="INACTIVE"))&gt;0,1,0))</f>
        <v/>
      </c>
    </row>
    <row r="4081">
      <c r="A4081">
        <f>IF(INDEX(L_ID,ROW()-4)="","",IF(COUNTIF(P_ID,INDEX(L_ID,ROW()-4))&gt;0,1,0))</f>
        <v/>
      </c>
      <c r="B4081">
        <f>IF(INDEX(P_Type,ROW()-4)="","",TRIM(UPPER(INDEX(P_Type,ROW()-4))))</f>
        <v/>
      </c>
      <c r="D4081">
        <f>IF(INDEX(L_Type,ROW()-4)="","",TRIM(UPPER(INDEX(L_Type,ROW()-4))))</f>
        <v/>
      </c>
      <c r="E4081">
        <f>IF(INDEX(P_Status,ROW()-4)="","",TRIM(UPPER(INDEX(P_Status,ROW()-4))))</f>
        <v/>
      </c>
      <c r="G4081">
        <f>IF(INDEX(L_Status,ROW()-4)="","",TRIM(UPPER(INDEX(L_Status,ROW()-4))))</f>
        <v/>
      </c>
      <c r="J4081">
        <f>IF(INDEX(L_ID,ROW()-4)="","",IF(SUMPRODUCT((P_ID=INDEX(L_ID,ROW()-4))*(P_StatusN="INACTIVE"))&gt;0,1,0))</f>
        <v/>
      </c>
    </row>
    <row r="4082">
      <c r="A4082">
        <f>IF(INDEX(L_ID,ROW()-4)="","",IF(COUNTIF(P_ID,INDEX(L_ID,ROW()-4))&gt;0,1,0))</f>
        <v/>
      </c>
      <c r="B4082">
        <f>IF(INDEX(P_Type,ROW()-4)="","",TRIM(UPPER(INDEX(P_Type,ROW()-4))))</f>
        <v/>
      </c>
      <c r="D4082">
        <f>IF(INDEX(L_Type,ROW()-4)="","",TRIM(UPPER(INDEX(L_Type,ROW()-4))))</f>
        <v/>
      </c>
      <c r="E4082">
        <f>IF(INDEX(P_Status,ROW()-4)="","",TRIM(UPPER(INDEX(P_Status,ROW()-4))))</f>
        <v/>
      </c>
      <c r="G4082">
        <f>IF(INDEX(L_Status,ROW()-4)="","",TRIM(UPPER(INDEX(L_Status,ROW()-4))))</f>
        <v/>
      </c>
      <c r="J4082">
        <f>IF(INDEX(L_ID,ROW()-4)="","",IF(SUMPRODUCT((P_ID=INDEX(L_ID,ROW()-4))*(P_StatusN="INACTIVE"))&gt;0,1,0))</f>
        <v/>
      </c>
    </row>
    <row r="4083">
      <c r="A4083">
        <f>IF(INDEX(L_ID,ROW()-4)="","",IF(COUNTIF(P_ID,INDEX(L_ID,ROW()-4))&gt;0,1,0))</f>
        <v/>
      </c>
      <c r="B4083">
        <f>IF(INDEX(P_Type,ROW()-4)="","",TRIM(UPPER(INDEX(P_Type,ROW()-4))))</f>
        <v/>
      </c>
      <c r="D4083">
        <f>IF(INDEX(L_Type,ROW()-4)="","",TRIM(UPPER(INDEX(L_Type,ROW()-4))))</f>
        <v/>
      </c>
      <c r="E4083">
        <f>IF(INDEX(P_Status,ROW()-4)="","",TRIM(UPPER(INDEX(P_Status,ROW()-4))))</f>
        <v/>
      </c>
      <c r="G4083">
        <f>IF(INDEX(L_Status,ROW()-4)="","",TRIM(UPPER(INDEX(L_Status,ROW()-4))))</f>
        <v/>
      </c>
      <c r="J4083">
        <f>IF(INDEX(L_ID,ROW()-4)="","",IF(SUMPRODUCT((P_ID=INDEX(L_ID,ROW()-4))*(P_StatusN="INACTIVE"))&gt;0,1,0))</f>
        <v/>
      </c>
    </row>
    <row r="4084">
      <c r="A4084">
        <f>IF(INDEX(L_ID,ROW()-4)="","",IF(COUNTIF(P_ID,INDEX(L_ID,ROW()-4))&gt;0,1,0))</f>
        <v/>
      </c>
      <c r="B4084">
        <f>IF(INDEX(P_Type,ROW()-4)="","",TRIM(UPPER(INDEX(P_Type,ROW()-4))))</f>
        <v/>
      </c>
      <c r="D4084">
        <f>IF(INDEX(L_Type,ROW()-4)="","",TRIM(UPPER(INDEX(L_Type,ROW()-4))))</f>
        <v/>
      </c>
      <c r="E4084">
        <f>IF(INDEX(P_Status,ROW()-4)="","",TRIM(UPPER(INDEX(P_Status,ROW()-4))))</f>
        <v/>
      </c>
      <c r="G4084">
        <f>IF(INDEX(L_Status,ROW()-4)="","",TRIM(UPPER(INDEX(L_Status,ROW()-4))))</f>
        <v/>
      </c>
      <c r="J4084">
        <f>IF(INDEX(L_ID,ROW()-4)="","",IF(SUMPRODUCT((P_ID=INDEX(L_ID,ROW()-4))*(P_StatusN="INACTIVE"))&gt;0,1,0))</f>
        <v/>
      </c>
    </row>
    <row r="4085">
      <c r="A4085">
        <f>IF(INDEX(L_ID,ROW()-4)="","",IF(COUNTIF(P_ID,INDEX(L_ID,ROW()-4))&gt;0,1,0))</f>
        <v/>
      </c>
      <c r="B4085">
        <f>IF(INDEX(P_Type,ROW()-4)="","",TRIM(UPPER(INDEX(P_Type,ROW()-4))))</f>
        <v/>
      </c>
      <c r="D4085">
        <f>IF(INDEX(L_Type,ROW()-4)="","",TRIM(UPPER(INDEX(L_Type,ROW()-4))))</f>
        <v/>
      </c>
      <c r="E4085">
        <f>IF(INDEX(P_Status,ROW()-4)="","",TRIM(UPPER(INDEX(P_Status,ROW()-4))))</f>
        <v/>
      </c>
      <c r="G4085">
        <f>IF(INDEX(L_Status,ROW()-4)="","",TRIM(UPPER(INDEX(L_Status,ROW()-4))))</f>
        <v/>
      </c>
      <c r="J4085">
        <f>IF(INDEX(L_ID,ROW()-4)="","",IF(SUMPRODUCT((P_ID=INDEX(L_ID,ROW()-4))*(P_StatusN="INACTIVE"))&gt;0,1,0))</f>
        <v/>
      </c>
    </row>
    <row r="4086">
      <c r="A4086">
        <f>IF(INDEX(L_ID,ROW()-4)="","",IF(COUNTIF(P_ID,INDEX(L_ID,ROW()-4))&gt;0,1,0))</f>
        <v/>
      </c>
      <c r="B4086">
        <f>IF(INDEX(P_Type,ROW()-4)="","",TRIM(UPPER(INDEX(P_Type,ROW()-4))))</f>
        <v/>
      </c>
      <c r="D4086">
        <f>IF(INDEX(L_Type,ROW()-4)="","",TRIM(UPPER(INDEX(L_Type,ROW()-4))))</f>
        <v/>
      </c>
      <c r="E4086">
        <f>IF(INDEX(P_Status,ROW()-4)="","",TRIM(UPPER(INDEX(P_Status,ROW()-4))))</f>
        <v/>
      </c>
      <c r="G4086">
        <f>IF(INDEX(L_Status,ROW()-4)="","",TRIM(UPPER(INDEX(L_Status,ROW()-4))))</f>
        <v/>
      </c>
      <c r="J4086">
        <f>IF(INDEX(L_ID,ROW()-4)="","",IF(SUMPRODUCT((P_ID=INDEX(L_ID,ROW()-4))*(P_StatusN="INACTIVE"))&gt;0,1,0))</f>
        <v/>
      </c>
    </row>
    <row r="4087">
      <c r="A4087">
        <f>IF(INDEX(L_ID,ROW()-4)="","",IF(COUNTIF(P_ID,INDEX(L_ID,ROW()-4))&gt;0,1,0))</f>
        <v/>
      </c>
      <c r="B4087">
        <f>IF(INDEX(P_Type,ROW()-4)="","",TRIM(UPPER(INDEX(P_Type,ROW()-4))))</f>
        <v/>
      </c>
      <c r="D4087">
        <f>IF(INDEX(L_Type,ROW()-4)="","",TRIM(UPPER(INDEX(L_Type,ROW()-4))))</f>
        <v/>
      </c>
      <c r="E4087">
        <f>IF(INDEX(P_Status,ROW()-4)="","",TRIM(UPPER(INDEX(P_Status,ROW()-4))))</f>
        <v/>
      </c>
      <c r="G4087">
        <f>IF(INDEX(L_Status,ROW()-4)="","",TRIM(UPPER(INDEX(L_Status,ROW()-4))))</f>
        <v/>
      </c>
      <c r="J4087">
        <f>IF(INDEX(L_ID,ROW()-4)="","",IF(SUMPRODUCT((P_ID=INDEX(L_ID,ROW()-4))*(P_StatusN="INACTIVE"))&gt;0,1,0))</f>
        <v/>
      </c>
    </row>
    <row r="4088">
      <c r="A4088">
        <f>IF(INDEX(L_ID,ROW()-4)="","",IF(COUNTIF(P_ID,INDEX(L_ID,ROW()-4))&gt;0,1,0))</f>
        <v/>
      </c>
      <c r="B4088">
        <f>IF(INDEX(P_Type,ROW()-4)="","",TRIM(UPPER(INDEX(P_Type,ROW()-4))))</f>
        <v/>
      </c>
      <c r="D4088">
        <f>IF(INDEX(L_Type,ROW()-4)="","",TRIM(UPPER(INDEX(L_Type,ROW()-4))))</f>
        <v/>
      </c>
      <c r="E4088">
        <f>IF(INDEX(P_Status,ROW()-4)="","",TRIM(UPPER(INDEX(P_Status,ROW()-4))))</f>
        <v/>
      </c>
      <c r="G4088">
        <f>IF(INDEX(L_Status,ROW()-4)="","",TRIM(UPPER(INDEX(L_Status,ROW()-4))))</f>
        <v/>
      </c>
      <c r="J4088">
        <f>IF(INDEX(L_ID,ROW()-4)="","",IF(SUMPRODUCT((P_ID=INDEX(L_ID,ROW()-4))*(P_StatusN="INACTIVE"))&gt;0,1,0))</f>
        <v/>
      </c>
    </row>
    <row r="4089">
      <c r="A4089">
        <f>IF(INDEX(L_ID,ROW()-4)="","",IF(COUNTIF(P_ID,INDEX(L_ID,ROW()-4))&gt;0,1,0))</f>
        <v/>
      </c>
      <c r="B4089">
        <f>IF(INDEX(P_Type,ROW()-4)="","",TRIM(UPPER(INDEX(P_Type,ROW()-4))))</f>
        <v/>
      </c>
      <c r="D4089">
        <f>IF(INDEX(L_Type,ROW()-4)="","",TRIM(UPPER(INDEX(L_Type,ROW()-4))))</f>
        <v/>
      </c>
      <c r="E4089">
        <f>IF(INDEX(P_Status,ROW()-4)="","",TRIM(UPPER(INDEX(P_Status,ROW()-4))))</f>
        <v/>
      </c>
      <c r="G4089">
        <f>IF(INDEX(L_Status,ROW()-4)="","",TRIM(UPPER(INDEX(L_Status,ROW()-4))))</f>
        <v/>
      </c>
      <c r="J4089">
        <f>IF(INDEX(L_ID,ROW()-4)="","",IF(SUMPRODUCT((P_ID=INDEX(L_ID,ROW()-4))*(P_StatusN="INACTIVE"))&gt;0,1,0))</f>
        <v/>
      </c>
    </row>
    <row r="4090">
      <c r="A4090">
        <f>IF(INDEX(L_ID,ROW()-4)="","",IF(COUNTIF(P_ID,INDEX(L_ID,ROW()-4))&gt;0,1,0))</f>
        <v/>
      </c>
      <c r="B4090">
        <f>IF(INDEX(P_Type,ROW()-4)="","",TRIM(UPPER(INDEX(P_Type,ROW()-4))))</f>
        <v/>
      </c>
      <c r="D4090">
        <f>IF(INDEX(L_Type,ROW()-4)="","",TRIM(UPPER(INDEX(L_Type,ROW()-4))))</f>
        <v/>
      </c>
      <c r="E4090">
        <f>IF(INDEX(P_Status,ROW()-4)="","",TRIM(UPPER(INDEX(P_Status,ROW()-4))))</f>
        <v/>
      </c>
      <c r="G4090">
        <f>IF(INDEX(L_Status,ROW()-4)="","",TRIM(UPPER(INDEX(L_Status,ROW()-4))))</f>
        <v/>
      </c>
      <c r="J4090">
        <f>IF(INDEX(L_ID,ROW()-4)="","",IF(SUMPRODUCT((P_ID=INDEX(L_ID,ROW()-4))*(P_StatusN="INACTIVE"))&gt;0,1,0))</f>
        <v/>
      </c>
    </row>
    <row r="4091">
      <c r="A4091">
        <f>IF(INDEX(L_ID,ROW()-4)="","",IF(COUNTIF(P_ID,INDEX(L_ID,ROW()-4))&gt;0,1,0))</f>
        <v/>
      </c>
      <c r="B4091">
        <f>IF(INDEX(P_Type,ROW()-4)="","",TRIM(UPPER(INDEX(P_Type,ROW()-4))))</f>
        <v/>
      </c>
      <c r="D4091">
        <f>IF(INDEX(L_Type,ROW()-4)="","",TRIM(UPPER(INDEX(L_Type,ROW()-4))))</f>
        <v/>
      </c>
      <c r="E4091">
        <f>IF(INDEX(P_Status,ROW()-4)="","",TRIM(UPPER(INDEX(P_Status,ROW()-4))))</f>
        <v/>
      </c>
      <c r="G4091">
        <f>IF(INDEX(L_Status,ROW()-4)="","",TRIM(UPPER(INDEX(L_Status,ROW()-4))))</f>
        <v/>
      </c>
      <c r="J4091">
        <f>IF(INDEX(L_ID,ROW()-4)="","",IF(SUMPRODUCT((P_ID=INDEX(L_ID,ROW()-4))*(P_StatusN="INACTIVE"))&gt;0,1,0))</f>
        <v/>
      </c>
    </row>
    <row r="4092">
      <c r="A4092">
        <f>IF(INDEX(L_ID,ROW()-4)="","",IF(COUNTIF(P_ID,INDEX(L_ID,ROW()-4))&gt;0,1,0))</f>
        <v/>
      </c>
      <c r="B4092">
        <f>IF(INDEX(P_Type,ROW()-4)="","",TRIM(UPPER(INDEX(P_Type,ROW()-4))))</f>
        <v/>
      </c>
      <c r="D4092">
        <f>IF(INDEX(L_Type,ROW()-4)="","",TRIM(UPPER(INDEX(L_Type,ROW()-4))))</f>
        <v/>
      </c>
      <c r="E4092">
        <f>IF(INDEX(P_Status,ROW()-4)="","",TRIM(UPPER(INDEX(P_Status,ROW()-4))))</f>
        <v/>
      </c>
      <c r="G4092">
        <f>IF(INDEX(L_Status,ROW()-4)="","",TRIM(UPPER(INDEX(L_Status,ROW()-4))))</f>
        <v/>
      </c>
      <c r="J4092">
        <f>IF(INDEX(L_ID,ROW()-4)="","",IF(SUMPRODUCT((P_ID=INDEX(L_ID,ROW()-4))*(P_StatusN="INACTIVE"))&gt;0,1,0))</f>
        <v/>
      </c>
    </row>
    <row r="4093">
      <c r="A4093">
        <f>IF(INDEX(L_ID,ROW()-4)="","",IF(COUNTIF(P_ID,INDEX(L_ID,ROW()-4))&gt;0,1,0))</f>
        <v/>
      </c>
      <c r="B4093">
        <f>IF(INDEX(P_Type,ROW()-4)="","",TRIM(UPPER(INDEX(P_Type,ROW()-4))))</f>
        <v/>
      </c>
      <c r="D4093">
        <f>IF(INDEX(L_Type,ROW()-4)="","",TRIM(UPPER(INDEX(L_Type,ROW()-4))))</f>
        <v/>
      </c>
      <c r="E4093">
        <f>IF(INDEX(P_Status,ROW()-4)="","",TRIM(UPPER(INDEX(P_Status,ROW()-4))))</f>
        <v/>
      </c>
      <c r="G4093">
        <f>IF(INDEX(L_Status,ROW()-4)="","",TRIM(UPPER(INDEX(L_Status,ROW()-4))))</f>
        <v/>
      </c>
      <c r="J4093">
        <f>IF(INDEX(L_ID,ROW()-4)="","",IF(SUMPRODUCT((P_ID=INDEX(L_ID,ROW()-4))*(P_StatusN="INACTIVE"))&gt;0,1,0))</f>
        <v/>
      </c>
    </row>
    <row r="4094">
      <c r="A4094">
        <f>IF(INDEX(L_ID,ROW()-4)="","",IF(COUNTIF(P_ID,INDEX(L_ID,ROW()-4))&gt;0,1,0))</f>
        <v/>
      </c>
      <c r="B4094">
        <f>IF(INDEX(P_Type,ROW()-4)="","",TRIM(UPPER(INDEX(P_Type,ROW()-4))))</f>
        <v/>
      </c>
      <c r="D4094">
        <f>IF(INDEX(L_Type,ROW()-4)="","",TRIM(UPPER(INDEX(L_Type,ROW()-4))))</f>
        <v/>
      </c>
      <c r="E4094">
        <f>IF(INDEX(P_Status,ROW()-4)="","",TRIM(UPPER(INDEX(P_Status,ROW()-4))))</f>
        <v/>
      </c>
      <c r="G4094">
        <f>IF(INDEX(L_Status,ROW()-4)="","",TRIM(UPPER(INDEX(L_Status,ROW()-4))))</f>
        <v/>
      </c>
      <c r="J4094">
        <f>IF(INDEX(L_ID,ROW()-4)="","",IF(SUMPRODUCT((P_ID=INDEX(L_ID,ROW()-4))*(P_StatusN="INACTIVE"))&gt;0,1,0))</f>
        <v/>
      </c>
    </row>
    <row r="4095">
      <c r="A4095">
        <f>IF(INDEX(L_ID,ROW()-4)="","",IF(COUNTIF(P_ID,INDEX(L_ID,ROW()-4))&gt;0,1,0))</f>
        <v/>
      </c>
      <c r="B4095">
        <f>IF(INDEX(P_Type,ROW()-4)="","",TRIM(UPPER(INDEX(P_Type,ROW()-4))))</f>
        <v/>
      </c>
      <c r="D4095">
        <f>IF(INDEX(L_Type,ROW()-4)="","",TRIM(UPPER(INDEX(L_Type,ROW()-4))))</f>
        <v/>
      </c>
      <c r="E4095">
        <f>IF(INDEX(P_Status,ROW()-4)="","",TRIM(UPPER(INDEX(P_Status,ROW()-4))))</f>
        <v/>
      </c>
      <c r="G4095">
        <f>IF(INDEX(L_Status,ROW()-4)="","",TRIM(UPPER(INDEX(L_Status,ROW()-4))))</f>
        <v/>
      </c>
      <c r="J4095">
        <f>IF(INDEX(L_ID,ROW()-4)="","",IF(SUMPRODUCT((P_ID=INDEX(L_ID,ROW()-4))*(P_StatusN="INACTIVE"))&gt;0,1,0))</f>
        <v/>
      </c>
    </row>
    <row r="4096">
      <c r="A4096">
        <f>IF(INDEX(L_ID,ROW()-4)="","",IF(COUNTIF(P_ID,INDEX(L_ID,ROW()-4))&gt;0,1,0))</f>
        <v/>
      </c>
      <c r="B4096">
        <f>IF(INDEX(P_Type,ROW()-4)="","",TRIM(UPPER(INDEX(P_Type,ROW()-4))))</f>
        <v/>
      </c>
      <c r="D4096">
        <f>IF(INDEX(L_Type,ROW()-4)="","",TRIM(UPPER(INDEX(L_Type,ROW()-4))))</f>
        <v/>
      </c>
      <c r="E4096">
        <f>IF(INDEX(P_Status,ROW()-4)="","",TRIM(UPPER(INDEX(P_Status,ROW()-4))))</f>
        <v/>
      </c>
      <c r="G4096">
        <f>IF(INDEX(L_Status,ROW()-4)="","",TRIM(UPPER(INDEX(L_Status,ROW()-4))))</f>
        <v/>
      </c>
      <c r="J4096">
        <f>IF(INDEX(L_ID,ROW()-4)="","",IF(SUMPRODUCT((P_ID=INDEX(L_ID,ROW()-4))*(P_StatusN="INACTIVE"))&gt;0,1,0))</f>
        <v/>
      </c>
    </row>
    <row r="4097">
      <c r="A4097">
        <f>IF(INDEX(L_ID,ROW()-4)="","",IF(COUNTIF(P_ID,INDEX(L_ID,ROW()-4))&gt;0,1,0))</f>
        <v/>
      </c>
      <c r="B4097">
        <f>IF(INDEX(P_Type,ROW()-4)="","",TRIM(UPPER(INDEX(P_Type,ROW()-4))))</f>
        <v/>
      </c>
      <c r="D4097">
        <f>IF(INDEX(L_Type,ROW()-4)="","",TRIM(UPPER(INDEX(L_Type,ROW()-4))))</f>
        <v/>
      </c>
      <c r="E4097">
        <f>IF(INDEX(P_Status,ROW()-4)="","",TRIM(UPPER(INDEX(P_Status,ROW()-4))))</f>
        <v/>
      </c>
      <c r="G4097">
        <f>IF(INDEX(L_Status,ROW()-4)="","",TRIM(UPPER(INDEX(L_Status,ROW()-4))))</f>
        <v/>
      </c>
      <c r="J4097">
        <f>IF(INDEX(L_ID,ROW()-4)="","",IF(SUMPRODUCT((P_ID=INDEX(L_ID,ROW()-4))*(P_StatusN="INACTIVE"))&gt;0,1,0))</f>
        <v/>
      </c>
    </row>
    <row r="4098">
      <c r="A4098">
        <f>IF(INDEX(L_ID,ROW()-4)="","",IF(COUNTIF(P_ID,INDEX(L_ID,ROW()-4))&gt;0,1,0))</f>
        <v/>
      </c>
      <c r="B4098">
        <f>IF(INDEX(P_Type,ROW()-4)="","",TRIM(UPPER(INDEX(P_Type,ROW()-4))))</f>
        <v/>
      </c>
      <c r="D4098">
        <f>IF(INDEX(L_Type,ROW()-4)="","",TRIM(UPPER(INDEX(L_Type,ROW()-4))))</f>
        <v/>
      </c>
      <c r="E4098">
        <f>IF(INDEX(P_Status,ROW()-4)="","",TRIM(UPPER(INDEX(P_Status,ROW()-4))))</f>
        <v/>
      </c>
      <c r="G4098">
        <f>IF(INDEX(L_Status,ROW()-4)="","",TRIM(UPPER(INDEX(L_Status,ROW()-4))))</f>
        <v/>
      </c>
      <c r="J4098">
        <f>IF(INDEX(L_ID,ROW()-4)="","",IF(SUMPRODUCT((P_ID=INDEX(L_ID,ROW()-4))*(P_StatusN="INACTIVE"))&gt;0,1,0))</f>
        <v/>
      </c>
    </row>
    <row r="4099">
      <c r="A4099">
        <f>IF(INDEX(L_ID,ROW()-4)="","",IF(COUNTIF(P_ID,INDEX(L_ID,ROW()-4))&gt;0,1,0))</f>
        <v/>
      </c>
      <c r="B4099">
        <f>IF(INDEX(P_Type,ROW()-4)="","",TRIM(UPPER(INDEX(P_Type,ROW()-4))))</f>
        <v/>
      </c>
      <c r="D4099">
        <f>IF(INDEX(L_Type,ROW()-4)="","",TRIM(UPPER(INDEX(L_Type,ROW()-4))))</f>
        <v/>
      </c>
      <c r="E4099">
        <f>IF(INDEX(P_Status,ROW()-4)="","",TRIM(UPPER(INDEX(P_Status,ROW()-4))))</f>
        <v/>
      </c>
      <c r="G4099">
        <f>IF(INDEX(L_Status,ROW()-4)="","",TRIM(UPPER(INDEX(L_Status,ROW()-4))))</f>
        <v/>
      </c>
      <c r="J4099">
        <f>IF(INDEX(L_ID,ROW()-4)="","",IF(SUMPRODUCT((P_ID=INDEX(L_ID,ROW()-4))*(P_StatusN="INACTIVE"))&gt;0,1,0))</f>
        <v/>
      </c>
    </row>
    <row r="4100">
      <c r="A4100">
        <f>IF(INDEX(L_ID,ROW()-4)="","",IF(COUNTIF(P_ID,INDEX(L_ID,ROW()-4))&gt;0,1,0))</f>
        <v/>
      </c>
      <c r="B4100">
        <f>IF(INDEX(P_Type,ROW()-4)="","",TRIM(UPPER(INDEX(P_Type,ROW()-4))))</f>
        <v/>
      </c>
      <c r="D4100">
        <f>IF(INDEX(L_Type,ROW()-4)="","",TRIM(UPPER(INDEX(L_Type,ROW()-4))))</f>
        <v/>
      </c>
      <c r="E4100">
        <f>IF(INDEX(P_Status,ROW()-4)="","",TRIM(UPPER(INDEX(P_Status,ROW()-4))))</f>
        <v/>
      </c>
      <c r="G4100">
        <f>IF(INDEX(L_Status,ROW()-4)="","",TRIM(UPPER(INDEX(L_Status,ROW()-4))))</f>
        <v/>
      </c>
      <c r="J4100">
        <f>IF(INDEX(L_ID,ROW()-4)="","",IF(SUMPRODUCT((P_ID=INDEX(L_ID,ROW()-4))*(P_StatusN="INACTIVE"))&gt;0,1,0))</f>
        <v/>
      </c>
    </row>
    <row r="4101">
      <c r="A4101">
        <f>IF(INDEX(L_ID,ROW()-4)="","",IF(COUNTIF(P_ID,INDEX(L_ID,ROW()-4))&gt;0,1,0))</f>
        <v/>
      </c>
      <c r="B4101">
        <f>IF(INDEX(P_Type,ROW()-4)="","",TRIM(UPPER(INDEX(P_Type,ROW()-4))))</f>
        <v/>
      </c>
      <c r="D4101">
        <f>IF(INDEX(L_Type,ROW()-4)="","",TRIM(UPPER(INDEX(L_Type,ROW()-4))))</f>
        <v/>
      </c>
      <c r="E4101">
        <f>IF(INDEX(P_Status,ROW()-4)="","",TRIM(UPPER(INDEX(P_Status,ROW()-4))))</f>
        <v/>
      </c>
      <c r="G4101">
        <f>IF(INDEX(L_Status,ROW()-4)="","",TRIM(UPPER(INDEX(L_Status,ROW()-4))))</f>
        <v/>
      </c>
      <c r="J4101">
        <f>IF(INDEX(L_ID,ROW()-4)="","",IF(SUMPRODUCT((P_ID=INDEX(L_ID,ROW()-4))*(P_StatusN="INACTIVE"))&gt;0,1,0))</f>
        <v/>
      </c>
    </row>
    <row r="4102">
      <c r="A4102">
        <f>IF(INDEX(L_ID,ROW()-4)="","",IF(COUNTIF(P_ID,INDEX(L_ID,ROW()-4))&gt;0,1,0))</f>
        <v/>
      </c>
      <c r="B4102">
        <f>IF(INDEX(P_Type,ROW()-4)="","",TRIM(UPPER(INDEX(P_Type,ROW()-4))))</f>
        <v/>
      </c>
      <c r="D4102">
        <f>IF(INDEX(L_Type,ROW()-4)="","",TRIM(UPPER(INDEX(L_Type,ROW()-4))))</f>
        <v/>
      </c>
      <c r="E4102">
        <f>IF(INDEX(P_Status,ROW()-4)="","",TRIM(UPPER(INDEX(P_Status,ROW()-4))))</f>
        <v/>
      </c>
      <c r="G4102">
        <f>IF(INDEX(L_Status,ROW()-4)="","",TRIM(UPPER(INDEX(L_Status,ROW()-4))))</f>
        <v/>
      </c>
      <c r="J4102">
        <f>IF(INDEX(L_ID,ROW()-4)="","",IF(SUMPRODUCT((P_ID=INDEX(L_ID,ROW()-4))*(P_StatusN="INACTIVE"))&gt;0,1,0))</f>
        <v/>
      </c>
    </row>
    <row r="4103">
      <c r="A4103">
        <f>IF(INDEX(L_ID,ROW()-4)="","",IF(COUNTIF(P_ID,INDEX(L_ID,ROW()-4))&gt;0,1,0))</f>
        <v/>
      </c>
      <c r="B4103">
        <f>IF(INDEX(P_Type,ROW()-4)="","",TRIM(UPPER(INDEX(P_Type,ROW()-4))))</f>
        <v/>
      </c>
      <c r="D4103">
        <f>IF(INDEX(L_Type,ROW()-4)="","",TRIM(UPPER(INDEX(L_Type,ROW()-4))))</f>
        <v/>
      </c>
      <c r="E4103">
        <f>IF(INDEX(P_Status,ROW()-4)="","",TRIM(UPPER(INDEX(P_Status,ROW()-4))))</f>
        <v/>
      </c>
      <c r="G4103">
        <f>IF(INDEX(L_Status,ROW()-4)="","",TRIM(UPPER(INDEX(L_Status,ROW()-4))))</f>
        <v/>
      </c>
      <c r="J4103">
        <f>IF(INDEX(L_ID,ROW()-4)="","",IF(SUMPRODUCT((P_ID=INDEX(L_ID,ROW()-4))*(P_StatusN="INACTIVE"))&gt;0,1,0))</f>
        <v/>
      </c>
    </row>
    <row r="4104">
      <c r="A4104">
        <f>IF(INDEX(L_ID,ROW()-4)="","",IF(COUNTIF(P_ID,INDEX(L_ID,ROW()-4))&gt;0,1,0))</f>
        <v/>
      </c>
      <c r="B4104">
        <f>IF(INDEX(P_Type,ROW()-4)="","",TRIM(UPPER(INDEX(P_Type,ROW()-4))))</f>
        <v/>
      </c>
      <c r="D4104">
        <f>IF(INDEX(L_Type,ROW()-4)="","",TRIM(UPPER(INDEX(L_Type,ROW()-4))))</f>
        <v/>
      </c>
      <c r="E4104">
        <f>IF(INDEX(P_Status,ROW()-4)="","",TRIM(UPPER(INDEX(P_Status,ROW()-4))))</f>
        <v/>
      </c>
      <c r="G4104">
        <f>IF(INDEX(L_Status,ROW()-4)="","",TRIM(UPPER(INDEX(L_Status,ROW()-4))))</f>
        <v/>
      </c>
      <c r="J4104">
        <f>IF(INDEX(L_ID,ROW()-4)="","",IF(SUMPRODUCT((P_ID=INDEX(L_ID,ROW()-4))*(P_StatusN="INACTIVE"))&gt;0,1,0))</f>
        <v/>
      </c>
    </row>
    <row r="4105">
      <c r="A4105">
        <f>IF(INDEX(L_ID,ROW()-4)="","",IF(COUNTIF(P_ID,INDEX(L_ID,ROW()-4))&gt;0,1,0))</f>
        <v/>
      </c>
      <c r="B4105">
        <f>IF(INDEX(P_Type,ROW()-4)="","",TRIM(UPPER(INDEX(P_Type,ROW()-4))))</f>
        <v/>
      </c>
      <c r="D4105">
        <f>IF(INDEX(L_Type,ROW()-4)="","",TRIM(UPPER(INDEX(L_Type,ROW()-4))))</f>
        <v/>
      </c>
      <c r="E4105">
        <f>IF(INDEX(P_Status,ROW()-4)="","",TRIM(UPPER(INDEX(P_Status,ROW()-4))))</f>
        <v/>
      </c>
      <c r="G4105">
        <f>IF(INDEX(L_Status,ROW()-4)="","",TRIM(UPPER(INDEX(L_Status,ROW()-4))))</f>
        <v/>
      </c>
      <c r="J4105">
        <f>IF(INDEX(L_ID,ROW()-4)="","",IF(SUMPRODUCT((P_ID=INDEX(L_ID,ROW()-4))*(P_StatusN="INACTIVE"))&gt;0,1,0))</f>
        <v/>
      </c>
    </row>
    <row r="4106">
      <c r="A4106">
        <f>IF(INDEX(L_ID,ROW()-4)="","",IF(COUNTIF(P_ID,INDEX(L_ID,ROW()-4))&gt;0,1,0))</f>
        <v/>
      </c>
      <c r="B4106">
        <f>IF(INDEX(P_Type,ROW()-4)="","",TRIM(UPPER(INDEX(P_Type,ROW()-4))))</f>
        <v/>
      </c>
      <c r="D4106">
        <f>IF(INDEX(L_Type,ROW()-4)="","",TRIM(UPPER(INDEX(L_Type,ROW()-4))))</f>
        <v/>
      </c>
      <c r="E4106">
        <f>IF(INDEX(P_Status,ROW()-4)="","",TRIM(UPPER(INDEX(P_Status,ROW()-4))))</f>
        <v/>
      </c>
      <c r="G4106">
        <f>IF(INDEX(L_Status,ROW()-4)="","",TRIM(UPPER(INDEX(L_Status,ROW()-4))))</f>
        <v/>
      </c>
      <c r="J4106">
        <f>IF(INDEX(L_ID,ROW()-4)="","",IF(SUMPRODUCT((P_ID=INDEX(L_ID,ROW()-4))*(P_StatusN="INACTIVE"))&gt;0,1,0))</f>
        <v/>
      </c>
    </row>
    <row r="4107">
      <c r="A4107">
        <f>IF(INDEX(L_ID,ROW()-4)="","",IF(COUNTIF(P_ID,INDEX(L_ID,ROW()-4))&gt;0,1,0))</f>
        <v/>
      </c>
      <c r="B4107">
        <f>IF(INDEX(P_Type,ROW()-4)="","",TRIM(UPPER(INDEX(P_Type,ROW()-4))))</f>
        <v/>
      </c>
      <c r="D4107">
        <f>IF(INDEX(L_Type,ROW()-4)="","",TRIM(UPPER(INDEX(L_Type,ROW()-4))))</f>
        <v/>
      </c>
      <c r="E4107">
        <f>IF(INDEX(P_Status,ROW()-4)="","",TRIM(UPPER(INDEX(P_Status,ROW()-4))))</f>
        <v/>
      </c>
      <c r="G4107">
        <f>IF(INDEX(L_Status,ROW()-4)="","",TRIM(UPPER(INDEX(L_Status,ROW()-4))))</f>
        <v/>
      </c>
      <c r="J4107">
        <f>IF(INDEX(L_ID,ROW()-4)="","",IF(SUMPRODUCT((P_ID=INDEX(L_ID,ROW()-4))*(P_StatusN="INACTIVE"))&gt;0,1,0))</f>
        <v/>
      </c>
    </row>
    <row r="4108">
      <c r="A4108">
        <f>IF(INDEX(L_ID,ROW()-4)="","",IF(COUNTIF(P_ID,INDEX(L_ID,ROW()-4))&gt;0,1,0))</f>
        <v/>
      </c>
      <c r="B4108">
        <f>IF(INDEX(P_Type,ROW()-4)="","",TRIM(UPPER(INDEX(P_Type,ROW()-4))))</f>
        <v/>
      </c>
      <c r="D4108">
        <f>IF(INDEX(L_Type,ROW()-4)="","",TRIM(UPPER(INDEX(L_Type,ROW()-4))))</f>
        <v/>
      </c>
      <c r="E4108">
        <f>IF(INDEX(P_Status,ROW()-4)="","",TRIM(UPPER(INDEX(P_Status,ROW()-4))))</f>
        <v/>
      </c>
      <c r="G4108">
        <f>IF(INDEX(L_Status,ROW()-4)="","",TRIM(UPPER(INDEX(L_Status,ROW()-4))))</f>
        <v/>
      </c>
      <c r="J4108">
        <f>IF(INDEX(L_ID,ROW()-4)="","",IF(SUMPRODUCT((P_ID=INDEX(L_ID,ROW()-4))*(P_StatusN="INACTIVE"))&gt;0,1,0))</f>
        <v/>
      </c>
    </row>
    <row r="4109">
      <c r="A4109">
        <f>IF(INDEX(L_ID,ROW()-4)="","",IF(COUNTIF(P_ID,INDEX(L_ID,ROW()-4))&gt;0,1,0))</f>
        <v/>
      </c>
      <c r="B4109">
        <f>IF(INDEX(P_Type,ROW()-4)="","",TRIM(UPPER(INDEX(P_Type,ROW()-4))))</f>
        <v/>
      </c>
      <c r="D4109">
        <f>IF(INDEX(L_Type,ROW()-4)="","",TRIM(UPPER(INDEX(L_Type,ROW()-4))))</f>
        <v/>
      </c>
      <c r="E4109">
        <f>IF(INDEX(P_Status,ROW()-4)="","",TRIM(UPPER(INDEX(P_Status,ROW()-4))))</f>
        <v/>
      </c>
      <c r="G4109">
        <f>IF(INDEX(L_Status,ROW()-4)="","",TRIM(UPPER(INDEX(L_Status,ROW()-4))))</f>
        <v/>
      </c>
      <c r="J4109">
        <f>IF(INDEX(L_ID,ROW()-4)="","",IF(SUMPRODUCT((P_ID=INDEX(L_ID,ROW()-4))*(P_StatusN="INACTIVE"))&gt;0,1,0))</f>
        <v/>
      </c>
    </row>
    <row r="4110">
      <c r="A4110">
        <f>IF(INDEX(L_ID,ROW()-4)="","",IF(COUNTIF(P_ID,INDEX(L_ID,ROW()-4))&gt;0,1,0))</f>
        <v/>
      </c>
      <c r="B4110">
        <f>IF(INDEX(P_Type,ROW()-4)="","",TRIM(UPPER(INDEX(P_Type,ROW()-4))))</f>
        <v/>
      </c>
      <c r="D4110">
        <f>IF(INDEX(L_Type,ROW()-4)="","",TRIM(UPPER(INDEX(L_Type,ROW()-4))))</f>
        <v/>
      </c>
      <c r="E4110">
        <f>IF(INDEX(P_Status,ROW()-4)="","",TRIM(UPPER(INDEX(P_Status,ROW()-4))))</f>
        <v/>
      </c>
      <c r="G4110">
        <f>IF(INDEX(L_Status,ROW()-4)="","",TRIM(UPPER(INDEX(L_Status,ROW()-4))))</f>
        <v/>
      </c>
      <c r="J4110">
        <f>IF(INDEX(L_ID,ROW()-4)="","",IF(SUMPRODUCT((P_ID=INDEX(L_ID,ROW()-4))*(P_StatusN="INACTIVE"))&gt;0,1,0))</f>
        <v/>
      </c>
    </row>
    <row r="4111">
      <c r="A4111">
        <f>IF(INDEX(L_ID,ROW()-4)="","",IF(COUNTIF(P_ID,INDEX(L_ID,ROW()-4))&gt;0,1,0))</f>
        <v/>
      </c>
      <c r="B4111">
        <f>IF(INDEX(P_Type,ROW()-4)="","",TRIM(UPPER(INDEX(P_Type,ROW()-4))))</f>
        <v/>
      </c>
      <c r="D4111">
        <f>IF(INDEX(L_Type,ROW()-4)="","",TRIM(UPPER(INDEX(L_Type,ROW()-4))))</f>
        <v/>
      </c>
      <c r="E4111">
        <f>IF(INDEX(P_Status,ROW()-4)="","",TRIM(UPPER(INDEX(P_Status,ROW()-4))))</f>
        <v/>
      </c>
      <c r="G4111">
        <f>IF(INDEX(L_Status,ROW()-4)="","",TRIM(UPPER(INDEX(L_Status,ROW()-4))))</f>
        <v/>
      </c>
      <c r="J4111">
        <f>IF(INDEX(L_ID,ROW()-4)="","",IF(SUMPRODUCT((P_ID=INDEX(L_ID,ROW()-4))*(P_StatusN="INACTIVE"))&gt;0,1,0))</f>
        <v/>
      </c>
    </row>
    <row r="4112">
      <c r="A4112">
        <f>IF(INDEX(L_ID,ROW()-4)="","",IF(COUNTIF(P_ID,INDEX(L_ID,ROW()-4))&gt;0,1,0))</f>
        <v/>
      </c>
      <c r="B4112">
        <f>IF(INDEX(P_Type,ROW()-4)="","",TRIM(UPPER(INDEX(P_Type,ROW()-4))))</f>
        <v/>
      </c>
      <c r="D4112">
        <f>IF(INDEX(L_Type,ROW()-4)="","",TRIM(UPPER(INDEX(L_Type,ROW()-4))))</f>
        <v/>
      </c>
      <c r="E4112">
        <f>IF(INDEX(P_Status,ROW()-4)="","",TRIM(UPPER(INDEX(P_Status,ROW()-4))))</f>
        <v/>
      </c>
      <c r="G4112">
        <f>IF(INDEX(L_Status,ROW()-4)="","",TRIM(UPPER(INDEX(L_Status,ROW()-4))))</f>
        <v/>
      </c>
      <c r="J4112">
        <f>IF(INDEX(L_ID,ROW()-4)="","",IF(SUMPRODUCT((P_ID=INDEX(L_ID,ROW()-4))*(P_StatusN="INACTIVE"))&gt;0,1,0))</f>
        <v/>
      </c>
    </row>
    <row r="4113">
      <c r="A4113">
        <f>IF(INDEX(L_ID,ROW()-4)="","",IF(COUNTIF(P_ID,INDEX(L_ID,ROW()-4))&gt;0,1,0))</f>
        <v/>
      </c>
      <c r="B4113">
        <f>IF(INDEX(P_Type,ROW()-4)="","",TRIM(UPPER(INDEX(P_Type,ROW()-4))))</f>
        <v/>
      </c>
      <c r="D4113">
        <f>IF(INDEX(L_Type,ROW()-4)="","",TRIM(UPPER(INDEX(L_Type,ROW()-4))))</f>
        <v/>
      </c>
      <c r="E4113">
        <f>IF(INDEX(P_Status,ROW()-4)="","",TRIM(UPPER(INDEX(P_Status,ROW()-4))))</f>
        <v/>
      </c>
      <c r="G4113">
        <f>IF(INDEX(L_Status,ROW()-4)="","",TRIM(UPPER(INDEX(L_Status,ROW()-4))))</f>
        <v/>
      </c>
      <c r="J4113">
        <f>IF(INDEX(L_ID,ROW()-4)="","",IF(SUMPRODUCT((P_ID=INDEX(L_ID,ROW()-4))*(P_StatusN="INACTIVE"))&gt;0,1,0))</f>
        <v/>
      </c>
    </row>
    <row r="4114">
      <c r="A4114">
        <f>IF(INDEX(L_ID,ROW()-4)="","",IF(COUNTIF(P_ID,INDEX(L_ID,ROW()-4))&gt;0,1,0))</f>
        <v/>
      </c>
      <c r="B4114">
        <f>IF(INDEX(P_Type,ROW()-4)="","",TRIM(UPPER(INDEX(P_Type,ROW()-4))))</f>
        <v/>
      </c>
      <c r="D4114">
        <f>IF(INDEX(L_Type,ROW()-4)="","",TRIM(UPPER(INDEX(L_Type,ROW()-4))))</f>
        <v/>
      </c>
      <c r="E4114">
        <f>IF(INDEX(P_Status,ROW()-4)="","",TRIM(UPPER(INDEX(P_Status,ROW()-4))))</f>
        <v/>
      </c>
      <c r="G4114">
        <f>IF(INDEX(L_Status,ROW()-4)="","",TRIM(UPPER(INDEX(L_Status,ROW()-4))))</f>
        <v/>
      </c>
      <c r="J4114">
        <f>IF(INDEX(L_ID,ROW()-4)="","",IF(SUMPRODUCT((P_ID=INDEX(L_ID,ROW()-4))*(P_StatusN="INACTIVE"))&gt;0,1,0))</f>
        <v/>
      </c>
    </row>
    <row r="4115">
      <c r="A4115">
        <f>IF(INDEX(L_ID,ROW()-4)="","",IF(COUNTIF(P_ID,INDEX(L_ID,ROW()-4))&gt;0,1,0))</f>
        <v/>
      </c>
      <c r="B4115">
        <f>IF(INDEX(P_Type,ROW()-4)="","",TRIM(UPPER(INDEX(P_Type,ROW()-4))))</f>
        <v/>
      </c>
      <c r="D4115">
        <f>IF(INDEX(L_Type,ROW()-4)="","",TRIM(UPPER(INDEX(L_Type,ROW()-4))))</f>
        <v/>
      </c>
      <c r="E4115">
        <f>IF(INDEX(P_Status,ROW()-4)="","",TRIM(UPPER(INDEX(P_Status,ROW()-4))))</f>
        <v/>
      </c>
      <c r="G4115">
        <f>IF(INDEX(L_Status,ROW()-4)="","",TRIM(UPPER(INDEX(L_Status,ROW()-4))))</f>
        <v/>
      </c>
      <c r="J4115">
        <f>IF(INDEX(L_ID,ROW()-4)="","",IF(SUMPRODUCT((P_ID=INDEX(L_ID,ROW()-4))*(P_StatusN="INACTIVE"))&gt;0,1,0))</f>
        <v/>
      </c>
    </row>
    <row r="4116">
      <c r="A4116">
        <f>IF(INDEX(L_ID,ROW()-4)="","",IF(COUNTIF(P_ID,INDEX(L_ID,ROW()-4))&gt;0,1,0))</f>
        <v/>
      </c>
      <c r="B4116">
        <f>IF(INDEX(P_Type,ROW()-4)="","",TRIM(UPPER(INDEX(P_Type,ROW()-4))))</f>
        <v/>
      </c>
      <c r="D4116">
        <f>IF(INDEX(L_Type,ROW()-4)="","",TRIM(UPPER(INDEX(L_Type,ROW()-4))))</f>
        <v/>
      </c>
      <c r="E4116">
        <f>IF(INDEX(P_Status,ROW()-4)="","",TRIM(UPPER(INDEX(P_Status,ROW()-4))))</f>
        <v/>
      </c>
      <c r="G4116">
        <f>IF(INDEX(L_Status,ROW()-4)="","",TRIM(UPPER(INDEX(L_Status,ROW()-4))))</f>
        <v/>
      </c>
      <c r="J4116">
        <f>IF(INDEX(L_ID,ROW()-4)="","",IF(SUMPRODUCT((P_ID=INDEX(L_ID,ROW()-4))*(P_StatusN="INACTIVE"))&gt;0,1,0))</f>
        <v/>
      </c>
    </row>
    <row r="4117">
      <c r="A4117">
        <f>IF(INDEX(L_ID,ROW()-4)="","",IF(COUNTIF(P_ID,INDEX(L_ID,ROW()-4))&gt;0,1,0))</f>
        <v/>
      </c>
      <c r="B4117">
        <f>IF(INDEX(P_Type,ROW()-4)="","",TRIM(UPPER(INDEX(P_Type,ROW()-4))))</f>
        <v/>
      </c>
      <c r="D4117">
        <f>IF(INDEX(L_Type,ROW()-4)="","",TRIM(UPPER(INDEX(L_Type,ROW()-4))))</f>
        <v/>
      </c>
      <c r="E4117">
        <f>IF(INDEX(P_Status,ROW()-4)="","",TRIM(UPPER(INDEX(P_Status,ROW()-4))))</f>
        <v/>
      </c>
      <c r="G4117">
        <f>IF(INDEX(L_Status,ROW()-4)="","",TRIM(UPPER(INDEX(L_Status,ROW()-4))))</f>
        <v/>
      </c>
      <c r="J4117">
        <f>IF(INDEX(L_ID,ROW()-4)="","",IF(SUMPRODUCT((P_ID=INDEX(L_ID,ROW()-4))*(P_StatusN="INACTIVE"))&gt;0,1,0))</f>
        <v/>
      </c>
    </row>
    <row r="4118">
      <c r="A4118">
        <f>IF(INDEX(L_ID,ROW()-4)="","",IF(COUNTIF(P_ID,INDEX(L_ID,ROW()-4))&gt;0,1,0))</f>
        <v/>
      </c>
      <c r="B4118">
        <f>IF(INDEX(P_Type,ROW()-4)="","",TRIM(UPPER(INDEX(P_Type,ROW()-4))))</f>
        <v/>
      </c>
      <c r="D4118">
        <f>IF(INDEX(L_Type,ROW()-4)="","",TRIM(UPPER(INDEX(L_Type,ROW()-4))))</f>
        <v/>
      </c>
      <c r="E4118">
        <f>IF(INDEX(P_Status,ROW()-4)="","",TRIM(UPPER(INDEX(P_Status,ROW()-4))))</f>
        <v/>
      </c>
      <c r="G4118">
        <f>IF(INDEX(L_Status,ROW()-4)="","",TRIM(UPPER(INDEX(L_Status,ROW()-4))))</f>
        <v/>
      </c>
      <c r="J4118">
        <f>IF(INDEX(L_ID,ROW()-4)="","",IF(SUMPRODUCT((P_ID=INDEX(L_ID,ROW()-4))*(P_StatusN="INACTIVE"))&gt;0,1,0))</f>
        <v/>
      </c>
    </row>
    <row r="4119">
      <c r="A4119">
        <f>IF(INDEX(L_ID,ROW()-4)="","",IF(COUNTIF(P_ID,INDEX(L_ID,ROW()-4))&gt;0,1,0))</f>
        <v/>
      </c>
      <c r="B4119">
        <f>IF(INDEX(P_Type,ROW()-4)="","",TRIM(UPPER(INDEX(P_Type,ROW()-4))))</f>
        <v/>
      </c>
      <c r="D4119">
        <f>IF(INDEX(L_Type,ROW()-4)="","",TRIM(UPPER(INDEX(L_Type,ROW()-4))))</f>
        <v/>
      </c>
      <c r="E4119">
        <f>IF(INDEX(P_Status,ROW()-4)="","",TRIM(UPPER(INDEX(P_Status,ROW()-4))))</f>
        <v/>
      </c>
      <c r="G4119">
        <f>IF(INDEX(L_Status,ROW()-4)="","",TRIM(UPPER(INDEX(L_Status,ROW()-4))))</f>
        <v/>
      </c>
      <c r="J4119">
        <f>IF(INDEX(L_ID,ROW()-4)="","",IF(SUMPRODUCT((P_ID=INDEX(L_ID,ROW()-4))*(P_StatusN="INACTIVE"))&gt;0,1,0))</f>
        <v/>
      </c>
    </row>
    <row r="4120">
      <c r="A4120">
        <f>IF(INDEX(L_ID,ROW()-4)="","",IF(COUNTIF(P_ID,INDEX(L_ID,ROW()-4))&gt;0,1,0))</f>
        <v/>
      </c>
      <c r="B4120">
        <f>IF(INDEX(P_Type,ROW()-4)="","",TRIM(UPPER(INDEX(P_Type,ROW()-4))))</f>
        <v/>
      </c>
      <c r="D4120">
        <f>IF(INDEX(L_Type,ROW()-4)="","",TRIM(UPPER(INDEX(L_Type,ROW()-4))))</f>
        <v/>
      </c>
      <c r="E4120">
        <f>IF(INDEX(P_Status,ROW()-4)="","",TRIM(UPPER(INDEX(P_Status,ROW()-4))))</f>
        <v/>
      </c>
      <c r="G4120">
        <f>IF(INDEX(L_Status,ROW()-4)="","",TRIM(UPPER(INDEX(L_Status,ROW()-4))))</f>
        <v/>
      </c>
      <c r="J4120">
        <f>IF(INDEX(L_ID,ROW()-4)="","",IF(SUMPRODUCT((P_ID=INDEX(L_ID,ROW()-4))*(P_StatusN="INACTIVE"))&gt;0,1,0))</f>
        <v/>
      </c>
    </row>
    <row r="4121">
      <c r="A4121">
        <f>IF(INDEX(L_ID,ROW()-4)="","",IF(COUNTIF(P_ID,INDEX(L_ID,ROW()-4))&gt;0,1,0))</f>
        <v/>
      </c>
      <c r="B4121">
        <f>IF(INDEX(P_Type,ROW()-4)="","",TRIM(UPPER(INDEX(P_Type,ROW()-4))))</f>
        <v/>
      </c>
      <c r="D4121">
        <f>IF(INDEX(L_Type,ROW()-4)="","",TRIM(UPPER(INDEX(L_Type,ROW()-4))))</f>
        <v/>
      </c>
      <c r="E4121">
        <f>IF(INDEX(P_Status,ROW()-4)="","",TRIM(UPPER(INDEX(P_Status,ROW()-4))))</f>
        <v/>
      </c>
      <c r="G4121">
        <f>IF(INDEX(L_Status,ROW()-4)="","",TRIM(UPPER(INDEX(L_Status,ROW()-4))))</f>
        <v/>
      </c>
      <c r="J4121">
        <f>IF(INDEX(L_ID,ROW()-4)="","",IF(SUMPRODUCT((P_ID=INDEX(L_ID,ROW()-4))*(P_StatusN="INACTIVE"))&gt;0,1,0))</f>
        <v/>
      </c>
    </row>
    <row r="4122">
      <c r="A4122">
        <f>IF(INDEX(L_ID,ROW()-4)="","",IF(COUNTIF(P_ID,INDEX(L_ID,ROW()-4))&gt;0,1,0))</f>
        <v/>
      </c>
      <c r="B4122">
        <f>IF(INDEX(P_Type,ROW()-4)="","",TRIM(UPPER(INDEX(P_Type,ROW()-4))))</f>
        <v/>
      </c>
      <c r="D4122">
        <f>IF(INDEX(L_Type,ROW()-4)="","",TRIM(UPPER(INDEX(L_Type,ROW()-4))))</f>
        <v/>
      </c>
      <c r="E4122">
        <f>IF(INDEX(P_Status,ROW()-4)="","",TRIM(UPPER(INDEX(P_Status,ROW()-4))))</f>
        <v/>
      </c>
      <c r="G4122">
        <f>IF(INDEX(L_Status,ROW()-4)="","",TRIM(UPPER(INDEX(L_Status,ROW()-4))))</f>
        <v/>
      </c>
      <c r="J4122">
        <f>IF(INDEX(L_ID,ROW()-4)="","",IF(SUMPRODUCT((P_ID=INDEX(L_ID,ROW()-4))*(P_StatusN="INACTIVE"))&gt;0,1,0))</f>
        <v/>
      </c>
    </row>
    <row r="4123">
      <c r="A4123">
        <f>IF(INDEX(L_ID,ROW()-4)="","",IF(COUNTIF(P_ID,INDEX(L_ID,ROW()-4))&gt;0,1,0))</f>
        <v/>
      </c>
      <c r="B4123">
        <f>IF(INDEX(P_Type,ROW()-4)="","",TRIM(UPPER(INDEX(P_Type,ROW()-4))))</f>
        <v/>
      </c>
      <c r="D4123">
        <f>IF(INDEX(L_Type,ROW()-4)="","",TRIM(UPPER(INDEX(L_Type,ROW()-4))))</f>
        <v/>
      </c>
      <c r="E4123">
        <f>IF(INDEX(P_Status,ROW()-4)="","",TRIM(UPPER(INDEX(P_Status,ROW()-4))))</f>
        <v/>
      </c>
      <c r="G4123">
        <f>IF(INDEX(L_Status,ROW()-4)="","",TRIM(UPPER(INDEX(L_Status,ROW()-4))))</f>
        <v/>
      </c>
      <c r="J4123">
        <f>IF(INDEX(L_ID,ROW()-4)="","",IF(SUMPRODUCT((P_ID=INDEX(L_ID,ROW()-4))*(P_StatusN="INACTIVE"))&gt;0,1,0))</f>
        <v/>
      </c>
    </row>
    <row r="4124">
      <c r="A4124">
        <f>IF(INDEX(L_ID,ROW()-4)="","",IF(COUNTIF(P_ID,INDEX(L_ID,ROW()-4))&gt;0,1,0))</f>
        <v/>
      </c>
      <c r="B4124">
        <f>IF(INDEX(P_Type,ROW()-4)="","",TRIM(UPPER(INDEX(P_Type,ROW()-4))))</f>
        <v/>
      </c>
      <c r="D4124">
        <f>IF(INDEX(L_Type,ROW()-4)="","",TRIM(UPPER(INDEX(L_Type,ROW()-4))))</f>
        <v/>
      </c>
      <c r="E4124">
        <f>IF(INDEX(P_Status,ROW()-4)="","",TRIM(UPPER(INDEX(P_Status,ROW()-4))))</f>
        <v/>
      </c>
      <c r="G4124">
        <f>IF(INDEX(L_Status,ROW()-4)="","",TRIM(UPPER(INDEX(L_Status,ROW()-4))))</f>
        <v/>
      </c>
      <c r="J4124">
        <f>IF(INDEX(L_ID,ROW()-4)="","",IF(SUMPRODUCT((P_ID=INDEX(L_ID,ROW()-4))*(P_StatusN="INACTIVE"))&gt;0,1,0))</f>
        <v/>
      </c>
    </row>
    <row r="4125">
      <c r="A4125">
        <f>IF(INDEX(L_ID,ROW()-4)="","",IF(COUNTIF(P_ID,INDEX(L_ID,ROW()-4))&gt;0,1,0))</f>
        <v/>
      </c>
      <c r="B4125">
        <f>IF(INDEX(P_Type,ROW()-4)="","",TRIM(UPPER(INDEX(P_Type,ROW()-4))))</f>
        <v/>
      </c>
      <c r="D4125">
        <f>IF(INDEX(L_Type,ROW()-4)="","",TRIM(UPPER(INDEX(L_Type,ROW()-4))))</f>
        <v/>
      </c>
      <c r="E4125">
        <f>IF(INDEX(P_Status,ROW()-4)="","",TRIM(UPPER(INDEX(P_Status,ROW()-4))))</f>
        <v/>
      </c>
      <c r="G4125">
        <f>IF(INDEX(L_Status,ROW()-4)="","",TRIM(UPPER(INDEX(L_Status,ROW()-4))))</f>
        <v/>
      </c>
      <c r="J4125">
        <f>IF(INDEX(L_ID,ROW()-4)="","",IF(SUMPRODUCT((P_ID=INDEX(L_ID,ROW()-4))*(P_StatusN="INACTIVE"))&gt;0,1,0))</f>
        <v/>
      </c>
    </row>
    <row r="4126">
      <c r="A4126">
        <f>IF(INDEX(L_ID,ROW()-4)="","",IF(COUNTIF(P_ID,INDEX(L_ID,ROW()-4))&gt;0,1,0))</f>
        <v/>
      </c>
      <c r="B4126">
        <f>IF(INDEX(P_Type,ROW()-4)="","",TRIM(UPPER(INDEX(P_Type,ROW()-4))))</f>
        <v/>
      </c>
      <c r="D4126">
        <f>IF(INDEX(L_Type,ROW()-4)="","",TRIM(UPPER(INDEX(L_Type,ROW()-4))))</f>
        <v/>
      </c>
      <c r="E4126">
        <f>IF(INDEX(P_Status,ROW()-4)="","",TRIM(UPPER(INDEX(P_Status,ROW()-4))))</f>
        <v/>
      </c>
      <c r="G4126">
        <f>IF(INDEX(L_Status,ROW()-4)="","",TRIM(UPPER(INDEX(L_Status,ROW()-4))))</f>
        <v/>
      </c>
      <c r="J4126">
        <f>IF(INDEX(L_ID,ROW()-4)="","",IF(SUMPRODUCT((P_ID=INDEX(L_ID,ROW()-4))*(P_StatusN="INACTIVE"))&gt;0,1,0))</f>
        <v/>
      </c>
    </row>
    <row r="4127">
      <c r="A4127">
        <f>IF(INDEX(L_ID,ROW()-4)="","",IF(COUNTIF(P_ID,INDEX(L_ID,ROW()-4))&gt;0,1,0))</f>
        <v/>
      </c>
      <c r="B4127">
        <f>IF(INDEX(P_Type,ROW()-4)="","",TRIM(UPPER(INDEX(P_Type,ROW()-4))))</f>
        <v/>
      </c>
      <c r="D4127">
        <f>IF(INDEX(L_Type,ROW()-4)="","",TRIM(UPPER(INDEX(L_Type,ROW()-4))))</f>
        <v/>
      </c>
      <c r="E4127">
        <f>IF(INDEX(P_Status,ROW()-4)="","",TRIM(UPPER(INDEX(P_Status,ROW()-4))))</f>
        <v/>
      </c>
      <c r="G4127">
        <f>IF(INDEX(L_Status,ROW()-4)="","",TRIM(UPPER(INDEX(L_Status,ROW()-4))))</f>
        <v/>
      </c>
      <c r="J4127">
        <f>IF(INDEX(L_ID,ROW()-4)="","",IF(SUMPRODUCT((P_ID=INDEX(L_ID,ROW()-4))*(P_StatusN="INACTIVE"))&gt;0,1,0))</f>
        <v/>
      </c>
    </row>
    <row r="4128">
      <c r="A4128">
        <f>IF(INDEX(L_ID,ROW()-4)="","",IF(COUNTIF(P_ID,INDEX(L_ID,ROW()-4))&gt;0,1,0))</f>
        <v/>
      </c>
      <c r="B4128">
        <f>IF(INDEX(P_Type,ROW()-4)="","",TRIM(UPPER(INDEX(P_Type,ROW()-4))))</f>
        <v/>
      </c>
      <c r="D4128">
        <f>IF(INDEX(L_Type,ROW()-4)="","",TRIM(UPPER(INDEX(L_Type,ROW()-4))))</f>
        <v/>
      </c>
      <c r="E4128">
        <f>IF(INDEX(P_Status,ROW()-4)="","",TRIM(UPPER(INDEX(P_Status,ROW()-4))))</f>
        <v/>
      </c>
      <c r="G4128">
        <f>IF(INDEX(L_Status,ROW()-4)="","",TRIM(UPPER(INDEX(L_Status,ROW()-4))))</f>
        <v/>
      </c>
      <c r="J4128">
        <f>IF(INDEX(L_ID,ROW()-4)="","",IF(SUMPRODUCT((P_ID=INDEX(L_ID,ROW()-4))*(P_StatusN="INACTIVE"))&gt;0,1,0))</f>
        <v/>
      </c>
    </row>
    <row r="4129">
      <c r="A4129">
        <f>IF(INDEX(L_ID,ROW()-4)="","",IF(COUNTIF(P_ID,INDEX(L_ID,ROW()-4))&gt;0,1,0))</f>
        <v/>
      </c>
      <c r="B4129">
        <f>IF(INDEX(P_Type,ROW()-4)="","",TRIM(UPPER(INDEX(P_Type,ROW()-4))))</f>
        <v/>
      </c>
      <c r="D4129">
        <f>IF(INDEX(L_Type,ROW()-4)="","",TRIM(UPPER(INDEX(L_Type,ROW()-4))))</f>
        <v/>
      </c>
      <c r="E4129">
        <f>IF(INDEX(P_Status,ROW()-4)="","",TRIM(UPPER(INDEX(P_Status,ROW()-4))))</f>
        <v/>
      </c>
      <c r="G4129">
        <f>IF(INDEX(L_Status,ROW()-4)="","",TRIM(UPPER(INDEX(L_Status,ROW()-4))))</f>
        <v/>
      </c>
      <c r="J4129">
        <f>IF(INDEX(L_ID,ROW()-4)="","",IF(SUMPRODUCT((P_ID=INDEX(L_ID,ROW()-4))*(P_StatusN="INACTIVE"))&gt;0,1,0))</f>
        <v/>
      </c>
    </row>
    <row r="4130">
      <c r="A4130">
        <f>IF(INDEX(L_ID,ROW()-4)="","",IF(COUNTIF(P_ID,INDEX(L_ID,ROW()-4))&gt;0,1,0))</f>
        <v/>
      </c>
      <c r="B4130">
        <f>IF(INDEX(P_Type,ROW()-4)="","",TRIM(UPPER(INDEX(P_Type,ROW()-4))))</f>
        <v/>
      </c>
      <c r="D4130">
        <f>IF(INDEX(L_Type,ROW()-4)="","",TRIM(UPPER(INDEX(L_Type,ROW()-4))))</f>
        <v/>
      </c>
      <c r="E4130">
        <f>IF(INDEX(P_Status,ROW()-4)="","",TRIM(UPPER(INDEX(P_Status,ROW()-4))))</f>
        <v/>
      </c>
      <c r="G4130">
        <f>IF(INDEX(L_Status,ROW()-4)="","",TRIM(UPPER(INDEX(L_Status,ROW()-4))))</f>
        <v/>
      </c>
      <c r="J4130">
        <f>IF(INDEX(L_ID,ROW()-4)="","",IF(SUMPRODUCT((P_ID=INDEX(L_ID,ROW()-4))*(P_StatusN="INACTIVE"))&gt;0,1,0))</f>
        <v/>
      </c>
    </row>
    <row r="4131">
      <c r="A4131">
        <f>IF(INDEX(L_ID,ROW()-4)="","",IF(COUNTIF(P_ID,INDEX(L_ID,ROW()-4))&gt;0,1,0))</f>
        <v/>
      </c>
      <c r="B4131">
        <f>IF(INDEX(P_Type,ROW()-4)="","",TRIM(UPPER(INDEX(P_Type,ROW()-4))))</f>
        <v/>
      </c>
      <c r="D4131">
        <f>IF(INDEX(L_Type,ROW()-4)="","",TRIM(UPPER(INDEX(L_Type,ROW()-4))))</f>
        <v/>
      </c>
      <c r="E4131">
        <f>IF(INDEX(P_Status,ROW()-4)="","",TRIM(UPPER(INDEX(P_Status,ROW()-4))))</f>
        <v/>
      </c>
      <c r="G4131">
        <f>IF(INDEX(L_Status,ROW()-4)="","",TRIM(UPPER(INDEX(L_Status,ROW()-4))))</f>
        <v/>
      </c>
      <c r="J4131">
        <f>IF(INDEX(L_ID,ROW()-4)="","",IF(SUMPRODUCT((P_ID=INDEX(L_ID,ROW()-4))*(P_StatusN="INACTIVE"))&gt;0,1,0))</f>
        <v/>
      </c>
    </row>
    <row r="4132">
      <c r="A4132">
        <f>IF(INDEX(L_ID,ROW()-4)="","",IF(COUNTIF(P_ID,INDEX(L_ID,ROW()-4))&gt;0,1,0))</f>
        <v/>
      </c>
      <c r="B4132">
        <f>IF(INDEX(P_Type,ROW()-4)="","",TRIM(UPPER(INDEX(P_Type,ROW()-4))))</f>
        <v/>
      </c>
      <c r="D4132">
        <f>IF(INDEX(L_Type,ROW()-4)="","",TRIM(UPPER(INDEX(L_Type,ROW()-4))))</f>
        <v/>
      </c>
      <c r="E4132">
        <f>IF(INDEX(P_Status,ROW()-4)="","",TRIM(UPPER(INDEX(P_Status,ROW()-4))))</f>
        <v/>
      </c>
      <c r="G4132">
        <f>IF(INDEX(L_Status,ROW()-4)="","",TRIM(UPPER(INDEX(L_Status,ROW()-4))))</f>
        <v/>
      </c>
      <c r="J4132">
        <f>IF(INDEX(L_ID,ROW()-4)="","",IF(SUMPRODUCT((P_ID=INDEX(L_ID,ROW()-4))*(P_StatusN="INACTIVE"))&gt;0,1,0))</f>
        <v/>
      </c>
    </row>
    <row r="4133">
      <c r="A4133">
        <f>IF(INDEX(L_ID,ROW()-4)="","",IF(COUNTIF(P_ID,INDEX(L_ID,ROW()-4))&gt;0,1,0))</f>
        <v/>
      </c>
      <c r="B4133">
        <f>IF(INDEX(P_Type,ROW()-4)="","",TRIM(UPPER(INDEX(P_Type,ROW()-4))))</f>
        <v/>
      </c>
      <c r="D4133">
        <f>IF(INDEX(L_Type,ROW()-4)="","",TRIM(UPPER(INDEX(L_Type,ROW()-4))))</f>
        <v/>
      </c>
      <c r="E4133">
        <f>IF(INDEX(P_Status,ROW()-4)="","",TRIM(UPPER(INDEX(P_Status,ROW()-4))))</f>
        <v/>
      </c>
      <c r="G4133">
        <f>IF(INDEX(L_Status,ROW()-4)="","",TRIM(UPPER(INDEX(L_Status,ROW()-4))))</f>
        <v/>
      </c>
      <c r="J4133">
        <f>IF(INDEX(L_ID,ROW()-4)="","",IF(SUMPRODUCT((P_ID=INDEX(L_ID,ROW()-4))*(P_StatusN="INACTIVE"))&gt;0,1,0))</f>
        <v/>
      </c>
    </row>
    <row r="4134">
      <c r="A4134">
        <f>IF(INDEX(L_ID,ROW()-4)="","",IF(COUNTIF(P_ID,INDEX(L_ID,ROW()-4))&gt;0,1,0))</f>
        <v/>
      </c>
      <c r="B4134">
        <f>IF(INDEX(P_Type,ROW()-4)="","",TRIM(UPPER(INDEX(P_Type,ROW()-4))))</f>
        <v/>
      </c>
      <c r="D4134">
        <f>IF(INDEX(L_Type,ROW()-4)="","",TRIM(UPPER(INDEX(L_Type,ROW()-4))))</f>
        <v/>
      </c>
      <c r="E4134">
        <f>IF(INDEX(P_Status,ROW()-4)="","",TRIM(UPPER(INDEX(P_Status,ROW()-4))))</f>
        <v/>
      </c>
      <c r="G4134">
        <f>IF(INDEX(L_Status,ROW()-4)="","",TRIM(UPPER(INDEX(L_Status,ROW()-4))))</f>
        <v/>
      </c>
      <c r="J4134">
        <f>IF(INDEX(L_ID,ROW()-4)="","",IF(SUMPRODUCT((P_ID=INDEX(L_ID,ROW()-4))*(P_StatusN="INACTIVE"))&gt;0,1,0))</f>
        <v/>
      </c>
    </row>
    <row r="4135">
      <c r="A4135">
        <f>IF(INDEX(L_ID,ROW()-4)="","",IF(COUNTIF(P_ID,INDEX(L_ID,ROW()-4))&gt;0,1,0))</f>
        <v/>
      </c>
      <c r="B4135">
        <f>IF(INDEX(P_Type,ROW()-4)="","",TRIM(UPPER(INDEX(P_Type,ROW()-4))))</f>
        <v/>
      </c>
      <c r="D4135">
        <f>IF(INDEX(L_Type,ROW()-4)="","",TRIM(UPPER(INDEX(L_Type,ROW()-4))))</f>
        <v/>
      </c>
      <c r="E4135">
        <f>IF(INDEX(P_Status,ROW()-4)="","",TRIM(UPPER(INDEX(P_Status,ROW()-4))))</f>
        <v/>
      </c>
      <c r="G4135">
        <f>IF(INDEX(L_Status,ROW()-4)="","",TRIM(UPPER(INDEX(L_Status,ROW()-4))))</f>
        <v/>
      </c>
      <c r="J4135">
        <f>IF(INDEX(L_ID,ROW()-4)="","",IF(SUMPRODUCT((P_ID=INDEX(L_ID,ROW()-4))*(P_StatusN="INACTIVE"))&gt;0,1,0))</f>
        <v/>
      </c>
    </row>
    <row r="4136">
      <c r="A4136">
        <f>IF(INDEX(L_ID,ROW()-4)="","",IF(COUNTIF(P_ID,INDEX(L_ID,ROW()-4))&gt;0,1,0))</f>
        <v/>
      </c>
      <c r="B4136">
        <f>IF(INDEX(P_Type,ROW()-4)="","",TRIM(UPPER(INDEX(P_Type,ROW()-4))))</f>
        <v/>
      </c>
      <c r="D4136">
        <f>IF(INDEX(L_Type,ROW()-4)="","",TRIM(UPPER(INDEX(L_Type,ROW()-4))))</f>
        <v/>
      </c>
      <c r="E4136">
        <f>IF(INDEX(P_Status,ROW()-4)="","",TRIM(UPPER(INDEX(P_Status,ROW()-4))))</f>
        <v/>
      </c>
      <c r="G4136">
        <f>IF(INDEX(L_Status,ROW()-4)="","",TRIM(UPPER(INDEX(L_Status,ROW()-4))))</f>
        <v/>
      </c>
      <c r="J4136">
        <f>IF(INDEX(L_ID,ROW()-4)="","",IF(SUMPRODUCT((P_ID=INDEX(L_ID,ROW()-4))*(P_StatusN="INACTIVE"))&gt;0,1,0))</f>
        <v/>
      </c>
    </row>
    <row r="4137">
      <c r="A4137">
        <f>IF(INDEX(L_ID,ROW()-4)="","",IF(COUNTIF(P_ID,INDEX(L_ID,ROW()-4))&gt;0,1,0))</f>
        <v/>
      </c>
      <c r="B4137">
        <f>IF(INDEX(P_Type,ROW()-4)="","",TRIM(UPPER(INDEX(P_Type,ROW()-4))))</f>
        <v/>
      </c>
      <c r="D4137">
        <f>IF(INDEX(L_Type,ROW()-4)="","",TRIM(UPPER(INDEX(L_Type,ROW()-4))))</f>
        <v/>
      </c>
      <c r="E4137">
        <f>IF(INDEX(P_Status,ROW()-4)="","",TRIM(UPPER(INDEX(P_Status,ROW()-4))))</f>
        <v/>
      </c>
      <c r="G4137">
        <f>IF(INDEX(L_Status,ROW()-4)="","",TRIM(UPPER(INDEX(L_Status,ROW()-4))))</f>
        <v/>
      </c>
      <c r="J4137">
        <f>IF(INDEX(L_ID,ROW()-4)="","",IF(SUMPRODUCT((P_ID=INDEX(L_ID,ROW()-4))*(P_StatusN="INACTIVE"))&gt;0,1,0))</f>
        <v/>
      </c>
    </row>
    <row r="4138">
      <c r="A4138">
        <f>IF(INDEX(L_ID,ROW()-4)="","",IF(COUNTIF(P_ID,INDEX(L_ID,ROW()-4))&gt;0,1,0))</f>
        <v/>
      </c>
      <c r="B4138">
        <f>IF(INDEX(P_Type,ROW()-4)="","",TRIM(UPPER(INDEX(P_Type,ROW()-4))))</f>
        <v/>
      </c>
      <c r="D4138">
        <f>IF(INDEX(L_Type,ROW()-4)="","",TRIM(UPPER(INDEX(L_Type,ROW()-4))))</f>
        <v/>
      </c>
      <c r="E4138">
        <f>IF(INDEX(P_Status,ROW()-4)="","",TRIM(UPPER(INDEX(P_Status,ROW()-4))))</f>
        <v/>
      </c>
      <c r="G4138">
        <f>IF(INDEX(L_Status,ROW()-4)="","",TRIM(UPPER(INDEX(L_Status,ROW()-4))))</f>
        <v/>
      </c>
      <c r="J4138">
        <f>IF(INDEX(L_ID,ROW()-4)="","",IF(SUMPRODUCT((P_ID=INDEX(L_ID,ROW()-4))*(P_StatusN="INACTIVE"))&gt;0,1,0))</f>
        <v/>
      </c>
    </row>
    <row r="4139">
      <c r="A4139">
        <f>IF(INDEX(L_ID,ROW()-4)="","",IF(COUNTIF(P_ID,INDEX(L_ID,ROW()-4))&gt;0,1,0))</f>
        <v/>
      </c>
      <c r="B4139">
        <f>IF(INDEX(P_Type,ROW()-4)="","",TRIM(UPPER(INDEX(P_Type,ROW()-4))))</f>
        <v/>
      </c>
      <c r="D4139">
        <f>IF(INDEX(L_Type,ROW()-4)="","",TRIM(UPPER(INDEX(L_Type,ROW()-4))))</f>
        <v/>
      </c>
      <c r="E4139">
        <f>IF(INDEX(P_Status,ROW()-4)="","",TRIM(UPPER(INDEX(P_Status,ROW()-4))))</f>
        <v/>
      </c>
      <c r="G4139">
        <f>IF(INDEX(L_Status,ROW()-4)="","",TRIM(UPPER(INDEX(L_Status,ROW()-4))))</f>
        <v/>
      </c>
      <c r="J4139">
        <f>IF(INDEX(L_ID,ROW()-4)="","",IF(SUMPRODUCT((P_ID=INDEX(L_ID,ROW()-4))*(P_StatusN="INACTIVE"))&gt;0,1,0))</f>
        <v/>
      </c>
    </row>
    <row r="4140">
      <c r="A4140">
        <f>IF(INDEX(L_ID,ROW()-4)="","",IF(COUNTIF(P_ID,INDEX(L_ID,ROW()-4))&gt;0,1,0))</f>
        <v/>
      </c>
      <c r="B4140">
        <f>IF(INDEX(P_Type,ROW()-4)="","",TRIM(UPPER(INDEX(P_Type,ROW()-4))))</f>
        <v/>
      </c>
      <c r="D4140">
        <f>IF(INDEX(L_Type,ROW()-4)="","",TRIM(UPPER(INDEX(L_Type,ROW()-4))))</f>
        <v/>
      </c>
      <c r="E4140">
        <f>IF(INDEX(P_Status,ROW()-4)="","",TRIM(UPPER(INDEX(P_Status,ROW()-4))))</f>
        <v/>
      </c>
      <c r="G4140">
        <f>IF(INDEX(L_Status,ROW()-4)="","",TRIM(UPPER(INDEX(L_Status,ROW()-4))))</f>
        <v/>
      </c>
      <c r="J4140">
        <f>IF(INDEX(L_ID,ROW()-4)="","",IF(SUMPRODUCT((P_ID=INDEX(L_ID,ROW()-4))*(P_StatusN="INACTIVE"))&gt;0,1,0))</f>
        <v/>
      </c>
    </row>
    <row r="4141">
      <c r="A4141">
        <f>IF(INDEX(L_ID,ROW()-4)="","",IF(COUNTIF(P_ID,INDEX(L_ID,ROW()-4))&gt;0,1,0))</f>
        <v/>
      </c>
      <c r="B4141">
        <f>IF(INDEX(P_Type,ROW()-4)="","",TRIM(UPPER(INDEX(P_Type,ROW()-4))))</f>
        <v/>
      </c>
      <c r="D4141">
        <f>IF(INDEX(L_Type,ROW()-4)="","",TRIM(UPPER(INDEX(L_Type,ROW()-4))))</f>
        <v/>
      </c>
      <c r="E4141">
        <f>IF(INDEX(P_Status,ROW()-4)="","",TRIM(UPPER(INDEX(P_Status,ROW()-4))))</f>
        <v/>
      </c>
      <c r="G4141">
        <f>IF(INDEX(L_Status,ROW()-4)="","",TRIM(UPPER(INDEX(L_Status,ROW()-4))))</f>
        <v/>
      </c>
      <c r="J4141">
        <f>IF(INDEX(L_ID,ROW()-4)="","",IF(SUMPRODUCT((P_ID=INDEX(L_ID,ROW()-4))*(P_StatusN="INACTIVE"))&gt;0,1,0))</f>
        <v/>
      </c>
    </row>
    <row r="4142">
      <c r="A4142">
        <f>IF(INDEX(L_ID,ROW()-4)="","",IF(COUNTIF(P_ID,INDEX(L_ID,ROW()-4))&gt;0,1,0))</f>
        <v/>
      </c>
      <c r="B4142">
        <f>IF(INDEX(P_Type,ROW()-4)="","",TRIM(UPPER(INDEX(P_Type,ROW()-4))))</f>
        <v/>
      </c>
      <c r="D4142">
        <f>IF(INDEX(L_Type,ROW()-4)="","",TRIM(UPPER(INDEX(L_Type,ROW()-4))))</f>
        <v/>
      </c>
      <c r="E4142">
        <f>IF(INDEX(P_Status,ROW()-4)="","",TRIM(UPPER(INDEX(P_Status,ROW()-4))))</f>
        <v/>
      </c>
      <c r="G4142">
        <f>IF(INDEX(L_Status,ROW()-4)="","",TRIM(UPPER(INDEX(L_Status,ROW()-4))))</f>
        <v/>
      </c>
      <c r="J4142">
        <f>IF(INDEX(L_ID,ROW()-4)="","",IF(SUMPRODUCT((P_ID=INDEX(L_ID,ROW()-4))*(P_StatusN="INACTIVE"))&gt;0,1,0))</f>
        <v/>
      </c>
    </row>
    <row r="4143">
      <c r="A4143">
        <f>IF(INDEX(L_ID,ROW()-4)="","",IF(COUNTIF(P_ID,INDEX(L_ID,ROW()-4))&gt;0,1,0))</f>
        <v/>
      </c>
      <c r="B4143">
        <f>IF(INDEX(P_Type,ROW()-4)="","",TRIM(UPPER(INDEX(P_Type,ROW()-4))))</f>
        <v/>
      </c>
      <c r="D4143">
        <f>IF(INDEX(L_Type,ROW()-4)="","",TRIM(UPPER(INDEX(L_Type,ROW()-4))))</f>
        <v/>
      </c>
      <c r="E4143">
        <f>IF(INDEX(P_Status,ROW()-4)="","",TRIM(UPPER(INDEX(P_Status,ROW()-4))))</f>
        <v/>
      </c>
      <c r="G4143">
        <f>IF(INDEX(L_Status,ROW()-4)="","",TRIM(UPPER(INDEX(L_Status,ROW()-4))))</f>
        <v/>
      </c>
      <c r="J4143">
        <f>IF(INDEX(L_ID,ROW()-4)="","",IF(SUMPRODUCT((P_ID=INDEX(L_ID,ROW()-4))*(P_StatusN="INACTIVE"))&gt;0,1,0))</f>
        <v/>
      </c>
    </row>
    <row r="4144">
      <c r="A4144">
        <f>IF(INDEX(L_ID,ROW()-4)="","",IF(COUNTIF(P_ID,INDEX(L_ID,ROW()-4))&gt;0,1,0))</f>
        <v/>
      </c>
      <c r="B4144">
        <f>IF(INDEX(P_Type,ROW()-4)="","",TRIM(UPPER(INDEX(P_Type,ROW()-4))))</f>
        <v/>
      </c>
      <c r="D4144">
        <f>IF(INDEX(L_Type,ROW()-4)="","",TRIM(UPPER(INDEX(L_Type,ROW()-4))))</f>
        <v/>
      </c>
      <c r="E4144">
        <f>IF(INDEX(P_Status,ROW()-4)="","",TRIM(UPPER(INDEX(P_Status,ROW()-4))))</f>
        <v/>
      </c>
      <c r="G4144">
        <f>IF(INDEX(L_Status,ROW()-4)="","",TRIM(UPPER(INDEX(L_Status,ROW()-4))))</f>
        <v/>
      </c>
      <c r="J4144">
        <f>IF(INDEX(L_ID,ROW()-4)="","",IF(SUMPRODUCT((P_ID=INDEX(L_ID,ROW()-4))*(P_StatusN="INACTIVE"))&gt;0,1,0))</f>
        <v/>
      </c>
    </row>
    <row r="4145">
      <c r="A4145">
        <f>IF(INDEX(L_ID,ROW()-4)="","",IF(COUNTIF(P_ID,INDEX(L_ID,ROW()-4))&gt;0,1,0))</f>
        <v/>
      </c>
      <c r="B4145">
        <f>IF(INDEX(P_Type,ROW()-4)="","",TRIM(UPPER(INDEX(P_Type,ROW()-4))))</f>
        <v/>
      </c>
      <c r="D4145">
        <f>IF(INDEX(L_Type,ROW()-4)="","",TRIM(UPPER(INDEX(L_Type,ROW()-4))))</f>
        <v/>
      </c>
      <c r="E4145">
        <f>IF(INDEX(P_Status,ROW()-4)="","",TRIM(UPPER(INDEX(P_Status,ROW()-4))))</f>
        <v/>
      </c>
      <c r="G4145">
        <f>IF(INDEX(L_Status,ROW()-4)="","",TRIM(UPPER(INDEX(L_Status,ROW()-4))))</f>
        <v/>
      </c>
      <c r="J4145">
        <f>IF(INDEX(L_ID,ROW()-4)="","",IF(SUMPRODUCT((P_ID=INDEX(L_ID,ROW()-4))*(P_StatusN="INACTIVE"))&gt;0,1,0))</f>
        <v/>
      </c>
    </row>
    <row r="4146">
      <c r="A4146">
        <f>IF(INDEX(L_ID,ROW()-4)="","",IF(COUNTIF(P_ID,INDEX(L_ID,ROW()-4))&gt;0,1,0))</f>
        <v/>
      </c>
      <c r="B4146">
        <f>IF(INDEX(P_Type,ROW()-4)="","",TRIM(UPPER(INDEX(P_Type,ROW()-4))))</f>
        <v/>
      </c>
      <c r="D4146">
        <f>IF(INDEX(L_Type,ROW()-4)="","",TRIM(UPPER(INDEX(L_Type,ROW()-4))))</f>
        <v/>
      </c>
      <c r="E4146">
        <f>IF(INDEX(P_Status,ROW()-4)="","",TRIM(UPPER(INDEX(P_Status,ROW()-4))))</f>
        <v/>
      </c>
      <c r="G4146">
        <f>IF(INDEX(L_Status,ROW()-4)="","",TRIM(UPPER(INDEX(L_Status,ROW()-4))))</f>
        <v/>
      </c>
      <c r="J4146">
        <f>IF(INDEX(L_ID,ROW()-4)="","",IF(SUMPRODUCT((P_ID=INDEX(L_ID,ROW()-4))*(P_StatusN="INACTIVE"))&gt;0,1,0))</f>
        <v/>
      </c>
    </row>
    <row r="4147">
      <c r="A4147">
        <f>IF(INDEX(L_ID,ROW()-4)="","",IF(COUNTIF(P_ID,INDEX(L_ID,ROW()-4))&gt;0,1,0))</f>
        <v/>
      </c>
      <c r="B4147">
        <f>IF(INDEX(P_Type,ROW()-4)="","",TRIM(UPPER(INDEX(P_Type,ROW()-4))))</f>
        <v/>
      </c>
      <c r="D4147">
        <f>IF(INDEX(L_Type,ROW()-4)="","",TRIM(UPPER(INDEX(L_Type,ROW()-4))))</f>
        <v/>
      </c>
      <c r="E4147">
        <f>IF(INDEX(P_Status,ROW()-4)="","",TRIM(UPPER(INDEX(P_Status,ROW()-4))))</f>
        <v/>
      </c>
      <c r="G4147">
        <f>IF(INDEX(L_Status,ROW()-4)="","",TRIM(UPPER(INDEX(L_Status,ROW()-4))))</f>
        <v/>
      </c>
      <c r="J4147">
        <f>IF(INDEX(L_ID,ROW()-4)="","",IF(SUMPRODUCT((P_ID=INDEX(L_ID,ROW()-4))*(P_StatusN="INACTIVE"))&gt;0,1,0))</f>
        <v/>
      </c>
    </row>
    <row r="4148">
      <c r="A4148">
        <f>IF(INDEX(L_ID,ROW()-4)="","",IF(COUNTIF(P_ID,INDEX(L_ID,ROW()-4))&gt;0,1,0))</f>
        <v/>
      </c>
      <c r="B4148">
        <f>IF(INDEX(P_Type,ROW()-4)="","",TRIM(UPPER(INDEX(P_Type,ROW()-4))))</f>
        <v/>
      </c>
      <c r="D4148">
        <f>IF(INDEX(L_Type,ROW()-4)="","",TRIM(UPPER(INDEX(L_Type,ROW()-4))))</f>
        <v/>
      </c>
      <c r="E4148">
        <f>IF(INDEX(P_Status,ROW()-4)="","",TRIM(UPPER(INDEX(P_Status,ROW()-4))))</f>
        <v/>
      </c>
      <c r="G4148">
        <f>IF(INDEX(L_Status,ROW()-4)="","",TRIM(UPPER(INDEX(L_Status,ROW()-4))))</f>
        <v/>
      </c>
      <c r="J4148">
        <f>IF(INDEX(L_ID,ROW()-4)="","",IF(SUMPRODUCT((P_ID=INDEX(L_ID,ROW()-4))*(P_StatusN="INACTIVE"))&gt;0,1,0))</f>
        <v/>
      </c>
    </row>
    <row r="4149">
      <c r="A4149">
        <f>IF(INDEX(L_ID,ROW()-4)="","",IF(COUNTIF(P_ID,INDEX(L_ID,ROW()-4))&gt;0,1,0))</f>
        <v/>
      </c>
      <c r="B4149">
        <f>IF(INDEX(P_Type,ROW()-4)="","",TRIM(UPPER(INDEX(P_Type,ROW()-4))))</f>
        <v/>
      </c>
      <c r="D4149">
        <f>IF(INDEX(L_Type,ROW()-4)="","",TRIM(UPPER(INDEX(L_Type,ROW()-4))))</f>
        <v/>
      </c>
      <c r="E4149">
        <f>IF(INDEX(P_Status,ROW()-4)="","",TRIM(UPPER(INDEX(P_Status,ROW()-4))))</f>
        <v/>
      </c>
      <c r="G4149">
        <f>IF(INDEX(L_Status,ROW()-4)="","",TRIM(UPPER(INDEX(L_Status,ROW()-4))))</f>
        <v/>
      </c>
      <c r="J4149">
        <f>IF(INDEX(L_ID,ROW()-4)="","",IF(SUMPRODUCT((P_ID=INDEX(L_ID,ROW()-4))*(P_StatusN="INACTIVE"))&gt;0,1,0))</f>
        <v/>
      </c>
    </row>
    <row r="4150">
      <c r="A4150">
        <f>IF(INDEX(L_ID,ROW()-4)="","",IF(COUNTIF(P_ID,INDEX(L_ID,ROW()-4))&gt;0,1,0))</f>
        <v/>
      </c>
      <c r="B4150">
        <f>IF(INDEX(P_Type,ROW()-4)="","",TRIM(UPPER(INDEX(P_Type,ROW()-4))))</f>
        <v/>
      </c>
      <c r="D4150">
        <f>IF(INDEX(L_Type,ROW()-4)="","",TRIM(UPPER(INDEX(L_Type,ROW()-4))))</f>
        <v/>
      </c>
      <c r="E4150">
        <f>IF(INDEX(P_Status,ROW()-4)="","",TRIM(UPPER(INDEX(P_Status,ROW()-4))))</f>
        <v/>
      </c>
      <c r="G4150">
        <f>IF(INDEX(L_Status,ROW()-4)="","",TRIM(UPPER(INDEX(L_Status,ROW()-4))))</f>
        <v/>
      </c>
      <c r="J4150">
        <f>IF(INDEX(L_ID,ROW()-4)="","",IF(SUMPRODUCT((P_ID=INDEX(L_ID,ROW()-4))*(P_StatusN="INACTIVE"))&gt;0,1,0))</f>
        <v/>
      </c>
    </row>
    <row r="4151">
      <c r="A4151">
        <f>IF(INDEX(L_ID,ROW()-4)="","",IF(COUNTIF(P_ID,INDEX(L_ID,ROW()-4))&gt;0,1,0))</f>
        <v/>
      </c>
      <c r="B4151">
        <f>IF(INDEX(P_Type,ROW()-4)="","",TRIM(UPPER(INDEX(P_Type,ROW()-4))))</f>
        <v/>
      </c>
      <c r="D4151">
        <f>IF(INDEX(L_Type,ROW()-4)="","",TRIM(UPPER(INDEX(L_Type,ROW()-4))))</f>
        <v/>
      </c>
      <c r="E4151">
        <f>IF(INDEX(P_Status,ROW()-4)="","",TRIM(UPPER(INDEX(P_Status,ROW()-4))))</f>
        <v/>
      </c>
      <c r="G4151">
        <f>IF(INDEX(L_Status,ROW()-4)="","",TRIM(UPPER(INDEX(L_Status,ROW()-4))))</f>
        <v/>
      </c>
      <c r="J4151">
        <f>IF(INDEX(L_ID,ROW()-4)="","",IF(SUMPRODUCT((P_ID=INDEX(L_ID,ROW()-4))*(P_StatusN="INACTIVE"))&gt;0,1,0))</f>
        <v/>
      </c>
    </row>
    <row r="4152">
      <c r="A4152">
        <f>IF(INDEX(L_ID,ROW()-4)="","",IF(COUNTIF(P_ID,INDEX(L_ID,ROW()-4))&gt;0,1,0))</f>
        <v/>
      </c>
      <c r="B4152">
        <f>IF(INDEX(P_Type,ROW()-4)="","",TRIM(UPPER(INDEX(P_Type,ROW()-4))))</f>
        <v/>
      </c>
      <c r="D4152">
        <f>IF(INDEX(L_Type,ROW()-4)="","",TRIM(UPPER(INDEX(L_Type,ROW()-4))))</f>
        <v/>
      </c>
      <c r="E4152">
        <f>IF(INDEX(P_Status,ROW()-4)="","",TRIM(UPPER(INDEX(P_Status,ROW()-4))))</f>
        <v/>
      </c>
      <c r="G4152">
        <f>IF(INDEX(L_Status,ROW()-4)="","",TRIM(UPPER(INDEX(L_Status,ROW()-4))))</f>
        <v/>
      </c>
      <c r="J4152">
        <f>IF(INDEX(L_ID,ROW()-4)="","",IF(SUMPRODUCT((P_ID=INDEX(L_ID,ROW()-4))*(P_StatusN="INACTIVE"))&gt;0,1,0))</f>
        <v/>
      </c>
    </row>
    <row r="4153">
      <c r="A4153">
        <f>IF(INDEX(L_ID,ROW()-4)="","",IF(COUNTIF(P_ID,INDEX(L_ID,ROW()-4))&gt;0,1,0))</f>
        <v/>
      </c>
      <c r="B4153">
        <f>IF(INDEX(P_Type,ROW()-4)="","",TRIM(UPPER(INDEX(P_Type,ROW()-4))))</f>
        <v/>
      </c>
      <c r="D4153">
        <f>IF(INDEX(L_Type,ROW()-4)="","",TRIM(UPPER(INDEX(L_Type,ROW()-4))))</f>
        <v/>
      </c>
      <c r="E4153">
        <f>IF(INDEX(P_Status,ROW()-4)="","",TRIM(UPPER(INDEX(P_Status,ROW()-4))))</f>
        <v/>
      </c>
      <c r="G4153">
        <f>IF(INDEX(L_Status,ROW()-4)="","",TRIM(UPPER(INDEX(L_Status,ROW()-4))))</f>
        <v/>
      </c>
      <c r="J4153">
        <f>IF(INDEX(L_ID,ROW()-4)="","",IF(SUMPRODUCT((P_ID=INDEX(L_ID,ROW()-4))*(P_StatusN="INACTIVE"))&gt;0,1,0))</f>
        <v/>
      </c>
    </row>
    <row r="4154">
      <c r="A4154">
        <f>IF(INDEX(L_ID,ROW()-4)="","",IF(COUNTIF(P_ID,INDEX(L_ID,ROW()-4))&gt;0,1,0))</f>
        <v/>
      </c>
      <c r="B4154">
        <f>IF(INDEX(P_Type,ROW()-4)="","",TRIM(UPPER(INDEX(P_Type,ROW()-4))))</f>
        <v/>
      </c>
      <c r="D4154">
        <f>IF(INDEX(L_Type,ROW()-4)="","",TRIM(UPPER(INDEX(L_Type,ROW()-4))))</f>
        <v/>
      </c>
      <c r="E4154">
        <f>IF(INDEX(P_Status,ROW()-4)="","",TRIM(UPPER(INDEX(P_Status,ROW()-4))))</f>
        <v/>
      </c>
      <c r="G4154">
        <f>IF(INDEX(L_Status,ROW()-4)="","",TRIM(UPPER(INDEX(L_Status,ROW()-4))))</f>
        <v/>
      </c>
      <c r="J4154">
        <f>IF(INDEX(L_ID,ROW()-4)="","",IF(SUMPRODUCT((P_ID=INDEX(L_ID,ROW()-4))*(P_StatusN="INACTIVE"))&gt;0,1,0))</f>
        <v/>
      </c>
    </row>
    <row r="4155">
      <c r="A4155">
        <f>IF(INDEX(L_ID,ROW()-4)="","",IF(COUNTIF(P_ID,INDEX(L_ID,ROW()-4))&gt;0,1,0))</f>
        <v/>
      </c>
      <c r="B4155">
        <f>IF(INDEX(P_Type,ROW()-4)="","",TRIM(UPPER(INDEX(P_Type,ROW()-4))))</f>
        <v/>
      </c>
      <c r="D4155">
        <f>IF(INDEX(L_Type,ROW()-4)="","",TRIM(UPPER(INDEX(L_Type,ROW()-4))))</f>
        <v/>
      </c>
      <c r="E4155">
        <f>IF(INDEX(P_Status,ROW()-4)="","",TRIM(UPPER(INDEX(P_Status,ROW()-4))))</f>
        <v/>
      </c>
      <c r="G4155">
        <f>IF(INDEX(L_Status,ROW()-4)="","",TRIM(UPPER(INDEX(L_Status,ROW()-4))))</f>
        <v/>
      </c>
      <c r="J4155">
        <f>IF(INDEX(L_ID,ROW()-4)="","",IF(SUMPRODUCT((P_ID=INDEX(L_ID,ROW()-4))*(P_StatusN="INACTIVE"))&gt;0,1,0))</f>
        <v/>
      </c>
    </row>
    <row r="4156">
      <c r="A4156">
        <f>IF(INDEX(L_ID,ROW()-4)="","",IF(COUNTIF(P_ID,INDEX(L_ID,ROW()-4))&gt;0,1,0))</f>
        <v/>
      </c>
      <c r="B4156">
        <f>IF(INDEX(P_Type,ROW()-4)="","",TRIM(UPPER(INDEX(P_Type,ROW()-4))))</f>
        <v/>
      </c>
      <c r="D4156">
        <f>IF(INDEX(L_Type,ROW()-4)="","",TRIM(UPPER(INDEX(L_Type,ROW()-4))))</f>
        <v/>
      </c>
      <c r="E4156">
        <f>IF(INDEX(P_Status,ROW()-4)="","",TRIM(UPPER(INDEX(P_Status,ROW()-4))))</f>
        <v/>
      </c>
      <c r="G4156">
        <f>IF(INDEX(L_Status,ROW()-4)="","",TRIM(UPPER(INDEX(L_Status,ROW()-4))))</f>
        <v/>
      </c>
      <c r="J4156">
        <f>IF(INDEX(L_ID,ROW()-4)="","",IF(SUMPRODUCT((P_ID=INDEX(L_ID,ROW()-4))*(P_StatusN="INACTIVE"))&gt;0,1,0))</f>
        <v/>
      </c>
    </row>
    <row r="4157">
      <c r="A4157">
        <f>IF(INDEX(L_ID,ROW()-4)="","",IF(COUNTIF(P_ID,INDEX(L_ID,ROW()-4))&gt;0,1,0))</f>
        <v/>
      </c>
      <c r="B4157">
        <f>IF(INDEX(P_Type,ROW()-4)="","",TRIM(UPPER(INDEX(P_Type,ROW()-4))))</f>
        <v/>
      </c>
      <c r="D4157">
        <f>IF(INDEX(L_Type,ROW()-4)="","",TRIM(UPPER(INDEX(L_Type,ROW()-4))))</f>
        <v/>
      </c>
      <c r="E4157">
        <f>IF(INDEX(P_Status,ROW()-4)="","",TRIM(UPPER(INDEX(P_Status,ROW()-4))))</f>
        <v/>
      </c>
      <c r="G4157">
        <f>IF(INDEX(L_Status,ROW()-4)="","",TRIM(UPPER(INDEX(L_Status,ROW()-4))))</f>
        <v/>
      </c>
      <c r="J4157">
        <f>IF(INDEX(L_ID,ROW()-4)="","",IF(SUMPRODUCT((P_ID=INDEX(L_ID,ROW()-4))*(P_StatusN="INACTIVE"))&gt;0,1,0))</f>
        <v/>
      </c>
    </row>
    <row r="4158">
      <c r="A4158">
        <f>IF(INDEX(L_ID,ROW()-4)="","",IF(COUNTIF(P_ID,INDEX(L_ID,ROW()-4))&gt;0,1,0))</f>
        <v/>
      </c>
      <c r="B4158">
        <f>IF(INDEX(P_Type,ROW()-4)="","",TRIM(UPPER(INDEX(P_Type,ROW()-4))))</f>
        <v/>
      </c>
      <c r="D4158">
        <f>IF(INDEX(L_Type,ROW()-4)="","",TRIM(UPPER(INDEX(L_Type,ROW()-4))))</f>
        <v/>
      </c>
      <c r="E4158">
        <f>IF(INDEX(P_Status,ROW()-4)="","",TRIM(UPPER(INDEX(P_Status,ROW()-4))))</f>
        <v/>
      </c>
      <c r="G4158">
        <f>IF(INDEX(L_Status,ROW()-4)="","",TRIM(UPPER(INDEX(L_Status,ROW()-4))))</f>
        <v/>
      </c>
      <c r="J4158">
        <f>IF(INDEX(L_ID,ROW()-4)="","",IF(SUMPRODUCT((P_ID=INDEX(L_ID,ROW()-4))*(P_StatusN="INACTIVE"))&gt;0,1,0))</f>
        <v/>
      </c>
    </row>
    <row r="4159">
      <c r="A4159">
        <f>IF(INDEX(L_ID,ROW()-4)="","",IF(COUNTIF(P_ID,INDEX(L_ID,ROW()-4))&gt;0,1,0))</f>
        <v/>
      </c>
      <c r="B4159">
        <f>IF(INDEX(P_Type,ROW()-4)="","",TRIM(UPPER(INDEX(P_Type,ROW()-4))))</f>
        <v/>
      </c>
      <c r="D4159">
        <f>IF(INDEX(L_Type,ROW()-4)="","",TRIM(UPPER(INDEX(L_Type,ROW()-4))))</f>
        <v/>
      </c>
      <c r="E4159">
        <f>IF(INDEX(P_Status,ROW()-4)="","",TRIM(UPPER(INDEX(P_Status,ROW()-4))))</f>
        <v/>
      </c>
      <c r="G4159">
        <f>IF(INDEX(L_Status,ROW()-4)="","",TRIM(UPPER(INDEX(L_Status,ROW()-4))))</f>
        <v/>
      </c>
      <c r="J4159">
        <f>IF(INDEX(L_ID,ROW()-4)="","",IF(SUMPRODUCT((P_ID=INDEX(L_ID,ROW()-4))*(P_StatusN="INACTIVE"))&gt;0,1,0))</f>
        <v/>
      </c>
    </row>
    <row r="4160">
      <c r="A4160">
        <f>IF(INDEX(L_ID,ROW()-4)="","",IF(COUNTIF(P_ID,INDEX(L_ID,ROW()-4))&gt;0,1,0))</f>
        <v/>
      </c>
      <c r="B4160">
        <f>IF(INDEX(P_Type,ROW()-4)="","",TRIM(UPPER(INDEX(P_Type,ROW()-4))))</f>
        <v/>
      </c>
      <c r="D4160">
        <f>IF(INDEX(L_Type,ROW()-4)="","",TRIM(UPPER(INDEX(L_Type,ROW()-4))))</f>
        <v/>
      </c>
      <c r="E4160">
        <f>IF(INDEX(P_Status,ROW()-4)="","",TRIM(UPPER(INDEX(P_Status,ROW()-4))))</f>
        <v/>
      </c>
      <c r="G4160">
        <f>IF(INDEX(L_Status,ROW()-4)="","",TRIM(UPPER(INDEX(L_Status,ROW()-4))))</f>
        <v/>
      </c>
      <c r="J4160">
        <f>IF(INDEX(L_ID,ROW()-4)="","",IF(SUMPRODUCT((P_ID=INDEX(L_ID,ROW()-4))*(P_StatusN="INACTIVE"))&gt;0,1,0))</f>
        <v/>
      </c>
    </row>
    <row r="4161">
      <c r="A4161">
        <f>IF(INDEX(L_ID,ROW()-4)="","",IF(COUNTIF(P_ID,INDEX(L_ID,ROW()-4))&gt;0,1,0))</f>
        <v/>
      </c>
      <c r="B4161">
        <f>IF(INDEX(P_Type,ROW()-4)="","",TRIM(UPPER(INDEX(P_Type,ROW()-4))))</f>
        <v/>
      </c>
      <c r="D4161">
        <f>IF(INDEX(L_Type,ROW()-4)="","",TRIM(UPPER(INDEX(L_Type,ROW()-4))))</f>
        <v/>
      </c>
      <c r="E4161">
        <f>IF(INDEX(P_Status,ROW()-4)="","",TRIM(UPPER(INDEX(P_Status,ROW()-4))))</f>
        <v/>
      </c>
      <c r="G4161">
        <f>IF(INDEX(L_Status,ROW()-4)="","",TRIM(UPPER(INDEX(L_Status,ROW()-4))))</f>
        <v/>
      </c>
      <c r="J4161">
        <f>IF(INDEX(L_ID,ROW()-4)="","",IF(SUMPRODUCT((P_ID=INDEX(L_ID,ROW()-4))*(P_StatusN="INACTIVE"))&gt;0,1,0))</f>
        <v/>
      </c>
    </row>
    <row r="4162">
      <c r="A4162">
        <f>IF(INDEX(L_ID,ROW()-4)="","",IF(COUNTIF(P_ID,INDEX(L_ID,ROW()-4))&gt;0,1,0))</f>
        <v/>
      </c>
      <c r="B4162">
        <f>IF(INDEX(P_Type,ROW()-4)="","",TRIM(UPPER(INDEX(P_Type,ROW()-4))))</f>
        <v/>
      </c>
      <c r="D4162">
        <f>IF(INDEX(L_Type,ROW()-4)="","",TRIM(UPPER(INDEX(L_Type,ROW()-4))))</f>
        <v/>
      </c>
      <c r="E4162">
        <f>IF(INDEX(P_Status,ROW()-4)="","",TRIM(UPPER(INDEX(P_Status,ROW()-4))))</f>
        <v/>
      </c>
      <c r="G4162">
        <f>IF(INDEX(L_Status,ROW()-4)="","",TRIM(UPPER(INDEX(L_Status,ROW()-4))))</f>
        <v/>
      </c>
      <c r="J4162">
        <f>IF(INDEX(L_ID,ROW()-4)="","",IF(SUMPRODUCT((P_ID=INDEX(L_ID,ROW()-4))*(P_StatusN="INACTIVE"))&gt;0,1,0))</f>
        <v/>
      </c>
    </row>
    <row r="4163">
      <c r="A4163">
        <f>IF(INDEX(L_ID,ROW()-4)="","",IF(COUNTIF(P_ID,INDEX(L_ID,ROW()-4))&gt;0,1,0))</f>
        <v/>
      </c>
      <c r="B4163">
        <f>IF(INDEX(P_Type,ROW()-4)="","",TRIM(UPPER(INDEX(P_Type,ROW()-4))))</f>
        <v/>
      </c>
      <c r="D4163">
        <f>IF(INDEX(L_Type,ROW()-4)="","",TRIM(UPPER(INDEX(L_Type,ROW()-4))))</f>
        <v/>
      </c>
      <c r="E4163">
        <f>IF(INDEX(P_Status,ROW()-4)="","",TRIM(UPPER(INDEX(P_Status,ROW()-4))))</f>
        <v/>
      </c>
      <c r="G4163">
        <f>IF(INDEX(L_Status,ROW()-4)="","",TRIM(UPPER(INDEX(L_Status,ROW()-4))))</f>
        <v/>
      </c>
      <c r="J4163">
        <f>IF(INDEX(L_ID,ROW()-4)="","",IF(SUMPRODUCT((P_ID=INDEX(L_ID,ROW()-4))*(P_StatusN="INACTIVE"))&gt;0,1,0))</f>
        <v/>
      </c>
    </row>
    <row r="4164">
      <c r="A4164">
        <f>IF(INDEX(L_ID,ROW()-4)="","",IF(COUNTIF(P_ID,INDEX(L_ID,ROW()-4))&gt;0,1,0))</f>
        <v/>
      </c>
      <c r="B4164">
        <f>IF(INDEX(P_Type,ROW()-4)="","",TRIM(UPPER(INDEX(P_Type,ROW()-4))))</f>
        <v/>
      </c>
      <c r="D4164">
        <f>IF(INDEX(L_Type,ROW()-4)="","",TRIM(UPPER(INDEX(L_Type,ROW()-4))))</f>
        <v/>
      </c>
      <c r="E4164">
        <f>IF(INDEX(P_Status,ROW()-4)="","",TRIM(UPPER(INDEX(P_Status,ROW()-4))))</f>
        <v/>
      </c>
      <c r="G4164">
        <f>IF(INDEX(L_Status,ROW()-4)="","",TRIM(UPPER(INDEX(L_Status,ROW()-4))))</f>
        <v/>
      </c>
      <c r="J4164">
        <f>IF(INDEX(L_ID,ROW()-4)="","",IF(SUMPRODUCT((P_ID=INDEX(L_ID,ROW()-4))*(P_StatusN="INACTIVE"))&gt;0,1,0))</f>
        <v/>
      </c>
    </row>
    <row r="4165">
      <c r="A4165">
        <f>IF(INDEX(L_ID,ROW()-4)="","",IF(COUNTIF(P_ID,INDEX(L_ID,ROW()-4))&gt;0,1,0))</f>
        <v/>
      </c>
      <c r="B4165">
        <f>IF(INDEX(P_Type,ROW()-4)="","",TRIM(UPPER(INDEX(P_Type,ROW()-4))))</f>
        <v/>
      </c>
      <c r="D4165">
        <f>IF(INDEX(L_Type,ROW()-4)="","",TRIM(UPPER(INDEX(L_Type,ROW()-4))))</f>
        <v/>
      </c>
      <c r="E4165">
        <f>IF(INDEX(P_Status,ROW()-4)="","",TRIM(UPPER(INDEX(P_Status,ROW()-4))))</f>
        <v/>
      </c>
      <c r="G4165">
        <f>IF(INDEX(L_Status,ROW()-4)="","",TRIM(UPPER(INDEX(L_Status,ROW()-4))))</f>
        <v/>
      </c>
      <c r="J4165">
        <f>IF(INDEX(L_ID,ROW()-4)="","",IF(SUMPRODUCT((P_ID=INDEX(L_ID,ROW()-4))*(P_StatusN="INACTIVE"))&gt;0,1,0))</f>
        <v/>
      </c>
    </row>
    <row r="4166">
      <c r="A4166">
        <f>IF(INDEX(L_ID,ROW()-4)="","",IF(COUNTIF(P_ID,INDEX(L_ID,ROW()-4))&gt;0,1,0))</f>
        <v/>
      </c>
      <c r="B4166">
        <f>IF(INDEX(P_Type,ROW()-4)="","",TRIM(UPPER(INDEX(P_Type,ROW()-4))))</f>
        <v/>
      </c>
      <c r="D4166">
        <f>IF(INDEX(L_Type,ROW()-4)="","",TRIM(UPPER(INDEX(L_Type,ROW()-4))))</f>
        <v/>
      </c>
      <c r="E4166">
        <f>IF(INDEX(P_Status,ROW()-4)="","",TRIM(UPPER(INDEX(P_Status,ROW()-4))))</f>
        <v/>
      </c>
      <c r="G4166">
        <f>IF(INDEX(L_Status,ROW()-4)="","",TRIM(UPPER(INDEX(L_Status,ROW()-4))))</f>
        <v/>
      </c>
      <c r="J4166">
        <f>IF(INDEX(L_ID,ROW()-4)="","",IF(SUMPRODUCT((P_ID=INDEX(L_ID,ROW()-4))*(P_StatusN="INACTIVE"))&gt;0,1,0))</f>
        <v/>
      </c>
    </row>
    <row r="4167">
      <c r="A4167">
        <f>IF(INDEX(L_ID,ROW()-4)="","",IF(COUNTIF(P_ID,INDEX(L_ID,ROW()-4))&gt;0,1,0))</f>
        <v/>
      </c>
      <c r="B4167">
        <f>IF(INDEX(P_Type,ROW()-4)="","",TRIM(UPPER(INDEX(P_Type,ROW()-4))))</f>
        <v/>
      </c>
      <c r="D4167">
        <f>IF(INDEX(L_Type,ROW()-4)="","",TRIM(UPPER(INDEX(L_Type,ROW()-4))))</f>
        <v/>
      </c>
      <c r="E4167">
        <f>IF(INDEX(P_Status,ROW()-4)="","",TRIM(UPPER(INDEX(P_Status,ROW()-4))))</f>
        <v/>
      </c>
      <c r="G4167">
        <f>IF(INDEX(L_Status,ROW()-4)="","",TRIM(UPPER(INDEX(L_Status,ROW()-4))))</f>
        <v/>
      </c>
      <c r="J4167">
        <f>IF(INDEX(L_ID,ROW()-4)="","",IF(SUMPRODUCT((P_ID=INDEX(L_ID,ROW()-4))*(P_StatusN="INACTIVE"))&gt;0,1,0))</f>
        <v/>
      </c>
    </row>
    <row r="4168">
      <c r="A4168">
        <f>IF(INDEX(L_ID,ROW()-4)="","",IF(COUNTIF(P_ID,INDEX(L_ID,ROW()-4))&gt;0,1,0))</f>
        <v/>
      </c>
      <c r="B4168">
        <f>IF(INDEX(P_Type,ROW()-4)="","",TRIM(UPPER(INDEX(P_Type,ROW()-4))))</f>
        <v/>
      </c>
      <c r="D4168">
        <f>IF(INDEX(L_Type,ROW()-4)="","",TRIM(UPPER(INDEX(L_Type,ROW()-4))))</f>
        <v/>
      </c>
      <c r="E4168">
        <f>IF(INDEX(P_Status,ROW()-4)="","",TRIM(UPPER(INDEX(P_Status,ROW()-4))))</f>
        <v/>
      </c>
      <c r="G4168">
        <f>IF(INDEX(L_Status,ROW()-4)="","",TRIM(UPPER(INDEX(L_Status,ROW()-4))))</f>
        <v/>
      </c>
      <c r="J4168">
        <f>IF(INDEX(L_ID,ROW()-4)="","",IF(SUMPRODUCT((P_ID=INDEX(L_ID,ROW()-4))*(P_StatusN="INACTIVE"))&gt;0,1,0))</f>
        <v/>
      </c>
    </row>
    <row r="4169">
      <c r="A4169">
        <f>IF(INDEX(L_ID,ROW()-4)="","",IF(COUNTIF(P_ID,INDEX(L_ID,ROW()-4))&gt;0,1,0))</f>
        <v/>
      </c>
      <c r="B4169">
        <f>IF(INDEX(P_Type,ROW()-4)="","",TRIM(UPPER(INDEX(P_Type,ROW()-4))))</f>
        <v/>
      </c>
      <c r="D4169">
        <f>IF(INDEX(L_Type,ROW()-4)="","",TRIM(UPPER(INDEX(L_Type,ROW()-4))))</f>
        <v/>
      </c>
      <c r="E4169">
        <f>IF(INDEX(P_Status,ROW()-4)="","",TRIM(UPPER(INDEX(P_Status,ROW()-4))))</f>
        <v/>
      </c>
      <c r="G4169">
        <f>IF(INDEX(L_Status,ROW()-4)="","",TRIM(UPPER(INDEX(L_Status,ROW()-4))))</f>
        <v/>
      </c>
      <c r="J4169">
        <f>IF(INDEX(L_ID,ROW()-4)="","",IF(SUMPRODUCT((P_ID=INDEX(L_ID,ROW()-4))*(P_StatusN="INACTIVE"))&gt;0,1,0))</f>
        <v/>
      </c>
    </row>
    <row r="4170">
      <c r="A4170">
        <f>IF(INDEX(L_ID,ROW()-4)="","",IF(COUNTIF(P_ID,INDEX(L_ID,ROW()-4))&gt;0,1,0))</f>
        <v/>
      </c>
      <c r="B4170">
        <f>IF(INDEX(P_Type,ROW()-4)="","",TRIM(UPPER(INDEX(P_Type,ROW()-4))))</f>
        <v/>
      </c>
      <c r="D4170">
        <f>IF(INDEX(L_Type,ROW()-4)="","",TRIM(UPPER(INDEX(L_Type,ROW()-4))))</f>
        <v/>
      </c>
      <c r="E4170">
        <f>IF(INDEX(P_Status,ROW()-4)="","",TRIM(UPPER(INDEX(P_Status,ROW()-4))))</f>
        <v/>
      </c>
      <c r="G4170">
        <f>IF(INDEX(L_Status,ROW()-4)="","",TRIM(UPPER(INDEX(L_Status,ROW()-4))))</f>
        <v/>
      </c>
      <c r="J4170">
        <f>IF(INDEX(L_ID,ROW()-4)="","",IF(SUMPRODUCT((P_ID=INDEX(L_ID,ROW()-4))*(P_StatusN="INACTIVE"))&gt;0,1,0))</f>
        <v/>
      </c>
    </row>
    <row r="4171">
      <c r="A4171">
        <f>IF(INDEX(L_ID,ROW()-4)="","",IF(COUNTIF(P_ID,INDEX(L_ID,ROW()-4))&gt;0,1,0))</f>
        <v/>
      </c>
      <c r="B4171">
        <f>IF(INDEX(P_Type,ROW()-4)="","",TRIM(UPPER(INDEX(P_Type,ROW()-4))))</f>
        <v/>
      </c>
      <c r="D4171">
        <f>IF(INDEX(L_Type,ROW()-4)="","",TRIM(UPPER(INDEX(L_Type,ROW()-4))))</f>
        <v/>
      </c>
      <c r="E4171">
        <f>IF(INDEX(P_Status,ROW()-4)="","",TRIM(UPPER(INDEX(P_Status,ROW()-4))))</f>
        <v/>
      </c>
      <c r="G4171">
        <f>IF(INDEX(L_Status,ROW()-4)="","",TRIM(UPPER(INDEX(L_Status,ROW()-4))))</f>
        <v/>
      </c>
      <c r="J4171">
        <f>IF(INDEX(L_ID,ROW()-4)="","",IF(SUMPRODUCT((P_ID=INDEX(L_ID,ROW()-4))*(P_StatusN="INACTIVE"))&gt;0,1,0))</f>
        <v/>
      </c>
    </row>
    <row r="4172">
      <c r="A4172">
        <f>IF(INDEX(L_ID,ROW()-4)="","",IF(COUNTIF(P_ID,INDEX(L_ID,ROW()-4))&gt;0,1,0))</f>
        <v/>
      </c>
      <c r="B4172">
        <f>IF(INDEX(P_Type,ROW()-4)="","",TRIM(UPPER(INDEX(P_Type,ROW()-4))))</f>
        <v/>
      </c>
      <c r="D4172">
        <f>IF(INDEX(L_Type,ROW()-4)="","",TRIM(UPPER(INDEX(L_Type,ROW()-4))))</f>
        <v/>
      </c>
      <c r="E4172">
        <f>IF(INDEX(P_Status,ROW()-4)="","",TRIM(UPPER(INDEX(P_Status,ROW()-4))))</f>
        <v/>
      </c>
      <c r="G4172">
        <f>IF(INDEX(L_Status,ROW()-4)="","",TRIM(UPPER(INDEX(L_Status,ROW()-4))))</f>
        <v/>
      </c>
      <c r="J4172">
        <f>IF(INDEX(L_ID,ROW()-4)="","",IF(SUMPRODUCT((P_ID=INDEX(L_ID,ROW()-4))*(P_StatusN="INACTIVE"))&gt;0,1,0))</f>
        <v/>
      </c>
    </row>
    <row r="4173">
      <c r="A4173">
        <f>IF(INDEX(L_ID,ROW()-4)="","",IF(COUNTIF(P_ID,INDEX(L_ID,ROW()-4))&gt;0,1,0))</f>
        <v/>
      </c>
      <c r="B4173">
        <f>IF(INDEX(P_Type,ROW()-4)="","",TRIM(UPPER(INDEX(P_Type,ROW()-4))))</f>
        <v/>
      </c>
      <c r="D4173">
        <f>IF(INDEX(L_Type,ROW()-4)="","",TRIM(UPPER(INDEX(L_Type,ROW()-4))))</f>
        <v/>
      </c>
      <c r="E4173">
        <f>IF(INDEX(P_Status,ROW()-4)="","",TRIM(UPPER(INDEX(P_Status,ROW()-4))))</f>
        <v/>
      </c>
      <c r="G4173">
        <f>IF(INDEX(L_Status,ROW()-4)="","",TRIM(UPPER(INDEX(L_Status,ROW()-4))))</f>
        <v/>
      </c>
      <c r="J4173">
        <f>IF(INDEX(L_ID,ROW()-4)="","",IF(SUMPRODUCT((P_ID=INDEX(L_ID,ROW()-4))*(P_StatusN="INACTIVE"))&gt;0,1,0))</f>
        <v/>
      </c>
    </row>
    <row r="4174">
      <c r="A4174">
        <f>IF(INDEX(L_ID,ROW()-4)="","",IF(COUNTIF(P_ID,INDEX(L_ID,ROW()-4))&gt;0,1,0))</f>
        <v/>
      </c>
      <c r="B4174">
        <f>IF(INDEX(P_Type,ROW()-4)="","",TRIM(UPPER(INDEX(P_Type,ROW()-4))))</f>
        <v/>
      </c>
      <c r="D4174">
        <f>IF(INDEX(L_Type,ROW()-4)="","",TRIM(UPPER(INDEX(L_Type,ROW()-4))))</f>
        <v/>
      </c>
      <c r="E4174">
        <f>IF(INDEX(P_Status,ROW()-4)="","",TRIM(UPPER(INDEX(P_Status,ROW()-4))))</f>
        <v/>
      </c>
      <c r="G4174">
        <f>IF(INDEX(L_Status,ROW()-4)="","",TRIM(UPPER(INDEX(L_Status,ROW()-4))))</f>
        <v/>
      </c>
      <c r="J4174">
        <f>IF(INDEX(L_ID,ROW()-4)="","",IF(SUMPRODUCT((P_ID=INDEX(L_ID,ROW()-4))*(P_StatusN="INACTIVE"))&gt;0,1,0))</f>
        <v/>
      </c>
    </row>
    <row r="4175">
      <c r="A4175">
        <f>IF(INDEX(L_ID,ROW()-4)="","",IF(COUNTIF(P_ID,INDEX(L_ID,ROW()-4))&gt;0,1,0))</f>
        <v/>
      </c>
      <c r="B4175">
        <f>IF(INDEX(P_Type,ROW()-4)="","",TRIM(UPPER(INDEX(P_Type,ROW()-4))))</f>
        <v/>
      </c>
      <c r="D4175">
        <f>IF(INDEX(L_Type,ROW()-4)="","",TRIM(UPPER(INDEX(L_Type,ROW()-4))))</f>
        <v/>
      </c>
      <c r="E4175">
        <f>IF(INDEX(P_Status,ROW()-4)="","",TRIM(UPPER(INDEX(P_Status,ROW()-4))))</f>
        <v/>
      </c>
      <c r="G4175">
        <f>IF(INDEX(L_Status,ROW()-4)="","",TRIM(UPPER(INDEX(L_Status,ROW()-4))))</f>
        <v/>
      </c>
      <c r="J4175">
        <f>IF(INDEX(L_ID,ROW()-4)="","",IF(SUMPRODUCT((P_ID=INDEX(L_ID,ROW()-4))*(P_StatusN="INACTIVE"))&gt;0,1,0))</f>
        <v/>
      </c>
    </row>
    <row r="4176">
      <c r="A4176">
        <f>IF(INDEX(L_ID,ROW()-4)="","",IF(COUNTIF(P_ID,INDEX(L_ID,ROW()-4))&gt;0,1,0))</f>
        <v/>
      </c>
      <c r="B4176">
        <f>IF(INDEX(P_Type,ROW()-4)="","",TRIM(UPPER(INDEX(P_Type,ROW()-4))))</f>
        <v/>
      </c>
      <c r="D4176">
        <f>IF(INDEX(L_Type,ROW()-4)="","",TRIM(UPPER(INDEX(L_Type,ROW()-4))))</f>
        <v/>
      </c>
      <c r="E4176">
        <f>IF(INDEX(P_Status,ROW()-4)="","",TRIM(UPPER(INDEX(P_Status,ROW()-4))))</f>
        <v/>
      </c>
      <c r="G4176">
        <f>IF(INDEX(L_Status,ROW()-4)="","",TRIM(UPPER(INDEX(L_Status,ROW()-4))))</f>
        <v/>
      </c>
      <c r="J4176">
        <f>IF(INDEX(L_ID,ROW()-4)="","",IF(SUMPRODUCT((P_ID=INDEX(L_ID,ROW()-4))*(P_StatusN="INACTIVE"))&gt;0,1,0))</f>
        <v/>
      </c>
    </row>
    <row r="4177">
      <c r="A4177">
        <f>IF(INDEX(L_ID,ROW()-4)="","",IF(COUNTIF(P_ID,INDEX(L_ID,ROW()-4))&gt;0,1,0))</f>
        <v/>
      </c>
      <c r="B4177">
        <f>IF(INDEX(P_Type,ROW()-4)="","",TRIM(UPPER(INDEX(P_Type,ROW()-4))))</f>
        <v/>
      </c>
      <c r="D4177">
        <f>IF(INDEX(L_Type,ROW()-4)="","",TRIM(UPPER(INDEX(L_Type,ROW()-4))))</f>
        <v/>
      </c>
      <c r="E4177">
        <f>IF(INDEX(P_Status,ROW()-4)="","",TRIM(UPPER(INDEX(P_Status,ROW()-4))))</f>
        <v/>
      </c>
      <c r="G4177">
        <f>IF(INDEX(L_Status,ROW()-4)="","",TRIM(UPPER(INDEX(L_Status,ROW()-4))))</f>
        <v/>
      </c>
      <c r="J4177">
        <f>IF(INDEX(L_ID,ROW()-4)="","",IF(SUMPRODUCT((P_ID=INDEX(L_ID,ROW()-4))*(P_StatusN="INACTIVE"))&gt;0,1,0))</f>
        <v/>
      </c>
    </row>
    <row r="4178">
      <c r="A4178">
        <f>IF(INDEX(L_ID,ROW()-4)="","",IF(COUNTIF(P_ID,INDEX(L_ID,ROW()-4))&gt;0,1,0))</f>
        <v/>
      </c>
      <c r="B4178">
        <f>IF(INDEX(P_Type,ROW()-4)="","",TRIM(UPPER(INDEX(P_Type,ROW()-4))))</f>
        <v/>
      </c>
      <c r="D4178">
        <f>IF(INDEX(L_Type,ROW()-4)="","",TRIM(UPPER(INDEX(L_Type,ROW()-4))))</f>
        <v/>
      </c>
      <c r="E4178">
        <f>IF(INDEX(P_Status,ROW()-4)="","",TRIM(UPPER(INDEX(P_Status,ROW()-4))))</f>
        <v/>
      </c>
      <c r="G4178">
        <f>IF(INDEX(L_Status,ROW()-4)="","",TRIM(UPPER(INDEX(L_Status,ROW()-4))))</f>
        <v/>
      </c>
      <c r="J4178">
        <f>IF(INDEX(L_ID,ROW()-4)="","",IF(SUMPRODUCT((P_ID=INDEX(L_ID,ROW()-4))*(P_StatusN="INACTIVE"))&gt;0,1,0))</f>
        <v/>
      </c>
    </row>
    <row r="4179">
      <c r="A4179">
        <f>IF(INDEX(L_ID,ROW()-4)="","",IF(COUNTIF(P_ID,INDEX(L_ID,ROW()-4))&gt;0,1,0))</f>
        <v/>
      </c>
      <c r="B4179">
        <f>IF(INDEX(P_Type,ROW()-4)="","",TRIM(UPPER(INDEX(P_Type,ROW()-4))))</f>
        <v/>
      </c>
      <c r="D4179">
        <f>IF(INDEX(L_Type,ROW()-4)="","",TRIM(UPPER(INDEX(L_Type,ROW()-4))))</f>
        <v/>
      </c>
      <c r="E4179">
        <f>IF(INDEX(P_Status,ROW()-4)="","",TRIM(UPPER(INDEX(P_Status,ROW()-4))))</f>
        <v/>
      </c>
      <c r="G4179">
        <f>IF(INDEX(L_Status,ROW()-4)="","",TRIM(UPPER(INDEX(L_Status,ROW()-4))))</f>
        <v/>
      </c>
      <c r="J4179">
        <f>IF(INDEX(L_ID,ROW()-4)="","",IF(SUMPRODUCT((P_ID=INDEX(L_ID,ROW()-4))*(P_StatusN="INACTIVE"))&gt;0,1,0))</f>
        <v/>
      </c>
    </row>
    <row r="4180">
      <c r="A4180">
        <f>IF(INDEX(L_ID,ROW()-4)="","",IF(COUNTIF(P_ID,INDEX(L_ID,ROW()-4))&gt;0,1,0))</f>
        <v/>
      </c>
      <c r="B4180">
        <f>IF(INDEX(P_Type,ROW()-4)="","",TRIM(UPPER(INDEX(P_Type,ROW()-4))))</f>
        <v/>
      </c>
      <c r="D4180">
        <f>IF(INDEX(L_Type,ROW()-4)="","",TRIM(UPPER(INDEX(L_Type,ROW()-4))))</f>
        <v/>
      </c>
      <c r="E4180">
        <f>IF(INDEX(P_Status,ROW()-4)="","",TRIM(UPPER(INDEX(P_Status,ROW()-4))))</f>
        <v/>
      </c>
      <c r="G4180">
        <f>IF(INDEX(L_Status,ROW()-4)="","",TRIM(UPPER(INDEX(L_Status,ROW()-4))))</f>
        <v/>
      </c>
      <c r="J4180">
        <f>IF(INDEX(L_ID,ROW()-4)="","",IF(SUMPRODUCT((P_ID=INDEX(L_ID,ROW()-4))*(P_StatusN="INACTIVE"))&gt;0,1,0))</f>
        <v/>
      </c>
    </row>
    <row r="4181">
      <c r="A4181">
        <f>IF(INDEX(L_ID,ROW()-4)="","",IF(COUNTIF(P_ID,INDEX(L_ID,ROW()-4))&gt;0,1,0))</f>
        <v/>
      </c>
      <c r="B4181">
        <f>IF(INDEX(P_Type,ROW()-4)="","",TRIM(UPPER(INDEX(P_Type,ROW()-4))))</f>
        <v/>
      </c>
      <c r="D4181">
        <f>IF(INDEX(L_Type,ROW()-4)="","",TRIM(UPPER(INDEX(L_Type,ROW()-4))))</f>
        <v/>
      </c>
      <c r="E4181">
        <f>IF(INDEX(P_Status,ROW()-4)="","",TRIM(UPPER(INDEX(P_Status,ROW()-4))))</f>
        <v/>
      </c>
      <c r="G4181">
        <f>IF(INDEX(L_Status,ROW()-4)="","",TRIM(UPPER(INDEX(L_Status,ROW()-4))))</f>
        <v/>
      </c>
      <c r="J4181">
        <f>IF(INDEX(L_ID,ROW()-4)="","",IF(SUMPRODUCT((P_ID=INDEX(L_ID,ROW()-4))*(P_StatusN="INACTIVE"))&gt;0,1,0))</f>
        <v/>
      </c>
    </row>
    <row r="4182">
      <c r="A4182">
        <f>IF(INDEX(L_ID,ROW()-4)="","",IF(COUNTIF(P_ID,INDEX(L_ID,ROW()-4))&gt;0,1,0))</f>
        <v/>
      </c>
      <c r="B4182">
        <f>IF(INDEX(P_Type,ROW()-4)="","",TRIM(UPPER(INDEX(P_Type,ROW()-4))))</f>
        <v/>
      </c>
      <c r="D4182">
        <f>IF(INDEX(L_Type,ROW()-4)="","",TRIM(UPPER(INDEX(L_Type,ROW()-4))))</f>
        <v/>
      </c>
      <c r="E4182">
        <f>IF(INDEX(P_Status,ROW()-4)="","",TRIM(UPPER(INDEX(P_Status,ROW()-4))))</f>
        <v/>
      </c>
      <c r="G4182">
        <f>IF(INDEX(L_Status,ROW()-4)="","",TRIM(UPPER(INDEX(L_Status,ROW()-4))))</f>
        <v/>
      </c>
      <c r="J4182">
        <f>IF(INDEX(L_ID,ROW()-4)="","",IF(SUMPRODUCT((P_ID=INDEX(L_ID,ROW()-4))*(P_StatusN="INACTIVE"))&gt;0,1,0))</f>
        <v/>
      </c>
    </row>
    <row r="4183">
      <c r="A4183">
        <f>IF(INDEX(L_ID,ROW()-4)="","",IF(COUNTIF(P_ID,INDEX(L_ID,ROW()-4))&gt;0,1,0))</f>
        <v/>
      </c>
      <c r="B4183">
        <f>IF(INDEX(P_Type,ROW()-4)="","",TRIM(UPPER(INDEX(P_Type,ROW()-4))))</f>
        <v/>
      </c>
      <c r="D4183">
        <f>IF(INDEX(L_Type,ROW()-4)="","",TRIM(UPPER(INDEX(L_Type,ROW()-4))))</f>
        <v/>
      </c>
      <c r="E4183">
        <f>IF(INDEX(P_Status,ROW()-4)="","",TRIM(UPPER(INDEX(P_Status,ROW()-4))))</f>
        <v/>
      </c>
      <c r="G4183">
        <f>IF(INDEX(L_Status,ROW()-4)="","",TRIM(UPPER(INDEX(L_Status,ROW()-4))))</f>
        <v/>
      </c>
      <c r="J4183">
        <f>IF(INDEX(L_ID,ROW()-4)="","",IF(SUMPRODUCT((P_ID=INDEX(L_ID,ROW()-4))*(P_StatusN="INACTIVE"))&gt;0,1,0))</f>
        <v/>
      </c>
    </row>
    <row r="4184">
      <c r="A4184">
        <f>IF(INDEX(L_ID,ROW()-4)="","",IF(COUNTIF(P_ID,INDEX(L_ID,ROW()-4))&gt;0,1,0))</f>
        <v/>
      </c>
      <c r="B4184">
        <f>IF(INDEX(P_Type,ROW()-4)="","",TRIM(UPPER(INDEX(P_Type,ROW()-4))))</f>
        <v/>
      </c>
      <c r="D4184">
        <f>IF(INDEX(L_Type,ROW()-4)="","",TRIM(UPPER(INDEX(L_Type,ROW()-4))))</f>
        <v/>
      </c>
      <c r="E4184">
        <f>IF(INDEX(P_Status,ROW()-4)="","",TRIM(UPPER(INDEX(P_Status,ROW()-4))))</f>
        <v/>
      </c>
      <c r="G4184">
        <f>IF(INDEX(L_Status,ROW()-4)="","",TRIM(UPPER(INDEX(L_Status,ROW()-4))))</f>
        <v/>
      </c>
      <c r="J4184">
        <f>IF(INDEX(L_ID,ROW()-4)="","",IF(SUMPRODUCT((P_ID=INDEX(L_ID,ROW()-4))*(P_StatusN="INACTIVE"))&gt;0,1,0))</f>
        <v/>
      </c>
    </row>
    <row r="4185">
      <c r="A4185">
        <f>IF(INDEX(L_ID,ROW()-4)="","",IF(COUNTIF(P_ID,INDEX(L_ID,ROW()-4))&gt;0,1,0))</f>
        <v/>
      </c>
      <c r="B4185">
        <f>IF(INDEX(P_Type,ROW()-4)="","",TRIM(UPPER(INDEX(P_Type,ROW()-4))))</f>
        <v/>
      </c>
      <c r="D4185">
        <f>IF(INDEX(L_Type,ROW()-4)="","",TRIM(UPPER(INDEX(L_Type,ROW()-4))))</f>
        <v/>
      </c>
      <c r="E4185">
        <f>IF(INDEX(P_Status,ROW()-4)="","",TRIM(UPPER(INDEX(P_Status,ROW()-4))))</f>
        <v/>
      </c>
      <c r="G4185">
        <f>IF(INDEX(L_Status,ROW()-4)="","",TRIM(UPPER(INDEX(L_Status,ROW()-4))))</f>
        <v/>
      </c>
      <c r="J4185">
        <f>IF(INDEX(L_ID,ROW()-4)="","",IF(SUMPRODUCT((P_ID=INDEX(L_ID,ROW()-4))*(P_StatusN="INACTIVE"))&gt;0,1,0))</f>
        <v/>
      </c>
    </row>
    <row r="4186">
      <c r="A4186">
        <f>IF(INDEX(L_ID,ROW()-4)="","",IF(COUNTIF(P_ID,INDEX(L_ID,ROW()-4))&gt;0,1,0))</f>
        <v/>
      </c>
      <c r="B4186">
        <f>IF(INDEX(P_Type,ROW()-4)="","",TRIM(UPPER(INDEX(P_Type,ROW()-4))))</f>
        <v/>
      </c>
      <c r="D4186">
        <f>IF(INDEX(L_Type,ROW()-4)="","",TRIM(UPPER(INDEX(L_Type,ROW()-4))))</f>
        <v/>
      </c>
      <c r="E4186">
        <f>IF(INDEX(P_Status,ROW()-4)="","",TRIM(UPPER(INDEX(P_Status,ROW()-4))))</f>
        <v/>
      </c>
      <c r="G4186">
        <f>IF(INDEX(L_Status,ROW()-4)="","",TRIM(UPPER(INDEX(L_Status,ROW()-4))))</f>
        <v/>
      </c>
      <c r="J4186">
        <f>IF(INDEX(L_ID,ROW()-4)="","",IF(SUMPRODUCT((P_ID=INDEX(L_ID,ROW()-4))*(P_StatusN="INACTIVE"))&gt;0,1,0))</f>
        <v/>
      </c>
    </row>
    <row r="4187">
      <c r="A4187">
        <f>IF(INDEX(L_ID,ROW()-4)="","",IF(COUNTIF(P_ID,INDEX(L_ID,ROW()-4))&gt;0,1,0))</f>
        <v/>
      </c>
      <c r="B4187">
        <f>IF(INDEX(P_Type,ROW()-4)="","",TRIM(UPPER(INDEX(P_Type,ROW()-4))))</f>
        <v/>
      </c>
      <c r="D4187">
        <f>IF(INDEX(L_Type,ROW()-4)="","",TRIM(UPPER(INDEX(L_Type,ROW()-4))))</f>
        <v/>
      </c>
      <c r="E4187">
        <f>IF(INDEX(P_Status,ROW()-4)="","",TRIM(UPPER(INDEX(P_Status,ROW()-4))))</f>
        <v/>
      </c>
      <c r="G4187">
        <f>IF(INDEX(L_Status,ROW()-4)="","",TRIM(UPPER(INDEX(L_Status,ROW()-4))))</f>
        <v/>
      </c>
      <c r="J4187">
        <f>IF(INDEX(L_ID,ROW()-4)="","",IF(SUMPRODUCT((P_ID=INDEX(L_ID,ROW()-4))*(P_StatusN="INACTIVE"))&gt;0,1,0))</f>
        <v/>
      </c>
    </row>
    <row r="4188">
      <c r="A4188">
        <f>IF(INDEX(L_ID,ROW()-4)="","",IF(COUNTIF(P_ID,INDEX(L_ID,ROW()-4))&gt;0,1,0))</f>
        <v/>
      </c>
      <c r="B4188">
        <f>IF(INDEX(P_Type,ROW()-4)="","",TRIM(UPPER(INDEX(P_Type,ROW()-4))))</f>
        <v/>
      </c>
      <c r="D4188">
        <f>IF(INDEX(L_Type,ROW()-4)="","",TRIM(UPPER(INDEX(L_Type,ROW()-4))))</f>
        <v/>
      </c>
      <c r="E4188">
        <f>IF(INDEX(P_Status,ROW()-4)="","",TRIM(UPPER(INDEX(P_Status,ROW()-4))))</f>
        <v/>
      </c>
      <c r="G4188">
        <f>IF(INDEX(L_Status,ROW()-4)="","",TRIM(UPPER(INDEX(L_Status,ROW()-4))))</f>
        <v/>
      </c>
      <c r="J4188">
        <f>IF(INDEX(L_ID,ROW()-4)="","",IF(SUMPRODUCT((P_ID=INDEX(L_ID,ROW()-4))*(P_StatusN="INACTIVE"))&gt;0,1,0))</f>
        <v/>
      </c>
    </row>
    <row r="4189">
      <c r="A4189">
        <f>IF(INDEX(L_ID,ROW()-4)="","",IF(COUNTIF(P_ID,INDEX(L_ID,ROW()-4))&gt;0,1,0))</f>
        <v/>
      </c>
      <c r="B4189">
        <f>IF(INDEX(P_Type,ROW()-4)="","",TRIM(UPPER(INDEX(P_Type,ROW()-4))))</f>
        <v/>
      </c>
      <c r="D4189">
        <f>IF(INDEX(L_Type,ROW()-4)="","",TRIM(UPPER(INDEX(L_Type,ROW()-4))))</f>
        <v/>
      </c>
      <c r="E4189">
        <f>IF(INDEX(P_Status,ROW()-4)="","",TRIM(UPPER(INDEX(P_Status,ROW()-4))))</f>
        <v/>
      </c>
      <c r="G4189">
        <f>IF(INDEX(L_Status,ROW()-4)="","",TRIM(UPPER(INDEX(L_Status,ROW()-4))))</f>
        <v/>
      </c>
      <c r="J4189">
        <f>IF(INDEX(L_ID,ROW()-4)="","",IF(SUMPRODUCT((P_ID=INDEX(L_ID,ROW()-4))*(P_StatusN="INACTIVE"))&gt;0,1,0))</f>
        <v/>
      </c>
    </row>
    <row r="4190">
      <c r="A4190">
        <f>IF(INDEX(L_ID,ROW()-4)="","",IF(COUNTIF(P_ID,INDEX(L_ID,ROW()-4))&gt;0,1,0))</f>
        <v/>
      </c>
      <c r="B4190">
        <f>IF(INDEX(P_Type,ROW()-4)="","",TRIM(UPPER(INDEX(P_Type,ROW()-4))))</f>
        <v/>
      </c>
      <c r="D4190">
        <f>IF(INDEX(L_Type,ROW()-4)="","",TRIM(UPPER(INDEX(L_Type,ROW()-4))))</f>
        <v/>
      </c>
      <c r="E4190">
        <f>IF(INDEX(P_Status,ROW()-4)="","",TRIM(UPPER(INDEX(P_Status,ROW()-4))))</f>
        <v/>
      </c>
      <c r="G4190">
        <f>IF(INDEX(L_Status,ROW()-4)="","",TRIM(UPPER(INDEX(L_Status,ROW()-4))))</f>
        <v/>
      </c>
      <c r="J4190">
        <f>IF(INDEX(L_ID,ROW()-4)="","",IF(SUMPRODUCT((P_ID=INDEX(L_ID,ROW()-4))*(P_StatusN="INACTIVE"))&gt;0,1,0))</f>
        <v/>
      </c>
    </row>
    <row r="4191">
      <c r="A4191">
        <f>IF(INDEX(L_ID,ROW()-4)="","",IF(COUNTIF(P_ID,INDEX(L_ID,ROW()-4))&gt;0,1,0))</f>
        <v/>
      </c>
      <c r="B4191">
        <f>IF(INDEX(P_Type,ROW()-4)="","",TRIM(UPPER(INDEX(P_Type,ROW()-4))))</f>
        <v/>
      </c>
      <c r="D4191">
        <f>IF(INDEX(L_Type,ROW()-4)="","",TRIM(UPPER(INDEX(L_Type,ROW()-4))))</f>
        <v/>
      </c>
      <c r="E4191">
        <f>IF(INDEX(P_Status,ROW()-4)="","",TRIM(UPPER(INDEX(P_Status,ROW()-4))))</f>
        <v/>
      </c>
      <c r="G4191">
        <f>IF(INDEX(L_Status,ROW()-4)="","",TRIM(UPPER(INDEX(L_Status,ROW()-4))))</f>
        <v/>
      </c>
      <c r="J4191">
        <f>IF(INDEX(L_ID,ROW()-4)="","",IF(SUMPRODUCT((P_ID=INDEX(L_ID,ROW()-4))*(P_StatusN="INACTIVE"))&gt;0,1,0))</f>
        <v/>
      </c>
    </row>
    <row r="4192">
      <c r="A4192">
        <f>IF(INDEX(L_ID,ROW()-4)="","",IF(COUNTIF(P_ID,INDEX(L_ID,ROW()-4))&gt;0,1,0))</f>
        <v/>
      </c>
      <c r="B4192">
        <f>IF(INDEX(P_Type,ROW()-4)="","",TRIM(UPPER(INDEX(P_Type,ROW()-4))))</f>
        <v/>
      </c>
      <c r="D4192">
        <f>IF(INDEX(L_Type,ROW()-4)="","",TRIM(UPPER(INDEX(L_Type,ROW()-4))))</f>
        <v/>
      </c>
      <c r="E4192">
        <f>IF(INDEX(P_Status,ROW()-4)="","",TRIM(UPPER(INDEX(P_Status,ROW()-4))))</f>
        <v/>
      </c>
      <c r="G4192">
        <f>IF(INDEX(L_Status,ROW()-4)="","",TRIM(UPPER(INDEX(L_Status,ROW()-4))))</f>
        <v/>
      </c>
      <c r="J4192">
        <f>IF(INDEX(L_ID,ROW()-4)="","",IF(SUMPRODUCT((P_ID=INDEX(L_ID,ROW()-4))*(P_StatusN="INACTIVE"))&gt;0,1,0))</f>
        <v/>
      </c>
    </row>
    <row r="4193">
      <c r="A4193">
        <f>IF(INDEX(L_ID,ROW()-4)="","",IF(COUNTIF(P_ID,INDEX(L_ID,ROW()-4))&gt;0,1,0))</f>
        <v/>
      </c>
      <c r="B4193">
        <f>IF(INDEX(P_Type,ROW()-4)="","",TRIM(UPPER(INDEX(P_Type,ROW()-4))))</f>
        <v/>
      </c>
      <c r="D4193">
        <f>IF(INDEX(L_Type,ROW()-4)="","",TRIM(UPPER(INDEX(L_Type,ROW()-4))))</f>
        <v/>
      </c>
      <c r="E4193">
        <f>IF(INDEX(P_Status,ROW()-4)="","",TRIM(UPPER(INDEX(P_Status,ROW()-4))))</f>
        <v/>
      </c>
      <c r="G4193">
        <f>IF(INDEX(L_Status,ROW()-4)="","",TRIM(UPPER(INDEX(L_Status,ROW()-4))))</f>
        <v/>
      </c>
      <c r="J4193">
        <f>IF(INDEX(L_ID,ROW()-4)="","",IF(SUMPRODUCT((P_ID=INDEX(L_ID,ROW()-4))*(P_StatusN="INACTIVE"))&gt;0,1,0))</f>
        <v/>
      </c>
    </row>
    <row r="4194">
      <c r="A4194">
        <f>IF(INDEX(L_ID,ROW()-4)="","",IF(COUNTIF(P_ID,INDEX(L_ID,ROW()-4))&gt;0,1,0))</f>
        <v/>
      </c>
      <c r="B4194">
        <f>IF(INDEX(P_Type,ROW()-4)="","",TRIM(UPPER(INDEX(P_Type,ROW()-4))))</f>
        <v/>
      </c>
      <c r="D4194">
        <f>IF(INDEX(L_Type,ROW()-4)="","",TRIM(UPPER(INDEX(L_Type,ROW()-4))))</f>
        <v/>
      </c>
      <c r="E4194">
        <f>IF(INDEX(P_Status,ROW()-4)="","",TRIM(UPPER(INDEX(P_Status,ROW()-4))))</f>
        <v/>
      </c>
      <c r="G4194">
        <f>IF(INDEX(L_Status,ROW()-4)="","",TRIM(UPPER(INDEX(L_Status,ROW()-4))))</f>
        <v/>
      </c>
      <c r="J4194">
        <f>IF(INDEX(L_ID,ROW()-4)="","",IF(SUMPRODUCT((P_ID=INDEX(L_ID,ROW()-4))*(P_StatusN="INACTIVE"))&gt;0,1,0))</f>
        <v/>
      </c>
    </row>
    <row r="4195">
      <c r="A4195">
        <f>IF(INDEX(L_ID,ROW()-4)="","",IF(COUNTIF(P_ID,INDEX(L_ID,ROW()-4))&gt;0,1,0))</f>
        <v/>
      </c>
      <c r="B4195">
        <f>IF(INDEX(P_Type,ROW()-4)="","",TRIM(UPPER(INDEX(P_Type,ROW()-4))))</f>
        <v/>
      </c>
      <c r="D4195">
        <f>IF(INDEX(L_Type,ROW()-4)="","",TRIM(UPPER(INDEX(L_Type,ROW()-4))))</f>
        <v/>
      </c>
      <c r="E4195">
        <f>IF(INDEX(P_Status,ROW()-4)="","",TRIM(UPPER(INDEX(P_Status,ROW()-4))))</f>
        <v/>
      </c>
      <c r="G4195">
        <f>IF(INDEX(L_Status,ROW()-4)="","",TRIM(UPPER(INDEX(L_Status,ROW()-4))))</f>
        <v/>
      </c>
      <c r="J4195">
        <f>IF(INDEX(L_ID,ROW()-4)="","",IF(SUMPRODUCT((P_ID=INDEX(L_ID,ROW()-4))*(P_StatusN="INACTIVE"))&gt;0,1,0))</f>
        <v/>
      </c>
    </row>
    <row r="4196">
      <c r="A4196">
        <f>IF(INDEX(L_ID,ROW()-4)="","",IF(COUNTIF(P_ID,INDEX(L_ID,ROW()-4))&gt;0,1,0))</f>
        <v/>
      </c>
      <c r="B4196">
        <f>IF(INDEX(P_Type,ROW()-4)="","",TRIM(UPPER(INDEX(P_Type,ROW()-4))))</f>
        <v/>
      </c>
      <c r="D4196">
        <f>IF(INDEX(L_Type,ROW()-4)="","",TRIM(UPPER(INDEX(L_Type,ROW()-4))))</f>
        <v/>
      </c>
      <c r="E4196">
        <f>IF(INDEX(P_Status,ROW()-4)="","",TRIM(UPPER(INDEX(P_Status,ROW()-4))))</f>
        <v/>
      </c>
      <c r="G4196">
        <f>IF(INDEX(L_Status,ROW()-4)="","",TRIM(UPPER(INDEX(L_Status,ROW()-4))))</f>
        <v/>
      </c>
      <c r="J4196">
        <f>IF(INDEX(L_ID,ROW()-4)="","",IF(SUMPRODUCT((P_ID=INDEX(L_ID,ROW()-4))*(P_StatusN="INACTIVE"))&gt;0,1,0))</f>
        <v/>
      </c>
    </row>
    <row r="4197">
      <c r="A4197">
        <f>IF(INDEX(L_ID,ROW()-4)="","",IF(COUNTIF(P_ID,INDEX(L_ID,ROW()-4))&gt;0,1,0))</f>
        <v/>
      </c>
      <c r="B4197">
        <f>IF(INDEX(P_Type,ROW()-4)="","",TRIM(UPPER(INDEX(P_Type,ROW()-4))))</f>
        <v/>
      </c>
      <c r="D4197">
        <f>IF(INDEX(L_Type,ROW()-4)="","",TRIM(UPPER(INDEX(L_Type,ROW()-4))))</f>
        <v/>
      </c>
      <c r="E4197">
        <f>IF(INDEX(P_Status,ROW()-4)="","",TRIM(UPPER(INDEX(P_Status,ROW()-4))))</f>
        <v/>
      </c>
      <c r="G4197">
        <f>IF(INDEX(L_Status,ROW()-4)="","",TRIM(UPPER(INDEX(L_Status,ROW()-4))))</f>
        <v/>
      </c>
      <c r="J4197">
        <f>IF(INDEX(L_ID,ROW()-4)="","",IF(SUMPRODUCT((P_ID=INDEX(L_ID,ROW()-4))*(P_StatusN="INACTIVE"))&gt;0,1,0))</f>
        <v/>
      </c>
    </row>
    <row r="4198">
      <c r="A4198">
        <f>IF(INDEX(L_ID,ROW()-4)="","",IF(COUNTIF(P_ID,INDEX(L_ID,ROW()-4))&gt;0,1,0))</f>
        <v/>
      </c>
      <c r="B4198">
        <f>IF(INDEX(P_Type,ROW()-4)="","",TRIM(UPPER(INDEX(P_Type,ROW()-4))))</f>
        <v/>
      </c>
      <c r="D4198">
        <f>IF(INDEX(L_Type,ROW()-4)="","",TRIM(UPPER(INDEX(L_Type,ROW()-4))))</f>
        <v/>
      </c>
      <c r="E4198">
        <f>IF(INDEX(P_Status,ROW()-4)="","",TRIM(UPPER(INDEX(P_Status,ROW()-4))))</f>
        <v/>
      </c>
      <c r="G4198">
        <f>IF(INDEX(L_Status,ROW()-4)="","",TRIM(UPPER(INDEX(L_Status,ROW()-4))))</f>
        <v/>
      </c>
      <c r="J4198">
        <f>IF(INDEX(L_ID,ROW()-4)="","",IF(SUMPRODUCT((P_ID=INDEX(L_ID,ROW()-4))*(P_StatusN="INACTIVE"))&gt;0,1,0))</f>
        <v/>
      </c>
    </row>
    <row r="4199">
      <c r="A4199">
        <f>IF(INDEX(L_ID,ROW()-4)="","",IF(COUNTIF(P_ID,INDEX(L_ID,ROW()-4))&gt;0,1,0))</f>
        <v/>
      </c>
      <c r="B4199">
        <f>IF(INDEX(P_Type,ROW()-4)="","",TRIM(UPPER(INDEX(P_Type,ROW()-4))))</f>
        <v/>
      </c>
      <c r="D4199">
        <f>IF(INDEX(L_Type,ROW()-4)="","",TRIM(UPPER(INDEX(L_Type,ROW()-4))))</f>
        <v/>
      </c>
      <c r="E4199">
        <f>IF(INDEX(P_Status,ROW()-4)="","",TRIM(UPPER(INDEX(P_Status,ROW()-4))))</f>
        <v/>
      </c>
      <c r="G4199">
        <f>IF(INDEX(L_Status,ROW()-4)="","",TRIM(UPPER(INDEX(L_Status,ROW()-4))))</f>
        <v/>
      </c>
      <c r="J4199">
        <f>IF(INDEX(L_ID,ROW()-4)="","",IF(SUMPRODUCT((P_ID=INDEX(L_ID,ROW()-4))*(P_StatusN="INACTIVE"))&gt;0,1,0))</f>
        <v/>
      </c>
    </row>
    <row r="4200">
      <c r="A4200">
        <f>IF(INDEX(L_ID,ROW()-4)="","",IF(COUNTIF(P_ID,INDEX(L_ID,ROW()-4))&gt;0,1,0))</f>
        <v/>
      </c>
      <c r="B4200">
        <f>IF(INDEX(P_Type,ROW()-4)="","",TRIM(UPPER(INDEX(P_Type,ROW()-4))))</f>
        <v/>
      </c>
      <c r="D4200">
        <f>IF(INDEX(L_Type,ROW()-4)="","",TRIM(UPPER(INDEX(L_Type,ROW()-4))))</f>
        <v/>
      </c>
      <c r="E4200">
        <f>IF(INDEX(P_Status,ROW()-4)="","",TRIM(UPPER(INDEX(P_Status,ROW()-4))))</f>
        <v/>
      </c>
      <c r="G4200">
        <f>IF(INDEX(L_Status,ROW()-4)="","",TRIM(UPPER(INDEX(L_Status,ROW()-4))))</f>
        <v/>
      </c>
      <c r="J4200">
        <f>IF(INDEX(L_ID,ROW()-4)="","",IF(SUMPRODUCT((P_ID=INDEX(L_ID,ROW()-4))*(P_StatusN="INACTIVE"))&gt;0,1,0))</f>
        <v/>
      </c>
    </row>
    <row r="4201">
      <c r="A4201">
        <f>IF(INDEX(L_ID,ROW()-4)="","",IF(COUNTIF(P_ID,INDEX(L_ID,ROW()-4))&gt;0,1,0))</f>
        <v/>
      </c>
      <c r="B4201">
        <f>IF(INDEX(P_Type,ROW()-4)="","",TRIM(UPPER(INDEX(P_Type,ROW()-4))))</f>
        <v/>
      </c>
      <c r="D4201">
        <f>IF(INDEX(L_Type,ROW()-4)="","",TRIM(UPPER(INDEX(L_Type,ROW()-4))))</f>
        <v/>
      </c>
      <c r="E4201">
        <f>IF(INDEX(P_Status,ROW()-4)="","",TRIM(UPPER(INDEX(P_Status,ROW()-4))))</f>
        <v/>
      </c>
      <c r="G4201">
        <f>IF(INDEX(L_Status,ROW()-4)="","",TRIM(UPPER(INDEX(L_Status,ROW()-4))))</f>
        <v/>
      </c>
      <c r="J4201">
        <f>IF(INDEX(L_ID,ROW()-4)="","",IF(SUMPRODUCT((P_ID=INDEX(L_ID,ROW()-4))*(P_StatusN="INACTIVE"))&gt;0,1,0))</f>
        <v/>
      </c>
    </row>
    <row r="4202">
      <c r="A4202">
        <f>IF(INDEX(L_ID,ROW()-4)="","",IF(COUNTIF(P_ID,INDEX(L_ID,ROW()-4))&gt;0,1,0))</f>
        <v/>
      </c>
      <c r="B4202">
        <f>IF(INDEX(P_Type,ROW()-4)="","",TRIM(UPPER(INDEX(P_Type,ROW()-4))))</f>
        <v/>
      </c>
      <c r="D4202">
        <f>IF(INDEX(L_Type,ROW()-4)="","",TRIM(UPPER(INDEX(L_Type,ROW()-4))))</f>
        <v/>
      </c>
      <c r="E4202">
        <f>IF(INDEX(P_Status,ROW()-4)="","",TRIM(UPPER(INDEX(P_Status,ROW()-4))))</f>
        <v/>
      </c>
      <c r="G4202">
        <f>IF(INDEX(L_Status,ROW()-4)="","",TRIM(UPPER(INDEX(L_Status,ROW()-4))))</f>
        <v/>
      </c>
      <c r="J4202">
        <f>IF(INDEX(L_ID,ROW()-4)="","",IF(SUMPRODUCT((P_ID=INDEX(L_ID,ROW()-4))*(P_StatusN="INACTIVE"))&gt;0,1,0))</f>
        <v/>
      </c>
    </row>
    <row r="4203">
      <c r="A4203">
        <f>IF(INDEX(L_ID,ROW()-4)="","",IF(COUNTIF(P_ID,INDEX(L_ID,ROW()-4))&gt;0,1,0))</f>
        <v/>
      </c>
      <c r="B4203">
        <f>IF(INDEX(P_Type,ROW()-4)="","",TRIM(UPPER(INDEX(P_Type,ROW()-4))))</f>
        <v/>
      </c>
      <c r="D4203">
        <f>IF(INDEX(L_Type,ROW()-4)="","",TRIM(UPPER(INDEX(L_Type,ROW()-4))))</f>
        <v/>
      </c>
      <c r="E4203">
        <f>IF(INDEX(P_Status,ROW()-4)="","",TRIM(UPPER(INDEX(P_Status,ROW()-4))))</f>
        <v/>
      </c>
      <c r="G4203">
        <f>IF(INDEX(L_Status,ROW()-4)="","",TRIM(UPPER(INDEX(L_Status,ROW()-4))))</f>
        <v/>
      </c>
      <c r="J4203">
        <f>IF(INDEX(L_ID,ROW()-4)="","",IF(SUMPRODUCT((P_ID=INDEX(L_ID,ROW()-4))*(P_StatusN="INACTIVE"))&gt;0,1,0))</f>
        <v/>
      </c>
    </row>
    <row r="4204">
      <c r="A4204">
        <f>IF(INDEX(L_ID,ROW()-4)="","",IF(COUNTIF(P_ID,INDEX(L_ID,ROW()-4))&gt;0,1,0))</f>
        <v/>
      </c>
      <c r="B4204">
        <f>IF(INDEX(P_Type,ROW()-4)="","",TRIM(UPPER(INDEX(P_Type,ROW()-4))))</f>
        <v/>
      </c>
      <c r="D4204">
        <f>IF(INDEX(L_Type,ROW()-4)="","",TRIM(UPPER(INDEX(L_Type,ROW()-4))))</f>
        <v/>
      </c>
      <c r="E4204">
        <f>IF(INDEX(P_Status,ROW()-4)="","",TRIM(UPPER(INDEX(P_Status,ROW()-4))))</f>
        <v/>
      </c>
      <c r="G4204">
        <f>IF(INDEX(L_Status,ROW()-4)="","",TRIM(UPPER(INDEX(L_Status,ROW()-4))))</f>
        <v/>
      </c>
      <c r="J4204">
        <f>IF(INDEX(L_ID,ROW()-4)="","",IF(SUMPRODUCT((P_ID=INDEX(L_ID,ROW()-4))*(P_StatusN="INACTIVE"))&gt;0,1,0))</f>
        <v/>
      </c>
    </row>
    <row r="4205">
      <c r="A4205">
        <f>IF(INDEX(L_ID,ROW()-4)="","",IF(COUNTIF(P_ID,INDEX(L_ID,ROW()-4))&gt;0,1,0))</f>
        <v/>
      </c>
      <c r="B4205">
        <f>IF(INDEX(P_Type,ROW()-4)="","",TRIM(UPPER(INDEX(P_Type,ROW()-4))))</f>
        <v/>
      </c>
      <c r="D4205">
        <f>IF(INDEX(L_Type,ROW()-4)="","",TRIM(UPPER(INDEX(L_Type,ROW()-4))))</f>
        <v/>
      </c>
      <c r="E4205">
        <f>IF(INDEX(P_Status,ROW()-4)="","",TRIM(UPPER(INDEX(P_Status,ROW()-4))))</f>
        <v/>
      </c>
      <c r="G4205">
        <f>IF(INDEX(L_Status,ROW()-4)="","",TRIM(UPPER(INDEX(L_Status,ROW()-4))))</f>
        <v/>
      </c>
      <c r="J4205">
        <f>IF(INDEX(L_ID,ROW()-4)="","",IF(SUMPRODUCT((P_ID=INDEX(L_ID,ROW()-4))*(P_StatusN="INACTIVE"))&gt;0,1,0))</f>
        <v/>
      </c>
    </row>
    <row r="4206">
      <c r="A4206">
        <f>IF(INDEX(L_ID,ROW()-4)="","",IF(COUNTIF(P_ID,INDEX(L_ID,ROW()-4))&gt;0,1,0))</f>
        <v/>
      </c>
      <c r="B4206">
        <f>IF(INDEX(P_Type,ROW()-4)="","",TRIM(UPPER(INDEX(P_Type,ROW()-4))))</f>
        <v/>
      </c>
      <c r="D4206">
        <f>IF(INDEX(L_Type,ROW()-4)="","",TRIM(UPPER(INDEX(L_Type,ROW()-4))))</f>
        <v/>
      </c>
      <c r="E4206">
        <f>IF(INDEX(P_Status,ROW()-4)="","",TRIM(UPPER(INDEX(P_Status,ROW()-4))))</f>
        <v/>
      </c>
      <c r="G4206">
        <f>IF(INDEX(L_Status,ROW()-4)="","",TRIM(UPPER(INDEX(L_Status,ROW()-4))))</f>
        <v/>
      </c>
      <c r="J4206">
        <f>IF(INDEX(L_ID,ROW()-4)="","",IF(SUMPRODUCT((P_ID=INDEX(L_ID,ROW()-4))*(P_StatusN="INACTIVE"))&gt;0,1,0))</f>
        <v/>
      </c>
    </row>
    <row r="4207">
      <c r="A4207">
        <f>IF(INDEX(L_ID,ROW()-4)="","",IF(COUNTIF(P_ID,INDEX(L_ID,ROW()-4))&gt;0,1,0))</f>
        <v/>
      </c>
      <c r="B4207">
        <f>IF(INDEX(P_Type,ROW()-4)="","",TRIM(UPPER(INDEX(P_Type,ROW()-4))))</f>
        <v/>
      </c>
      <c r="D4207">
        <f>IF(INDEX(L_Type,ROW()-4)="","",TRIM(UPPER(INDEX(L_Type,ROW()-4))))</f>
        <v/>
      </c>
      <c r="E4207">
        <f>IF(INDEX(P_Status,ROW()-4)="","",TRIM(UPPER(INDEX(P_Status,ROW()-4))))</f>
        <v/>
      </c>
      <c r="G4207">
        <f>IF(INDEX(L_Status,ROW()-4)="","",TRIM(UPPER(INDEX(L_Status,ROW()-4))))</f>
        <v/>
      </c>
      <c r="J4207">
        <f>IF(INDEX(L_ID,ROW()-4)="","",IF(SUMPRODUCT((P_ID=INDEX(L_ID,ROW()-4))*(P_StatusN="INACTIVE"))&gt;0,1,0))</f>
        <v/>
      </c>
    </row>
    <row r="4208">
      <c r="A4208">
        <f>IF(INDEX(L_ID,ROW()-4)="","",IF(COUNTIF(P_ID,INDEX(L_ID,ROW()-4))&gt;0,1,0))</f>
        <v/>
      </c>
      <c r="B4208">
        <f>IF(INDEX(P_Type,ROW()-4)="","",TRIM(UPPER(INDEX(P_Type,ROW()-4))))</f>
        <v/>
      </c>
      <c r="D4208">
        <f>IF(INDEX(L_Type,ROW()-4)="","",TRIM(UPPER(INDEX(L_Type,ROW()-4))))</f>
        <v/>
      </c>
      <c r="E4208">
        <f>IF(INDEX(P_Status,ROW()-4)="","",TRIM(UPPER(INDEX(P_Status,ROW()-4))))</f>
        <v/>
      </c>
      <c r="G4208">
        <f>IF(INDEX(L_Status,ROW()-4)="","",TRIM(UPPER(INDEX(L_Status,ROW()-4))))</f>
        <v/>
      </c>
      <c r="J4208">
        <f>IF(INDEX(L_ID,ROW()-4)="","",IF(SUMPRODUCT((P_ID=INDEX(L_ID,ROW()-4))*(P_StatusN="INACTIVE"))&gt;0,1,0))</f>
        <v/>
      </c>
    </row>
    <row r="4209">
      <c r="A4209">
        <f>IF(INDEX(L_ID,ROW()-4)="","",IF(COUNTIF(P_ID,INDEX(L_ID,ROW()-4))&gt;0,1,0))</f>
        <v/>
      </c>
      <c r="B4209">
        <f>IF(INDEX(P_Type,ROW()-4)="","",TRIM(UPPER(INDEX(P_Type,ROW()-4))))</f>
        <v/>
      </c>
      <c r="D4209">
        <f>IF(INDEX(L_Type,ROW()-4)="","",TRIM(UPPER(INDEX(L_Type,ROW()-4))))</f>
        <v/>
      </c>
      <c r="E4209">
        <f>IF(INDEX(P_Status,ROW()-4)="","",TRIM(UPPER(INDEX(P_Status,ROW()-4))))</f>
        <v/>
      </c>
      <c r="G4209">
        <f>IF(INDEX(L_Status,ROW()-4)="","",TRIM(UPPER(INDEX(L_Status,ROW()-4))))</f>
        <v/>
      </c>
      <c r="J4209">
        <f>IF(INDEX(L_ID,ROW()-4)="","",IF(SUMPRODUCT((P_ID=INDEX(L_ID,ROW()-4))*(P_StatusN="INACTIVE"))&gt;0,1,0))</f>
        <v/>
      </c>
    </row>
    <row r="4210">
      <c r="A4210">
        <f>IF(INDEX(L_ID,ROW()-4)="","",IF(COUNTIF(P_ID,INDEX(L_ID,ROW()-4))&gt;0,1,0))</f>
        <v/>
      </c>
      <c r="B4210">
        <f>IF(INDEX(P_Type,ROW()-4)="","",TRIM(UPPER(INDEX(P_Type,ROW()-4))))</f>
        <v/>
      </c>
      <c r="D4210">
        <f>IF(INDEX(L_Type,ROW()-4)="","",TRIM(UPPER(INDEX(L_Type,ROW()-4))))</f>
        <v/>
      </c>
      <c r="E4210">
        <f>IF(INDEX(P_Status,ROW()-4)="","",TRIM(UPPER(INDEX(P_Status,ROW()-4))))</f>
        <v/>
      </c>
      <c r="G4210">
        <f>IF(INDEX(L_Status,ROW()-4)="","",TRIM(UPPER(INDEX(L_Status,ROW()-4))))</f>
        <v/>
      </c>
      <c r="J4210">
        <f>IF(INDEX(L_ID,ROW()-4)="","",IF(SUMPRODUCT((P_ID=INDEX(L_ID,ROW()-4))*(P_StatusN="INACTIVE"))&gt;0,1,0))</f>
        <v/>
      </c>
    </row>
    <row r="4211">
      <c r="A4211">
        <f>IF(INDEX(L_ID,ROW()-4)="","",IF(COUNTIF(P_ID,INDEX(L_ID,ROW()-4))&gt;0,1,0))</f>
        <v/>
      </c>
      <c r="B4211">
        <f>IF(INDEX(P_Type,ROW()-4)="","",TRIM(UPPER(INDEX(P_Type,ROW()-4))))</f>
        <v/>
      </c>
      <c r="D4211">
        <f>IF(INDEX(L_Type,ROW()-4)="","",TRIM(UPPER(INDEX(L_Type,ROW()-4))))</f>
        <v/>
      </c>
      <c r="E4211">
        <f>IF(INDEX(P_Status,ROW()-4)="","",TRIM(UPPER(INDEX(P_Status,ROW()-4))))</f>
        <v/>
      </c>
      <c r="G4211">
        <f>IF(INDEX(L_Status,ROW()-4)="","",TRIM(UPPER(INDEX(L_Status,ROW()-4))))</f>
        <v/>
      </c>
      <c r="J4211">
        <f>IF(INDEX(L_ID,ROW()-4)="","",IF(SUMPRODUCT((P_ID=INDEX(L_ID,ROW()-4))*(P_StatusN="INACTIVE"))&gt;0,1,0))</f>
        <v/>
      </c>
    </row>
    <row r="4212">
      <c r="A4212">
        <f>IF(INDEX(L_ID,ROW()-4)="","",IF(COUNTIF(P_ID,INDEX(L_ID,ROW()-4))&gt;0,1,0))</f>
        <v/>
      </c>
      <c r="B4212">
        <f>IF(INDEX(P_Type,ROW()-4)="","",TRIM(UPPER(INDEX(P_Type,ROW()-4))))</f>
        <v/>
      </c>
      <c r="D4212">
        <f>IF(INDEX(L_Type,ROW()-4)="","",TRIM(UPPER(INDEX(L_Type,ROW()-4))))</f>
        <v/>
      </c>
      <c r="E4212">
        <f>IF(INDEX(P_Status,ROW()-4)="","",TRIM(UPPER(INDEX(P_Status,ROW()-4))))</f>
        <v/>
      </c>
      <c r="G4212">
        <f>IF(INDEX(L_Status,ROW()-4)="","",TRIM(UPPER(INDEX(L_Status,ROW()-4))))</f>
        <v/>
      </c>
      <c r="J4212">
        <f>IF(INDEX(L_ID,ROW()-4)="","",IF(SUMPRODUCT((P_ID=INDEX(L_ID,ROW()-4))*(P_StatusN="INACTIVE"))&gt;0,1,0))</f>
        <v/>
      </c>
    </row>
    <row r="4213">
      <c r="A4213">
        <f>IF(INDEX(L_ID,ROW()-4)="","",IF(COUNTIF(P_ID,INDEX(L_ID,ROW()-4))&gt;0,1,0))</f>
        <v/>
      </c>
      <c r="B4213">
        <f>IF(INDEX(P_Type,ROW()-4)="","",TRIM(UPPER(INDEX(P_Type,ROW()-4))))</f>
        <v/>
      </c>
      <c r="D4213">
        <f>IF(INDEX(L_Type,ROW()-4)="","",TRIM(UPPER(INDEX(L_Type,ROW()-4))))</f>
        <v/>
      </c>
      <c r="E4213">
        <f>IF(INDEX(P_Status,ROW()-4)="","",TRIM(UPPER(INDEX(P_Status,ROW()-4))))</f>
        <v/>
      </c>
      <c r="G4213">
        <f>IF(INDEX(L_Status,ROW()-4)="","",TRIM(UPPER(INDEX(L_Status,ROW()-4))))</f>
        <v/>
      </c>
      <c r="J4213">
        <f>IF(INDEX(L_ID,ROW()-4)="","",IF(SUMPRODUCT((P_ID=INDEX(L_ID,ROW()-4))*(P_StatusN="INACTIVE"))&gt;0,1,0))</f>
        <v/>
      </c>
    </row>
    <row r="4214">
      <c r="A4214">
        <f>IF(INDEX(L_ID,ROW()-4)="","",IF(COUNTIF(P_ID,INDEX(L_ID,ROW()-4))&gt;0,1,0))</f>
        <v/>
      </c>
      <c r="B4214">
        <f>IF(INDEX(P_Type,ROW()-4)="","",TRIM(UPPER(INDEX(P_Type,ROW()-4))))</f>
        <v/>
      </c>
      <c r="D4214">
        <f>IF(INDEX(L_Type,ROW()-4)="","",TRIM(UPPER(INDEX(L_Type,ROW()-4))))</f>
        <v/>
      </c>
      <c r="E4214">
        <f>IF(INDEX(P_Status,ROW()-4)="","",TRIM(UPPER(INDEX(P_Status,ROW()-4))))</f>
        <v/>
      </c>
      <c r="G4214">
        <f>IF(INDEX(L_Status,ROW()-4)="","",TRIM(UPPER(INDEX(L_Status,ROW()-4))))</f>
        <v/>
      </c>
      <c r="J4214">
        <f>IF(INDEX(L_ID,ROW()-4)="","",IF(SUMPRODUCT((P_ID=INDEX(L_ID,ROW()-4))*(P_StatusN="INACTIVE"))&gt;0,1,0))</f>
        <v/>
      </c>
    </row>
    <row r="4215">
      <c r="A4215">
        <f>IF(INDEX(L_ID,ROW()-4)="","",IF(COUNTIF(P_ID,INDEX(L_ID,ROW()-4))&gt;0,1,0))</f>
        <v/>
      </c>
      <c r="B4215">
        <f>IF(INDEX(P_Type,ROW()-4)="","",TRIM(UPPER(INDEX(P_Type,ROW()-4))))</f>
        <v/>
      </c>
      <c r="D4215">
        <f>IF(INDEX(L_Type,ROW()-4)="","",TRIM(UPPER(INDEX(L_Type,ROW()-4))))</f>
        <v/>
      </c>
      <c r="E4215">
        <f>IF(INDEX(P_Status,ROW()-4)="","",TRIM(UPPER(INDEX(P_Status,ROW()-4))))</f>
        <v/>
      </c>
      <c r="G4215">
        <f>IF(INDEX(L_Status,ROW()-4)="","",TRIM(UPPER(INDEX(L_Status,ROW()-4))))</f>
        <v/>
      </c>
      <c r="J4215">
        <f>IF(INDEX(L_ID,ROW()-4)="","",IF(SUMPRODUCT((P_ID=INDEX(L_ID,ROW()-4))*(P_StatusN="INACTIVE"))&gt;0,1,0))</f>
        <v/>
      </c>
    </row>
    <row r="4216">
      <c r="A4216">
        <f>IF(INDEX(L_ID,ROW()-4)="","",IF(COUNTIF(P_ID,INDEX(L_ID,ROW()-4))&gt;0,1,0))</f>
        <v/>
      </c>
      <c r="B4216">
        <f>IF(INDEX(P_Type,ROW()-4)="","",TRIM(UPPER(INDEX(P_Type,ROW()-4))))</f>
        <v/>
      </c>
      <c r="D4216">
        <f>IF(INDEX(L_Type,ROW()-4)="","",TRIM(UPPER(INDEX(L_Type,ROW()-4))))</f>
        <v/>
      </c>
      <c r="E4216">
        <f>IF(INDEX(P_Status,ROW()-4)="","",TRIM(UPPER(INDEX(P_Status,ROW()-4))))</f>
        <v/>
      </c>
      <c r="G4216">
        <f>IF(INDEX(L_Status,ROW()-4)="","",TRIM(UPPER(INDEX(L_Status,ROW()-4))))</f>
        <v/>
      </c>
      <c r="J4216">
        <f>IF(INDEX(L_ID,ROW()-4)="","",IF(SUMPRODUCT((P_ID=INDEX(L_ID,ROW()-4))*(P_StatusN="INACTIVE"))&gt;0,1,0))</f>
        <v/>
      </c>
    </row>
    <row r="4217">
      <c r="A4217">
        <f>IF(INDEX(L_ID,ROW()-4)="","",IF(COUNTIF(P_ID,INDEX(L_ID,ROW()-4))&gt;0,1,0))</f>
        <v/>
      </c>
      <c r="B4217">
        <f>IF(INDEX(P_Type,ROW()-4)="","",TRIM(UPPER(INDEX(P_Type,ROW()-4))))</f>
        <v/>
      </c>
      <c r="D4217">
        <f>IF(INDEX(L_Type,ROW()-4)="","",TRIM(UPPER(INDEX(L_Type,ROW()-4))))</f>
        <v/>
      </c>
      <c r="E4217">
        <f>IF(INDEX(P_Status,ROW()-4)="","",TRIM(UPPER(INDEX(P_Status,ROW()-4))))</f>
        <v/>
      </c>
      <c r="G4217">
        <f>IF(INDEX(L_Status,ROW()-4)="","",TRIM(UPPER(INDEX(L_Status,ROW()-4))))</f>
        <v/>
      </c>
      <c r="J4217">
        <f>IF(INDEX(L_ID,ROW()-4)="","",IF(SUMPRODUCT((P_ID=INDEX(L_ID,ROW()-4))*(P_StatusN="INACTIVE"))&gt;0,1,0))</f>
        <v/>
      </c>
    </row>
    <row r="4218">
      <c r="A4218">
        <f>IF(INDEX(L_ID,ROW()-4)="","",IF(COUNTIF(P_ID,INDEX(L_ID,ROW()-4))&gt;0,1,0))</f>
        <v/>
      </c>
      <c r="B4218">
        <f>IF(INDEX(P_Type,ROW()-4)="","",TRIM(UPPER(INDEX(P_Type,ROW()-4))))</f>
        <v/>
      </c>
      <c r="D4218">
        <f>IF(INDEX(L_Type,ROW()-4)="","",TRIM(UPPER(INDEX(L_Type,ROW()-4))))</f>
        <v/>
      </c>
      <c r="E4218">
        <f>IF(INDEX(P_Status,ROW()-4)="","",TRIM(UPPER(INDEX(P_Status,ROW()-4))))</f>
        <v/>
      </c>
      <c r="G4218">
        <f>IF(INDEX(L_Status,ROW()-4)="","",TRIM(UPPER(INDEX(L_Status,ROW()-4))))</f>
        <v/>
      </c>
      <c r="J4218">
        <f>IF(INDEX(L_ID,ROW()-4)="","",IF(SUMPRODUCT((P_ID=INDEX(L_ID,ROW()-4))*(P_StatusN="INACTIVE"))&gt;0,1,0))</f>
        <v/>
      </c>
    </row>
    <row r="4219">
      <c r="A4219">
        <f>IF(INDEX(L_ID,ROW()-4)="","",IF(COUNTIF(P_ID,INDEX(L_ID,ROW()-4))&gt;0,1,0))</f>
        <v/>
      </c>
      <c r="B4219">
        <f>IF(INDEX(P_Type,ROW()-4)="","",TRIM(UPPER(INDEX(P_Type,ROW()-4))))</f>
        <v/>
      </c>
      <c r="D4219">
        <f>IF(INDEX(L_Type,ROW()-4)="","",TRIM(UPPER(INDEX(L_Type,ROW()-4))))</f>
        <v/>
      </c>
      <c r="E4219">
        <f>IF(INDEX(P_Status,ROW()-4)="","",TRIM(UPPER(INDEX(P_Status,ROW()-4))))</f>
        <v/>
      </c>
      <c r="G4219">
        <f>IF(INDEX(L_Status,ROW()-4)="","",TRIM(UPPER(INDEX(L_Status,ROW()-4))))</f>
        <v/>
      </c>
      <c r="J4219">
        <f>IF(INDEX(L_ID,ROW()-4)="","",IF(SUMPRODUCT((P_ID=INDEX(L_ID,ROW()-4))*(P_StatusN="INACTIVE"))&gt;0,1,0))</f>
        <v/>
      </c>
    </row>
    <row r="4220">
      <c r="A4220">
        <f>IF(INDEX(L_ID,ROW()-4)="","",IF(COUNTIF(P_ID,INDEX(L_ID,ROW()-4))&gt;0,1,0))</f>
        <v/>
      </c>
      <c r="B4220">
        <f>IF(INDEX(P_Type,ROW()-4)="","",TRIM(UPPER(INDEX(P_Type,ROW()-4))))</f>
        <v/>
      </c>
      <c r="D4220">
        <f>IF(INDEX(L_Type,ROW()-4)="","",TRIM(UPPER(INDEX(L_Type,ROW()-4))))</f>
        <v/>
      </c>
      <c r="E4220">
        <f>IF(INDEX(P_Status,ROW()-4)="","",TRIM(UPPER(INDEX(P_Status,ROW()-4))))</f>
        <v/>
      </c>
      <c r="G4220">
        <f>IF(INDEX(L_Status,ROW()-4)="","",TRIM(UPPER(INDEX(L_Status,ROW()-4))))</f>
        <v/>
      </c>
      <c r="J4220">
        <f>IF(INDEX(L_ID,ROW()-4)="","",IF(SUMPRODUCT((P_ID=INDEX(L_ID,ROW()-4))*(P_StatusN="INACTIVE"))&gt;0,1,0))</f>
        <v/>
      </c>
    </row>
    <row r="4221">
      <c r="A4221">
        <f>IF(INDEX(L_ID,ROW()-4)="","",IF(COUNTIF(P_ID,INDEX(L_ID,ROW()-4))&gt;0,1,0))</f>
        <v/>
      </c>
      <c r="B4221">
        <f>IF(INDEX(P_Type,ROW()-4)="","",TRIM(UPPER(INDEX(P_Type,ROW()-4))))</f>
        <v/>
      </c>
      <c r="D4221">
        <f>IF(INDEX(L_Type,ROW()-4)="","",TRIM(UPPER(INDEX(L_Type,ROW()-4))))</f>
        <v/>
      </c>
      <c r="E4221">
        <f>IF(INDEX(P_Status,ROW()-4)="","",TRIM(UPPER(INDEX(P_Status,ROW()-4))))</f>
        <v/>
      </c>
      <c r="G4221">
        <f>IF(INDEX(L_Status,ROW()-4)="","",TRIM(UPPER(INDEX(L_Status,ROW()-4))))</f>
        <v/>
      </c>
      <c r="J4221">
        <f>IF(INDEX(L_ID,ROW()-4)="","",IF(SUMPRODUCT((P_ID=INDEX(L_ID,ROW()-4))*(P_StatusN="INACTIVE"))&gt;0,1,0))</f>
        <v/>
      </c>
    </row>
    <row r="4222">
      <c r="A4222">
        <f>IF(INDEX(L_ID,ROW()-4)="","",IF(COUNTIF(P_ID,INDEX(L_ID,ROW()-4))&gt;0,1,0))</f>
        <v/>
      </c>
      <c r="B4222">
        <f>IF(INDEX(P_Type,ROW()-4)="","",TRIM(UPPER(INDEX(P_Type,ROW()-4))))</f>
        <v/>
      </c>
      <c r="D4222">
        <f>IF(INDEX(L_Type,ROW()-4)="","",TRIM(UPPER(INDEX(L_Type,ROW()-4))))</f>
        <v/>
      </c>
      <c r="E4222">
        <f>IF(INDEX(P_Status,ROW()-4)="","",TRIM(UPPER(INDEX(P_Status,ROW()-4))))</f>
        <v/>
      </c>
      <c r="G4222">
        <f>IF(INDEX(L_Status,ROW()-4)="","",TRIM(UPPER(INDEX(L_Status,ROW()-4))))</f>
        <v/>
      </c>
      <c r="J4222">
        <f>IF(INDEX(L_ID,ROW()-4)="","",IF(SUMPRODUCT((P_ID=INDEX(L_ID,ROW()-4))*(P_StatusN="INACTIVE"))&gt;0,1,0))</f>
        <v/>
      </c>
    </row>
    <row r="4223">
      <c r="A4223">
        <f>IF(INDEX(L_ID,ROW()-4)="","",IF(COUNTIF(P_ID,INDEX(L_ID,ROW()-4))&gt;0,1,0))</f>
        <v/>
      </c>
      <c r="B4223">
        <f>IF(INDEX(P_Type,ROW()-4)="","",TRIM(UPPER(INDEX(P_Type,ROW()-4))))</f>
        <v/>
      </c>
      <c r="D4223">
        <f>IF(INDEX(L_Type,ROW()-4)="","",TRIM(UPPER(INDEX(L_Type,ROW()-4))))</f>
        <v/>
      </c>
      <c r="E4223">
        <f>IF(INDEX(P_Status,ROW()-4)="","",TRIM(UPPER(INDEX(P_Status,ROW()-4))))</f>
        <v/>
      </c>
      <c r="G4223">
        <f>IF(INDEX(L_Status,ROW()-4)="","",TRIM(UPPER(INDEX(L_Status,ROW()-4))))</f>
        <v/>
      </c>
      <c r="J4223">
        <f>IF(INDEX(L_ID,ROW()-4)="","",IF(SUMPRODUCT((P_ID=INDEX(L_ID,ROW()-4))*(P_StatusN="INACTIVE"))&gt;0,1,0))</f>
        <v/>
      </c>
    </row>
    <row r="4224">
      <c r="A4224">
        <f>IF(INDEX(L_ID,ROW()-4)="","",IF(COUNTIF(P_ID,INDEX(L_ID,ROW()-4))&gt;0,1,0))</f>
        <v/>
      </c>
      <c r="B4224">
        <f>IF(INDEX(P_Type,ROW()-4)="","",TRIM(UPPER(INDEX(P_Type,ROW()-4))))</f>
        <v/>
      </c>
      <c r="D4224">
        <f>IF(INDEX(L_Type,ROW()-4)="","",TRIM(UPPER(INDEX(L_Type,ROW()-4))))</f>
        <v/>
      </c>
      <c r="E4224">
        <f>IF(INDEX(P_Status,ROW()-4)="","",TRIM(UPPER(INDEX(P_Status,ROW()-4))))</f>
        <v/>
      </c>
      <c r="G4224">
        <f>IF(INDEX(L_Status,ROW()-4)="","",TRIM(UPPER(INDEX(L_Status,ROW()-4))))</f>
        <v/>
      </c>
      <c r="J4224">
        <f>IF(INDEX(L_ID,ROW()-4)="","",IF(SUMPRODUCT((P_ID=INDEX(L_ID,ROW()-4))*(P_StatusN="INACTIVE"))&gt;0,1,0))</f>
        <v/>
      </c>
    </row>
    <row r="4225">
      <c r="A4225">
        <f>IF(INDEX(L_ID,ROW()-4)="","",IF(COUNTIF(P_ID,INDEX(L_ID,ROW()-4))&gt;0,1,0))</f>
        <v/>
      </c>
      <c r="B4225">
        <f>IF(INDEX(P_Type,ROW()-4)="","",TRIM(UPPER(INDEX(P_Type,ROW()-4))))</f>
        <v/>
      </c>
      <c r="D4225">
        <f>IF(INDEX(L_Type,ROW()-4)="","",TRIM(UPPER(INDEX(L_Type,ROW()-4))))</f>
        <v/>
      </c>
      <c r="E4225">
        <f>IF(INDEX(P_Status,ROW()-4)="","",TRIM(UPPER(INDEX(P_Status,ROW()-4))))</f>
        <v/>
      </c>
      <c r="G4225">
        <f>IF(INDEX(L_Status,ROW()-4)="","",TRIM(UPPER(INDEX(L_Status,ROW()-4))))</f>
        <v/>
      </c>
      <c r="J4225">
        <f>IF(INDEX(L_ID,ROW()-4)="","",IF(SUMPRODUCT((P_ID=INDEX(L_ID,ROW()-4))*(P_StatusN="INACTIVE"))&gt;0,1,0))</f>
        <v/>
      </c>
    </row>
    <row r="4226">
      <c r="A4226">
        <f>IF(INDEX(L_ID,ROW()-4)="","",IF(COUNTIF(P_ID,INDEX(L_ID,ROW()-4))&gt;0,1,0))</f>
        <v/>
      </c>
      <c r="B4226">
        <f>IF(INDEX(P_Type,ROW()-4)="","",TRIM(UPPER(INDEX(P_Type,ROW()-4))))</f>
        <v/>
      </c>
      <c r="D4226">
        <f>IF(INDEX(L_Type,ROW()-4)="","",TRIM(UPPER(INDEX(L_Type,ROW()-4))))</f>
        <v/>
      </c>
      <c r="E4226">
        <f>IF(INDEX(P_Status,ROW()-4)="","",TRIM(UPPER(INDEX(P_Status,ROW()-4))))</f>
        <v/>
      </c>
      <c r="G4226">
        <f>IF(INDEX(L_Status,ROW()-4)="","",TRIM(UPPER(INDEX(L_Status,ROW()-4))))</f>
        <v/>
      </c>
      <c r="J4226">
        <f>IF(INDEX(L_ID,ROW()-4)="","",IF(SUMPRODUCT((P_ID=INDEX(L_ID,ROW()-4))*(P_StatusN="INACTIVE"))&gt;0,1,0))</f>
        <v/>
      </c>
    </row>
    <row r="4227">
      <c r="A4227">
        <f>IF(INDEX(L_ID,ROW()-4)="","",IF(COUNTIF(P_ID,INDEX(L_ID,ROW()-4))&gt;0,1,0))</f>
        <v/>
      </c>
      <c r="B4227">
        <f>IF(INDEX(P_Type,ROW()-4)="","",TRIM(UPPER(INDEX(P_Type,ROW()-4))))</f>
        <v/>
      </c>
      <c r="D4227">
        <f>IF(INDEX(L_Type,ROW()-4)="","",TRIM(UPPER(INDEX(L_Type,ROW()-4))))</f>
        <v/>
      </c>
      <c r="E4227">
        <f>IF(INDEX(P_Status,ROW()-4)="","",TRIM(UPPER(INDEX(P_Status,ROW()-4))))</f>
        <v/>
      </c>
      <c r="G4227">
        <f>IF(INDEX(L_Status,ROW()-4)="","",TRIM(UPPER(INDEX(L_Status,ROW()-4))))</f>
        <v/>
      </c>
      <c r="J4227">
        <f>IF(INDEX(L_ID,ROW()-4)="","",IF(SUMPRODUCT((P_ID=INDEX(L_ID,ROW()-4))*(P_StatusN="INACTIVE"))&gt;0,1,0))</f>
        <v/>
      </c>
    </row>
    <row r="4228">
      <c r="A4228">
        <f>IF(INDEX(L_ID,ROW()-4)="","",IF(COUNTIF(P_ID,INDEX(L_ID,ROW()-4))&gt;0,1,0))</f>
        <v/>
      </c>
      <c r="B4228">
        <f>IF(INDEX(P_Type,ROW()-4)="","",TRIM(UPPER(INDEX(P_Type,ROW()-4))))</f>
        <v/>
      </c>
      <c r="D4228">
        <f>IF(INDEX(L_Type,ROW()-4)="","",TRIM(UPPER(INDEX(L_Type,ROW()-4))))</f>
        <v/>
      </c>
      <c r="E4228">
        <f>IF(INDEX(P_Status,ROW()-4)="","",TRIM(UPPER(INDEX(P_Status,ROW()-4))))</f>
        <v/>
      </c>
      <c r="G4228">
        <f>IF(INDEX(L_Status,ROW()-4)="","",TRIM(UPPER(INDEX(L_Status,ROW()-4))))</f>
        <v/>
      </c>
      <c r="J4228">
        <f>IF(INDEX(L_ID,ROW()-4)="","",IF(SUMPRODUCT((P_ID=INDEX(L_ID,ROW()-4))*(P_StatusN="INACTIVE"))&gt;0,1,0))</f>
        <v/>
      </c>
    </row>
    <row r="4229">
      <c r="A4229">
        <f>IF(INDEX(L_ID,ROW()-4)="","",IF(COUNTIF(P_ID,INDEX(L_ID,ROW()-4))&gt;0,1,0))</f>
        <v/>
      </c>
      <c r="B4229">
        <f>IF(INDEX(P_Type,ROW()-4)="","",TRIM(UPPER(INDEX(P_Type,ROW()-4))))</f>
        <v/>
      </c>
      <c r="D4229">
        <f>IF(INDEX(L_Type,ROW()-4)="","",TRIM(UPPER(INDEX(L_Type,ROW()-4))))</f>
        <v/>
      </c>
      <c r="E4229">
        <f>IF(INDEX(P_Status,ROW()-4)="","",TRIM(UPPER(INDEX(P_Status,ROW()-4))))</f>
        <v/>
      </c>
      <c r="G4229">
        <f>IF(INDEX(L_Status,ROW()-4)="","",TRIM(UPPER(INDEX(L_Status,ROW()-4))))</f>
        <v/>
      </c>
      <c r="J4229">
        <f>IF(INDEX(L_ID,ROW()-4)="","",IF(SUMPRODUCT((P_ID=INDEX(L_ID,ROW()-4))*(P_StatusN="INACTIVE"))&gt;0,1,0))</f>
        <v/>
      </c>
    </row>
    <row r="4230">
      <c r="A4230">
        <f>IF(INDEX(L_ID,ROW()-4)="","",IF(COUNTIF(P_ID,INDEX(L_ID,ROW()-4))&gt;0,1,0))</f>
        <v/>
      </c>
      <c r="B4230">
        <f>IF(INDEX(P_Type,ROW()-4)="","",TRIM(UPPER(INDEX(P_Type,ROW()-4))))</f>
        <v/>
      </c>
      <c r="D4230">
        <f>IF(INDEX(L_Type,ROW()-4)="","",TRIM(UPPER(INDEX(L_Type,ROW()-4))))</f>
        <v/>
      </c>
      <c r="E4230">
        <f>IF(INDEX(P_Status,ROW()-4)="","",TRIM(UPPER(INDEX(P_Status,ROW()-4))))</f>
        <v/>
      </c>
      <c r="G4230">
        <f>IF(INDEX(L_Status,ROW()-4)="","",TRIM(UPPER(INDEX(L_Status,ROW()-4))))</f>
        <v/>
      </c>
      <c r="J4230">
        <f>IF(INDEX(L_ID,ROW()-4)="","",IF(SUMPRODUCT((P_ID=INDEX(L_ID,ROW()-4))*(P_StatusN="INACTIVE"))&gt;0,1,0))</f>
        <v/>
      </c>
    </row>
    <row r="4231">
      <c r="A4231">
        <f>IF(INDEX(L_ID,ROW()-4)="","",IF(COUNTIF(P_ID,INDEX(L_ID,ROW()-4))&gt;0,1,0))</f>
        <v/>
      </c>
      <c r="B4231">
        <f>IF(INDEX(P_Type,ROW()-4)="","",TRIM(UPPER(INDEX(P_Type,ROW()-4))))</f>
        <v/>
      </c>
      <c r="D4231">
        <f>IF(INDEX(L_Type,ROW()-4)="","",TRIM(UPPER(INDEX(L_Type,ROW()-4))))</f>
        <v/>
      </c>
      <c r="E4231">
        <f>IF(INDEX(P_Status,ROW()-4)="","",TRIM(UPPER(INDEX(P_Status,ROW()-4))))</f>
        <v/>
      </c>
      <c r="G4231">
        <f>IF(INDEX(L_Status,ROW()-4)="","",TRIM(UPPER(INDEX(L_Status,ROW()-4))))</f>
        <v/>
      </c>
      <c r="J4231">
        <f>IF(INDEX(L_ID,ROW()-4)="","",IF(SUMPRODUCT((P_ID=INDEX(L_ID,ROW()-4))*(P_StatusN="INACTIVE"))&gt;0,1,0))</f>
        <v/>
      </c>
    </row>
    <row r="4232">
      <c r="A4232">
        <f>IF(INDEX(L_ID,ROW()-4)="","",IF(COUNTIF(P_ID,INDEX(L_ID,ROW()-4))&gt;0,1,0))</f>
        <v/>
      </c>
      <c r="B4232">
        <f>IF(INDEX(P_Type,ROW()-4)="","",TRIM(UPPER(INDEX(P_Type,ROW()-4))))</f>
        <v/>
      </c>
      <c r="D4232">
        <f>IF(INDEX(L_Type,ROW()-4)="","",TRIM(UPPER(INDEX(L_Type,ROW()-4))))</f>
        <v/>
      </c>
      <c r="E4232">
        <f>IF(INDEX(P_Status,ROW()-4)="","",TRIM(UPPER(INDEX(P_Status,ROW()-4))))</f>
        <v/>
      </c>
      <c r="G4232">
        <f>IF(INDEX(L_Status,ROW()-4)="","",TRIM(UPPER(INDEX(L_Status,ROW()-4))))</f>
        <v/>
      </c>
      <c r="J4232">
        <f>IF(INDEX(L_ID,ROW()-4)="","",IF(SUMPRODUCT((P_ID=INDEX(L_ID,ROW()-4))*(P_StatusN="INACTIVE"))&gt;0,1,0))</f>
        <v/>
      </c>
    </row>
    <row r="4233">
      <c r="A4233">
        <f>IF(INDEX(L_ID,ROW()-4)="","",IF(COUNTIF(P_ID,INDEX(L_ID,ROW()-4))&gt;0,1,0))</f>
        <v/>
      </c>
      <c r="B4233">
        <f>IF(INDEX(P_Type,ROW()-4)="","",TRIM(UPPER(INDEX(P_Type,ROW()-4))))</f>
        <v/>
      </c>
      <c r="D4233">
        <f>IF(INDEX(L_Type,ROW()-4)="","",TRIM(UPPER(INDEX(L_Type,ROW()-4))))</f>
        <v/>
      </c>
      <c r="E4233">
        <f>IF(INDEX(P_Status,ROW()-4)="","",TRIM(UPPER(INDEX(P_Status,ROW()-4))))</f>
        <v/>
      </c>
      <c r="G4233">
        <f>IF(INDEX(L_Status,ROW()-4)="","",TRIM(UPPER(INDEX(L_Status,ROW()-4))))</f>
        <v/>
      </c>
      <c r="J4233">
        <f>IF(INDEX(L_ID,ROW()-4)="","",IF(SUMPRODUCT((P_ID=INDEX(L_ID,ROW()-4))*(P_StatusN="INACTIVE"))&gt;0,1,0))</f>
        <v/>
      </c>
    </row>
    <row r="4234">
      <c r="A4234">
        <f>IF(INDEX(L_ID,ROW()-4)="","",IF(COUNTIF(P_ID,INDEX(L_ID,ROW()-4))&gt;0,1,0))</f>
        <v/>
      </c>
      <c r="B4234">
        <f>IF(INDEX(P_Type,ROW()-4)="","",TRIM(UPPER(INDEX(P_Type,ROW()-4))))</f>
        <v/>
      </c>
      <c r="D4234">
        <f>IF(INDEX(L_Type,ROW()-4)="","",TRIM(UPPER(INDEX(L_Type,ROW()-4))))</f>
        <v/>
      </c>
      <c r="E4234">
        <f>IF(INDEX(P_Status,ROW()-4)="","",TRIM(UPPER(INDEX(P_Status,ROW()-4))))</f>
        <v/>
      </c>
      <c r="G4234">
        <f>IF(INDEX(L_Status,ROW()-4)="","",TRIM(UPPER(INDEX(L_Status,ROW()-4))))</f>
        <v/>
      </c>
      <c r="J4234">
        <f>IF(INDEX(L_ID,ROW()-4)="","",IF(SUMPRODUCT((P_ID=INDEX(L_ID,ROW()-4))*(P_StatusN="INACTIVE"))&gt;0,1,0))</f>
        <v/>
      </c>
    </row>
    <row r="4235">
      <c r="A4235">
        <f>IF(INDEX(L_ID,ROW()-4)="","",IF(COUNTIF(P_ID,INDEX(L_ID,ROW()-4))&gt;0,1,0))</f>
        <v/>
      </c>
      <c r="B4235">
        <f>IF(INDEX(P_Type,ROW()-4)="","",TRIM(UPPER(INDEX(P_Type,ROW()-4))))</f>
        <v/>
      </c>
      <c r="D4235">
        <f>IF(INDEX(L_Type,ROW()-4)="","",TRIM(UPPER(INDEX(L_Type,ROW()-4))))</f>
        <v/>
      </c>
      <c r="E4235">
        <f>IF(INDEX(P_Status,ROW()-4)="","",TRIM(UPPER(INDEX(P_Status,ROW()-4))))</f>
        <v/>
      </c>
      <c r="G4235">
        <f>IF(INDEX(L_Status,ROW()-4)="","",TRIM(UPPER(INDEX(L_Status,ROW()-4))))</f>
        <v/>
      </c>
      <c r="J4235">
        <f>IF(INDEX(L_ID,ROW()-4)="","",IF(SUMPRODUCT((P_ID=INDEX(L_ID,ROW()-4))*(P_StatusN="INACTIVE"))&gt;0,1,0))</f>
        <v/>
      </c>
    </row>
    <row r="4236">
      <c r="A4236">
        <f>IF(INDEX(L_ID,ROW()-4)="","",IF(COUNTIF(P_ID,INDEX(L_ID,ROW()-4))&gt;0,1,0))</f>
        <v/>
      </c>
      <c r="B4236">
        <f>IF(INDEX(P_Type,ROW()-4)="","",TRIM(UPPER(INDEX(P_Type,ROW()-4))))</f>
        <v/>
      </c>
      <c r="D4236">
        <f>IF(INDEX(L_Type,ROW()-4)="","",TRIM(UPPER(INDEX(L_Type,ROW()-4))))</f>
        <v/>
      </c>
      <c r="E4236">
        <f>IF(INDEX(P_Status,ROW()-4)="","",TRIM(UPPER(INDEX(P_Status,ROW()-4))))</f>
        <v/>
      </c>
      <c r="G4236">
        <f>IF(INDEX(L_Status,ROW()-4)="","",TRIM(UPPER(INDEX(L_Status,ROW()-4))))</f>
        <v/>
      </c>
      <c r="J4236">
        <f>IF(INDEX(L_ID,ROW()-4)="","",IF(SUMPRODUCT((P_ID=INDEX(L_ID,ROW()-4))*(P_StatusN="INACTIVE"))&gt;0,1,0))</f>
        <v/>
      </c>
    </row>
    <row r="4237">
      <c r="A4237">
        <f>IF(INDEX(L_ID,ROW()-4)="","",IF(COUNTIF(P_ID,INDEX(L_ID,ROW()-4))&gt;0,1,0))</f>
        <v/>
      </c>
      <c r="B4237">
        <f>IF(INDEX(P_Type,ROW()-4)="","",TRIM(UPPER(INDEX(P_Type,ROW()-4))))</f>
        <v/>
      </c>
      <c r="D4237">
        <f>IF(INDEX(L_Type,ROW()-4)="","",TRIM(UPPER(INDEX(L_Type,ROW()-4))))</f>
        <v/>
      </c>
      <c r="E4237">
        <f>IF(INDEX(P_Status,ROW()-4)="","",TRIM(UPPER(INDEX(P_Status,ROW()-4))))</f>
        <v/>
      </c>
      <c r="G4237">
        <f>IF(INDEX(L_Status,ROW()-4)="","",TRIM(UPPER(INDEX(L_Status,ROW()-4))))</f>
        <v/>
      </c>
      <c r="J4237">
        <f>IF(INDEX(L_ID,ROW()-4)="","",IF(SUMPRODUCT((P_ID=INDEX(L_ID,ROW()-4))*(P_StatusN="INACTIVE"))&gt;0,1,0))</f>
        <v/>
      </c>
    </row>
    <row r="4238">
      <c r="A4238">
        <f>IF(INDEX(L_ID,ROW()-4)="","",IF(COUNTIF(P_ID,INDEX(L_ID,ROW()-4))&gt;0,1,0))</f>
        <v/>
      </c>
      <c r="B4238">
        <f>IF(INDEX(P_Type,ROW()-4)="","",TRIM(UPPER(INDEX(P_Type,ROW()-4))))</f>
        <v/>
      </c>
      <c r="D4238">
        <f>IF(INDEX(L_Type,ROW()-4)="","",TRIM(UPPER(INDEX(L_Type,ROW()-4))))</f>
        <v/>
      </c>
      <c r="E4238">
        <f>IF(INDEX(P_Status,ROW()-4)="","",TRIM(UPPER(INDEX(P_Status,ROW()-4))))</f>
        <v/>
      </c>
      <c r="G4238">
        <f>IF(INDEX(L_Status,ROW()-4)="","",TRIM(UPPER(INDEX(L_Status,ROW()-4))))</f>
        <v/>
      </c>
      <c r="J4238">
        <f>IF(INDEX(L_ID,ROW()-4)="","",IF(SUMPRODUCT((P_ID=INDEX(L_ID,ROW()-4))*(P_StatusN="INACTIVE"))&gt;0,1,0))</f>
        <v/>
      </c>
    </row>
    <row r="4239">
      <c r="A4239">
        <f>IF(INDEX(L_ID,ROW()-4)="","",IF(COUNTIF(P_ID,INDEX(L_ID,ROW()-4))&gt;0,1,0))</f>
        <v/>
      </c>
      <c r="B4239">
        <f>IF(INDEX(P_Type,ROW()-4)="","",TRIM(UPPER(INDEX(P_Type,ROW()-4))))</f>
        <v/>
      </c>
      <c r="D4239">
        <f>IF(INDEX(L_Type,ROW()-4)="","",TRIM(UPPER(INDEX(L_Type,ROW()-4))))</f>
        <v/>
      </c>
      <c r="E4239">
        <f>IF(INDEX(P_Status,ROW()-4)="","",TRIM(UPPER(INDEX(P_Status,ROW()-4))))</f>
        <v/>
      </c>
      <c r="G4239">
        <f>IF(INDEX(L_Status,ROW()-4)="","",TRIM(UPPER(INDEX(L_Status,ROW()-4))))</f>
        <v/>
      </c>
      <c r="J4239">
        <f>IF(INDEX(L_ID,ROW()-4)="","",IF(SUMPRODUCT((P_ID=INDEX(L_ID,ROW()-4))*(P_StatusN="INACTIVE"))&gt;0,1,0))</f>
        <v/>
      </c>
    </row>
    <row r="4240">
      <c r="A4240">
        <f>IF(INDEX(L_ID,ROW()-4)="","",IF(COUNTIF(P_ID,INDEX(L_ID,ROW()-4))&gt;0,1,0))</f>
        <v/>
      </c>
      <c r="B4240">
        <f>IF(INDEX(P_Type,ROW()-4)="","",TRIM(UPPER(INDEX(P_Type,ROW()-4))))</f>
        <v/>
      </c>
      <c r="D4240">
        <f>IF(INDEX(L_Type,ROW()-4)="","",TRIM(UPPER(INDEX(L_Type,ROW()-4))))</f>
        <v/>
      </c>
      <c r="E4240">
        <f>IF(INDEX(P_Status,ROW()-4)="","",TRIM(UPPER(INDEX(P_Status,ROW()-4))))</f>
        <v/>
      </c>
      <c r="G4240">
        <f>IF(INDEX(L_Status,ROW()-4)="","",TRIM(UPPER(INDEX(L_Status,ROW()-4))))</f>
        <v/>
      </c>
      <c r="J4240">
        <f>IF(INDEX(L_ID,ROW()-4)="","",IF(SUMPRODUCT((P_ID=INDEX(L_ID,ROW()-4))*(P_StatusN="INACTIVE"))&gt;0,1,0))</f>
        <v/>
      </c>
    </row>
    <row r="4241">
      <c r="A4241">
        <f>IF(INDEX(L_ID,ROW()-4)="","",IF(COUNTIF(P_ID,INDEX(L_ID,ROW()-4))&gt;0,1,0))</f>
        <v/>
      </c>
      <c r="B4241">
        <f>IF(INDEX(P_Type,ROW()-4)="","",TRIM(UPPER(INDEX(P_Type,ROW()-4))))</f>
        <v/>
      </c>
      <c r="D4241">
        <f>IF(INDEX(L_Type,ROW()-4)="","",TRIM(UPPER(INDEX(L_Type,ROW()-4))))</f>
        <v/>
      </c>
      <c r="E4241">
        <f>IF(INDEX(P_Status,ROW()-4)="","",TRIM(UPPER(INDEX(P_Status,ROW()-4))))</f>
        <v/>
      </c>
      <c r="G4241">
        <f>IF(INDEX(L_Status,ROW()-4)="","",TRIM(UPPER(INDEX(L_Status,ROW()-4))))</f>
        <v/>
      </c>
      <c r="J4241">
        <f>IF(INDEX(L_ID,ROW()-4)="","",IF(SUMPRODUCT((P_ID=INDEX(L_ID,ROW()-4))*(P_StatusN="INACTIVE"))&gt;0,1,0))</f>
        <v/>
      </c>
    </row>
    <row r="4242">
      <c r="A4242">
        <f>IF(INDEX(L_ID,ROW()-4)="","",IF(COUNTIF(P_ID,INDEX(L_ID,ROW()-4))&gt;0,1,0))</f>
        <v/>
      </c>
      <c r="B4242">
        <f>IF(INDEX(P_Type,ROW()-4)="","",TRIM(UPPER(INDEX(P_Type,ROW()-4))))</f>
        <v/>
      </c>
      <c r="D4242">
        <f>IF(INDEX(L_Type,ROW()-4)="","",TRIM(UPPER(INDEX(L_Type,ROW()-4))))</f>
        <v/>
      </c>
      <c r="E4242">
        <f>IF(INDEX(P_Status,ROW()-4)="","",TRIM(UPPER(INDEX(P_Status,ROW()-4))))</f>
        <v/>
      </c>
      <c r="G4242">
        <f>IF(INDEX(L_Status,ROW()-4)="","",TRIM(UPPER(INDEX(L_Status,ROW()-4))))</f>
        <v/>
      </c>
      <c r="J4242">
        <f>IF(INDEX(L_ID,ROW()-4)="","",IF(SUMPRODUCT((P_ID=INDEX(L_ID,ROW()-4))*(P_StatusN="INACTIVE"))&gt;0,1,0))</f>
        <v/>
      </c>
    </row>
    <row r="4243">
      <c r="A4243">
        <f>IF(INDEX(L_ID,ROW()-4)="","",IF(COUNTIF(P_ID,INDEX(L_ID,ROW()-4))&gt;0,1,0))</f>
        <v/>
      </c>
      <c r="B4243">
        <f>IF(INDEX(P_Type,ROW()-4)="","",TRIM(UPPER(INDEX(P_Type,ROW()-4))))</f>
        <v/>
      </c>
      <c r="D4243">
        <f>IF(INDEX(L_Type,ROW()-4)="","",TRIM(UPPER(INDEX(L_Type,ROW()-4))))</f>
        <v/>
      </c>
      <c r="E4243">
        <f>IF(INDEX(P_Status,ROW()-4)="","",TRIM(UPPER(INDEX(P_Status,ROW()-4))))</f>
        <v/>
      </c>
      <c r="G4243">
        <f>IF(INDEX(L_Status,ROW()-4)="","",TRIM(UPPER(INDEX(L_Status,ROW()-4))))</f>
        <v/>
      </c>
      <c r="J4243">
        <f>IF(INDEX(L_ID,ROW()-4)="","",IF(SUMPRODUCT((P_ID=INDEX(L_ID,ROW()-4))*(P_StatusN="INACTIVE"))&gt;0,1,0))</f>
        <v/>
      </c>
    </row>
    <row r="4244">
      <c r="A4244">
        <f>IF(INDEX(L_ID,ROW()-4)="","",IF(COUNTIF(P_ID,INDEX(L_ID,ROW()-4))&gt;0,1,0))</f>
        <v/>
      </c>
      <c r="B4244">
        <f>IF(INDEX(P_Type,ROW()-4)="","",TRIM(UPPER(INDEX(P_Type,ROW()-4))))</f>
        <v/>
      </c>
      <c r="D4244">
        <f>IF(INDEX(L_Type,ROW()-4)="","",TRIM(UPPER(INDEX(L_Type,ROW()-4))))</f>
        <v/>
      </c>
      <c r="E4244">
        <f>IF(INDEX(P_Status,ROW()-4)="","",TRIM(UPPER(INDEX(P_Status,ROW()-4))))</f>
        <v/>
      </c>
      <c r="G4244">
        <f>IF(INDEX(L_Status,ROW()-4)="","",TRIM(UPPER(INDEX(L_Status,ROW()-4))))</f>
        <v/>
      </c>
      <c r="J4244">
        <f>IF(INDEX(L_ID,ROW()-4)="","",IF(SUMPRODUCT((P_ID=INDEX(L_ID,ROW()-4))*(P_StatusN="INACTIVE"))&gt;0,1,0))</f>
        <v/>
      </c>
    </row>
    <row r="4245">
      <c r="A4245">
        <f>IF(INDEX(L_ID,ROW()-4)="","",IF(COUNTIF(P_ID,INDEX(L_ID,ROW()-4))&gt;0,1,0))</f>
        <v/>
      </c>
      <c r="B4245">
        <f>IF(INDEX(P_Type,ROW()-4)="","",TRIM(UPPER(INDEX(P_Type,ROW()-4))))</f>
        <v/>
      </c>
      <c r="D4245">
        <f>IF(INDEX(L_Type,ROW()-4)="","",TRIM(UPPER(INDEX(L_Type,ROW()-4))))</f>
        <v/>
      </c>
      <c r="E4245">
        <f>IF(INDEX(P_Status,ROW()-4)="","",TRIM(UPPER(INDEX(P_Status,ROW()-4))))</f>
        <v/>
      </c>
      <c r="G4245">
        <f>IF(INDEX(L_Status,ROW()-4)="","",TRIM(UPPER(INDEX(L_Status,ROW()-4))))</f>
        <v/>
      </c>
      <c r="J4245">
        <f>IF(INDEX(L_ID,ROW()-4)="","",IF(SUMPRODUCT((P_ID=INDEX(L_ID,ROW()-4))*(P_StatusN="INACTIVE"))&gt;0,1,0))</f>
        <v/>
      </c>
    </row>
    <row r="4246">
      <c r="A4246">
        <f>IF(INDEX(L_ID,ROW()-4)="","",IF(COUNTIF(P_ID,INDEX(L_ID,ROW()-4))&gt;0,1,0))</f>
        <v/>
      </c>
      <c r="B4246">
        <f>IF(INDEX(P_Type,ROW()-4)="","",TRIM(UPPER(INDEX(P_Type,ROW()-4))))</f>
        <v/>
      </c>
      <c r="D4246">
        <f>IF(INDEX(L_Type,ROW()-4)="","",TRIM(UPPER(INDEX(L_Type,ROW()-4))))</f>
        <v/>
      </c>
      <c r="E4246">
        <f>IF(INDEX(P_Status,ROW()-4)="","",TRIM(UPPER(INDEX(P_Status,ROW()-4))))</f>
        <v/>
      </c>
      <c r="G4246">
        <f>IF(INDEX(L_Status,ROW()-4)="","",TRIM(UPPER(INDEX(L_Status,ROW()-4))))</f>
        <v/>
      </c>
      <c r="J4246">
        <f>IF(INDEX(L_ID,ROW()-4)="","",IF(SUMPRODUCT((P_ID=INDEX(L_ID,ROW()-4))*(P_StatusN="INACTIVE"))&gt;0,1,0))</f>
        <v/>
      </c>
    </row>
    <row r="4247">
      <c r="A4247">
        <f>IF(INDEX(L_ID,ROW()-4)="","",IF(COUNTIF(P_ID,INDEX(L_ID,ROW()-4))&gt;0,1,0))</f>
        <v/>
      </c>
      <c r="B4247">
        <f>IF(INDEX(P_Type,ROW()-4)="","",TRIM(UPPER(INDEX(P_Type,ROW()-4))))</f>
        <v/>
      </c>
      <c r="D4247">
        <f>IF(INDEX(L_Type,ROW()-4)="","",TRIM(UPPER(INDEX(L_Type,ROW()-4))))</f>
        <v/>
      </c>
      <c r="E4247">
        <f>IF(INDEX(P_Status,ROW()-4)="","",TRIM(UPPER(INDEX(P_Status,ROW()-4))))</f>
        <v/>
      </c>
      <c r="G4247">
        <f>IF(INDEX(L_Status,ROW()-4)="","",TRIM(UPPER(INDEX(L_Status,ROW()-4))))</f>
        <v/>
      </c>
      <c r="J4247">
        <f>IF(INDEX(L_ID,ROW()-4)="","",IF(SUMPRODUCT((P_ID=INDEX(L_ID,ROW()-4))*(P_StatusN="INACTIVE"))&gt;0,1,0))</f>
        <v/>
      </c>
    </row>
    <row r="4248">
      <c r="A4248">
        <f>IF(INDEX(L_ID,ROW()-4)="","",IF(COUNTIF(P_ID,INDEX(L_ID,ROW()-4))&gt;0,1,0))</f>
        <v/>
      </c>
      <c r="B4248">
        <f>IF(INDEX(P_Type,ROW()-4)="","",TRIM(UPPER(INDEX(P_Type,ROW()-4))))</f>
        <v/>
      </c>
      <c r="D4248">
        <f>IF(INDEX(L_Type,ROW()-4)="","",TRIM(UPPER(INDEX(L_Type,ROW()-4))))</f>
        <v/>
      </c>
      <c r="E4248">
        <f>IF(INDEX(P_Status,ROW()-4)="","",TRIM(UPPER(INDEX(P_Status,ROW()-4))))</f>
        <v/>
      </c>
      <c r="G4248">
        <f>IF(INDEX(L_Status,ROW()-4)="","",TRIM(UPPER(INDEX(L_Status,ROW()-4))))</f>
        <v/>
      </c>
      <c r="J4248">
        <f>IF(INDEX(L_ID,ROW()-4)="","",IF(SUMPRODUCT((P_ID=INDEX(L_ID,ROW()-4))*(P_StatusN="INACTIVE"))&gt;0,1,0))</f>
        <v/>
      </c>
    </row>
    <row r="4249">
      <c r="A4249">
        <f>IF(INDEX(L_ID,ROW()-4)="","",IF(COUNTIF(P_ID,INDEX(L_ID,ROW()-4))&gt;0,1,0))</f>
        <v/>
      </c>
      <c r="B4249">
        <f>IF(INDEX(P_Type,ROW()-4)="","",TRIM(UPPER(INDEX(P_Type,ROW()-4))))</f>
        <v/>
      </c>
      <c r="D4249">
        <f>IF(INDEX(L_Type,ROW()-4)="","",TRIM(UPPER(INDEX(L_Type,ROW()-4))))</f>
        <v/>
      </c>
      <c r="E4249">
        <f>IF(INDEX(P_Status,ROW()-4)="","",TRIM(UPPER(INDEX(P_Status,ROW()-4))))</f>
        <v/>
      </c>
      <c r="G4249">
        <f>IF(INDEX(L_Status,ROW()-4)="","",TRIM(UPPER(INDEX(L_Status,ROW()-4))))</f>
        <v/>
      </c>
      <c r="J4249">
        <f>IF(INDEX(L_ID,ROW()-4)="","",IF(SUMPRODUCT((P_ID=INDEX(L_ID,ROW()-4))*(P_StatusN="INACTIVE"))&gt;0,1,0))</f>
        <v/>
      </c>
    </row>
    <row r="4250">
      <c r="A4250">
        <f>IF(INDEX(L_ID,ROW()-4)="","",IF(COUNTIF(P_ID,INDEX(L_ID,ROW()-4))&gt;0,1,0))</f>
        <v/>
      </c>
      <c r="B4250">
        <f>IF(INDEX(P_Type,ROW()-4)="","",TRIM(UPPER(INDEX(P_Type,ROW()-4))))</f>
        <v/>
      </c>
      <c r="D4250">
        <f>IF(INDEX(L_Type,ROW()-4)="","",TRIM(UPPER(INDEX(L_Type,ROW()-4))))</f>
        <v/>
      </c>
      <c r="E4250">
        <f>IF(INDEX(P_Status,ROW()-4)="","",TRIM(UPPER(INDEX(P_Status,ROW()-4))))</f>
        <v/>
      </c>
      <c r="G4250">
        <f>IF(INDEX(L_Status,ROW()-4)="","",TRIM(UPPER(INDEX(L_Status,ROW()-4))))</f>
        <v/>
      </c>
      <c r="J4250">
        <f>IF(INDEX(L_ID,ROW()-4)="","",IF(SUMPRODUCT((P_ID=INDEX(L_ID,ROW()-4))*(P_StatusN="INACTIVE"))&gt;0,1,0))</f>
        <v/>
      </c>
    </row>
    <row r="4251">
      <c r="A4251">
        <f>IF(INDEX(L_ID,ROW()-4)="","",IF(COUNTIF(P_ID,INDEX(L_ID,ROW()-4))&gt;0,1,0))</f>
        <v/>
      </c>
      <c r="B4251">
        <f>IF(INDEX(P_Type,ROW()-4)="","",TRIM(UPPER(INDEX(P_Type,ROW()-4))))</f>
        <v/>
      </c>
      <c r="D4251">
        <f>IF(INDEX(L_Type,ROW()-4)="","",TRIM(UPPER(INDEX(L_Type,ROW()-4))))</f>
        <v/>
      </c>
      <c r="E4251">
        <f>IF(INDEX(P_Status,ROW()-4)="","",TRIM(UPPER(INDEX(P_Status,ROW()-4))))</f>
        <v/>
      </c>
      <c r="G4251">
        <f>IF(INDEX(L_Status,ROW()-4)="","",TRIM(UPPER(INDEX(L_Status,ROW()-4))))</f>
        <v/>
      </c>
      <c r="J4251">
        <f>IF(INDEX(L_ID,ROW()-4)="","",IF(SUMPRODUCT((P_ID=INDEX(L_ID,ROW()-4))*(P_StatusN="INACTIVE"))&gt;0,1,0))</f>
        <v/>
      </c>
    </row>
    <row r="4252">
      <c r="A4252">
        <f>IF(INDEX(L_ID,ROW()-4)="","",IF(COUNTIF(P_ID,INDEX(L_ID,ROW()-4))&gt;0,1,0))</f>
        <v/>
      </c>
      <c r="B4252">
        <f>IF(INDEX(P_Type,ROW()-4)="","",TRIM(UPPER(INDEX(P_Type,ROW()-4))))</f>
        <v/>
      </c>
      <c r="D4252">
        <f>IF(INDEX(L_Type,ROW()-4)="","",TRIM(UPPER(INDEX(L_Type,ROW()-4))))</f>
        <v/>
      </c>
      <c r="E4252">
        <f>IF(INDEX(P_Status,ROW()-4)="","",TRIM(UPPER(INDEX(P_Status,ROW()-4))))</f>
        <v/>
      </c>
      <c r="G4252">
        <f>IF(INDEX(L_Status,ROW()-4)="","",TRIM(UPPER(INDEX(L_Status,ROW()-4))))</f>
        <v/>
      </c>
      <c r="J4252">
        <f>IF(INDEX(L_ID,ROW()-4)="","",IF(SUMPRODUCT((P_ID=INDEX(L_ID,ROW()-4))*(P_StatusN="INACTIVE"))&gt;0,1,0))</f>
        <v/>
      </c>
    </row>
    <row r="4253">
      <c r="A4253">
        <f>IF(INDEX(L_ID,ROW()-4)="","",IF(COUNTIF(P_ID,INDEX(L_ID,ROW()-4))&gt;0,1,0))</f>
        <v/>
      </c>
      <c r="B4253">
        <f>IF(INDEX(P_Type,ROW()-4)="","",TRIM(UPPER(INDEX(P_Type,ROW()-4))))</f>
        <v/>
      </c>
      <c r="D4253">
        <f>IF(INDEX(L_Type,ROW()-4)="","",TRIM(UPPER(INDEX(L_Type,ROW()-4))))</f>
        <v/>
      </c>
      <c r="E4253">
        <f>IF(INDEX(P_Status,ROW()-4)="","",TRIM(UPPER(INDEX(P_Status,ROW()-4))))</f>
        <v/>
      </c>
      <c r="G4253">
        <f>IF(INDEX(L_Status,ROW()-4)="","",TRIM(UPPER(INDEX(L_Status,ROW()-4))))</f>
        <v/>
      </c>
      <c r="J4253">
        <f>IF(INDEX(L_ID,ROW()-4)="","",IF(SUMPRODUCT((P_ID=INDEX(L_ID,ROW()-4))*(P_StatusN="INACTIVE"))&gt;0,1,0))</f>
        <v/>
      </c>
    </row>
    <row r="4254">
      <c r="A4254">
        <f>IF(INDEX(L_ID,ROW()-4)="","",IF(COUNTIF(P_ID,INDEX(L_ID,ROW()-4))&gt;0,1,0))</f>
        <v/>
      </c>
      <c r="B4254">
        <f>IF(INDEX(P_Type,ROW()-4)="","",TRIM(UPPER(INDEX(P_Type,ROW()-4))))</f>
        <v/>
      </c>
      <c r="D4254">
        <f>IF(INDEX(L_Type,ROW()-4)="","",TRIM(UPPER(INDEX(L_Type,ROW()-4))))</f>
        <v/>
      </c>
      <c r="E4254">
        <f>IF(INDEX(P_Status,ROW()-4)="","",TRIM(UPPER(INDEX(P_Status,ROW()-4))))</f>
        <v/>
      </c>
      <c r="G4254">
        <f>IF(INDEX(L_Status,ROW()-4)="","",TRIM(UPPER(INDEX(L_Status,ROW()-4))))</f>
        <v/>
      </c>
      <c r="J4254">
        <f>IF(INDEX(L_ID,ROW()-4)="","",IF(SUMPRODUCT((P_ID=INDEX(L_ID,ROW()-4))*(P_StatusN="INACTIVE"))&gt;0,1,0))</f>
        <v/>
      </c>
    </row>
    <row r="4255">
      <c r="A4255">
        <f>IF(INDEX(L_ID,ROW()-4)="","",IF(COUNTIF(P_ID,INDEX(L_ID,ROW()-4))&gt;0,1,0))</f>
        <v/>
      </c>
      <c r="B4255">
        <f>IF(INDEX(P_Type,ROW()-4)="","",TRIM(UPPER(INDEX(P_Type,ROW()-4))))</f>
        <v/>
      </c>
      <c r="D4255">
        <f>IF(INDEX(L_Type,ROW()-4)="","",TRIM(UPPER(INDEX(L_Type,ROW()-4))))</f>
        <v/>
      </c>
      <c r="E4255">
        <f>IF(INDEX(P_Status,ROW()-4)="","",TRIM(UPPER(INDEX(P_Status,ROW()-4))))</f>
        <v/>
      </c>
      <c r="G4255">
        <f>IF(INDEX(L_Status,ROW()-4)="","",TRIM(UPPER(INDEX(L_Status,ROW()-4))))</f>
        <v/>
      </c>
      <c r="J4255">
        <f>IF(INDEX(L_ID,ROW()-4)="","",IF(SUMPRODUCT((P_ID=INDEX(L_ID,ROW()-4))*(P_StatusN="INACTIVE"))&gt;0,1,0))</f>
        <v/>
      </c>
    </row>
    <row r="4256">
      <c r="A4256">
        <f>IF(INDEX(L_ID,ROW()-4)="","",IF(COUNTIF(P_ID,INDEX(L_ID,ROW()-4))&gt;0,1,0))</f>
        <v/>
      </c>
      <c r="B4256">
        <f>IF(INDEX(P_Type,ROW()-4)="","",TRIM(UPPER(INDEX(P_Type,ROW()-4))))</f>
        <v/>
      </c>
      <c r="D4256">
        <f>IF(INDEX(L_Type,ROW()-4)="","",TRIM(UPPER(INDEX(L_Type,ROW()-4))))</f>
        <v/>
      </c>
      <c r="E4256">
        <f>IF(INDEX(P_Status,ROW()-4)="","",TRIM(UPPER(INDEX(P_Status,ROW()-4))))</f>
        <v/>
      </c>
      <c r="G4256">
        <f>IF(INDEX(L_Status,ROW()-4)="","",TRIM(UPPER(INDEX(L_Status,ROW()-4))))</f>
        <v/>
      </c>
      <c r="J4256">
        <f>IF(INDEX(L_ID,ROW()-4)="","",IF(SUMPRODUCT((P_ID=INDEX(L_ID,ROW()-4))*(P_StatusN="INACTIVE"))&gt;0,1,0))</f>
        <v/>
      </c>
    </row>
    <row r="4257">
      <c r="A4257">
        <f>IF(INDEX(L_ID,ROW()-4)="","",IF(COUNTIF(P_ID,INDEX(L_ID,ROW()-4))&gt;0,1,0))</f>
        <v/>
      </c>
      <c r="B4257">
        <f>IF(INDEX(P_Type,ROW()-4)="","",TRIM(UPPER(INDEX(P_Type,ROW()-4))))</f>
        <v/>
      </c>
      <c r="D4257">
        <f>IF(INDEX(L_Type,ROW()-4)="","",TRIM(UPPER(INDEX(L_Type,ROW()-4))))</f>
        <v/>
      </c>
      <c r="E4257">
        <f>IF(INDEX(P_Status,ROW()-4)="","",TRIM(UPPER(INDEX(P_Status,ROW()-4))))</f>
        <v/>
      </c>
      <c r="G4257">
        <f>IF(INDEX(L_Status,ROW()-4)="","",TRIM(UPPER(INDEX(L_Status,ROW()-4))))</f>
        <v/>
      </c>
      <c r="J4257">
        <f>IF(INDEX(L_ID,ROW()-4)="","",IF(SUMPRODUCT((P_ID=INDEX(L_ID,ROW()-4))*(P_StatusN="INACTIVE"))&gt;0,1,0))</f>
        <v/>
      </c>
    </row>
    <row r="4258">
      <c r="A4258">
        <f>IF(INDEX(L_ID,ROW()-4)="","",IF(COUNTIF(P_ID,INDEX(L_ID,ROW()-4))&gt;0,1,0))</f>
        <v/>
      </c>
      <c r="B4258">
        <f>IF(INDEX(P_Type,ROW()-4)="","",TRIM(UPPER(INDEX(P_Type,ROW()-4))))</f>
        <v/>
      </c>
      <c r="D4258">
        <f>IF(INDEX(L_Type,ROW()-4)="","",TRIM(UPPER(INDEX(L_Type,ROW()-4))))</f>
        <v/>
      </c>
      <c r="E4258">
        <f>IF(INDEX(P_Status,ROW()-4)="","",TRIM(UPPER(INDEX(P_Status,ROW()-4))))</f>
        <v/>
      </c>
      <c r="G4258">
        <f>IF(INDEX(L_Status,ROW()-4)="","",TRIM(UPPER(INDEX(L_Status,ROW()-4))))</f>
        <v/>
      </c>
      <c r="J4258">
        <f>IF(INDEX(L_ID,ROW()-4)="","",IF(SUMPRODUCT((P_ID=INDEX(L_ID,ROW()-4))*(P_StatusN="INACTIVE"))&gt;0,1,0))</f>
        <v/>
      </c>
    </row>
    <row r="4259">
      <c r="A4259">
        <f>IF(INDEX(L_ID,ROW()-4)="","",IF(COUNTIF(P_ID,INDEX(L_ID,ROW()-4))&gt;0,1,0))</f>
        <v/>
      </c>
      <c r="B4259">
        <f>IF(INDEX(P_Type,ROW()-4)="","",TRIM(UPPER(INDEX(P_Type,ROW()-4))))</f>
        <v/>
      </c>
      <c r="D4259">
        <f>IF(INDEX(L_Type,ROW()-4)="","",TRIM(UPPER(INDEX(L_Type,ROW()-4))))</f>
        <v/>
      </c>
      <c r="E4259">
        <f>IF(INDEX(P_Status,ROW()-4)="","",TRIM(UPPER(INDEX(P_Status,ROW()-4))))</f>
        <v/>
      </c>
      <c r="G4259">
        <f>IF(INDEX(L_Status,ROW()-4)="","",TRIM(UPPER(INDEX(L_Status,ROW()-4))))</f>
        <v/>
      </c>
      <c r="J4259">
        <f>IF(INDEX(L_ID,ROW()-4)="","",IF(SUMPRODUCT((P_ID=INDEX(L_ID,ROW()-4))*(P_StatusN="INACTIVE"))&gt;0,1,0))</f>
        <v/>
      </c>
    </row>
    <row r="4260">
      <c r="A4260">
        <f>IF(INDEX(L_ID,ROW()-4)="","",IF(COUNTIF(P_ID,INDEX(L_ID,ROW()-4))&gt;0,1,0))</f>
        <v/>
      </c>
      <c r="B4260">
        <f>IF(INDEX(P_Type,ROW()-4)="","",TRIM(UPPER(INDEX(P_Type,ROW()-4))))</f>
        <v/>
      </c>
      <c r="D4260">
        <f>IF(INDEX(L_Type,ROW()-4)="","",TRIM(UPPER(INDEX(L_Type,ROW()-4))))</f>
        <v/>
      </c>
      <c r="E4260">
        <f>IF(INDEX(P_Status,ROW()-4)="","",TRIM(UPPER(INDEX(P_Status,ROW()-4))))</f>
        <v/>
      </c>
      <c r="G4260">
        <f>IF(INDEX(L_Status,ROW()-4)="","",TRIM(UPPER(INDEX(L_Status,ROW()-4))))</f>
        <v/>
      </c>
      <c r="J4260">
        <f>IF(INDEX(L_ID,ROW()-4)="","",IF(SUMPRODUCT((P_ID=INDEX(L_ID,ROW()-4))*(P_StatusN="INACTIVE"))&gt;0,1,0))</f>
        <v/>
      </c>
    </row>
    <row r="4261">
      <c r="A4261">
        <f>IF(INDEX(L_ID,ROW()-4)="","",IF(COUNTIF(P_ID,INDEX(L_ID,ROW()-4))&gt;0,1,0))</f>
        <v/>
      </c>
      <c r="B4261">
        <f>IF(INDEX(P_Type,ROW()-4)="","",TRIM(UPPER(INDEX(P_Type,ROW()-4))))</f>
        <v/>
      </c>
      <c r="D4261">
        <f>IF(INDEX(L_Type,ROW()-4)="","",TRIM(UPPER(INDEX(L_Type,ROW()-4))))</f>
        <v/>
      </c>
      <c r="E4261">
        <f>IF(INDEX(P_Status,ROW()-4)="","",TRIM(UPPER(INDEX(P_Status,ROW()-4))))</f>
        <v/>
      </c>
      <c r="G4261">
        <f>IF(INDEX(L_Status,ROW()-4)="","",TRIM(UPPER(INDEX(L_Status,ROW()-4))))</f>
        <v/>
      </c>
      <c r="J4261">
        <f>IF(INDEX(L_ID,ROW()-4)="","",IF(SUMPRODUCT((P_ID=INDEX(L_ID,ROW()-4))*(P_StatusN="INACTIVE"))&gt;0,1,0))</f>
        <v/>
      </c>
    </row>
    <row r="4262">
      <c r="A4262">
        <f>IF(INDEX(L_ID,ROW()-4)="","",IF(COUNTIF(P_ID,INDEX(L_ID,ROW()-4))&gt;0,1,0))</f>
        <v/>
      </c>
      <c r="B4262">
        <f>IF(INDEX(P_Type,ROW()-4)="","",TRIM(UPPER(INDEX(P_Type,ROW()-4))))</f>
        <v/>
      </c>
      <c r="D4262">
        <f>IF(INDEX(L_Type,ROW()-4)="","",TRIM(UPPER(INDEX(L_Type,ROW()-4))))</f>
        <v/>
      </c>
      <c r="E4262">
        <f>IF(INDEX(P_Status,ROW()-4)="","",TRIM(UPPER(INDEX(P_Status,ROW()-4))))</f>
        <v/>
      </c>
      <c r="G4262">
        <f>IF(INDEX(L_Status,ROW()-4)="","",TRIM(UPPER(INDEX(L_Status,ROW()-4))))</f>
        <v/>
      </c>
      <c r="J4262">
        <f>IF(INDEX(L_ID,ROW()-4)="","",IF(SUMPRODUCT((P_ID=INDEX(L_ID,ROW()-4))*(P_StatusN="INACTIVE"))&gt;0,1,0))</f>
        <v/>
      </c>
    </row>
    <row r="4263">
      <c r="A4263">
        <f>IF(INDEX(L_ID,ROW()-4)="","",IF(COUNTIF(P_ID,INDEX(L_ID,ROW()-4))&gt;0,1,0))</f>
        <v/>
      </c>
      <c r="B4263">
        <f>IF(INDEX(P_Type,ROW()-4)="","",TRIM(UPPER(INDEX(P_Type,ROW()-4))))</f>
        <v/>
      </c>
      <c r="D4263">
        <f>IF(INDEX(L_Type,ROW()-4)="","",TRIM(UPPER(INDEX(L_Type,ROW()-4))))</f>
        <v/>
      </c>
      <c r="E4263">
        <f>IF(INDEX(P_Status,ROW()-4)="","",TRIM(UPPER(INDEX(P_Status,ROW()-4))))</f>
        <v/>
      </c>
      <c r="G4263">
        <f>IF(INDEX(L_Status,ROW()-4)="","",TRIM(UPPER(INDEX(L_Status,ROW()-4))))</f>
        <v/>
      </c>
      <c r="J4263">
        <f>IF(INDEX(L_ID,ROW()-4)="","",IF(SUMPRODUCT((P_ID=INDEX(L_ID,ROW()-4))*(P_StatusN="INACTIVE"))&gt;0,1,0))</f>
        <v/>
      </c>
    </row>
    <row r="4264">
      <c r="A4264">
        <f>IF(INDEX(L_ID,ROW()-4)="","",IF(COUNTIF(P_ID,INDEX(L_ID,ROW()-4))&gt;0,1,0))</f>
        <v/>
      </c>
      <c r="B4264">
        <f>IF(INDEX(P_Type,ROW()-4)="","",TRIM(UPPER(INDEX(P_Type,ROW()-4))))</f>
        <v/>
      </c>
      <c r="D4264">
        <f>IF(INDEX(L_Type,ROW()-4)="","",TRIM(UPPER(INDEX(L_Type,ROW()-4))))</f>
        <v/>
      </c>
      <c r="E4264">
        <f>IF(INDEX(P_Status,ROW()-4)="","",TRIM(UPPER(INDEX(P_Status,ROW()-4))))</f>
        <v/>
      </c>
      <c r="G4264">
        <f>IF(INDEX(L_Status,ROW()-4)="","",TRIM(UPPER(INDEX(L_Status,ROW()-4))))</f>
        <v/>
      </c>
      <c r="J4264">
        <f>IF(INDEX(L_ID,ROW()-4)="","",IF(SUMPRODUCT((P_ID=INDEX(L_ID,ROW()-4))*(P_StatusN="INACTIVE"))&gt;0,1,0))</f>
        <v/>
      </c>
    </row>
    <row r="4265">
      <c r="A4265">
        <f>IF(INDEX(L_ID,ROW()-4)="","",IF(COUNTIF(P_ID,INDEX(L_ID,ROW()-4))&gt;0,1,0))</f>
        <v/>
      </c>
      <c r="B4265">
        <f>IF(INDEX(P_Type,ROW()-4)="","",TRIM(UPPER(INDEX(P_Type,ROW()-4))))</f>
        <v/>
      </c>
      <c r="D4265">
        <f>IF(INDEX(L_Type,ROW()-4)="","",TRIM(UPPER(INDEX(L_Type,ROW()-4))))</f>
        <v/>
      </c>
      <c r="E4265">
        <f>IF(INDEX(P_Status,ROW()-4)="","",TRIM(UPPER(INDEX(P_Status,ROW()-4))))</f>
        <v/>
      </c>
      <c r="G4265">
        <f>IF(INDEX(L_Status,ROW()-4)="","",TRIM(UPPER(INDEX(L_Status,ROW()-4))))</f>
        <v/>
      </c>
      <c r="J4265">
        <f>IF(INDEX(L_ID,ROW()-4)="","",IF(SUMPRODUCT((P_ID=INDEX(L_ID,ROW()-4))*(P_StatusN="INACTIVE"))&gt;0,1,0))</f>
        <v/>
      </c>
    </row>
    <row r="4266">
      <c r="A4266">
        <f>IF(INDEX(L_ID,ROW()-4)="","",IF(COUNTIF(P_ID,INDEX(L_ID,ROW()-4))&gt;0,1,0))</f>
        <v/>
      </c>
      <c r="B4266">
        <f>IF(INDEX(P_Type,ROW()-4)="","",TRIM(UPPER(INDEX(P_Type,ROW()-4))))</f>
        <v/>
      </c>
      <c r="D4266">
        <f>IF(INDEX(L_Type,ROW()-4)="","",TRIM(UPPER(INDEX(L_Type,ROW()-4))))</f>
        <v/>
      </c>
      <c r="E4266">
        <f>IF(INDEX(P_Status,ROW()-4)="","",TRIM(UPPER(INDEX(P_Status,ROW()-4))))</f>
        <v/>
      </c>
      <c r="G4266">
        <f>IF(INDEX(L_Status,ROW()-4)="","",TRIM(UPPER(INDEX(L_Status,ROW()-4))))</f>
        <v/>
      </c>
      <c r="J4266">
        <f>IF(INDEX(L_ID,ROW()-4)="","",IF(SUMPRODUCT((P_ID=INDEX(L_ID,ROW()-4))*(P_StatusN="INACTIVE"))&gt;0,1,0))</f>
        <v/>
      </c>
    </row>
    <row r="4267">
      <c r="A4267">
        <f>IF(INDEX(L_ID,ROW()-4)="","",IF(COUNTIF(P_ID,INDEX(L_ID,ROW()-4))&gt;0,1,0))</f>
        <v/>
      </c>
      <c r="B4267">
        <f>IF(INDEX(P_Type,ROW()-4)="","",TRIM(UPPER(INDEX(P_Type,ROW()-4))))</f>
        <v/>
      </c>
      <c r="D4267">
        <f>IF(INDEX(L_Type,ROW()-4)="","",TRIM(UPPER(INDEX(L_Type,ROW()-4))))</f>
        <v/>
      </c>
      <c r="E4267">
        <f>IF(INDEX(P_Status,ROW()-4)="","",TRIM(UPPER(INDEX(P_Status,ROW()-4))))</f>
        <v/>
      </c>
      <c r="G4267">
        <f>IF(INDEX(L_Status,ROW()-4)="","",TRIM(UPPER(INDEX(L_Status,ROW()-4))))</f>
        <v/>
      </c>
      <c r="J4267">
        <f>IF(INDEX(L_ID,ROW()-4)="","",IF(SUMPRODUCT((P_ID=INDEX(L_ID,ROW()-4))*(P_StatusN="INACTIVE"))&gt;0,1,0))</f>
        <v/>
      </c>
    </row>
    <row r="4268">
      <c r="A4268">
        <f>IF(INDEX(L_ID,ROW()-4)="","",IF(COUNTIF(P_ID,INDEX(L_ID,ROW()-4))&gt;0,1,0))</f>
        <v/>
      </c>
      <c r="B4268">
        <f>IF(INDEX(P_Type,ROW()-4)="","",TRIM(UPPER(INDEX(P_Type,ROW()-4))))</f>
        <v/>
      </c>
      <c r="D4268">
        <f>IF(INDEX(L_Type,ROW()-4)="","",TRIM(UPPER(INDEX(L_Type,ROW()-4))))</f>
        <v/>
      </c>
      <c r="E4268">
        <f>IF(INDEX(P_Status,ROW()-4)="","",TRIM(UPPER(INDEX(P_Status,ROW()-4))))</f>
        <v/>
      </c>
      <c r="G4268">
        <f>IF(INDEX(L_Status,ROW()-4)="","",TRIM(UPPER(INDEX(L_Status,ROW()-4))))</f>
        <v/>
      </c>
      <c r="J4268">
        <f>IF(INDEX(L_ID,ROW()-4)="","",IF(SUMPRODUCT((P_ID=INDEX(L_ID,ROW()-4))*(P_StatusN="INACTIVE"))&gt;0,1,0))</f>
        <v/>
      </c>
    </row>
    <row r="4269">
      <c r="A4269">
        <f>IF(INDEX(L_ID,ROW()-4)="","",IF(COUNTIF(P_ID,INDEX(L_ID,ROW()-4))&gt;0,1,0))</f>
        <v/>
      </c>
      <c r="B4269">
        <f>IF(INDEX(P_Type,ROW()-4)="","",TRIM(UPPER(INDEX(P_Type,ROW()-4))))</f>
        <v/>
      </c>
      <c r="D4269">
        <f>IF(INDEX(L_Type,ROW()-4)="","",TRIM(UPPER(INDEX(L_Type,ROW()-4))))</f>
        <v/>
      </c>
      <c r="E4269">
        <f>IF(INDEX(P_Status,ROW()-4)="","",TRIM(UPPER(INDEX(P_Status,ROW()-4))))</f>
        <v/>
      </c>
      <c r="G4269">
        <f>IF(INDEX(L_Status,ROW()-4)="","",TRIM(UPPER(INDEX(L_Status,ROW()-4))))</f>
        <v/>
      </c>
      <c r="J4269">
        <f>IF(INDEX(L_ID,ROW()-4)="","",IF(SUMPRODUCT((P_ID=INDEX(L_ID,ROW()-4))*(P_StatusN="INACTIVE"))&gt;0,1,0))</f>
        <v/>
      </c>
    </row>
    <row r="4270">
      <c r="A4270">
        <f>IF(INDEX(L_ID,ROW()-4)="","",IF(COUNTIF(P_ID,INDEX(L_ID,ROW()-4))&gt;0,1,0))</f>
        <v/>
      </c>
      <c r="B4270">
        <f>IF(INDEX(P_Type,ROW()-4)="","",TRIM(UPPER(INDEX(P_Type,ROW()-4))))</f>
        <v/>
      </c>
      <c r="D4270">
        <f>IF(INDEX(L_Type,ROW()-4)="","",TRIM(UPPER(INDEX(L_Type,ROW()-4))))</f>
        <v/>
      </c>
      <c r="E4270">
        <f>IF(INDEX(P_Status,ROW()-4)="","",TRIM(UPPER(INDEX(P_Status,ROW()-4))))</f>
        <v/>
      </c>
      <c r="G4270">
        <f>IF(INDEX(L_Status,ROW()-4)="","",TRIM(UPPER(INDEX(L_Status,ROW()-4))))</f>
        <v/>
      </c>
      <c r="J4270">
        <f>IF(INDEX(L_ID,ROW()-4)="","",IF(SUMPRODUCT((P_ID=INDEX(L_ID,ROW()-4))*(P_StatusN="INACTIVE"))&gt;0,1,0))</f>
        <v/>
      </c>
    </row>
    <row r="4271">
      <c r="A4271">
        <f>IF(INDEX(L_ID,ROW()-4)="","",IF(COUNTIF(P_ID,INDEX(L_ID,ROW()-4))&gt;0,1,0))</f>
        <v/>
      </c>
      <c r="B4271">
        <f>IF(INDEX(P_Type,ROW()-4)="","",TRIM(UPPER(INDEX(P_Type,ROW()-4))))</f>
        <v/>
      </c>
      <c r="D4271">
        <f>IF(INDEX(L_Type,ROW()-4)="","",TRIM(UPPER(INDEX(L_Type,ROW()-4))))</f>
        <v/>
      </c>
      <c r="E4271">
        <f>IF(INDEX(P_Status,ROW()-4)="","",TRIM(UPPER(INDEX(P_Status,ROW()-4))))</f>
        <v/>
      </c>
      <c r="G4271">
        <f>IF(INDEX(L_Status,ROW()-4)="","",TRIM(UPPER(INDEX(L_Status,ROW()-4))))</f>
        <v/>
      </c>
      <c r="J4271">
        <f>IF(INDEX(L_ID,ROW()-4)="","",IF(SUMPRODUCT((P_ID=INDEX(L_ID,ROW()-4))*(P_StatusN="INACTIVE"))&gt;0,1,0))</f>
        <v/>
      </c>
    </row>
    <row r="4272">
      <c r="A4272">
        <f>IF(INDEX(L_ID,ROW()-4)="","",IF(COUNTIF(P_ID,INDEX(L_ID,ROW()-4))&gt;0,1,0))</f>
        <v/>
      </c>
      <c r="B4272">
        <f>IF(INDEX(P_Type,ROW()-4)="","",TRIM(UPPER(INDEX(P_Type,ROW()-4))))</f>
        <v/>
      </c>
      <c r="D4272">
        <f>IF(INDEX(L_Type,ROW()-4)="","",TRIM(UPPER(INDEX(L_Type,ROW()-4))))</f>
        <v/>
      </c>
      <c r="E4272">
        <f>IF(INDEX(P_Status,ROW()-4)="","",TRIM(UPPER(INDEX(P_Status,ROW()-4))))</f>
        <v/>
      </c>
      <c r="G4272">
        <f>IF(INDEX(L_Status,ROW()-4)="","",TRIM(UPPER(INDEX(L_Status,ROW()-4))))</f>
        <v/>
      </c>
      <c r="J4272">
        <f>IF(INDEX(L_ID,ROW()-4)="","",IF(SUMPRODUCT((P_ID=INDEX(L_ID,ROW()-4))*(P_StatusN="INACTIVE"))&gt;0,1,0))</f>
        <v/>
      </c>
    </row>
    <row r="4273">
      <c r="A4273">
        <f>IF(INDEX(L_ID,ROW()-4)="","",IF(COUNTIF(P_ID,INDEX(L_ID,ROW()-4))&gt;0,1,0))</f>
        <v/>
      </c>
      <c r="B4273">
        <f>IF(INDEX(P_Type,ROW()-4)="","",TRIM(UPPER(INDEX(P_Type,ROW()-4))))</f>
        <v/>
      </c>
      <c r="D4273">
        <f>IF(INDEX(L_Type,ROW()-4)="","",TRIM(UPPER(INDEX(L_Type,ROW()-4))))</f>
        <v/>
      </c>
      <c r="E4273">
        <f>IF(INDEX(P_Status,ROW()-4)="","",TRIM(UPPER(INDEX(P_Status,ROW()-4))))</f>
        <v/>
      </c>
      <c r="G4273">
        <f>IF(INDEX(L_Status,ROW()-4)="","",TRIM(UPPER(INDEX(L_Status,ROW()-4))))</f>
        <v/>
      </c>
      <c r="J4273">
        <f>IF(INDEX(L_ID,ROW()-4)="","",IF(SUMPRODUCT((P_ID=INDEX(L_ID,ROW()-4))*(P_StatusN="INACTIVE"))&gt;0,1,0))</f>
        <v/>
      </c>
    </row>
    <row r="4274">
      <c r="A4274">
        <f>IF(INDEX(L_ID,ROW()-4)="","",IF(COUNTIF(P_ID,INDEX(L_ID,ROW()-4))&gt;0,1,0))</f>
        <v/>
      </c>
      <c r="B4274">
        <f>IF(INDEX(P_Type,ROW()-4)="","",TRIM(UPPER(INDEX(P_Type,ROW()-4))))</f>
        <v/>
      </c>
      <c r="D4274">
        <f>IF(INDEX(L_Type,ROW()-4)="","",TRIM(UPPER(INDEX(L_Type,ROW()-4))))</f>
        <v/>
      </c>
      <c r="E4274">
        <f>IF(INDEX(P_Status,ROW()-4)="","",TRIM(UPPER(INDEX(P_Status,ROW()-4))))</f>
        <v/>
      </c>
      <c r="G4274">
        <f>IF(INDEX(L_Status,ROW()-4)="","",TRIM(UPPER(INDEX(L_Status,ROW()-4))))</f>
        <v/>
      </c>
      <c r="J4274">
        <f>IF(INDEX(L_ID,ROW()-4)="","",IF(SUMPRODUCT((P_ID=INDEX(L_ID,ROW()-4))*(P_StatusN="INACTIVE"))&gt;0,1,0))</f>
        <v/>
      </c>
    </row>
    <row r="4275">
      <c r="A4275">
        <f>IF(INDEX(L_ID,ROW()-4)="","",IF(COUNTIF(P_ID,INDEX(L_ID,ROW()-4))&gt;0,1,0))</f>
        <v/>
      </c>
      <c r="B4275">
        <f>IF(INDEX(P_Type,ROW()-4)="","",TRIM(UPPER(INDEX(P_Type,ROW()-4))))</f>
        <v/>
      </c>
      <c r="D4275">
        <f>IF(INDEX(L_Type,ROW()-4)="","",TRIM(UPPER(INDEX(L_Type,ROW()-4))))</f>
        <v/>
      </c>
      <c r="E4275">
        <f>IF(INDEX(P_Status,ROW()-4)="","",TRIM(UPPER(INDEX(P_Status,ROW()-4))))</f>
        <v/>
      </c>
      <c r="G4275">
        <f>IF(INDEX(L_Status,ROW()-4)="","",TRIM(UPPER(INDEX(L_Status,ROW()-4))))</f>
        <v/>
      </c>
      <c r="J4275">
        <f>IF(INDEX(L_ID,ROW()-4)="","",IF(SUMPRODUCT((P_ID=INDEX(L_ID,ROW()-4))*(P_StatusN="INACTIVE"))&gt;0,1,0))</f>
        <v/>
      </c>
    </row>
    <row r="4276">
      <c r="A4276">
        <f>IF(INDEX(L_ID,ROW()-4)="","",IF(COUNTIF(P_ID,INDEX(L_ID,ROW()-4))&gt;0,1,0))</f>
        <v/>
      </c>
      <c r="B4276">
        <f>IF(INDEX(P_Type,ROW()-4)="","",TRIM(UPPER(INDEX(P_Type,ROW()-4))))</f>
        <v/>
      </c>
      <c r="D4276">
        <f>IF(INDEX(L_Type,ROW()-4)="","",TRIM(UPPER(INDEX(L_Type,ROW()-4))))</f>
        <v/>
      </c>
      <c r="E4276">
        <f>IF(INDEX(P_Status,ROW()-4)="","",TRIM(UPPER(INDEX(P_Status,ROW()-4))))</f>
        <v/>
      </c>
      <c r="G4276">
        <f>IF(INDEX(L_Status,ROW()-4)="","",TRIM(UPPER(INDEX(L_Status,ROW()-4))))</f>
        <v/>
      </c>
      <c r="J4276">
        <f>IF(INDEX(L_ID,ROW()-4)="","",IF(SUMPRODUCT((P_ID=INDEX(L_ID,ROW()-4))*(P_StatusN="INACTIVE"))&gt;0,1,0))</f>
        <v/>
      </c>
    </row>
    <row r="4277">
      <c r="A4277">
        <f>IF(INDEX(L_ID,ROW()-4)="","",IF(COUNTIF(P_ID,INDEX(L_ID,ROW()-4))&gt;0,1,0))</f>
        <v/>
      </c>
      <c r="B4277">
        <f>IF(INDEX(P_Type,ROW()-4)="","",TRIM(UPPER(INDEX(P_Type,ROW()-4))))</f>
        <v/>
      </c>
      <c r="D4277">
        <f>IF(INDEX(L_Type,ROW()-4)="","",TRIM(UPPER(INDEX(L_Type,ROW()-4))))</f>
        <v/>
      </c>
      <c r="E4277">
        <f>IF(INDEX(P_Status,ROW()-4)="","",TRIM(UPPER(INDEX(P_Status,ROW()-4))))</f>
        <v/>
      </c>
      <c r="G4277">
        <f>IF(INDEX(L_Status,ROW()-4)="","",TRIM(UPPER(INDEX(L_Status,ROW()-4))))</f>
        <v/>
      </c>
      <c r="J4277">
        <f>IF(INDEX(L_ID,ROW()-4)="","",IF(SUMPRODUCT((P_ID=INDEX(L_ID,ROW()-4))*(P_StatusN="INACTIVE"))&gt;0,1,0))</f>
        <v/>
      </c>
    </row>
    <row r="4278">
      <c r="A4278">
        <f>IF(INDEX(L_ID,ROW()-4)="","",IF(COUNTIF(P_ID,INDEX(L_ID,ROW()-4))&gt;0,1,0))</f>
        <v/>
      </c>
      <c r="B4278">
        <f>IF(INDEX(P_Type,ROW()-4)="","",TRIM(UPPER(INDEX(P_Type,ROW()-4))))</f>
        <v/>
      </c>
      <c r="D4278">
        <f>IF(INDEX(L_Type,ROW()-4)="","",TRIM(UPPER(INDEX(L_Type,ROW()-4))))</f>
        <v/>
      </c>
      <c r="E4278">
        <f>IF(INDEX(P_Status,ROW()-4)="","",TRIM(UPPER(INDEX(P_Status,ROW()-4))))</f>
        <v/>
      </c>
      <c r="G4278">
        <f>IF(INDEX(L_Status,ROW()-4)="","",TRIM(UPPER(INDEX(L_Status,ROW()-4))))</f>
        <v/>
      </c>
      <c r="J4278">
        <f>IF(INDEX(L_ID,ROW()-4)="","",IF(SUMPRODUCT((P_ID=INDEX(L_ID,ROW()-4))*(P_StatusN="INACTIVE"))&gt;0,1,0))</f>
        <v/>
      </c>
    </row>
    <row r="4279">
      <c r="A4279">
        <f>IF(INDEX(L_ID,ROW()-4)="","",IF(COUNTIF(P_ID,INDEX(L_ID,ROW()-4))&gt;0,1,0))</f>
        <v/>
      </c>
      <c r="B4279">
        <f>IF(INDEX(P_Type,ROW()-4)="","",TRIM(UPPER(INDEX(P_Type,ROW()-4))))</f>
        <v/>
      </c>
      <c r="D4279">
        <f>IF(INDEX(L_Type,ROW()-4)="","",TRIM(UPPER(INDEX(L_Type,ROW()-4))))</f>
        <v/>
      </c>
      <c r="E4279">
        <f>IF(INDEX(P_Status,ROW()-4)="","",TRIM(UPPER(INDEX(P_Status,ROW()-4))))</f>
        <v/>
      </c>
      <c r="G4279">
        <f>IF(INDEX(L_Status,ROW()-4)="","",TRIM(UPPER(INDEX(L_Status,ROW()-4))))</f>
        <v/>
      </c>
      <c r="J4279">
        <f>IF(INDEX(L_ID,ROW()-4)="","",IF(SUMPRODUCT((P_ID=INDEX(L_ID,ROW()-4))*(P_StatusN="INACTIVE"))&gt;0,1,0))</f>
        <v/>
      </c>
    </row>
    <row r="4280">
      <c r="A4280">
        <f>IF(INDEX(L_ID,ROW()-4)="","",IF(COUNTIF(P_ID,INDEX(L_ID,ROW()-4))&gt;0,1,0))</f>
        <v/>
      </c>
      <c r="B4280">
        <f>IF(INDEX(P_Type,ROW()-4)="","",TRIM(UPPER(INDEX(P_Type,ROW()-4))))</f>
        <v/>
      </c>
      <c r="D4280">
        <f>IF(INDEX(L_Type,ROW()-4)="","",TRIM(UPPER(INDEX(L_Type,ROW()-4))))</f>
        <v/>
      </c>
      <c r="E4280">
        <f>IF(INDEX(P_Status,ROW()-4)="","",TRIM(UPPER(INDEX(P_Status,ROW()-4))))</f>
        <v/>
      </c>
      <c r="G4280">
        <f>IF(INDEX(L_Status,ROW()-4)="","",TRIM(UPPER(INDEX(L_Status,ROW()-4))))</f>
        <v/>
      </c>
      <c r="J4280">
        <f>IF(INDEX(L_ID,ROW()-4)="","",IF(SUMPRODUCT((P_ID=INDEX(L_ID,ROW()-4))*(P_StatusN="INACTIVE"))&gt;0,1,0))</f>
        <v/>
      </c>
    </row>
    <row r="4281">
      <c r="A4281">
        <f>IF(INDEX(L_ID,ROW()-4)="","",IF(COUNTIF(P_ID,INDEX(L_ID,ROW()-4))&gt;0,1,0))</f>
        <v/>
      </c>
      <c r="B4281">
        <f>IF(INDEX(P_Type,ROW()-4)="","",TRIM(UPPER(INDEX(P_Type,ROW()-4))))</f>
        <v/>
      </c>
      <c r="D4281">
        <f>IF(INDEX(L_Type,ROW()-4)="","",TRIM(UPPER(INDEX(L_Type,ROW()-4))))</f>
        <v/>
      </c>
      <c r="E4281">
        <f>IF(INDEX(P_Status,ROW()-4)="","",TRIM(UPPER(INDEX(P_Status,ROW()-4))))</f>
        <v/>
      </c>
      <c r="G4281">
        <f>IF(INDEX(L_Status,ROW()-4)="","",TRIM(UPPER(INDEX(L_Status,ROW()-4))))</f>
        <v/>
      </c>
      <c r="J4281">
        <f>IF(INDEX(L_ID,ROW()-4)="","",IF(SUMPRODUCT((P_ID=INDEX(L_ID,ROW()-4))*(P_StatusN="INACTIVE"))&gt;0,1,0))</f>
        <v/>
      </c>
    </row>
    <row r="4282">
      <c r="A4282">
        <f>IF(INDEX(L_ID,ROW()-4)="","",IF(COUNTIF(P_ID,INDEX(L_ID,ROW()-4))&gt;0,1,0))</f>
        <v/>
      </c>
      <c r="B4282">
        <f>IF(INDEX(P_Type,ROW()-4)="","",TRIM(UPPER(INDEX(P_Type,ROW()-4))))</f>
        <v/>
      </c>
      <c r="D4282">
        <f>IF(INDEX(L_Type,ROW()-4)="","",TRIM(UPPER(INDEX(L_Type,ROW()-4))))</f>
        <v/>
      </c>
      <c r="E4282">
        <f>IF(INDEX(P_Status,ROW()-4)="","",TRIM(UPPER(INDEX(P_Status,ROW()-4))))</f>
        <v/>
      </c>
      <c r="G4282">
        <f>IF(INDEX(L_Status,ROW()-4)="","",TRIM(UPPER(INDEX(L_Status,ROW()-4))))</f>
        <v/>
      </c>
      <c r="J4282">
        <f>IF(INDEX(L_ID,ROW()-4)="","",IF(SUMPRODUCT((P_ID=INDEX(L_ID,ROW()-4))*(P_StatusN="INACTIVE"))&gt;0,1,0))</f>
        <v/>
      </c>
    </row>
    <row r="4283">
      <c r="A4283">
        <f>IF(INDEX(L_ID,ROW()-4)="","",IF(COUNTIF(P_ID,INDEX(L_ID,ROW()-4))&gt;0,1,0))</f>
        <v/>
      </c>
      <c r="B4283">
        <f>IF(INDEX(P_Type,ROW()-4)="","",TRIM(UPPER(INDEX(P_Type,ROW()-4))))</f>
        <v/>
      </c>
      <c r="D4283">
        <f>IF(INDEX(L_Type,ROW()-4)="","",TRIM(UPPER(INDEX(L_Type,ROW()-4))))</f>
        <v/>
      </c>
      <c r="E4283">
        <f>IF(INDEX(P_Status,ROW()-4)="","",TRIM(UPPER(INDEX(P_Status,ROW()-4))))</f>
        <v/>
      </c>
      <c r="G4283">
        <f>IF(INDEX(L_Status,ROW()-4)="","",TRIM(UPPER(INDEX(L_Status,ROW()-4))))</f>
        <v/>
      </c>
      <c r="J4283">
        <f>IF(INDEX(L_ID,ROW()-4)="","",IF(SUMPRODUCT((P_ID=INDEX(L_ID,ROW()-4))*(P_StatusN="INACTIVE"))&gt;0,1,0))</f>
        <v/>
      </c>
    </row>
    <row r="4284">
      <c r="A4284">
        <f>IF(INDEX(L_ID,ROW()-4)="","",IF(COUNTIF(P_ID,INDEX(L_ID,ROW()-4))&gt;0,1,0))</f>
        <v/>
      </c>
      <c r="B4284">
        <f>IF(INDEX(P_Type,ROW()-4)="","",TRIM(UPPER(INDEX(P_Type,ROW()-4))))</f>
        <v/>
      </c>
      <c r="D4284">
        <f>IF(INDEX(L_Type,ROW()-4)="","",TRIM(UPPER(INDEX(L_Type,ROW()-4))))</f>
        <v/>
      </c>
      <c r="E4284">
        <f>IF(INDEX(P_Status,ROW()-4)="","",TRIM(UPPER(INDEX(P_Status,ROW()-4))))</f>
        <v/>
      </c>
      <c r="G4284">
        <f>IF(INDEX(L_Status,ROW()-4)="","",TRIM(UPPER(INDEX(L_Status,ROW()-4))))</f>
        <v/>
      </c>
      <c r="J4284">
        <f>IF(INDEX(L_ID,ROW()-4)="","",IF(SUMPRODUCT((P_ID=INDEX(L_ID,ROW()-4))*(P_StatusN="INACTIVE"))&gt;0,1,0))</f>
        <v/>
      </c>
    </row>
    <row r="4285">
      <c r="A4285">
        <f>IF(INDEX(L_ID,ROW()-4)="","",IF(COUNTIF(P_ID,INDEX(L_ID,ROW()-4))&gt;0,1,0))</f>
        <v/>
      </c>
      <c r="B4285">
        <f>IF(INDEX(P_Type,ROW()-4)="","",TRIM(UPPER(INDEX(P_Type,ROW()-4))))</f>
        <v/>
      </c>
      <c r="D4285">
        <f>IF(INDEX(L_Type,ROW()-4)="","",TRIM(UPPER(INDEX(L_Type,ROW()-4))))</f>
        <v/>
      </c>
      <c r="E4285">
        <f>IF(INDEX(P_Status,ROW()-4)="","",TRIM(UPPER(INDEX(P_Status,ROW()-4))))</f>
        <v/>
      </c>
      <c r="G4285">
        <f>IF(INDEX(L_Status,ROW()-4)="","",TRIM(UPPER(INDEX(L_Status,ROW()-4))))</f>
        <v/>
      </c>
      <c r="J4285">
        <f>IF(INDEX(L_ID,ROW()-4)="","",IF(SUMPRODUCT((P_ID=INDEX(L_ID,ROW()-4))*(P_StatusN="INACTIVE"))&gt;0,1,0))</f>
        <v/>
      </c>
    </row>
    <row r="4286">
      <c r="A4286">
        <f>IF(INDEX(L_ID,ROW()-4)="","",IF(COUNTIF(P_ID,INDEX(L_ID,ROW()-4))&gt;0,1,0))</f>
        <v/>
      </c>
      <c r="B4286">
        <f>IF(INDEX(P_Type,ROW()-4)="","",TRIM(UPPER(INDEX(P_Type,ROW()-4))))</f>
        <v/>
      </c>
      <c r="D4286">
        <f>IF(INDEX(L_Type,ROW()-4)="","",TRIM(UPPER(INDEX(L_Type,ROW()-4))))</f>
        <v/>
      </c>
      <c r="E4286">
        <f>IF(INDEX(P_Status,ROW()-4)="","",TRIM(UPPER(INDEX(P_Status,ROW()-4))))</f>
        <v/>
      </c>
      <c r="G4286">
        <f>IF(INDEX(L_Status,ROW()-4)="","",TRIM(UPPER(INDEX(L_Status,ROW()-4))))</f>
        <v/>
      </c>
      <c r="J4286">
        <f>IF(INDEX(L_ID,ROW()-4)="","",IF(SUMPRODUCT((P_ID=INDEX(L_ID,ROW()-4))*(P_StatusN="INACTIVE"))&gt;0,1,0))</f>
        <v/>
      </c>
    </row>
    <row r="4287">
      <c r="A4287">
        <f>IF(INDEX(L_ID,ROW()-4)="","",IF(COUNTIF(P_ID,INDEX(L_ID,ROW()-4))&gt;0,1,0))</f>
        <v/>
      </c>
      <c r="B4287">
        <f>IF(INDEX(P_Type,ROW()-4)="","",TRIM(UPPER(INDEX(P_Type,ROW()-4))))</f>
        <v/>
      </c>
      <c r="D4287">
        <f>IF(INDEX(L_Type,ROW()-4)="","",TRIM(UPPER(INDEX(L_Type,ROW()-4))))</f>
        <v/>
      </c>
      <c r="E4287">
        <f>IF(INDEX(P_Status,ROW()-4)="","",TRIM(UPPER(INDEX(P_Status,ROW()-4))))</f>
        <v/>
      </c>
      <c r="G4287">
        <f>IF(INDEX(L_Status,ROW()-4)="","",TRIM(UPPER(INDEX(L_Status,ROW()-4))))</f>
        <v/>
      </c>
      <c r="J4287">
        <f>IF(INDEX(L_ID,ROW()-4)="","",IF(SUMPRODUCT((P_ID=INDEX(L_ID,ROW()-4))*(P_StatusN="INACTIVE"))&gt;0,1,0))</f>
        <v/>
      </c>
    </row>
    <row r="4288">
      <c r="A4288">
        <f>IF(INDEX(L_ID,ROW()-4)="","",IF(COUNTIF(P_ID,INDEX(L_ID,ROW()-4))&gt;0,1,0))</f>
        <v/>
      </c>
      <c r="B4288">
        <f>IF(INDEX(P_Type,ROW()-4)="","",TRIM(UPPER(INDEX(P_Type,ROW()-4))))</f>
        <v/>
      </c>
      <c r="D4288">
        <f>IF(INDEX(L_Type,ROW()-4)="","",TRIM(UPPER(INDEX(L_Type,ROW()-4))))</f>
        <v/>
      </c>
      <c r="E4288">
        <f>IF(INDEX(P_Status,ROW()-4)="","",TRIM(UPPER(INDEX(P_Status,ROW()-4))))</f>
        <v/>
      </c>
      <c r="G4288">
        <f>IF(INDEX(L_Status,ROW()-4)="","",TRIM(UPPER(INDEX(L_Status,ROW()-4))))</f>
        <v/>
      </c>
      <c r="J4288">
        <f>IF(INDEX(L_ID,ROW()-4)="","",IF(SUMPRODUCT((P_ID=INDEX(L_ID,ROW()-4))*(P_StatusN="INACTIVE"))&gt;0,1,0))</f>
        <v/>
      </c>
    </row>
    <row r="4289">
      <c r="A4289">
        <f>IF(INDEX(L_ID,ROW()-4)="","",IF(COUNTIF(P_ID,INDEX(L_ID,ROW()-4))&gt;0,1,0))</f>
        <v/>
      </c>
      <c r="B4289">
        <f>IF(INDEX(P_Type,ROW()-4)="","",TRIM(UPPER(INDEX(P_Type,ROW()-4))))</f>
        <v/>
      </c>
      <c r="D4289">
        <f>IF(INDEX(L_Type,ROW()-4)="","",TRIM(UPPER(INDEX(L_Type,ROW()-4))))</f>
        <v/>
      </c>
      <c r="E4289">
        <f>IF(INDEX(P_Status,ROW()-4)="","",TRIM(UPPER(INDEX(P_Status,ROW()-4))))</f>
        <v/>
      </c>
      <c r="G4289">
        <f>IF(INDEX(L_Status,ROW()-4)="","",TRIM(UPPER(INDEX(L_Status,ROW()-4))))</f>
        <v/>
      </c>
      <c r="J4289">
        <f>IF(INDEX(L_ID,ROW()-4)="","",IF(SUMPRODUCT((P_ID=INDEX(L_ID,ROW()-4))*(P_StatusN="INACTIVE"))&gt;0,1,0))</f>
        <v/>
      </c>
    </row>
    <row r="4290">
      <c r="A4290">
        <f>IF(INDEX(L_ID,ROW()-4)="","",IF(COUNTIF(P_ID,INDEX(L_ID,ROW()-4))&gt;0,1,0))</f>
        <v/>
      </c>
      <c r="B4290">
        <f>IF(INDEX(P_Type,ROW()-4)="","",TRIM(UPPER(INDEX(P_Type,ROW()-4))))</f>
        <v/>
      </c>
      <c r="D4290">
        <f>IF(INDEX(L_Type,ROW()-4)="","",TRIM(UPPER(INDEX(L_Type,ROW()-4))))</f>
        <v/>
      </c>
      <c r="E4290">
        <f>IF(INDEX(P_Status,ROW()-4)="","",TRIM(UPPER(INDEX(P_Status,ROW()-4))))</f>
        <v/>
      </c>
      <c r="G4290">
        <f>IF(INDEX(L_Status,ROW()-4)="","",TRIM(UPPER(INDEX(L_Status,ROW()-4))))</f>
        <v/>
      </c>
      <c r="J4290">
        <f>IF(INDEX(L_ID,ROW()-4)="","",IF(SUMPRODUCT((P_ID=INDEX(L_ID,ROW()-4))*(P_StatusN="INACTIVE"))&gt;0,1,0))</f>
        <v/>
      </c>
    </row>
    <row r="4291">
      <c r="A4291">
        <f>IF(INDEX(L_ID,ROW()-4)="","",IF(COUNTIF(P_ID,INDEX(L_ID,ROW()-4))&gt;0,1,0))</f>
        <v/>
      </c>
      <c r="B4291">
        <f>IF(INDEX(P_Type,ROW()-4)="","",TRIM(UPPER(INDEX(P_Type,ROW()-4))))</f>
        <v/>
      </c>
      <c r="D4291">
        <f>IF(INDEX(L_Type,ROW()-4)="","",TRIM(UPPER(INDEX(L_Type,ROW()-4))))</f>
        <v/>
      </c>
      <c r="E4291">
        <f>IF(INDEX(P_Status,ROW()-4)="","",TRIM(UPPER(INDEX(P_Status,ROW()-4))))</f>
        <v/>
      </c>
      <c r="G4291">
        <f>IF(INDEX(L_Status,ROW()-4)="","",TRIM(UPPER(INDEX(L_Status,ROW()-4))))</f>
        <v/>
      </c>
      <c r="J4291">
        <f>IF(INDEX(L_ID,ROW()-4)="","",IF(SUMPRODUCT((P_ID=INDEX(L_ID,ROW()-4))*(P_StatusN="INACTIVE"))&gt;0,1,0))</f>
        <v/>
      </c>
    </row>
    <row r="4292">
      <c r="A4292">
        <f>IF(INDEX(L_ID,ROW()-4)="","",IF(COUNTIF(P_ID,INDEX(L_ID,ROW()-4))&gt;0,1,0))</f>
        <v/>
      </c>
      <c r="B4292">
        <f>IF(INDEX(P_Type,ROW()-4)="","",TRIM(UPPER(INDEX(P_Type,ROW()-4))))</f>
        <v/>
      </c>
      <c r="D4292">
        <f>IF(INDEX(L_Type,ROW()-4)="","",TRIM(UPPER(INDEX(L_Type,ROW()-4))))</f>
        <v/>
      </c>
      <c r="E4292">
        <f>IF(INDEX(P_Status,ROW()-4)="","",TRIM(UPPER(INDEX(P_Status,ROW()-4))))</f>
        <v/>
      </c>
      <c r="G4292">
        <f>IF(INDEX(L_Status,ROW()-4)="","",TRIM(UPPER(INDEX(L_Status,ROW()-4))))</f>
        <v/>
      </c>
      <c r="J4292">
        <f>IF(INDEX(L_ID,ROW()-4)="","",IF(SUMPRODUCT((P_ID=INDEX(L_ID,ROW()-4))*(P_StatusN="INACTIVE"))&gt;0,1,0))</f>
        <v/>
      </c>
    </row>
    <row r="4293">
      <c r="A4293">
        <f>IF(INDEX(L_ID,ROW()-4)="","",IF(COUNTIF(P_ID,INDEX(L_ID,ROW()-4))&gt;0,1,0))</f>
        <v/>
      </c>
      <c r="B4293">
        <f>IF(INDEX(P_Type,ROW()-4)="","",TRIM(UPPER(INDEX(P_Type,ROW()-4))))</f>
        <v/>
      </c>
      <c r="D4293">
        <f>IF(INDEX(L_Type,ROW()-4)="","",TRIM(UPPER(INDEX(L_Type,ROW()-4))))</f>
        <v/>
      </c>
      <c r="E4293">
        <f>IF(INDEX(P_Status,ROW()-4)="","",TRIM(UPPER(INDEX(P_Status,ROW()-4))))</f>
        <v/>
      </c>
      <c r="G4293">
        <f>IF(INDEX(L_Status,ROW()-4)="","",TRIM(UPPER(INDEX(L_Status,ROW()-4))))</f>
        <v/>
      </c>
      <c r="J4293">
        <f>IF(INDEX(L_ID,ROW()-4)="","",IF(SUMPRODUCT((P_ID=INDEX(L_ID,ROW()-4))*(P_StatusN="INACTIVE"))&gt;0,1,0))</f>
        <v/>
      </c>
    </row>
    <row r="4294">
      <c r="A4294">
        <f>IF(INDEX(L_ID,ROW()-4)="","",IF(COUNTIF(P_ID,INDEX(L_ID,ROW()-4))&gt;0,1,0))</f>
        <v/>
      </c>
      <c r="B4294">
        <f>IF(INDEX(P_Type,ROW()-4)="","",TRIM(UPPER(INDEX(P_Type,ROW()-4))))</f>
        <v/>
      </c>
      <c r="D4294">
        <f>IF(INDEX(L_Type,ROW()-4)="","",TRIM(UPPER(INDEX(L_Type,ROW()-4))))</f>
        <v/>
      </c>
      <c r="E4294">
        <f>IF(INDEX(P_Status,ROW()-4)="","",TRIM(UPPER(INDEX(P_Status,ROW()-4))))</f>
        <v/>
      </c>
      <c r="G4294">
        <f>IF(INDEX(L_Status,ROW()-4)="","",TRIM(UPPER(INDEX(L_Status,ROW()-4))))</f>
        <v/>
      </c>
      <c r="J4294">
        <f>IF(INDEX(L_ID,ROW()-4)="","",IF(SUMPRODUCT((P_ID=INDEX(L_ID,ROW()-4))*(P_StatusN="INACTIVE"))&gt;0,1,0))</f>
        <v/>
      </c>
    </row>
    <row r="4295">
      <c r="A4295">
        <f>IF(INDEX(L_ID,ROW()-4)="","",IF(COUNTIF(P_ID,INDEX(L_ID,ROW()-4))&gt;0,1,0))</f>
        <v/>
      </c>
      <c r="B4295">
        <f>IF(INDEX(P_Type,ROW()-4)="","",TRIM(UPPER(INDEX(P_Type,ROW()-4))))</f>
        <v/>
      </c>
      <c r="D4295">
        <f>IF(INDEX(L_Type,ROW()-4)="","",TRIM(UPPER(INDEX(L_Type,ROW()-4))))</f>
        <v/>
      </c>
      <c r="E4295">
        <f>IF(INDEX(P_Status,ROW()-4)="","",TRIM(UPPER(INDEX(P_Status,ROW()-4))))</f>
        <v/>
      </c>
      <c r="G4295">
        <f>IF(INDEX(L_Status,ROW()-4)="","",TRIM(UPPER(INDEX(L_Status,ROW()-4))))</f>
        <v/>
      </c>
      <c r="J4295">
        <f>IF(INDEX(L_ID,ROW()-4)="","",IF(SUMPRODUCT((P_ID=INDEX(L_ID,ROW()-4))*(P_StatusN="INACTIVE"))&gt;0,1,0))</f>
        <v/>
      </c>
    </row>
    <row r="4296">
      <c r="A4296">
        <f>IF(INDEX(L_ID,ROW()-4)="","",IF(COUNTIF(P_ID,INDEX(L_ID,ROW()-4))&gt;0,1,0))</f>
        <v/>
      </c>
      <c r="B4296">
        <f>IF(INDEX(P_Type,ROW()-4)="","",TRIM(UPPER(INDEX(P_Type,ROW()-4))))</f>
        <v/>
      </c>
      <c r="D4296">
        <f>IF(INDEX(L_Type,ROW()-4)="","",TRIM(UPPER(INDEX(L_Type,ROW()-4))))</f>
        <v/>
      </c>
      <c r="E4296">
        <f>IF(INDEX(P_Status,ROW()-4)="","",TRIM(UPPER(INDEX(P_Status,ROW()-4))))</f>
        <v/>
      </c>
      <c r="G4296">
        <f>IF(INDEX(L_Status,ROW()-4)="","",TRIM(UPPER(INDEX(L_Status,ROW()-4))))</f>
        <v/>
      </c>
      <c r="J4296">
        <f>IF(INDEX(L_ID,ROW()-4)="","",IF(SUMPRODUCT((P_ID=INDEX(L_ID,ROW()-4))*(P_StatusN="INACTIVE"))&gt;0,1,0))</f>
        <v/>
      </c>
    </row>
    <row r="4297">
      <c r="A4297">
        <f>IF(INDEX(L_ID,ROW()-4)="","",IF(COUNTIF(P_ID,INDEX(L_ID,ROW()-4))&gt;0,1,0))</f>
        <v/>
      </c>
      <c r="B4297">
        <f>IF(INDEX(P_Type,ROW()-4)="","",TRIM(UPPER(INDEX(P_Type,ROW()-4))))</f>
        <v/>
      </c>
      <c r="D4297">
        <f>IF(INDEX(L_Type,ROW()-4)="","",TRIM(UPPER(INDEX(L_Type,ROW()-4))))</f>
        <v/>
      </c>
      <c r="E4297">
        <f>IF(INDEX(P_Status,ROW()-4)="","",TRIM(UPPER(INDEX(P_Status,ROW()-4))))</f>
        <v/>
      </c>
      <c r="G4297">
        <f>IF(INDEX(L_Status,ROW()-4)="","",TRIM(UPPER(INDEX(L_Status,ROW()-4))))</f>
        <v/>
      </c>
      <c r="J4297">
        <f>IF(INDEX(L_ID,ROW()-4)="","",IF(SUMPRODUCT((P_ID=INDEX(L_ID,ROW()-4))*(P_StatusN="INACTIVE"))&gt;0,1,0))</f>
        <v/>
      </c>
    </row>
    <row r="4298">
      <c r="A4298">
        <f>IF(INDEX(L_ID,ROW()-4)="","",IF(COUNTIF(P_ID,INDEX(L_ID,ROW()-4))&gt;0,1,0))</f>
        <v/>
      </c>
      <c r="B4298">
        <f>IF(INDEX(P_Type,ROW()-4)="","",TRIM(UPPER(INDEX(P_Type,ROW()-4))))</f>
        <v/>
      </c>
      <c r="D4298">
        <f>IF(INDEX(L_Type,ROW()-4)="","",TRIM(UPPER(INDEX(L_Type,ROW()-4))))</f>
        <v/>
      </c>
      <c r="E4298">
        <f>IF(INDEX(P_Status,ROW()-4)="","",TRIM(UPPER(INDEX(P_Status,ROW()-4))))</f>
        <v/>
      </c>
      <c r="G4298">
        <f>IF(INDEX(L_Status,ROW()-4)="","",TRIM(UPPER(INDEX(L_Status,ROW()-4))))</f>
        <v/>
      </c>
      <c r="J4298">
        <f>IF(INDEX(L_ID,ROW()-4)="","",IF(SUMPRODUCT((P_ID=INDEX(L_ID,ROW()-4))*(P_StatusN="INACTIVE"))&gt;0,1,0))</f>
        <v/>
      </c>
    </row>
    <row r="4299">
      <c r="A4299">
        <f>IF(INDEX(L_ID,ROW()-4)="","",IF(COUNTIF(P_ID,INDEX(L_ID,ROW()-4))&gt;0,1,0))</f>
        <v/>
      </c>
      <c r="B4299">
        <f>IF(INDEX(P_Type,ROW()-4)="","",TRIM(UPPER(INDEX(P_Type,ROW()-4))))</f>
        <v/>
      </c>
      <c r="D4299">
        <f>IF(INDEX(L_Type,ROW()-4)="","",TRIM(UPPER(INDEX(L_Type,ROW()-4))))</f>
        <v/>
      </c>
      <c r="E4299">
        <f>IF(INDEX(P_Status,ROW()-4)="","",TRIM(UPPER(INDEX(P_Status,ROW()-4))))</f>
        <v/>
      </c>
      <c r="G4299">
        <f>IF(INDEX(L_Status,ROW()-4)="","",TRIM(UPPER(INDEX(L_Status,ROW()-4))))</f>
        <v/>
      </c>
      <c r="J4299">
        <f>IF(INDEX(L_ID,ROW()-4)="","",IF(SUMPRODUCT((P_ID=INDEX(L_ID,ROW()-4))*(P_StatusN="INACTIVE"))&gt;0,1,0))</f>
        <v/>
      </c>
    </row>
    <row r="4300">
      <c r="A4300">
        <f>IF(INDEX(L_ID,ROW()-4)="","",IF(COUNTIF(P_ID,INDEX(L_ID,ROW()-4))&gt;0,1,0))</f>
        <v/>
      </c>
      <c r="B4300">
        <f>IF(INDEX(P_Type,ROW()-4)="","",TRIM(UPPER(INDEX(P_Type,ROW()-4))))</f>
        <v/>
      </c>
      <c r="D4300">
        <f>IF(INDEX(L_Type,ROW()-4)="","",TRIM(UPPER(INDEX(L_Type,ROW()-4))))</f>
        <v/>
      </c>
      <c r="E4300">
        <f>IF(INDEX(P_Status,ROW()-4)="","",TRIM(UPPER(INDEX(P_Status,ROW()-4))))</f>
        <v/>
      </c>
      <c r="G4300">
        <f>IF(INDEX(L_Status,ROW()-4)="","",TRIM(UPPER(INDEX(L_Status,ROW()-4))))</f>
        <v/>
      </c>
      <c r="J4300">
        <f>IF(INDEX(L_ID,ROW()-4)="","",IF(SUMPRODUCT((P_ID=INDEX(L_ID,ROW()-4))*(P_StatusN="INACTIVE"))&gt;0,1,0))</f>
        <v/>
      </c>
    </row>
    <row r="4301">
      <c r="A4301">
        <f>IF(INDEX(L_ID,ROW()-4)="","",IF(COUNTIF(P_ID,INDEX(L_ID,ROW()-4))&gt;0,1,0))</f>
        <v/>
      </c>
      <c r="B4301">
        <f>IF(INDEX(P_Type,ROW()-4)="","",TRIM(UPPER(INDEX(P_Type,ROW()-4))))</f>
        <v/>
      </c>
      <c r="D4301">
        <f>IF(INDEX(L_Type,ROW()-4)="","",TRIM(UPPER(INDEX(L_Type,ROW()-4))))</f>
        <v/>
      </c>
      <c r="E4301">
        <f>IF(INDEX(P_Status,ROW()-4)="","",TRIM(UPPER(INDEX(P_Status,ROW()-4))))</f>
        <v/>
      </c>
      <c r="G4301">
        <f>IF(INDEX(L_Status,ROW()-4)="","",TRIM(UPPER(INDEX(L_Status,ROW()-4))))</f>
        <v/>
      </c>
      <c r="J4301">
        <f>IF(INDEX(L_ID,ROW()-4)="","",IF(SUMPRODUCT((P_ID=INDEX(L_ID,ROW()-4))*(P_StatusN="INACTIVE"))&gt;0,1,0))</f>
        <v/>
      </c>
    </row>
    <row r="4302">
      <c r="A4302">
        <f>IF(INDEX(L_ID,ROW()-4)="","",IF(COUNTIF(P_ID,INDEX(L_ID,ROW()-4))&gt;0,1,0))</f>
        <v/>
      </c>
      <c r="B4302">
        <f>IF(INDEX(P_Type,ROW()-4)="","",TRIM(UPPER(INDEX(P_Type,ROW()-4))))</f>
        <v/>
      </c>
      <c r="D4302">
        <f>IF(INDEX(L_Type,ROW()-4)="","",TRIM(UPPER(INDEX(L_Type,ROW()-4))))</f>
        <v/>
      </c>
      <c r="E4302">
        <f>IF(INDEX(P_Status,ROW()-4)="","",TRIM(UPPER(INDEX(P_Status,ROW()-4))))</f>
        <v/>
      </c>
      <c r="G4302">
        <f>IF(INDEX(L_Status,ROW()-4)="","",TRIM(UPPER(INDEX(L_Status,ROW()-4))))</f>
        <v/>
      </c>
      <c r="J4302">
        <f>IF(INDEX(L_ID,ROW()-4)="","",IF(SUMPRODUCT((P_ID=INDEX(L_ID,ROW()-4))*(P_StatusN="INACTIVE"))&gt;0,1,0))</f>
        <v/>
      </c>
    </row>
    <row r="4303">
      <c r="A4303">
        <f>IF(INDEX(L_ID,ROW()-4)="","",IF(COUNTIF(P_ID,INDEX(L_ID,ROW()-4))&gt;0,1,0))</f>
        <v/>
      </c>
      <c r="B4303">
        <f>IF(INDEX(P_Type,ROW()-4)="","",TRIM(UPPER(INDEX(P_Type,ROW()-4))))</f>
        <v/>
      </c>
      <c r="D4303">
        <f>IF(INDEX(L_Type,ROW()-4)="","",TRIM(UPPER(INDEX(L_Type,ROW()-4))))</f>
        <v/>
      </c>
      <c r="E4303">
        <f>IF(INDEX(P_Status,ROW()-4)="","",TRIM(UPPER(INDEX(P_Status,ROW()-4))))</f>
        <v/>
      </c>
      <c r="G4303">
        <f>IF(INDEX(L_Status,ROW()-4)="","",TRIM(UPPER(INDEX(L_Status,ROW()-4))))</f>
        <v/>
      </c>
      <c r="J4303">
        <f>IF(INDEX(L_ID,ROW()-4)="","",IF(SUMPRODUCT((P_ID=INDEX(L_ID,ROW()-4))*(P_StatusN="INACTIVE"))&gt;0,1,0))</f>
        <v/>
      </c>
    </row>
    <row r="4304">
      <c r="A4304">
        <f>IF(INDEX(L_ID,ROW()-4)="","",IF(COUNTIF(P_ID,INDEX(L_ID,ROW()-4))&gt;0,1,0))</f>
        <v/>
      </c>
      <c r="B4304">
        <f>IF(INDEX(P_Type,ROW()-4)="","",TRIM(UPPER(INDEX(P_Type,ROW()-4))))</f>
        <v/>
      </c>
      <c r="D4304">
        <f>IF(INDEX(L_Type,ROW()-4)="","",TRIM(UPPER(INDEX(L_Type,ROW()-4))))</f>
        <v/>
      </c>
      <c r="E4304">
        <f>IF(INDEX(P_Status,ROW()-4)="","",TRIM(UPPER(INDEX(P_Status,ROW()-4))))</f>
        <v/>
      </c>
      <c r="G4304">
        <f>IF(INDEX(L_Status,ROW()-4)="","",TRIM(UPPER(INDEX(L_Status,ROW()-4))))</f>
        <v/>
      </c>
      <c r="J4304">
        <f>IF(INDEX(L_ID,ROW()-4)="","",IF(SUMPRODUCT((P_ID=INDEX(L_ID,ROW()-4))*(P_StatusN="INACTIVE"))&gt;0,1,0))</f>
        <v/>
      </c>
    </row>
    <row r="4305">
      <c r="A4305">
        <f>IF(INDEX(L_ID,ROW()-4)="","",IF(COUNTIF(P_ID,INDEX(L_ID,ROW()-4))&gt;0,1,0))</f>
        <v/>
      </c>
      <c r="B4305">
        <f>IF(INDEX(P_Type,ROW()-4)="","",TRIM(UPPER(INDEX(P_Type,ROW()-4))))</f>
        <v/>
      </c>
      <c r="D4305">
        <f>IF(INDEX(L_Type,ROW()-4)="","",TRIM(UPPER(INDEX(L_Type,ROW()-4))))</f>
        <v/>
      </c>
      <c r="E4305">
        <f>IF(INDEX(P_Status,ROW()-4)="","",TRIM(UPPER(INDEX(P_Status,ROW()-4))))</f>
        <v/>
      </c>
      <c r="G4305">
        <f>IF(INDEX(L_Status,ROW()-4)="","",TRIM(UPPER(INDEX(L_Status,ROW()-4))))</f>
        <v/>
      </c>
      <c r="J4305">
        <f>IF(INDEX(L_ID,ROW()-4)="","",IF(SUMPRODUCT((P_ID=INDEX(L_ID,ROW()-4))*(P_StatusN="INACTIVE"))&gt;0,1,0))</f>
        <v/>
      </c>
    </row>
    <row r="4306">
      <c r="A4306">
        <f>IF(INDEX(L_ID,ROW()-4)="","",IF(COUNTIF(P_ID,INDEX(L_ID,ROW()-4))&gt;0,1,0))</f>
        <v/>
      </c>
      <c r="B4306">
        <f>IF(INDEX(P_Type,ROW()-4)="","",TRIM(UPPER(INDEX(P_Type,ROW()-4))))</f>
        <v/>
      </c>
      <c r="D4306">
        <f>IF(INDEX(L_Type,ROW()-4)="","",TRIM(UPPER(INDEX(L_Type,ROW()-4))))</f>
        <v/>
      </c>
      <c r="E4306">
        <f>IF(INDEX(P_Status,ROW()-4)="","",TRIM(UPPER(INDEX(P_Status,ROW()-4))))</f>
        <v/>
      </c>
      <c r="G4306">
        <f>IF(INDEX(L_Status,ROW()-4)="","",TRIM(UPPER(INDEX(L_Status,ROW()-4))))</f>
        <v/>
      </c>
      <c r="J4306">
        <f>IF(INDEX(L_ID,ROW()-4)="","",IF(SUMPRODUCT((P_ID=INDEX(L_ID,ROW()-4))*(P_StatusN="INACTIVE"))&gt;0,1,0))</f>
        <v/>
      </c>
    </row>
    <row r="4307">
      <c r="A4307">
        <f>IF(INDEX(L_ID,ROW()-4)="","",IF(COUNTIF(P_ID,INDEX(L_ID,ROW()-4))&gt;0,1,0))</f>
        <v/>
      </c>
      <c r="B4307">
        <f>IF(INDEX(P_Type,ROW()-4)="","",TRIM(UPPER(INDEX(P_Type,ROW()-4))))</f>
        <v/>
      </c>
      <c r="D4307">
        <f>IF(INDEX(L_Type,ROW()-4)="","",TRIM(UPPER(INDEX(L_Type,ROW()-4))))</f>
        <v/>
      </c>
      <c r="E4307">
        <f>IF(INDEX(P_Status,ROW()-4)="","",TRIM(UPPER(INDEX(P_Status,ROW()-4))))</f>
        <v/>
      </c>
      <c r="G4307">
        <f>IF(INDEX(L_Status,ROW()-4)="","",TRIM(UPPER(INDEX(L_Status,ROW()-4))))</f>
        <v/>
      </c>
      <c r="J4307">
        <f>IF(INDEX(L_ID,ROW()-4)="","",IF(SUMPRODUCT((P_ID=INDEX(L_ID,ROW()-4))*(P_StatusN="INACTIVE"))&gt;0,1,0))</f>
        <v/>
      </c>
    </row>
    <row r="4308">
      <c r="A4308">
        <f>IF(INDEX(L_ID,ROW()-4)="","",IF(COUNTIF(P_ID,INDEX(L_ID,ROW()-4))&gt;0,1,0))</f>
        <v/>
      </c>
      <c r="B4308">
        <f>IF(INDEX(P_Type,ROW()-4)="","",TRIM(UPPER(INDEX(P_Type,ROW()-4))))</f>
        <v/>
      </c>
      <c r="D4308">
        <f>IF(INDEX(L_Type,ROW()-4)="","",TRIM(UPPER(INDEX(L_Type,ROW()-4))))</f>
        <v/>
      </c>
      <c r="E4308">
        <f>IF(INDEX(P_Status,ROW()-4)="","",TRIM(UPPER(INDEX(P_Status,ROW()-4))))</f>
        <v/>
      </c>
      <c r="G4308">
        <f>IF(INDEX(L_Status,ROW()-4)="","",TRIM(UPPER(INDEX(L_Status,ROW()-4))))</f>
        <v/>
      </c>
      <c r="J4308">
        <f>IF(INDEX(L_ID,ROW()-4)="","",IF(SUMPRODUCT((P_ID=INDEX(L_ID,ROW()-4))*(P_StatusN="INACTIVE"))&gt;0,1,0))</f>
        <v/>
      </c>
    </row>
    <row r="4309">
      <c r="A4309">
        <f>IF(INDEX(L_ID,ROW()-4)="","",IF(COUNTIF(P_ID,INDEX(L_ID,ROW()-4))&gt;0,1,0))</f>
        <v/>
      </c>
      <c r="B4309">
        <f>IF(INDEX(P_Type,ROW()-4)="","",TRIM(UPPER(INDEX(P_Type,ROW()-4))))</f>
        <v/>
      </c>
      <c r="D4309">
        <f>IF(INDEX(L_Type,ROW()-4)="","",TRIM(UPPER(INDEX(L_Type,ROW()-4))))</f>
        <v/>
      </c>
      <c r="E4309">
        <f>IF(INDEX(P_Status,ROW()-4)="","",TRIM(UPPER(INDEX(P_Status,ROW()-4))))</f>
        <v/>
      </c>
      <c r="G4309">
        <f>IF(INDEX(L_Status,ROW()-4)="","",TRIM(UPPER(INDEX(L_Status,ROW()-4))))</f>
        <v/>
      </c>
      <c r="J4309">
        <f>IF(INDEX(L_ID,ROW()-4)="","",IF(SUMPRODUCT((P_ID=INDEX(L_ID,ROW()-4))*(P_StatusN="INACTIVE"))&gt;0,1,0))</f>
        <v/>
      </c>
    </row>
    <row r="4310">
      <c r="A4310">
        <f>IF(INDEX(L_ID,ROW()-4)="","",IF(COUNTIF(P_ID,INDEX(L_ID,ROW()-4))&gt;0,1,0))</f>
        <v/>
      </c>
      <c r="B4310">
        <f>IF(INDEX(P_Type,ROW()-4)="","",TRIM(UPPER(INDEX(P_Type,ROW()-4))))</f>
        <v/>
      </c>
      <c r="D4310">
        <f>IF(INDEX(L_Type,ROW()-4)="","",TRIM(UPPER(INDEX(L_Type,ROW()-4))))</f>
        <v/>
      </c>
      <c r="E4310">
        <f>IF(INDEX(P_Status,ROW()-4)="","",TRIM(UPPER(INDEX(P_Status,ROW()-4))))</f>
        <v/>
      </c>
      <c r="G4310">
        <f>IF(INDEX(L_Status,ROW()-4)="","",TRIM(UPPER(INDEX(L_Status,ROW()-4))))</f>
        <v/>
      </c>
      <c r="J4310">
        <f>IF(INDEX(L_ID,ROW()-4)="","",IF(SUMPRODUCT((P_ID=INDEX(L_ID,ROW()-4))*(P_StatusN="INACTIVE"))&gt;0,1,0))</f>
        <v/>
      </c>
    </row>
    <row r="4311">
      <c r="A4311">
        <f>IF(INDEX(L_ID,ROW()-4)="","",IF(COUNTIF(P_ID,INDEX(L_ID,ROW()-4))&gt;0,1,0))</f>
        <v/>
      </c>
      <c r="B4311">
        <f>IF(INDEX(P_Type,ROW()-4)="","",TRIM(UPPER(INDEX(P_Type,ROW()-4))))</f>
        <v/>
      </c>
      <c r="D4311">
        <f>IF(INDEX(L_Type,ROW()-4)="","",TRIM(UPPER(INDEX(L_Type,ROW()-4))))</f>
        <v/>
      </c>
      <c r="E4311">
        <f>IF(INDEX(P_Status,ROW()-4)="","",TRIM(UPPER(INDEX(P_Status,ROW()-4))))</f>
        <v/>
      </c>
      <c r="G4311">
        <f>IF(INDEX(L_Status,ROW()-4)="","",TRIM(UPPER(INDEX(L_Status,ROW()-4))))</f>
        <v/>
      </c>
      <c r="J4311">
        <f>IF(INDEX(L_ID,ROW()-4)="","",IF(SUMPRODUCT((P_ID=INDEX(L_ID,ROW()-4))*(P_StatusN="INACTIVE"))&gt;0,1,0))</f>
        <v/>
      </c>
    </row>
    <row r="4312">
      <c r="A4312">
        <f>IF(INDEX(L_ID,ROW()-4)="","",IF(COUNTIF(P_ID,INDEX(L_ID,ROW()-4))&gt;0,1,0))</f>
        <v/>
      </c>
      <c r="B4312">
        <f>IF(INDEX(P_Type,ROW()-4)="","",TRIM(UPPER(INDEX(P_Type,ROW()-4))))</f>
        <v/>
      </c>
      <c r="D4312">
        <f>IF(INDEX(L_Type,ROW()-4)="","",TRIM(UPPER(INDEX(L_Type,ROW()-4))))</f>
        <v/>
      </c>
      <c r="E4312">
        <f>IF(INDEX(P_Status,ROW()-4)="","",TRIM(UPPER(INDEX(P_Status,ROW()-4))))</f>
        <v/>
      </c>
      <c r="G4312">
        <f>IF(INDEX(L_Status,ROW()-4)="","",TRIM(UPPER(INDEX(L_Status,ROW()-4))))</f>
        <v/>
      </c>
      <c r="J4312">
        <f>IF(INDEX(L_ID,ROW()-4)="","",IF(SUMPRODUCT((P_ID=INDEX(L_ID,ROW()-4))*(P_StatusN="INACTIVE"))&gt;0,1,0))</f>
        <v/>
      </c>
    </row>
    <row r="4313">
      <c r="A4313">
        <f>IF(INDEX(L_ID,ROW()-4)="","",IF(COUNTIF(P_ID,INDEX(L_ID,ROW()-4))&gt;0,1,0))</f>
        <v/>
      </c>
      <c r="B4313">
        <f>IF(INDEX(P_Type,ROW()-4)="","",TRIM(UPPER(INDEX(P_Type,ROW()-4))))</f>
        <v/>
      </c>
      <c r="D4313">
        <f>IF(INDEX(L_Type,ROW()-4)="","",TRIM(UPPER(INDEX(L_Type,ROW()-4))))</f>
        <v/>
      </c>
      <c r="E4313">
        <f>IF(INDEX(P_Status,ROW()-4)="","",TRIM(UPPER(INDEX(P_Status,ROW()-4))))</f>
        <v/>
      </c>
      <c r="G4313">
        <f>IF(INDEX(L_Status,ROW()-4)="","",TRIM(UPPER(INDEX(L_Status,ROW()-4))))</f>
        <v/>
      </c>
      <c r="J4313">
        <f>IF(INDEX(L_ID,ROW()-4)="","",IF(SUMPRODUCT((P_ID=INDEX(L_ID,ROW()-4))*(P_StatusN="INACTIVE"))&gt;0,1,0))</f>
        <v/>
      </c>
    </row>
    <row r="4314">
      <c r="A4314">
        <f>IF(INDEX(L_ID,ROW()-4)="","",IF(COUNTIF(P_ID,INDEX(L_ID,ROW()-4))&gt;0,1,0))</f>
        <v/>
      </c>
      <c r="B4314">
        <f>IF(INDEX(P_Type,ROW()-4)="","",TRIM(UPPER(INDEX(P_Type,ROW()-4))))</f>
        <v/>
      </c>
      <c r="D4314">
        <f>IF(INDEX(L_Type,ROW()-4)="","",TRIM(UPPER(INDEX(L_Type,ROW()-4))))</f>
        <v/>
      </c>
      <c r="E4314">
        <f>IF(INDEX(P_Status,ROW()-4)="","",TRIM(UPPER(INDEX(P_Status,ROW()-4))))</f>
        <v/>
      </c>
      <c r="G4314">
        <f>IF(INDEX(L_Status,ROW()-4)="","",TRIM(UPPER(INDEX(L_Status,ROW()-4))))</f>
        <v/>
      </c>
      <c r="J4314">
        <f>IF(INDEX(L_ID,ROW()-4)="","",IF(SUMPRODUCT((P_ID=INDEX(L_ID,ROW()-4))*(P_StatusN="INACTIVE"))&gt;0,1,0))</f>
        <v/>
      </c>
    </row>
    <row r="4315">
      <c r="A4315">
        <f>IF(INDEX(L_ID,ROW()-4)="","",IF(COUNTIF(P_ID,INDEX(L_ID,ROW()-4))&gt;0,1,0))</f>
        <v/>
      </c>
      <c r="B4315">
        <f>IF(INDEX(P_Type,ROW()-4)="","",TRIM(UPPER(INDEX(P_Type,ROW()-4))))</f>
        <v/>
      </c>
      <c r="D4315">
        <f>IF(INDEX(L_Type,ROW()-4)="","",TRIM(UPPER(INDEX(L_Type,ROW()-4))))</f>
        <v/>
      </c>
      <c r="E4315">
        <f>IF(INDEX(P_Status,ROW()-4)="","",TRIM(UPPER(INDEX(P_Status,ROW()-4))))</f>
        <v/>
      </c>
      <c r="G4315">
        <f>IF(INDEX(L_Status,ROW()-4)="","",TRIM(UPPER(INDEX(L_Status,ROW()-4))))</f>
        <v/>
      </c>
      <c r="J4315">
        <f>IF(INDEX(L_ID,ROW()-4)="","",IF(SUMPRODUCT((P_ID=INDEX(L_ID,ROW()-4))*(P_StatusN="INACTIVE"))&gt;0,1,0))</f>
        <v/>
      </c>
    </row>
    <row r="4316">
      <c r="A4316">
        <f>IF(INDEX(L_ID,ROW()-4)="","",IF(COUNTIF(P_ID,INDEX(L_ID,ROW()-4))&gt;0,1,0))</f>
        <v/>
      </c>
      <c r="B4316">
        <f>IF(INDEX(P_Type,ROW()-4)="","",TRIM(UPPER(INDEX(P_Type,ROW()-4))))</f>
        <v/>
      </c>
      <c r="D4316">
        <f>IF(INDEX(L_Type,ROW()-4)="","",TRIM(UPPER(INDEX(L_Type,ROW()-4))))</f>
        <v/>
      </c>
      <c r="E4316">
        <f>IF(INDEX(P_Status,ROW()-4)="","",TRIM(UPPER(INDEX(P_Status,ROW()-4))))</f>
        <v/>
      </c>
      <c r="G4316">
        <f>IF(INDEX(L_Status,ROW()-4)="","",TRIM(UPPER(INDEX(L_Status,ROW()-4))))</f>
        <v/>
      </c>
      <c r="J4316">
        <f>IF(INDEX(L_ID,ROW()-4)="","",IF(SUMPRODUCT((P_ID=INDEX(L_ID,ROW()-4))*(P_StatusN="INACTIVE"))&gt;0,1,0))</f>
        <v/>
      </c>
    </row>
    <row r="4317">
      <c r="A4317">
        <f>IF(INDEX(L_ID,ROW()-4)="","",IF(COUNTIF(P_ID,INDEX(L_ID,ROW()-4))&gt;0,1,0))</f>
        <v/>
      </c>
      <c r="B4317">
        <f>IF(INDEX(P_Type,ROW()-4)="","",TRIM(UPPER(INDEX(P_Type,ROW()-4))))</f>
        <v/>
      </c>
      <c r="D4317">
        <f>IF(INDEX(L_Type,ROW()-4)="","",TRIM(UPPER(INDEX(L_Type,ROW()-4))))</f>
        <v/>
      </c>
      <c r="E4317">
        <f>IF(INDEX(P_Status,ROW()-4)="","",TRIM(UPPER(INDEX(P_Status,ROW()-4))))</f>
        <v/>
      </c>
      <c r="G4317">
        <f>IF(INDEX(L_Status,ROW()-4)="","",TRIM(UPPER(INDEX(L_Status,ROW()-4))))</f>
        <v/>
      </c>
      <c r="J4317">
        <f>IF(INDEX(L_ID,ROW()-4)="","",IF(SUMPRODUCT((P_ID=INDEX(L_ID,ROW()-4))*(P_StatusN="INACTIVE"))&gt;0,1,0))</f>
        <v/>
      </c>
    </row>
    <row r="4318">
      <c r="A4318">
        <f>IF(INDEX(L_ID,ROW()-4)="","",IF(COUNTIF(P_ID,INDEX(L_ID,ROW()-4))&gt;0,1,0))</f>
        <v/>
      </c>
      <c r="B4318">
        <f>IF(INDEX(P_Type,ROW()-4)="","",TRIM(UPPER(INDEX(P_Type,ROW()-4))))</f>
        <v/>
      </c>
      <c r="D4318">
        <f>IF(INDEX(L_Type,ROW()-4)="","",TRIM(UPPER(INDEX(L_Type,ROW()-4))))</f>
        <v/>
      </c>
      <c r="E4318">
        <f>IF(INDEX(P_Status,ROW()-4)="","",TRIM(UPPER(INDEX(P_Status,ROW()-4))))</f>
        <v/>
      </c>
      <c r="G4318">
        <f>IF(INDEX(L_Status,ROW()-4)="","",TRIM(UPPER(INDEX(L_Status,ROW()-4))))</f>
        <v/>
      </c>
      <c r="J4318">
        <f>IF(INDEX(L_ID,ROW()-4)="","",IF(SUMPRODUCT((P_ID=INDEX(L_ID,ROW()-4))*(P_StatusN="INACTIVE"))&gt;0,1,0))</f>
        <v/>
      </c>
    </row>
    <row r="4319">
      <c r="A4319">
        <f>IF(INDEX(L_ID,ROW()-4)="","",IF(COUNTIF(P_ID,INDEX(L_ID,ROW()-4))&gt;0,1,0))</f>
        <v/>
      </c>
      <c r="B4319">
        <f>IF(INDEX(P_Type,ROW()-4)="","",TRIM(UPPER(INDEX(P_Type,ROW()-4))))</f>
        <v/>
      </c>
      <c r="D4319">
        <f>IF(INDEX(L_Type,ROW()-4)="","",TRIM(UPPER(INDEX(L_Type,ROW()-4))))</f>
        <v/>
      </c>
      <c r="E4319">
        <f>IF(INDEX(P_Status,ROW()-4)="","",TRIM(UPPER(INDEX(P_Status,ROW()-4))))</f>
        <v/>
      </c>
      <c r="G4319">
        <f>IF(INDEX(L_Status,ROW()-4)="","",TRIM(UPPER(INDEX(L_Status,ROW()-4))))</f>
        <v/>
      </c>
      <c r="J4319">
        <f>IF(INDEX(L_ID,ROW()-4)="","",IF(SUMPRODUCT((P_ID=INDEX(L_ID,ROW()-4))*(P_StatusN="INACTIVE"))&gt;0,1,0))</f>
        <v/>
      </c>
    </row>
    <row r="4320">
      <c r="A4320">
        <f>IF(INDEX(L_ID,ROW()-4)="","",IF(COUNTIF(P_ID,INDEX(L_ID,ROW()-4))&gt;0,1,0))</f>
        <v/>
      </c>
      <c r="B4320">
        <f>IF(INDEX(P_Type,ROW()-4)="","",TRIM(UPPER(INDEX(P_Type,ROW()-4))))</f>
        <v/>
      </c>
      <c r="D4320">
        <f>IF(INDEX(L_Type,ROW()-4)="","",TRIM(UPPER(INDEX(L_Type,ROW()-4))))</f>
        <v/>
      </c>
      <c r="E4320">
        <f>IF(INDEX(P_Status,ROW()-4)="","",TRIM(UPPER(INDEX(P_Status,ROW()-4))))</f>
        <v/>
      </c>
      <c r="G4320">
        <f>IF(INDEX(L_Status,ROW()-4)="","",TRIM(UPPER(INDEX(L_Status,ROW()-4))))</f>
        <v/>
      </c>
      <c r="J4320">
        <f>IF(INDEX(L_ID,ROW()-4)="","",IF(SUMPRODUCT((P_ID=INDEX(L_ID,ROW()-4))*(P_StatusN="INACTIVE"))&gt;0,1,0))</f>
        <v/>
      </c>
    </row>
    <row r="4321">
      <c r="A4321">
        <f>IF(INDEX(L_ID,ROW()-4)="","",IF(COUNTIF(P_ID,INDEX(L_ID,ROW()-4))&gt;0,1,0))</f>
        <v/>
      </c>
      <c r="B4321">
        <f>IF(INDEX(P_Type,ROW()-4)="","",TRIM(UPPER(INDEX(P_Type,ROW()-4))))</f>
        <v/>
      </c>
      <c r="D4321">
        <f>IF(INDEX(L_Type,ROW()-4)="","",TRIM(UPPER(INDEX(L_Type,ROW()-4))))</f>
        <v/>
      </c>
      <c r="E4321">
        <f>IF(INDEX(P_Status,ROW()-4)="","",TRIM(UPPER(INDEX(P_Status,ROW()-4))))</f>
        <v/>
      </c>
      <c r="G4321">
        <f>IF(INDEX(L_Status,ROW()-4)="","",TRIM(UPPER(INDEX(L_Status,ROW()-4))))</f>
        <v/>
      </c>
      <c r="J4321">
        <f>IF(INDEX(L_ID,ROW()-4)="","",IF(SUMPRODUCT((P_ID=INDEX(L_ID,ROW()-4))*(P_StatusN="INACTIVE"))&gt;0,1,0))</f>
        <v/>
      </c>
    </row>
    <row r="4322">
      <c r="A4322">
        <f>IF(INDEX(L_ID,ROW()-4)="","",IF(COUNTIF(P_ID,INDEX(L_ID,ROW()-4))&gt;0,1,0))</f>
        <v/>
      </c>
      <c r="B4322">
        <f>IF(INDEX(P_Type,ROW()-4)="","",TRIM(UPPER(INDEX(P_Type,ROW()-4))))</f>
        <v/>
      </c>
      <c r="D4322">
        <f>IF(INDEX(L_Type,ROW()-4)="","",TRIM(UPPER(INDEX(L_Type,ROW()-4))))</f>
        <v/>
      </c>
      <c r="E4322">
        <f>IF(INDEX(P_Status,ROW()-4)="","",TRIM(UPPER(INDEX(P_Status,ROW()-4))))</f>
        <v/>
      </c>
      <c r="G4322">
        <f>IF(INDEX(L_Status,ROW()-4)="","",TRIM(UPPER(INDEX(L_Status,ROW()-4))))</f>
        <v/>
      </c>
      <c r="J4322">
        <f>IF(INDEX(L_ID,ROW()-4)="","",IF(SUMPRODUCT((P_ID=INDEX(L_ID,ROW()-4))*(P_StatusN="INACTIVE"))&gt;0,1,0))</f>
        <v/>
      </c>
    </row>
    <row r="4323">
      <c r="A4323">
        <f>IF(INDEX(L_ID,ROW()-4)="","",IF(COUNTIF(P_ID,INDEX(L_ID,ROW()-4))&gt;0,1,0))</f>
        <v/>
      </c>
      <c r="B4323">
        <f>IF(INDEX(P_Type,ROW()-4)="","",TRIM(UPPER(INDEX(P_Type,ROW()-4))))</f>
        <v/>
      </c>
      <c r="D4323">
        <f>IF(INDEX(L_Type,ROW()-4)="","",TRIM(UPPER(INDEX(L_Type,ROW()-4))))</f>
        <v/>
      </c>
      <c r="E4323">
        <f>IF(INDEX(P_Status,ROW()-4)="","",TRIM(UPPER(INDEX(P_Status,ROW()-4))))</f>
        <v/>
      </c>
      <c r="G4323">
        <f>IF(INDEX(L_Status,ROW()-4)="","",TRIM(UPPER(INDEX(L_Status,ROW()-4))))</f>
        <v/>
      </c>
      <c r="J4323">
        <f>IF(INDEX(L_ID,ROW()-4)="","",IF(SUMPRODUCT((P_ID=INDEX(L_ID,ROW()-4))*(P_StatusN="INACTIVE"))&gt;0,1,0))</f>
        <v/>
      </c>
    </row>
    <row r="4324">
      <c r="A4324">
        <f>IF(INDEX(L_ID,ROW()-4)="","",IF(COUNTIF(P_ID,INDEX(L_ID,ROW()-4))&gt;0,1,0))</f>
        <v/>
      </c>
      <c r="B4324">
        <f>IF(INDEX(P_Type,ROW()-4)="","",TRIM(UPPER(INDEX(P_Type,ROW()-4))))</f>
        <v/>
      </c>
      <c r="D4324">
        <f>IF(INDEX(L_Type,ROW()-4)="","",TRIM(UPPER(INDEX(L_Type,ROW()-4))))</f>
        <v/>
      </c>
      <c r="E4324">
        <f>IF(INDEX(P_Status,ROW()-4)="","",TRIM(UPPER(INDEX(P_Status,ROW()-4))))</f>
        <v/>
      </c>
      <c r="G4324">
        <f>IF(INDEX(L_Status,ROW()-4)="","",TRIM(UPPER(INDEX(L_Status,ROW()-4))))</f>
        <v/>
      </c>
      <c r="J4324">
        <f>IF(INDEX(L_ID,ROW()-4)="","",IF(SUMPRODUCT((P_ID=INDEX(L_ID,ROW()-4))*(P_StatusN="INACTIVE"))&gt;0,1,0))</f>
        <v/>
      </c>
    </row>
    <row r="4325">
      <c r="A4325">
        <f>IF(INDEX(L_ID,ROW()-4)="","",IF(COUNTIF(P_ID,INDEX(L_ID,ROW()-4))&gt;0,1,0))</f>
        <v/>
      </c>
      <c r="B4325">
        <f>IF(INDEX(P_Type,ROW()-4)="","",TRIM(UPPER(INDEX(P_Type,ROW()-4))))</f>
        <v/>
      </c>
      <c r="D4325">
        <f>IF(INDEX(L_Type,ROW()-4)="","",TRIM(UPPER(INDEX(L_Type,ROW()-4))))</f>
        <v/>
      </c>
      <c r="E4325">
        <f>IF(INDEX(P_Status,ROW()-4)="","",TRIM(UPPER(INDEX(P_Status,ROW()-4))))</f>
        <v/>
      </c>
      <c r="G4325">
        <f>IF(INDEX(L_Status,ROW()-4)="","",TRIM(UPPER(INDEX(L_Status,ROW()-4))))</f>
        <v/>
      </c>
      <c r="J4325">
        <f>IF(INDEX(L_ID,ROW()-4)="","",IF(SUMPRODUCT((P_ID=INDEX(L_ID,ROW()-4))*(P_StatusN="INACTIVE"))&gt;0,1,0))</f>
        <v/>
      </c>
    </row>
    <row r="4326">
      <c r="A4326">
        <f>IF(INDEX(L_ID,ROW()-4)="","",IF(COUNTIF(P_ID,INDEX(L_ID,ROW()-4))&gt;0,1,0))</f>
        <v/>
      </c>
      <c r="B4326">
        <f>IF(INDEX(P_Type,ROW()-4)="","",TRIM(UPPER(INDEX(P_Type,ROW()-4))))</f>
        <v/>
      </c>
      <c r="D4326">
        <f>IF(INDEX(L_Type,ROW()-4)="","",TRIM(UPPER(INDEX(L_Type,ROW()-4))))</f>
        <v/>
      </c>
      <c r="E4326">
        <f>IF(INDEX(P_Status,ROW()-4)="","",TRIM(UPPER(INDEX(P_Status,ROW()-4))))</f>
        <v/>
      </c>
      <c r="G4326">
        <f>IF(INDEX(L_Status,ROW()-4)="","",TRIM(UPPER(INDEX(L_Status,ROW()-4))))</f>
        <v/>
      </c>
      <c r="J4326">
        <f>IF(INDEX(L_ID,ROW()-4)="","",IF(SUMPRODUCT((P_ID=INDEX(L_ID,ROW()-4))*(P_StatusN="INACTIVE"))&gt;0,1,0))</f>
        <v/>
      </c>
    </row>
    <row r="4327">
      <c r="A4327">
        <f>IF(INDEX(L_ID,ROW()-4)="","",IF(COUNTIF(P_ID,INDEX(L_ID,ROW()-4))&gt;0,1,0))</f>
        <v/>
      </c>
      <c r="B4327">
        <f>IF(INDEX(P_Type,ROW()-4)="","",TRIM(UPPER(INDEX(P_Type,ROW()-4))))</f>
        <v/>
      </c>
      <c r="D4327">
        <f>IF(INDEX(L_Type,ROW()-4)="","",TRIM(UPPER(INDEX(L_Type,ROW()-4))))</f>
        <v/>
      </c>
      <c r="E4327">
        <f>IF(INDEX(P_Status,ROW()-4)="","",TRIM(UPPER(INDEX(P_Status,ROW()-4))))</f>
        <v/>
      </c>
      <c r="G4327">
        <f>IF(INDEX(L_Status,ROW()-4)="","",TRIM(UPPER(INDEX(L_Status,ROW()-4))))</f>
        <v/>
      </c>
      <c r="J4327">
        <f>IF(INDEX(L_ID,ROW()-4)="","",IF(SUMPRODUCT((P_ID=INDEX(L_ID,ROW()-4))*(P_StatusN="INACTIVE"))&gt;0,1,0))</f>
        <v/>
      </c>
    </row>
    <row r="4328">
      <c r="A4328">
        <f>IF(INDEX(L_ID,ROW()-4)="","",IF(COUNTIF(P_ID,INDEX(L_ID,ROW()-4))&gt;0,1,0))</f>
        <v/>
      </c>
      <c r="B4328">
        <f>IF(INDEX(P_Type,ROW()-4)="","",TRIM(UPPER(INDEX(P_Type,ROW()-4))))</f>
        <v/>
      </c>
      <c r="D4328">
        <f>IF(INDEX(L_Type,ROW()-4)="","",TRIM(UPPER(INDEX(L_Type,ROW()-4))))</f>
        <v/>
      </c>
      <c r="E4328">
        <f>IF(INDEX(P_Status,ROW()-4)="","",TRIM(UPPER(INDEX(P_Status,ROW()-4))))</f>
        <v/>
      </c>
      <c r="G4328">
        <f>IF(INDEX(L_Status,ROW()-4)="","",TRIM(UPPER(INDEX(L_Status,ROW()-4))))</f>
        <v/>
      </c>
      <c r="J4328">
        <f>IF(INDEX(L_ID,ROW()-4)="","",IF(SUMPRODUCT((P_ID=INDEX(L_ID,ROW()-4))*(P_StatusN="INACTIVE"))&gt;0,1,0))</f>
        <v/>
      </c>
    </row>
    <row r="4329">
      <c r="A4329">
        <f>IF(INDEX(L_ID,ROW()-4)="","",IF(COUNTIF(P_ID,INDEX(L_ID,ROW()-4))&gt;0,1,0))</f>
        <v/>
      </c>
      <c r="B4329">
        <f>IF(INDEX(P_Type,ROW()-4)="","",TRIM(UPPER(INDEX(P_Type,ROW()-4))))</f>
        <v/>
      </c>
      <c r="D4329">
        <f>IF(INDEX(L_Type,ROW()-4)="","",TRIM(UPPER(INDEX(L_Type,ROW()-4))))</f>
        <v/>
      </c>
      <c r="E4329">
        <f>IF(INDEX(P_Status,ROW()-4)="","",TRIM(UPPER(INDEX(P_Status,ROW()-4))))</f>
        <v/>
      </c>
      <c r="G4329">
        <f>IF(INDEX(L_Status,ROW()-4)="","",TRIM(UPPER(INDEX(L_Status,ROW()-4))))</f>
        <v/>
      </c>
      <c r="J4329">
        <f>IF(INDEX(L_ID,ROW()-4)="","",IF(SUMPRODUCT((P_ID=INDEX(L_ID,ROW()-4))*(P_StatusN="INACTIVE"))&gt;0,1,0))</f>
        <v/>
      </c>
    </row>
    <row r="4330">
      <c r="A4330">
        <f>IF(INDEX(L_ID,ROW()-4)="","",IF(COUNTIF(P_ID,INDEX(L_ID,ROW()-4))&gt;0,1,0))</f>
        <v/>
      </c>
      <c r="B4330">
        <f>IF(INDEX(P_Type,ROW()-4)="","",TRIM(UPPER(INDEX(P_Type,ROW()-4))))</f>
        <v/>
      </c>
      <c r="D4330">
        <f>IF(INDEX(L_Type,ROW()-4)="","",TRIM(UPPER(INDEX(L_Type,ROW()-4))))</f>
        <v/>
      </c>
      <c r="E4330">
        <f>IF(INDEX(P_Status,ROW()-4)="","",TRIM(UPPER(INDEX(P_Status,ROW()-4))))</f>
        <v/>
      </c>
      <c r="G4330">
        <f>IF(INDEX(L_Status,ROW()-4)="","",TRIM(UPPER(INDEX(L_Status,ROW()-4))))</f>
        <v/>
      </c>
      <c r="J4330">
        <f>IF(INDEX(L_ID,ROW()-4)="","",IF(SUMPRODUCT((P_ID=INDEX(L_ID,ROW()-4))*(P_StatusN="INACTIVE"))&gt;0,1,0))</f>
        <v/>
      </c>
    </row>
    <row r="4331">
      <c r="A4331">
        <f>IF(INDEX(L_ID,ROW()-4)="","",IF(COUNTIF(P_ID,INDEX(L_ID,ROW()-4))&gt;0,1,0))</f>
        <v/>
      </c>
      <c r="B4331">
        <f>IF(INDEX(P_Type,ROW()-4)="","",TRIM(UPPER(INDEX(P_Type,ROW()-4))))</f>
        <v/>
      </c>
      <c r="D4331">
        <f>IF(INDEX(L_Type,ROW()-4)="","",TRIM(UPPER(INDEX(L_Type,ROW()-4))))</f>
        <v/>
      </c>
      <c r="E4331">
        <f>IF(INDEX(P_Status,ROW()-4)="","",TRIM(UPPER(INDEX(P_Status,ROW()-4))))</f>
        <v/>
      </c>
      <c r="G4331">
        <f>IF(INDEX(L_Status,ROW()-4)="","",TRIM(UPPER(INDEX(L_Status,ROW()-4))))</f>
        <v/>
      </c>
      <c r="J4331">
        <f>IF(INDEX(L_ID,ROW()-4)="","",IF(SUMPRODUCT((P_ID=INDEX(L_ID,ROW()-4))*(P_StatusN="INACTIVE"))&gt;0,1,0))</f>
        <v/>
      </c>
    </row>
    <row r="4332">
      <c r="A4332">
        <f>IF(INDEX(L_ID,ROW()-4)="","",IF(COUNTIF(P_ID,INDEX(L_ID,ROW()-4))&gt;0,1,0))</f>
        <v/>
      </c>
      <c r="B4332">
        <f>IF(INDEX(P_Type,ROW()-4)="","",TRIM(UPPER(INDEX(P_Type,ROW()-4))))</f>
        <v/>
      </c>
      <c r="D4332">
        <f>IF(INDEX(L_Type,ROW()-4)="","",TRIM(UPPER(INDEX(L_Type,ROW()-4))))</f>
        <v/>
      </c>
      <c r="E4332">
        <f>IF(INDEX(P_Status,ROW()-4)="","",TRIM(UPPER(INDEX(P_Status,ROW()-4))))</f>
        <v/>
      </c>
      <c r="G4332">
        <f>IF(INDEX(L_Status,ROW()-4)="","",TRIM(UPPER(INDEX(L_Status,ROW()-4))))</f>
        <v/>
      </c>
      <c r="J4332">
        <f>IF(INDEX(L_ID,ROW()-4)="","",IF(SUMPRODUCT((P_ID=INDEX(L_ID,ROW()-4))*(P_StatusN="INACTIVE"))&gt;0,1,0))</f>
        <v/>
      </c>
    </row>
    <row r="4333">
      <c r="A4333">
        <f>IF(INDEX(L_ID,ROW()-4)="","",IF(COUNTIF(P_ID,INDEX(L_ID,ROW()-4))&gt;0,1,0))</f>
        <v/>
      </c>
      <c r="B4333">
        <f>IF(INDEX(P_Type,ROW()-4)="","",TRIM(UPPER(INDEX(P_Type,ROW()-4))))</f>
        <v/>
      </c>
      <c r="D4333">
        <f>IF(INDEX(L_Type,ROW()-4)="","",TRIM(UPPER(INDEX(L_Type,ROW()-4))))</f>
        <v/>
      </c>
      <c r="E4333">
        <f>IF(INDEX(P_Status,ROW()-4)="","",TRIM(UPPER(INDEX(P_Status,ROW()-4))))</f>
        <v/>
      </c>
      <c r="G4333">
        <f>IF(INDEX(L_Status,ROW()-4)="","",TRIM(UPPER(INDEX(L_Status,ROW()-4))))</f>
        <v/>
      </c>
      <c r="J4333">
        <f>IF(INDEX(L_ID,ROW()-4)="","",IF(SUMPRODUCT((P_ID=INDEX(L_ID,ROW()-4))*(P_StatusN="INACTIVE"))&gt;0,1,0))</f>
        <v/>
      </c>
    </row>
    <row r="4334">
      <c r="A4334">
        <f>IF(INDEX(L_ID,ROW()-4)="","",IF(COUNTIF(P_ID,INDEX(L_ID,ROW()-4))&gt;0,1,0))</f>
        <v/>
      </c>
      <c r="B4334">
        <f>IF(INDEX(P_Type,ROW()-4)="","",TRIM(UPPER(INDEX(P_Type,ROW()-4))))</f>
        <v/>
      </c>
      <c r="D4334">
        <f>IF(INDEX(L_Type,ROW()-4)="","",TRIM(UPPER(INDEX(L_Type,ROW()-4))))</f>
        <v/>
      </c>
      <c r="E4334">
        <f>IF(INDEX(P_Status,ROW()-4)="","",TRIM(UPPER(INDEX(P_Status,ROW()-4))))</f>
        <v/>
      </c>
      <c r="G4334">
        <f>IF(INDEX(L_Status,ROW()-4)="","",TRIM(UPPER(INDEX(L_Status,ROW()-4))))</f>
        <v/>
      </c>
      <c r="J4334">
        <f>IF(INDEX(L_ID,ROW()-4)="","",IF(SUMPRODUCT((P_ID=INDEX(L_ID,ROW()-4))*(P_StatusN="INACTIVE"))&gt;0,1,0))</f>
        <v/>
      </c>
    </row>
    <row r="4335">
      <c r="A4335">
        <f>IF(INDEX(L_ID,ROW()-4)="","",IF(COUNTIF(P_ID,INDEX(L_ID,ROW()-4))&gt;0,1,0))</f>
        <v/>
      </c>
      <c r="B4335">
        <f>IF(INDEX(P_Type,ROW()-4)="","",TRIM(UPPER(INDEX(P_Type,ROW()-4))))</f>
        <v/>
      </c>
      <c r="D4335">
        <f>IF(INDEX(L_Type,ROW()-4)="","",TRIM(UPPER(INDEX(L_Type,ROW()-4))))</f>
        <v/>
      </c>
      <c r="E4335">
        <f>IF(INDEX(P_Status,ROW()-4)="","",TRIM(UPPER(INDEX(P_Status,ROW()-4))))</f>
        <v/>
      </c>
      <c r="G4335">
        <f>IF(INDEX(L_Status,ROW()-4)="","",TRIM(UPPER(INDEX(L_Status,ROW()-4))))</f>
        <v/>
      </c>
      <c r="J4335">
        <f>IF(INDEX(L_ID,ROW()-4)="","",IF(SUMPRODUCT((P_ID=INDEX(L_ID,ROW()-4))*(P_StatusN="INACTIVE"))&gt;0,1,0))</f>
        <v/>
      </c>
    </row>
    <row r="4336">
      <c r="A4336">
        <f>IF(INDEX(L_ID,ROW()-4)="","",IF(COUNTIF(P_ID,INDEX(L_ID,ROW()-4))&gt;0,1,0))</f>
        <v/>
      </c>
      <c r="B4336">
        <f>IF(INDEX(P_Type,ROW()-4)="","",TRIM(UPPER(INDEX(P_Type,ROW()-4))))</f>
        <v/>
      </c>
      <c r="D4336">
        <f>IF(INDEX(L_Type,ROW()-4)="","",TRIM(UPPER(INDEX(L_Type,ROW()-4))))</f>
        <v/>
      </c>
      <c r="E4336">
        <f>IF(INDEX(P_Status,ROW()-4)="","",TRIM(UPPER(INDEX(P_Status,ROW()-4))))</f>
        <v/>
      </c>
      <c r="G4336">
        <f>IF(INDEX(L_Status,ROW()-4)="","",TRIM(UPPER(INDEX(L_Status,ROW()-4))))</f>
        <v/>
      </c>
      <c r="J4336">
        <f>IF(INDEX(L_ID,ROW()-4)="","",IF(SUMPRODUCT((P_ID=INDEX(L_ID,ROW()-4))*(P_StatusN="INACTIVE"))&gt;0,1,0))</f>
        <v/>
      </c>
    </row>
    <row r="4337">
      <c r="A4337">
        <f>IF(INDEX(L_ID,ROW()-4)="","",IF(COUNTIF(P_ID,INDEX(L_ID,ROW()-4))&gt;0,1,0))</f>
        <v/>
      </c>
      <c r="B4337">
        <f>IF(INDEX(P_Type,ROW()-4)="","",TRIM(UPPER(INDEX(P_Type,ROW()-4))))</f>
        <v/>
      </c>
      <c r="D4337">
        <f>IF(INDEX(L_Type,ROW()-4)="","",TRIM(UPPER(INDEX(L_Type,ROW()-4))))</f>
        <v/>
      </c>
      <c r="E4337">
        <f>IF(INDEX(P_Status,ROW()-4)="","",TRIM(UPPER(INDEX(P_Status,ROW()-4))))</f>
        <v/>
      </c>
      <c r="G4337">
        <f>IF(INDEX(L_Status,ROW()-4)="","",TRIM(UPPER(INDEX(L_Status,ROW()-4))))</f>
        <v/>
      </c>
      <c r="J4337">
        <f>IF(INDEX(L_ID,ROW()-4)="","",IF(SUMPRODUCT((P_ID=INDEX(L_ID,ROW()-4))*(P_StatusN="INACTIVE"))&gt;0,1,0))</f>
        <v/>
      </c>
    </row>
    <row r="4338">
      <c r="A4338">
        <f>IF(INDEX(L_ID,ROW()-4)="","",IF(COUNTIF(P_ID,INDEX(L_ID,ROW()-4))&gt;0,1,0))</f>
        <v/>
      </c>
      <c r="B4338">
        <f>IF(INDEX(P_Type,ROW()-4)="","",TRIM(UPPER(INDEX(P_Type,ROW()-4))))</f>
        <v/>
      </c>
      <c r="D4338">
        <f>IF(INDEX(L_Type,ROW()-4)="","",TRIM(UPPER(INDEX(L_Type,ROW()-4))))</f>
        <v/>
      </c>
      <c r="E4338">
        <f>IF(INDEX(P_Status,ROW()-4)="","",TRIM(UPPER(INDEX(P_Status,ROW()-4))))</f>
        <v/>
      </c>
      <c r="G4338">
        <f>IF(INDEX(L_Status,ROW()-4)="","",TRIM(UPPER(INDEX(L_Status,ROW()-4))))</f>
        <v/>
      </c>
      <c r="J4338">
        <f>IF(INDEX(L_ID,ROW()-4)="","",IF(SUMPRODUCT((P_ID=INDEX(L_ID,ROW()-4))*(P_StatusN="INACTIVE"))&gt;0,1,0))</f>
        <v/>
      </c>
    </row>
    <row r="4339">
      <c r="A4339">
        <f>IF(INDEX(L_ID,ROW()-4)="","",IF(COUNTIF(P_ID,INDEX(L_ID,ROW()-4))&gt;0,1,0))</f>
        <v/>
      </c>
      <c r="B4339">
        <f>IF(INDEX(P_Type,ROW()-4)="","",TRIM(UPPER(INDEX(P_Type,ROW()-4))))</f>
        <v/>
      </c>
      <c r="D4339">
        <f>IF(INDEX(L_Type,ROW()-4)="","",TRIM(UPPER(INDEX(L_Type,ROW()-4))))</f>
        <v/>
      </c>
      <c r="E4339">
        <f>IF(INDEX(P_Status,ROW()-4)="","",TRIM(UPPER(INDEX(P_Status,ROW()-4))))</f>
        <v/>
      </c>
      <c r="G4339">
        <f>IF(INDEX(L_Status,ROW()-4)="","",TRIM(UPPER(INDEX(L_Status,ROW()-4))))</f>
        <v/>
      </c>
      <c r="J4339">
        <f>IF(INDEX(L_ID,ROW()-4)="","",IF(SUMPRODUCT((P_ID=INDEX(L_ID,ROW()-4))*(P_StatusN="INACTIVE"))&gt;0,1,0))</f>
        <v/>
      </c>
    </row>
    <row r="4340">
      <c r="A4340">
        <f>IF(INDEX(L_ID,ROW()-4)="","",IF(COUNTIF(P_ID,INDEX(L_ID,ROW()-4))&gt;0,1,0))</f>
        <v/>
      </c>
      <c r="B4340">
        <f>IF(INDEX(P_Type,ROW()-4)="","",TRIM(UPPER(INDEX(P_Type,ROW()-4))))</f>
        <v/>
      </c>
      <c r="D4340">
        <f>IF(INDEX(L_Type,ROW()-4)="","",TRIM(UPPER(INDEX(L_Type,ROW()-4))))</f>
        <v/>
      </c>
      <c r="E4340">
        <f>IF(INDEX(P_Status,ROW()-4)="","",TRIM(UPPER(INDEX(P_Status,ROW()-4))))</f>
        <v/>
      </c>
      <c r="G4340">
        <f>IF(INDEX(L_Status,ROW()-4)="","",TRIM(UPPER(INDEX(L_Status,ROW()-4))))</f>
        <v/>
      </c>
      <c r="J4340">
        <f>IF(INDEX(L_ID,ROW()-4)="","",IF(SUMPRODUCT((P_ID=INDEX(L_ID,ROW()-4))*(P_StatusN="INACTIVE"))&gt;0,1,0))</f>
        <v/>
      </c>
    </row>
    <row r="4341">
      <c r="A4341">
        <f>IF(INDEX(L_ID,ROW()-4)="","",IF(COUNTIF(P_ID,INDEX(L_ID,ROW()-4))&gt;0,1,0))</f>
        <v/>
      </c>
      <c r="B4341">
        <f>IF(INDEX(P_Type,ROW()-4)="","",TRIM(UPPER(INDEX(P_Type,ROW()-4))))</f>
        <v/>
      </c>
      <c r="D4341">
        <f>IF(INDEX(L_Type,ROW()-4)="","",TRIM(UPPER(INDEX(L_Type,ROW()-4))))</f>
        <v/>
      </c>
      <c r="E4341">
        <f>IF(INDEX(P_Status,ROW()-4)="","",TRIM(UPPER(INDEX(P_Status,ROW()-4))))</f>
        <v/>
      </c>
      <c r="G4341">
        <f>IF(INDEX(L_Status,ROW()-4)="","",TRIM(UPPER(INDEX(L_Status,ROW()-4))))</f>
        <v/>
      </c>
      <c r="J4341">
        <f>IF(INDEX(L_ID,ROW()-4)="","",IF(SUMPRODUCT((P_ID=INDEX(L_ID,ROW()-4))*(P_StatusN="INACTIVE"))&gt;0,1,0))</f>
        <v/>
      </c>
    </row>
    <row r="4342">
      <c r="A4342">
        <f>IF(INDEX(L_ID,ROW()-4)="","",IF(COUNTIF(P_ID,INDEX(L_ID,ROW()-4))&gt;0,1,0))</f>
        <v/>
      </c>
      <c r="B4342">
        <f>IF(INDEX(P_Type,ROW()-4)="","",TRIM(UPPER(INDEX(P_Type,ROW()-4))))</f>
        <v/>
      </c>
      <c r="D4342">
        <f>IF(INDEX(L_Type,ROW()-4)="","",TRIM(UPPER(INDEX(L_Type,ROW()-4))))</f>
        <v/>
      </c>
      <c r="E4342">
        <f>IF(INDEX(P_Status,ROW()-4)="","",TRIM(UPPER(INDEX(P_Status,ROW()-4))))</f>
        <v/>
      </c>
      <c r="G4342">
        <f>IF(INDEX(L_Status,ROW()-4)="","",TRIM(UPPER(INDEX(L_Status,ROW()-4))))</f>
        <v/>
      </c>
      <c r="J4342">
        <f>IF(INDEX(L_ID,ROW()-4)="","",IF(SUMPRODUCT((P_ID=INDEX(L_ID,ROW()-4))*(P_StatusN="INACTIVE"))&gt;0,1,0))</f>
        <v/>
      </c>
    </row>
    <row r="4343">
      <c r="A4343">
        <f>IF(INDEX(L_ID,ROW()-4)="","",IF(COUNTIF(P_ID,INDEX(L_ID,ROW()-4))&gt;0,1,0))</f>
        <v/>
      </c>
      <c r="B4343">
        <f>IF(INDEX(P_Type,ROW()-4)="","",TRIM(UPPER(INDEX(P_Type,ROW()-4))))</f>
        <v/>
      </c>
      <c r="D4343">
        <f>IF(INDEX(L_Type,ROW()-4)="","",TRIM(UPPER(INDEX(L_Type,ROW()-4))))</f>
        <v/>
      </c>
      <c r="E4343">
        <f>IF(INDEX(P_Status,ROW()-4)="","",TRIM(UPPER(INDEX(P_Status,ROW()-4))))</f>
        <v/>
      </c>
      <c r="G4343">
        <f>IF(INDEX(L_Status,ROW()-4)="","",TRIM(UPPER(INDEX(L_Status,ROW()-4))))</f>
        <v/>
      </c>
      <c r="J4343">
        <f>IF(INDEX(L_ID,ROW()-4)="","",IF(SUMPRODUCT((P_ID=INDEX(L_ID,ROW()-4))*(P_StatusN="INACTIVE"))&gt;0,1,0))</f>
        <v/>
      </c>
    </row>
    <row r="4344">
      <c r="A4344">
        <f>IF(INDEX(L_ID,ROW()-4)="","",IF(COUNTIF(P_ID,INDEX(L_ID,ROW()-4))&gt;0,1,0))</f>
        <v/>
      </c>
      <c r="B4344">
        <f>IF(INDEX(P_Type,ROW()-4)="","",TRIM(UPPER(INDEX(P_Type,ROW()-4))))</f>
        <v/>
      </c>
      <c r="D4344">
        <f>IF(INDEX(L_Type,ROW()-4)="","",TRIM(UPPER(INDEX(L_Type,ROW()-4))))</f>
        <v/>
      </c>
      <c r="E4344">
        <f>IF(INDEX(P_Status,ROW()-4)="","",TRIM(UPPER(INDEX(P_Status,ROW()-4))))</f>
        <v/>
      </c>
      <c r="G4344">
        <f>IF(INDEX(L_Status,ROW()-4)="","",TRIM(UPPER(INDEX(L_Status,ROW()-4))))</f>
        <v/>
      </c>
      <c r="J4344">
        <f>IF(INDEX(L_ID,ROW()-4)="","",IF(SUMPRODUCT((P_ID=INDEX(L_ID,ROW()-4))*(P_StatusN="INACTIVE"))&gt;0,1,0))</f>
        <v/>
      </c>
    </row>
    <row r="4345">
      <c r="A4345">
        <f>IF(INDEX(L_ID,ROW()-4)="","",IF(COUNTIF(P_ID,INDEX(L_ID,ROW()-4))&gt;0,1,0))</f>
        <v/>
      </c>
      <c r="B4345">
        <f>IF(INDEX(P_Type,ROW()-4)="","",TRIM(UPPER(INDEX(P_Type,ROW()-4))))</f>
        <v/>
      </c>
      <c r="D4345">
        <f>IF(INDEX(L_Type,ROW()-4)="","",TRIM(UPPER(INDEX(L_Type,ROW()-4))))</f>
        <v/>
      </c>
      <c r="E4345">
        <f>IF(INDEX(P_Status,ROW()-4)="","",TRIM(UPPER(INDEX(P_Status,ROW()-4))))</f>
        <v/>
      </c>
      <c r="G4345">
        <f>IF(INDEX(L_Status,ROW()-4)="","",TRIM(UPPER(INDEX(L_Status,ROW()-4))))</f>
        <v/>
      </c>
      <c r="J4345">
        <f>IF(INDEX(L_ID,ROW()-4)="","",IF(SUMPRODUCT((P_ID=INDEX(L_ID,ROW()-4))*(P_StatusN="INACTIVE"))&gt;0,1,0))</f>
        <v/>
      </c>
    </row>
    <row r="4346">
      <c r="A4346">
        <f>IF(INDEX(L_ID,ROW()-4)="","",IF(COUNTIF(P_ID,INDEX(L_ID,ROW()-4))&gt;0,1,0))</f>
        <v/>
      </c>
      <c r="B4346">
        <f>IF(INDEX(P_Type,ROW()-4)="","",TRIM(UPPER(INDEX(P_Type,ROW()-4))))</f>
        <v/>
      </c>
      <c r="D4346">
        <f>IF(INDEX(L_Type,ROW()-4)="","",TRIM(UPPER(INDEX(L_Type,ROW()-4))))</f>
        <v/>
      </c>
      <c r="E4346">
        <f>IF(INDEX(P_Status,ROW()-4)="","",TRIM(UPPER(INDEX(P_Status,ROW()-4))))</f>
        <v/>
      </c>
      <c r="G4346">
        <f>IF(INDEX(L_Status,ROW()-4)="","",TRIM(UPPER(INDEX(L_Status,ROW()-4))))</f>
        <v/>
      </c>
      <c r="J4346">
        <f>IF(INDEX(L_ID,ROW()-4)="","",IF(SUMPRODUCT((P_ID=INDEX(L_ID,ROW()-4))*(P_StatusN="INACTIVE"))&gt;0,1,0))</f>
        <v/>
      </c>
    </row>
    <row r="4347">
      <c r="A4347">
        <f>IF(INDEX(L_ID,ROW()-4)="","",IF(COUNTIF(P_ID,INDEX(L_ID,ROW()-4))&gt;0,1,0))</f>
        <v/>
      </c>
      <c r="B4347">
        <f>IF(INDEX(P_Type,ROW()-4)="","",TRIM(UPPER(INDEX(P_Type,ROW()-4))))</f>
        <v/>
      </c>
      <c r="D4347">
        <f>IF(INDEX(L_Type,ROW()-4)="","",TRIM(UPPER(INDEX(L_Type,ROW()-4))))</f>
        <v/>
      </c>
      <c r="E4347">
        <f>IF(INDEX(P_Status,ROW()-4)="","",TRIM(UPPER(INDEX(P_Status,ROW()-4))))</f>
        <v/>
      </c>
      <c r="G4347">
        <f>IF(INDEX(L_Status,ROW()-4)="","",TRIM(UPPER(INDEX(L_Status,ROW()-4))))</f>
        <v/>
      </c>
      <c r="J4347">
        <f>IF(INDEX(L_ID,ROW()-4)="","",IF(SUMPRODUCT((P_ID=INDEX(L_ID,ROW()-4))*(P_StatusN="INACTIVE"))&gt;0,1,0))</f>
        <v/>
      </c>
    </row>
    <row r="4348">
      <c r="A4348">
        <f>IF(INDEX(L_ID,ROW()-4)="","",IF(COUNTIF(P_ID,INDEX(L_ID,ROW()-4))&gt;0,1,0))</f>
        <v/>
      </c>
      <c r="B4348">
        <f>IF(INDEX(P_Type,ROW()-4)="","",TRIM(UPPER(INDEX(P_Type,ROW()-4))))</f>
        <v/>
      </c>
      <c r="D4348">
        <f>IF(INDEX(L_Type,ROW()-4)="","",TRIM(UPPER(INDEX(L_Type,ROW()-4))))</f>
        <v/>
      </c>
      <c r="E4348">
        <f>IF(INDEX(P_Status,ROW()-4)="","",TRIM(UPPER(INDEX(P_Status,ROW()-4))))</f>
        <v/>
      </c>
      <c r="G4348">
        <f>IF(INDEX(L_Status,ROW()-4)="","",TRIM(UPPER(INDEX(L_Status,ROW()-4))))</f>
        <v/>
      </c>
      <c r="J4348">
        <f>IF(INDEX(L_ID,ROW()-4)="","",IF(SUMPRODUCT((P_ID=INDEX(L_ID,ROW()-4))*(P_StatusN="INACTIVE"))&gt;0,1,0))</f>
        <v/>
      </c>
    </row>
    <row r="4349">
      <c r="A4349">
        <f>IF(INDEX(L_ID,ROW()-4)="","",IF(COUNTIF(P_ID,INDEX(L_ID,ROW()-4))&gt;0,1,0))</f>
        <v/>
      </c>
      <c r="B4349">
        <f>IF(INDEX(P_Type,ROW()-4)="","",TRIM(UPPER(INDEX(P_Type,ROW()-4))))</f>
        <v/>
      </c>
      <c r="D4349">
        <f>IF(INDEX(L_Type,ROW()-4)="","",TRIM(UPPER(INDEX(L_Type,ROW()-4))))</f>
        <v/>
      </c>
      <c r="E4349">
        <f>IF(INDEX(P_Status,ROW()-4)="","",TRIM(UPPER(INDEX(P_Status,ROW()-4))))</f>
        <v/>
      </c>
      <c r="G4349">
        <f>IF(INDEX(L_Status,ROW()-4)="","",TRIM(UPPER(INDEX(L_Status,ROW()-4))))</f>
        <v/>
      </c>
      <c r="J4349">
        <f>IF(INDEX(L_ID,ROW()-4)="","",IF(SUMPRODUCT((P_ID=INDEX(L_ID,ROW()-4))*(P_StatusN="INACTIVE"))&gt;0,1,0))</f>
        <v/>
      </c>
    </row>
    <row r="4350">
      <c r="A4350">
        <f>IF(INDEX(L_ID,ROW()-4)="","",IF(COUNTIF(P_ID,INDEX(L_ID,ROW()-4))&gt;0,1,0))</f>
        <v/>
      </c>
      <c r="B4350">
        <f>IF(INDEX(P_Type,ROW()-4)="","",TRIM(UPPER(INDEX(P_Type,ROW()-4))))</f>
        <v/>
      </c>
      <c r="D4350">
        <f>IF(INDEX(L_Type,ROW()-4)="","",TRIM(UPPER(INDEX(L_Type,ROW()-4))))</f>
        <v/>
      </c>
      <c r="E4350">
        <f>IF(INDEX(P_Status,ROW()-4)="","",TRIM(UPPER(INDEX(P_Status,ROW()-4))))</f>
        <v/>
      </c>
      <c r="G4350">
        <f>IF(INDEX(L_Status,ROW()-4)="","",TRIM(UPPER(INDEX(L_Status,ROW()-4))))</f>
        <v/>
      </c>
      <c r="J4350">
        <f>IF(INDEX(L_ID,ROW()-4)="","",IF(SUMPRODUCT((P_ID=INDEX(L_ID,ROW()-4))*(P_StatusN="INACTIVE"))&gt;0,1,0))</f>
        <v/>
      </c>
    </row>
    <row r="4351">
      <c r="A4351">
        <f>IF(INDEX(L_ID,ROW()-4)="","",IF(COUNTIF(P_ID,INDEX(L_ID,ROW()-4))&gt;0,1,0))</f>
        <v/>
      </c>
      <c r="B4351">
        <f>IF(INDEX(P_Type,ROW()-4)="","",TRIM(UPPER(INDEX(P_Type,ROW()-4))))</f>
        <v/>
      </c>
      <c r="D4351">
        <f>IF(INDEX(L_Type,ROW()-4)="","",TRIM(UPPER(INDEX(L_Type,ROW()-4))))</f>
        <v/>
      </c>
      <c r="E4351">
        <f>IF(INDEX(P_Status,ROW()-4)="","",TRIM(UPPER(INDEX(P_Status,ROW()-4))))</f>
        <v/>
      </c>
      <c r="G4351">
        <f>IF(INDEX(L_Status,ROW()-4)="","",TRIM(UPPER(INDEX(L_Status,ROW()-4))))</f>
        <v/>
      </c>
      <c r="J4351">
        <f>IF(INDEX(L_ID,ROW()-4)="","",IF(SUMPRODUCT((P_ID=INDEX(L_ID,ROW()-4))*(P_StatusN="INACTIVE"))&gt;0,1,0))</f>
        <v/>
      </c>
    </row>
    <row r="4352">
      <c r="A4352">
        <f>IF(INDEX(L_ID,ROW()-4)="","",IF(COUNTIF(P_ID,INDEX(L_ID,ROW()-4))&gt;0,1,0))</f>
        <v/>
      </c>
      <c r="B4352">
        <f>IF(INDEX(P_Type,ROW()-4)="","",TRIM(UPPER(INDEX(P_Type,ROW()-4))))</f>
        <v/>
      </c>
      <c r="D4352">
        <f>IF(INDEX(L_Type,ROW()-4)="","",TRIM(UPPER(INDEX(L_Type,ROW()-4))))</f>
        <v/>
      </c>
      <c r="E4352">
        <f>IF(INDEX(P_Status,ROW()-4)="","",TRIM(UPPER(INDEX(P_Status,ROW()-4))))</f>
        <v/>
      </c>
      <c r="G4352">
        <f>IF(INDEX(L_Status,ROW()-4)="","",TRIM(UPPER(INDEX(L_Status,ROW()-4))))</f>
        <v/>
      </c>
      <c r="J4352">
        <f>IF(INDEX(L_ID,ROW()-4)="","",IF(SUMPRODUCT((P_ID=INDEX(L_ID,ROW()-4))*(P_StatusN="INACTIVE"))&gt;0,1,0))</f>
        <v/>
      </c>
    </row>
    <row r="4353">
      <c r="A4353">
        <f>IF(INDEX(L_ID,ROW()-4)="","",IF(COUNTIF(P_ID,INDEX(L_ID,ROW()-4))&gt;0,1,0))</f>
        <v/>
      </c>
      <c r="B4353">
        <f>IF(INDEX(P_Type,ROW()-4)="","",TRIM(UPPER(INDEX(P_Type,ROW()-4))))</f>
        <v/>
      </c>
      <c r="D4353">
        <f>IF(INDEX(L_Type,ROW()-4)="","",TRIM(UPPER(INDEX(L_Type,ROW()-4))))</f>
        <v/>
      </c>
      <c r="E4353">
        <f>IF(INDEX(P_Status,ROW()-4)="","",TRIM(UPPER(INDEX(P_Status,ROW()-4))))</f>
        <v/>
      </c>
      <c r="G4353">
        <f>IF(INDEX(L_Status,ROW()-4)="","",TRIM(UPPER(INDEX(L_Status,ROW()-4))))</f>
        <v/>
      </c>
      <c r="J4353">
        <f>IF(INDEX(L_ID,ROW()-4)="","",IF(SUMPRODUCT((P_ID=INDEX(L_ID,ROW()-4))*(P_StatusN="INACTIVE"))&gt;0,1,0))</f>
        <v/>
      </c>
    </row>
    <row r="4354">
      <c r="A4354">
        <f>IF(INDEX(L_ID,ROW()-4)="","",IF(COUNTIF(P_ID,INDEX(L_ID,ROW()-4))&gt;0,1,0))</f>
        <v/>
      </c>
      <c r="B4354">
        <f>IF(INDEX(P_Type,ROW()-4)="","",TRIM(UPPER(INDEX(P_Type,ROW()-4))))</f>
        <v/>
      </c>
      <c r="D4354">
        <f>IF(INDEX(L_Type,ROW()-4)="","",TRIM(UPPER(INDEX(L_Type,ROW()-4))))</f>
        <v/>
      </c>
      <c r="E4354">
        <f>IF(INDEX(P_Status,ROW()-4)="","",TRIM(UPPER(INDEX(P_Status,ROW()-4))))</f>
        <v/>
      </c>
      <c r="G4354">
        <f>IF(INDEX(L_Status,ROW()-4)="","",TRIM(UPPER(INDEX(L_Status,ROW()-4))))</f>
        <v/>
      </c>
      <c r="J4354">
        <f>IF(INDEX(L_ID,ROW()-4)="","",IF(SUMPRODUCT((P_ID=INDEX(L_ID,ROW()-4))*(P_StatusN="INACTIVE"))&gt;0,1,0))</f>
        <v/>
      </c>
    </row>
    <row r="4355">
      <c r="A4355">
        <f>IF(INDEX(L_ID,ROW()-4)="","",IF(COUNTIF(P_ID,INDEX(L_ID,ROW()-4))&gt;0,1,0))</f>
        <v/>
      </c>
      <c r="B4355">
        <f>IF(INDEX(P_Type,ROW()-4)="","",TRIM(UPPER(INDEX(P_Type,ROW()-4))))</f>
        <v/>
      </c>
      <c r="D4355">
        <f>IF(INDEX(L_Type,ROW()-4)="","",TRIM(UPPER(INDEX(L_Type,ROW()-4))))</f>
        <v/>
      </c>
      <c r="E4355">
        <f>IF(INDEX(P_Status,ROW()-4)="","",TRIM(UPPER(INDEX(P_Status,ROW()-4))))</f>
        <v/>
      </c>
      <c r="G4355">
        <f>IF(INDEX(L_Status,ROW()-4)="","",TRIM(UPPER(INDEX(L_Status,ROW()-4))))</f>
        <v/>
      </c>
      <c r="J4355">
        <f>IF(INDEX(L_ID,ROW()-4)="","",IF(SUMPRODUCT((P_ID=INDEX(L_ID,ROW()-4))*(P_StatusN="INACTIVE"))&gt;0,1,0))</f>
        <v/>
      </c>
    </row>
    <row r="4356">
      <c r="A4356">
        <f>IF(INDEX(L_ID,ROW()-4)="","",IF(COUNTIF(P_ID,INDEX(L_ID,ROW()-4))&gt;0,1,0))</f>
        <v/>
      </c>
      <c r="B4356">
        <f>IF(INDEX(P_Type,ROW()-4)="","",TRIM(UPPER(INDEX(P_Type,ROW()-4))))</f>
        <v/>
      </c>
      <c r="D4356">
        <f>IF(INDEX(L_Type,ROW()-4)="","",TRIM(UPPER(INDEX(L_Type,ROW()-4))))</f>
        <v/>
      </c>
      <c r="E4356">
        <f>IF(INDEX(P_Status,ROW()-4)="","",TRIM(UPPER(INDEX(P_Status,ROW()-4))))</f>
        <v/>
      </c>
      <c r="G4356">
        <f>IF(INDEX(L_Status,ROW()-4)="","",TRIM(UPPER(INDEX(L_Status,ROW()-4))))</f>
        <v/>
      </c>
      <c r="J4356">
        <f>IF(INDEX(L_ID,ROW()-4)="","",IF(SUMPRODUCT((P_ID=INDEX(L_ID,ROW()-4))*(P_StatusN="INACTIVE"))&gt;0,1,0))</f>
        <v/>
      </c>
    </row>
    <row r="4357">
      <c r="A4357">
        <f>IF(INDEX(L_ID,ROW()-4)="","",IF(COUNTIF(P_ID,INDEX(L_ID,ROW()-4))&gt;0,1,0))</f>
        <v/>
      </c>
      <c r="B4357">
        <f>IF(INDEX(P_Type,ROW()-4)="","",TRIM(UPPER(INDEX(P_Type,ROW()-4))))</f>
        <v/>
      </c>
      <c r="D4357">
        <f>IF(INDEX(L_Type,ROW()-4)="","",TRIM(UPPER(INDEX(L_Type,ROW()-4))))</f>
        <v/>
      </c>
      <c r="E4357">
        <f>IF(INDEX(P_Status,ROW()-4)="","",TRIM(UPPER(INDEX(P_Status,ROW()-4))))</f>
        <v/>
      </c>
      <c r="G4357">
        <f>IF(INDEX(L_Status,ROW()-4)="","",TRIM(UPPER(INDEX(L_Status,ROW()-4))))</f>
        <v/>
      </c>
      <c r="J4357">
        <f>IF(INDEX(L_ID,ROW()-4)="","",IF(SUMPRODUCT((P_ID=INDEX(L_ID,ROW()-4))*(P_StatusN="INACTIVE"))&gt;0,1,0))</f>
        <v/>
      </c>
    </row>
    <row r="4358">
      <c r="A4358">
        <f>IF(INDEX(L_ID,ROW()-4)="","",IF(COUNTIF(P_ID,INDEX(L_ID,ROW()-4))&gt;0,1,0))</f>
        <v/>
      </c>
      <c r="B4358">
        <f>IF(INDEX(P_Type,ROW()-4)="","",TRIM(UPPER(INDEX(P_Type,ROW()-4))))</f>
        <v/>
      </c>
      <c r="D4358">
        <f>IF(INDEX(L_Type,ROW()-4)="","",TRIM(UPPER(INDEX(L_Type,ROW()-4))))</f>
        <v/>
      </c>
      <c r="E4358">
        <f>IF(INDEX(P_Status,ROW()-4)="","",TRIM(UPPER(INDEX(P_Status,ROW()-4))))</f>
        <v/>
      </c>
      <c r="G4358">
        <f>IF(INDEX(L_Status,ROW()-4)="","",TRIM(UPPER(INDEX(L_Status,ROW()-4))))</f>
        <v/>
      </c>
      <c r="J4358">
        <f>IF(INDEX(L_ID,ROW()-4)="","",IF(SUMPRODUCT((P_ID=INDEX(L_ID,ROW()-4))*(P_StatusN="INACTIVE"))&gt;0,1,0))</f>
        <v/>
      </c>
    </row>
    <row r="4359">
      <c r="A4359">
        <f>IF(INDEX(L_ID,ROW()-4)="","",IF(COUNTIF(P_ID,INDEX(L_ID,ROW()-4))&gt;0,1,0))</f>
        <v/>
      </c>
      <c r="B4359">
        <f>IF(INDEX(P_Type,ROW()-4)="","",TRIM(UPPER(INDEX(P_Type,ROW()-4))))</f>
        <v/>
      </c>
      <c r="D4359">
        <f>IF(INDEX(L_Type,ROW()-4)="","",TRIM(UPPER(INDEX(L_Type,ROW()-4))))</f>
        <v/>
      </c>
      <c r="E4359">
        <f>IF(INDEX(P_Status,ROW()-4)="","",TRIM(UPPER(INDEX(P_Status,ROW()-4))))</f>
        <v/>
      </c>
      <c r="G4359">
        <f>IF(INDEX(L_Status,ROW()-4)="","",TRIM(UPPER(INDEX(L_Status,ROW()-4))))</f>
        <v/>
      </c>
      <c r="J4359">
        <f>IF(INDEX(L_ID,ROW()-4)="","",IF(SUMPRODUCT((P_ID=INDEX(L_ID,ROW()-4))*(P_StatusN="INACTIVE"))&gt;0,1,0))</f>
        <v/>
      </c>
    </row>
    <row r="4360">
      <c r="A4360">
        <f>IF(INDEX(L_ID,ROW()-4)="","",IF(COUNTIF(P_ID,INDEX(L_ID,ROW()-4))&gt;0,1,0))</f>
        <v/>
      </c>
      <c r="B4360">
        <f>IF(INDEX(P_Type,ROW()-4)="","",TRIM(UPPER(INDEX(P_Type,ROW()-4))))</f>
        <v/>
      </c>
      <c r="D4360">
        <f>IF(INDEX(L_Type,ROW()-4)="","",TRIM(UPPER(INDEX(L_Type,ROW()-4))))</f>
        <v/>
      </c>
      <c r="E4360">
        <f>IF(INDEX(P_Status,ROW()-4)="","",TRIM(UPPER(INDEX(P_Status,ROW()-4))))</f>
        <v/>
      </c>
      <c r="G4360">
        <f>IF(INDEX(L_Status,ROW()-4)="","",TRIM(UPPER(INDEX(L_Status,ROW()-4))))</f>
        <v/>
      </c>
      <c r="J4360">
        <f>IF(INDEX(L_ID,ROW()-4)="","",IF(SUMPRODUCT((P_ID=INDEX(L_ID,ROW()-4))*(P_StatusN="INACTIVE"))&gt;0,1,0))</f>
        <v/>
      </c>
    </row>
    <row r="4361">
      <c r="A4361">
        <f>IF(INDEX(L_ID,ROW()-4)="","",IF(COUNTIF(P_ID,INDEX(L_ID,ROW()-4))&gt;0,1,0))</f>
        <v/>
      </c>
      <c r="B4361">
        <f>IF(INDEX(P_Type,ROW()-4)="","",TRIM(UPPER(INDEX(P_Type,ROW()-4))))</f>
        <v/>
      </c>
      <c r="D4361">
        <f>IF(INDEX(L_Type,ROW()-4)="","",TRIM(UPPER(INDEX(L_Type,ROW()-4))))</f>
        <v/>
      </c>
      <c r="E4361">
        <f>IF(INDEX(P_Status,ROW()-4)="","",TRIM(UPPER(INDEX(P_Status,ROW()-4))))</f>
        <v/>
      </c>
      <c r="G4361">
        <f>IF(INDEX(L_Status,ROW()-4)="","",TRIM(UPPER(INDEX(L_Status,ROW()-4))))</f>
        <v/>
      </c>
      <c r="J4361">
        <f>IF(INDEX(L_ID,ROW()-4)="","",IF(SUMPRODUCT((P_ID=INDEX(L_ID,ROW()-4))*(P_StatusN="INACTIVE"))&gt;0,1,0))</f>
        <v/>
      </c>
    </row>
    <row r="4362">
      <c r="A4362">
        <f>IF(INDEX(L_ID,ROW()-4)="","",IF(COUNTIF(P_ID,INDEX(L_ID,ROW()-4))&gt;0,1,0))</f>
        <v/>
      </c>
      <c r="B4362">
        <f>IF(INDEX(P_Type,ROW()-4)="","",TRIM(UPPER(INDEX(P_Type,ROW()-4))))</f>
        <v/>
      </c>
      <c r="D4362">
        <f>IF(INDEX(L_Type,ROW()-4)="","",TRIM(UPPER(INDEX(L_Type,ROW()-4))))</f>
        <v/>
      </c>
      <c r="E4362">
        <f>IF(INDEX(P_Status,ROW()-4)="","",TRIM(UPPER(INDEX(P_Status,ROW()-4))))</f>
        <v/>
      </c>
      <c r="G4362">
        <f>IF(INDEX(L_Status,ROW()-4)="","",TRIM(UPPER(INDEX(L_Status,ROW()-4))))</f>
        <v/>
      </c>
      <c r="J4362">
        <f>IF(INDEX(L_ID,ROW()-4)="","",IF(SUMPRODUCT((P_ID=INDEX(L_ID,ROW()-4))*(P_StatusN="INACTIVE"))&gt;0,1,0))</f>
        <v/>
      </c>
    </row>
    <row r="4363">
      <c r="A4363">
        <f>IF(INDEX(L_ID,ROW()-4)="","",IF(COUNTIF(P_ID,INDEX(L_ID,ROW()-4))&gt;0,1,0))</f>
        <v/>
      </c>
      <c r="B4363">
        <f>IF(INDEX(P_Type,ROW()-4)="","",TRIM(UPPER(INDEX(P_Type,ROW()-4))))</f>
        <v/>
      </c>
      <c r="D4363">
        <f>IF(INDEX(L_Type,ROW()-4)="","",TRIM(UPPER(INDEX(L_Type,ROW()-4))))</f>
        <v/>
      </c>
      <c r="E4363">
        <f>IF(INDEX(P_Status,ROW()-4)="","",TRIM(UPPER(INDEX(P_Status,ROW()-4))))</f>
        <v/>
      </c>
      <c r="G4363">
        <f>IF(INDEX(L_Status,ROW()-4)="","",TRIM(UPPER(INDEX(L_Status,ROW()-4))))</f>
        <v/>
      </c>
      <c r="J4363">
        <f>IF(INDEX(L_ID,ROW()-4)="","",IF(SUMPRODUCT((P_ID=INDEX(L_ID,ROW()-4))*(P_StatusN="INACTIVE"))&gt;0,1,0))</f>
        <v/>
      </c>
    </row>
    <row r="4364">
      <c r="A4364">
        <f>IF(INDEX(L_ID,ROW()-4)="","",IF(COUNTIF(P_ID,INDEX(L_ID,ROW()-4))&gt;0,1,0))</f>
        <v/>
      </c>
      <c r="B4364">
        <f>IF(INDEX(P_Type,ROW()-4)="","",TRIM(UPPER(INDEX(P_Type,ROW()-4))))</f>
        <v/>
      </c>
      <c r="D4364">
        <f>IF(INDEX(L_Type,ROW()-4)="","",TRIM(UPPER(INDEX(L_Type,ROW()-4))))</f>
        <v/>
      </c>
      <c r="E4364">
        <f>IF(INDEX(P_Status,ROW()-4)="","",TRIM(UPPER(INDEX(P_Status,ROW()-4))))</f>
        <v/>
      </c>
      <c r="G4364">
        <f>IF(INDEX(L_Status,ROW()-4)="","",TRIM(UPPER(INDEX(L_Status,ROW()-4))))</f>
        <v/>
      </c>
      <c r="J4364">
        <f>IF(INDEX(L_ID,ROW()-4)="","",IF(SUMPRODUCT((P_ID=INDEX(L_ID,ROW()-4))*(P_StatusN="INACTIVE"))&gt;0,1,0))</f>
        <v/>
      </c>
    </row>
    <row r="4365">
      <c r="A4365">
        <f>IF(INDEX(L_ID,ROW()-4)="","",IF(COUNTIF(P_ID,INDEX(L_ID,ROW()-4))&gt;0,1,0))</f>
        <v/>
      </c>
      <c r="B4365">
        <f>IF(INDEX(P_Type,ROW()-4)="","",TRIM(UPPER(INDEX(P_Type,ROW()-4))))</f>
        <v/>
      </c>
      <c r="D4365">
        <f>IF(INDEX(L_Type,ROW()-4)="","",TRIM(UPPER(INDEX(L_Type,ROW()-4))))</f>
        <v/>
      </c>
      <c r="E4365">
        <f>IF(INDEX(P_Status,ROW()-4)="","",TRIM(UPPER(INDEX(P_Status,ROW()-4))))</f>
        <v/>
      </c>
      <c r="G4365">
        <f>IF(INDEX(L_Status,ROW()-4)="","",TRIM(UPPER(INDEX(L_Status,ROW()-4))))</f>
        <v/>
      </c>
      <c r="J4365">
        <f>IF(INDEX(L_ID,ROW()-4)="","",IF(SUMPRODUCT((P_ID=INDEX(L_ID,ROW()-4))*(P_StatusN="INACTIVE"))&gt;0,1,0))</f>
        <v/>
      </c>
    </row>
    <row r="4366">
      <c r="A4366">
        <f>IF(INDEX(L_ID,ROW()-4)="","",IF(COUNTIF(P_ID,INDEX(L_ID,ROW()-4))&gt;0,1,0))</f>
        <v/>
      </c>
      <c r="B4366">
        <f>IF(INDEX(P_Type,ROW()-4)="","",TRIM(UPPER(INDEX(P_Type,ROW()-4))))</f>
        <v/>
      </c>
      <c r="D4366">
        <f>IF(INDEX(L_Type,ROW()-4)="","",TRIM(UPPER(INDEX(L_Type,ROW()-4))))</f>
        <v/>
      </c>
      <c r="E4366">
        <f>IF(INDEX(P_Status,ROW()-4)="","",TRIM(UPPER(INDEX(P_Status,ROW()-4))))</f>
        <v/>
      </c>
      <c r="G4366">
        <f>IF(INDEX(L_Status,ROW()-4)="","",TRIM(UPPER(INDEX(L_Status,ROW()-4))))</f>
        <v/>
      </c>
      <c r="J4366">
        <f>IF(INDEX(L_ID,ROW()-4)="","",IF(SUMPRODUCT((P_ID=INDEX(L_ID,ROW()-4))*(P_StatusN="INACTIVE"))&gt;0,1,0))</f>
        <v/>
      </c>
    </row>
    <row r="4367">
      <c r="A4367">
        <f>IF(INDEX(L_ID,ROW()-4)="","",IF(COUNTIF(P_ID,INDEX(L_ID,ROW()-4))&gt;0,1,0))</f>
        <v/>
      </c>
      <c r="B4367">
        <f>IF(INDEX(P_Type,ROW()-4)="","",TRIM(UPPER(INDEX(P_Type,ROW()-4))))</f>
        <v/>
      </c>
      <c r="D4367">
        <f>IF(INDEX(L_Type,ROW()-4)="","",TRIM(UPPER(INDEX(L_Type,ROW()-4))))</f>
        <v/>
      </c>
      <c r="E4367">
        <f>IF(INDEX(P_Status,ROW()-4)="","",TRIM(UPPER(INDEX(P_Status,ROW()-4))))</f>
        <v/>
      </c>
      <c r="G4367">
        <f>IF(INDEX(L_Status,ROW()-4)="","",TRIM(UPPER(INDEX(L_Status,ROW()-4))))</f>
        <v/>
      </c>
      <c r="J4367">
        <f>IF(INDEX(L_ID,ROW()-4)="","",IF(SUMPRODUCT((P_ID=INDEX(L_ID,ROW()-4))*(P_StatusN="INACTIVE"))&gt;0,1,0))</f>
        <v/>
      </c>
    </row>
    <row r="4368">
      <c r="A4368">
        <f>IF(INDEX(L_ID,ROW()-4)="","",IF(COUNTIF(P_ID,INDEX(L_ID,ROW()-4))&gt;0,1,0))</f>
        <v/>
      </c>
      <c r="B4368">
        <f>IF(INDEX(P_Type,ROW()-4)="","",TRIM(UPPER(INDEX(P_Type,ROW()-4))))</f>
        <v/>
      </c>
      <c r="D4368">
        <f>IF(INDEX(L_Type,ROW()-4)="","",TRIM(UPPER(INDEX(L_Type,ROW()-4))))</f>
        <v/>
      </c>
      <c r="E4368">
        <f>IF(INDEX(P_Status,ROW()-4)="","",TRIM(UPPER(INDEX(P_Status,ROW()-4))))</f>
        <v/>
      </c>
      <c r="G4368">
        <f>IF(INDEX(L_Status,ROW()-4)="","",TRIM(UPPER(INDEX(L_Status,ROW()-4))))</f>
        <v/>
      </c>
      <c r="J4368">
        <f>IF(INDEX(L_ID,ROW()-4)="","",IF(SUMPRODUCT((P_ID=INDEX(L_ID,ROW()-4))*(P_StatusN="INACTIVE"))&gt;0,1,0))</f>
        <v/>
      </c>
    </row>
    <row r="4369">
      <c r="A4369">
        <f>IF(INDEX(L_ID,ROW()-4)="","",IF(COUNTIF(P_ID,INDEX(L_ID,ROW()-4))&gt;0,1,0))</f>
        <v/>
      </c>
      <c r="B4369">
        <f>IF(INDEX(P_Type,ROW()-4)="","",TRIM(UPPER(INDEX(P_Type,ROW()-4))))</f>
        <v/>
      </c>
      <c r="D4369">
        <f>IF(INDEX(L_Type,ROW()-4)="","",TRIM(UPPER(INDEX(L_Type,ROW()-4))))</f>
        <v/>
      </c>
      <c r="E4369">
        <f>IF(INDEX(P_Status,ROW()-4)="","",TRIM(UPPER(INDEX(P_Status,ROW()-4))))</f>
        <v/>
      </c>
      <c r="G4369">
        <f>IF(INDEX(L_Status,ROW()-4)="","",TRIM(UPPER(INDEX(L_Status,ROW()-4))))</f>
        <v/>
      </c>
      <c r="J4369">
        <f>IF(INDEX(L_ID,ROW()-4)="","",IF(SUMPRODUCT((P_ID=INDEX(L_ID,ROW()-4))*(P_StatusN="INACTIVE"))&gt;0,1,0))</f>
        <v/>
      </c>
    </row>
    <row r="4370">
      <c r="A4370">
        <f>IF(INDEX(L_ID,ROW()-4)="","",IF(COUNTIF(P_ID,INDEX(L_ID,ROW()-4))&gt;0,1,0))</f>
        <v/>
      </c>
      <c r="B4370">
        <f>IF(INDEX(P_Type,ROW()-4)="","",TRIM(UPPER(INDEX(P_Type,ROW()-4))))</f>
        <v/>
      </c>
      <c r="D4370">
        <f>IF(INDEX(L_Type,ROW()-4)="","",TRIM(UPPER(INDEX(L_Type,ROW()-4))))</f>
        <v/>
      </c>
      <c r="E4370">
        <f>IF(INDEX(P_Status,ROW()-4)="","",TRIM(UPPER(INDEX(P_Status,ROW()-4))))</f>
        <v/>
      </c>
      <c r="G4370">
        <f>IF(INDEX(L_Status,ROW()-4)="","",TRIM(UPPER(INDEX(L_Status,ROW()-4))))</f>
        <v/>
      </c>
      <c r="J4370">
        <f>IF(INDEX(L_ID,ROW()-4)="","",IF(SUMPRODUCT((P_ID=INDEX(L_ID,ROW()-4))*(P_StatusN="INACTIVE"))&gt;0,1,0))</f>
        <v/>
      </c>
    </row>
    <row r="4371">
      <c r="A4371">
        <f>IF(INDEX(L_ID,ROW()-4)="","",IF(COUNTIF(P_ID,INDEX(L_ID,ROW()-4))&gt;0,1,0))</f>
        <v/>
      </c>
      <c r="B4371">
        <f>IF(INDEX(P_Type,ROW()-4)="","",TRIM(UPPER(INDEX(P_Type,ROW()-4))))</f>
        <v/>
      </c>
      <c r="D4371">
        <f>IF(INDEX(L_Type,ROW()-4)="","",TRIM(UPPER(INDEX(L_Type,ROW()-4))))</f>
        <v/>
      </c>
      <c r="E4371">
        <f>IF(INDEX(P_Status,ROW()-4)="","",TRIM(UPPER(INDEX(P_Status,ROW()-4))))</f>
        <v/>
      </c>
      <c r="G4371">
        <f>IF(INDEX(L_Status,ROW()-4)="","",TRIM(UPPER(INDEX(L_Status,ROW()-4))))</f>
        <v/>
      </c>
      <c r="J4371">
        <f>IF(INDEX(L_ID,ROW()-4)="","",IF(SUMPRODUCT((P_ID=INDEX(L_ID,ROW()-4))*(P_StatusN="INACTIVE"))&gt;0,1,0))</f>
        <v/>
      </c>
    </row>
    <row r="4372">
      <c r="A4372">
        <f>IF(INDEX(L_ID,ROW()-4)="","",IF(COUNTIF(P_ID,INDEX(L_ID,ROW()-4))&gt;0,1,0))</f>
        <v/>
      </c>
      <c r="B4372">
        <f>IF(INDEX(P_Type,ROW()-4)="","",TRIM(UPPER(INDEX(P_Type,ROW()-4))))</f>
        <v/>
      </c>
      <c r="D4372">
        <f>IF(INDEX(L_Type,ROW()-4)="","",TRIM(UPPER(INDEX(L_Type,ROW()-4))))</f>
        <v/>
      </c>
      <c r="E4372">
        <f>IF(INDEX(P_Status,ROW()-4)="","",TRIM(UPPER(INDEX(P_Status,ROW()-4))))</f>
        <v/>
      </c>
      <c r="G4372">
        <f>IF(INDEX(L_Status,ROW()-4)="","",TRIM(UPPER(INDEX(L_Status,ROW()-4))))</f>
        <v/>
      </c>
      <c r="J4372">
        <f>IF(INDEX(L_ID,ROW()-4)="","",IF(SUMPRODUCT((P_ID=INDEX(L_ID,ROW()-4))*(P_StatusN="INACTIVE"))&gt;0,1,0))</f>
        <v/>
      </c>
    </row>
    <row r="4373">
      <c r="A4373">
        <f>IF(INDEX(L_ID,ROW()-4)="","",IF(COUNTIF(P_ID,INDEX(L_ID,ROW()-4))&gt;0,1,0))</f>
        <v/>
      </c>
      <c r="B4373">
        <f>IF(INDEX(P_Type,ROW()-4)="","",TRIM(UPPER(INDEX(P_Type,ROW()-4))))</f>
        <v/>
      </c>
      <c r="D4373">
        <f>IF(INDEX(L_Type,ROW()-4)="","",TRIM(UPPER(INDEX(L_Type,ROW()-4))))</f>
        <v/>
      </c>
      <c r="E4373">
        <f>IF(INDEX(P_Status,ROW()-4)="","",TRIM(UPPER(INDEX(P_Status,ROW()-4))))</f>
        <v/>
      </c>
      <c r="G4373">
        <f>IF(INDEX(L_Status,ROW()-4)="","",TRIM(UPPER(INDEX(L_Status,ROW()-4))))</f>
        <v/>
      </c>
      <c r="J4373">
        <f>IF(INDEX(L_ID,ROW()-4)="","",IF(SUMPRODUCT((P_ID=INDEX(L_ID,ROW()-4))*(P_StatusN="INACTIVE"))&gt;0,1,0))</f>
        <v/>
      </c>
    </row>
    <row r="4374">
      <c r="A4374">
        <f>IF(INDEX(L_ID,ROW()-4)="","",IF(COUNTIF(P_ID,INDEX(L_ID,ROW()-4))&gt;0,1,0))</f>
        <v/>
      </c>
      <c r="B4374">
        <f>IF(INDEX(P_Type,ROW()-4)="","",TRIM(UPPER(INDEX(P_Type,ROW()-4))))</f>
        <v/>
      </c>
      <c r="D4374">
        <f>IF(INDEX(L_Type,ROW()-4)="","",TRIM(UPPER(INDEX(L_Type,ROW()-4))))</f>
        <v/>
      </c>
      <c r="E4374">
        <f>IF(INDEX(P_Status,ROW()-4)="","",TRIM(UPPER(INDEX(P_Status,ROW()-4))))</f>
        <v/>
      </c>
      <c r="G4374">
        <f>IF(INDEX(L_Status,ROW()-4)="","",TRIM(UPPER(INDEX(L_Status,ROW()-4))))</f>
        <v/>
      </c>
      <c r="J4374">
        <f>IF(INDEX(L_ID,ROW()-4)="","",IF(SUMPRODUCT((P_ID=INDEX(L_ID,ROW()-4))*(P_StatusN="INACTIVE"))&gt;0,1,0))</f>
        <v/>
      </c>
    </row>
    <row r="4375">
      <c r="A4375">
        <f>IF(INDEX(L_ID,ROW()-4)="","",IF(COUNTIF(P_ID,INDEX(L_ID,ROW()-4))&gt;0,1,0))</f>
        <v/>
      </c>
      <c r="B4375">
        <f>IF(INDEX(P_Type,ROW()-4)="","",TRIM(UPPER(INDEX(P_Type,ROW()-4))))</f>
        <v/>
      </c>
      <c r="D4375">
        <f>IF(INDEX(L_Type,ROW()-4)="","",TRIM(UPPER(INDEX(L_Type,ROW()-4))))</f>
        <v/>
      </c>
      <c r="E4375">
        <f>IF(INDEX(P_Status,ROW()-4)="","",TRIM(UPPER(INDEX(P_Status,ROW()-4))))</f>
        <v/>
      </c>
      <c r="G4375">
        <f>IF(INDEX(L_Status,ROW()-4)="","",TRIM(UPPER(INDEX(L_Status,ROW()-4))))</f>
        <v/>
      </c>
      <c r="J4375">
        <f>IF(INDEX(L_ID,ROW()-4)="","",IF(SUMPRODUCT((P_ID=INDEX(L_ID,ROW()-4))*(P_StatusN="INACTIVE"))&gt;0,1,0))</f>
        <v/>
      </c>
    </row>
    <row r="4376">
      <c r="A4376">
        <f>IF(INDEX(L_ID,ROW()-4)="","",IF(COUNTIF(P_ID,INDEX(L_ID,ROW()-4))&gt;0,1,0))</f>
        <v/>
      </c>
      <c r="B4376">
        <f>IF(INDEX(P_Type,ROW()-4)="","",TRIM(UPPER(INDEX(P_Type,ROW()-4))))</f>
        <v/>
      </c>
      <c r="D4376">
        <f>IF(INDEX(L_Type,ROW()-4)="","",TRIM(UPPER(INDEX(L_Type,ROW()-4))))</f>
        <v/>
      </c>
      <c r="E4376">
        <f>IF(INDEX(P_Status,ROW()-4)="","",TRIM(UPPER(INDEX(P_Status,ROW()-4))))</f>
        <v/>
      </c>
      <c r="G4376">
        <f>IF(INDEX(L_Status,ROW()-4)="","",TRIM(UPPER(INDEX(L_Status,ROW()-4))))</f>
        <v/>
      </c>
      <c r="J4376">
        <f>IF(INDEX(L_ID,ROW()-4)="","",IF(SUMPRODUCT((P_ID=INDEX(L_ID,ROW()-4))*(P_StatusN="INACTIVE"))&gt;0,1,0))</f>
        <v/>
      </c>
    </row>
    <row r="4377">
      <c r="A4377">
        <f>IF(INDEX(L_ID,ROW()-4)="","",IF(COUNTIF(P_ID,INDEX(L_ID,ROW()-4))&gt;0,1,0))</f>
        <v/>
      </c>
      <c r="B4377">
        <f>IF(INDEX(P_Type,ROW()-4)="","",TRIM(UPPER(INDEX(P_Type,ROW()-4))))</f>
        <v/>
      </c>
      <c r="D4377">
        <f>IF(INDEX(L_Type,ROW()-4)="","",TRIM(UPPER(INDEX(L_Type,ROW()-4))))</f>
        <v/>
      </c>
      <c r="E4377">
        <f>IF(INDEX(P_Status,ROW()-4)="","",TRIM(UPPER(INDEX(P_Status,ROW()-4))))</f>
        <v/>
      </c>
      <c r="G4377">
        <f>IF(INDEX(L_Status,ROW()-4)="","",TRIM(UPPER(INDEX(L_Status,ROW()-4))))</f>
        <v/>
      </c>
      <c r="J4377">
        <f>IF(INDEX(L_ID,ROW()-4)="","",IF(SUMPRODUCT((P_ID=INDEX(L_ID,ROW()-4))*(P_StatusN="INACTIVE"))&gt;0,1,0))</f>
        <v/>
      </c>
    </row>
    <row r="4378">
      <c r="A4378">
        <f>IF(INDEX(L_ID,ROW()-4)="","",IF(COUNTIF(P_ID,INDEX(L_ID,ROW()-4))&gt;0,1,0))</f>
        <v/>
      </c>
      <c r="B4378">
        <f>IF(INDEX(P_Type,ROW()-4)="","",TRIM(UPPER(INDEX(P_Type,ROW()-4))))</f>
        <v/>
      </c>
      <c r="D4378">
        <f>IF(INDEX(L_Type,ROW()-4)="","",TRIM(UPPER(INDEX(L_Type,ROW()-4))))</f>
        <v/>
      </c>
      <c r="E4378">
        <f>IF(INDEX(P_Status,ROW()-4)="","",TRIM(UPPER(INDEX(P_Status,ROW()-4))))</f>
        <v/>
      </c>
      <c r="G4378">
        <f>IF(INDEX(L_Status,ROW()-4)="","",TRIM(UPPER(INDEX(L_Status,ROW()-4))))</f>
        <v/>
      </c>
      <c r="J4378">
        <f>IF(INDEX(L_ID,ROW()-4)="","",IF(SUMPRODUCT((P_ID=INDEX(L_ID,ROW()-4))*(P_StatusN="INACTIVE"))&gt;0,1,0))</f>
        <v/>
      </c>
    </row>
    <row r="4379">
      <c r="A4379">
        <f>IF(INDEX(L_ID,ROW()-4)="","",IF(COUNTIF(P_ID,INDEX(L_ID,ROW()-4))&gt;0,1,0))</f>
        <v/>
      </c>
      <c r="B4379">
        <f>IF(INDEX(P_Type,ROW()-4)="","",TRIM(UPPER(INDEX(P_Type,ROW()-4))))</f>
        <v/>
      </c>
      <c r="D4379">
        <f>IF(INDEX(L_Type,ROW()-4)="","",TRIM(UPPER(INDEX(L_Type,ROW()-4))))</f>
        <v/>
      </c>
      <c r="E4379">
        <f>IF(INDEX(P_Status,ROW()-4)="","",TRIM(UPPER(INDEX(P_Status,ROW()-4))))</f>
        <v/>
      </c>
      <c r="G4379">
        <f>IF(INDEX(L_Status,ROW()-4)="","",TRIM(UPPER(INDEX(L_Status,ROW()-4))))</f>
        <v/>
      </c>
      <c r="J4379">
        <f>IF(INDEX(L_ID,ROW()-4)="","",IF(SUMPRODUCT((P_ID=INDEX(L_ID,ROW()-4))*(P_StatusN="INACTIVE"))&gt;0,1,0))</f>
        <v/>
      </c>
    </row>
    <row r="4380">
      <c r="A4380">
        <f>IF(INDEX(L_ID,ROW()-4)="","",IF(COUNTIF(P_ID,INDEX(L_ID,ROW()-4))&gt;0,1,0))</f>
        <v/>
      </c>
      <c r="B4380">
        <f>IF(INDEX(P_Type,ROW()-4)="","",TRIM(UPPER(INDEX(P_Type,ROW()-4))))</f>
        <v/>
      </c>
      <c r="D4380">
        <f>IF(INDEX(L_Type,ROW()-4)="","",TRIM(UPPER(INDEX(L_Type,ROW()-4))))</f>
        <v/>
      </c>
      <c r="E4380">
        <f>IF(INDEX(P_Status,ROW()-4)="","",TRIM(UPPER(INDEX(P_Status,ROW()-4))))</f>
        <v/>
      </c>
      <c r="G4380">
        <f>IF(INDEX(L_Status,ROW()-4)="","",TRIM(UPPER(INDEX(L_Status,ROW()-4))))</f>
        <v/>
      </c>
      <c r="J4380">
        <f>IF(INDEX(L_ID,ROW()-4)="","",IF(SUMPRODUCT((P_ID=INDEX(L_ID,ROW()-4))*(P_StatusN="INACTIVE"))&gt;0,1,0))</f>
        <v/>
      </c>
    </row>
    <row r="4381">
      <c r="A4381">
        <f>IF(INDEX(L_ID,ROW()-4)="","",IF(COUNTIF(P_ID,INDEX(L_ID,ROW()-4))&gt;0,1,0))</f>
        <v/>
      </c>
      <c r="B4381">
        <f>IF(INDEX(P_Type,ROW()-4)="","",TRIM(UPPER(INDEX(P_Type,ROW()-4))))</f>
        <v/>
      </c>
      <c r="D4381">
        <f>IF(INDEX(L_Type,ROW()-4)="","",TRIM(UPPER(INDEX(L_Type,ROW()-4))))</f>
        <v/>
      </c>
      <c r="E4381">
        <f>IF(INDEX(P_Status,ROW()-4)="","",TRIM(UPPER(INDEX(P_Status,ROW()-4))))</f>
        <v/>
      </c>
      <c r="G4381">
        <f>IF(INDEX(L_Status,ROW()-4)="","",TRIM(UPPER(INDEX(L_Status,ROW()-4))))</f>
        <v/>
      </c>
      <c r="J4381">
        <f>IF(INDEX(L_ID,ROW()-4)="","",IF(SUMPRODUCT((P_ID=INDEX(L_ID,ROW()-4))*(P_StatusN="INACTIVE"))&gt;0,1,0))</f>
        <v/>
      </c>
    </row>
    <row r="4382">
      <c r="A4382">
        <f>IF(INDEX(L_ID,ROW()-4)="","",IF(COUNTIF(P_ID,INDEX(L_ID,ROW()-4))&gt;0,1,0))</f>
        <v/>
      </c>
      <c r="B4382">
        <f>IF(INDEX(P_Type,ROW()-4)="","",TRIM(UPPER(INDEX(P_Type,ROW()-4))))</f>
        <v/>
      </c>
      <c r="D4382">
        <f>IF(INDEX(L_Type,ROW()-4)="","",TRIM(UPPER(INDEX(L_Type,ROW()-4))))</f>
        <v/>
      </c>
      <c r="E4382">
        <f>IF(INDEX(P_Status,ROW()-4)="","",TRIM(UPPER(INDEX(P_Status,ROW()-4))))</f>
        <v/>
      </c>
      <c r="G4382">
        <f>IF(INDEX(L_Status,ROW()-4)="","",TRIM(UPPER(INDEX(L_Status,ROW()-4))))</f>
        <v/>
      </c>
      <c r="J4382">
        <f>IF(INDEX(L_ID,ROW()-4)="","",IF(SUMPRODUCT((P_ID=INDEX(L_ID,ROW()-4))*(P_StatusN="INACTIVE"))&gt;0,1,0))</f>
        <v/>
      </c>
    </row>
    <row r="4383">
      <c r="A4383">
        <f>IF(INDEX(L_ID,ROW()-4)="","",IF(COUNTIF(P_ID,INDEX(L_ID,ROW()-4))&gt;0,1,0))</f>
        <v/>
      </c>
      <c r="B4383">
        <f>IF(INDEX(P_Type,ROW()-4)="","",TRIM(UPPER(INDEX(P_Type,ROW()-4))))</f>
        <v/>
      </c>
      <c r="D4383">
        <f>IF(INDEX(L_Type,ROW()-4)="","",TRIM(UPPER(INDEX(L_Type,ROW()-4))))</f>
        <v/>
      </c>
      <c r="E4383">
        <f>IF(INDEX(P_Status,ROW()-4)="","",TRIM(UPPER(INDEX(P_Status,ROW()-4))))</f>
        <v/>
      </c>
      <c r="G4383">
        <f>IF(INDEX(L_Status,ROW()-4)="","",TRIM(UPPER(INDEX(L_Status,ROW()-4))))</f>
        <v/>
      </c>
      <c r="J4383">
        <f>IF(INDEX(L_ID,ROW()-4)="","",IF(SUMPRODUCT((P_ID=INDEX(L_ID,ROW()-4))*(P_StatusN="INACTIVE"))&gt;0,1,0))</f>
        <v/>
      </c>
    </row>
    <row r="4384">
      <c r="A4384">
        <f>IF(INDEX(L_ID,ROW()-4)="","",IF(COUNTIF(P_ID,INDEX(L_ID,ROW()-4))&gt;0,1,0))</f>
        <v/>
      </c>
      <c r="B4384">
        <f>IF(INDEX(P_Type,ROW()-4)="","",TRIM(UPPER(INDEX(P_Type,ROW()-4))))</f>
        <v/>
      </c>
      <c r="D4384">
        <f>IF(INDEX(L_Type,ROW()-4)="","",TRIM(UPPER(INDEX(L_Type,ROW()-4))))</f>
        <v/>
      </c>
      <c r="E4384">
        <f>IF(INDEX(P_Status,ROW()-4)="","",TRIM(UPPER(INDEX(P_Status,ROW()-4))))</f>
        <v/>
      </c>
      <c r="G4384">
        <f>IF(INDEX(L_Status,ROW()-4)="","",TRIM(UPPER(INDEX(L_Status,ROW()-4))))</f>
        <v/>
      </c>
      <c r="J4384">
        <f>IF(INDEX(L_ID,ROW()-4)="","",IF(SUMPRODUCT((P_ID=INDEX(L_ID,ROW()-4))*(P_StatusN="INACTIVE"))&gt;0,1,0))</f>
        <v/>
      </c>
    </row>
    <row r="4385">
      <c r="A4385">
        <f>IF(INDEX(L_ID,ROW()-4)="","",IF(COUNTIF(P_ID,INDEX(L_ID,ROW()-4))&gt;0,1,0))</f>
        <v/>
      </c>
      <c r="B4385">
        <f>IF(INDEX(P_Type,ROW()-4)="","",TRIM(UPPER(INDEX(P_Type,ROW()-4))))</f>
        <v/>
      </c>
      <c r="D4385">
        <f>IF(INDEX(L_Type,ROW()-4)="","",TRIM(UPPER(INDEX(L_Type,ROW()-4))))</f>
        <v/>
      </c>
      <c r="E4385">
        <f>IF(INDEX(P_Status,ROW()-4)="","",TRIM(UPPER(INDEX(P_Status,ROW()-4))))</f>
        <v/>
      </c>
      <c r="G4385">
        <f>IF(INDEX(L_Status,ROW()-4)="","",TRIM(UPPER(INDEX(L_Status,ROW()-4))))</f>
        <v/>
      </c>
      <c r="J4385">
        <f>IF(INDEX(L_ID,ROW()-4)="","",IF(SUMPRODUCT((P_ID=INDEX(L_ID,ROW()-4))*(P_StatusN="INACTIVE"))&gt;0,1,0))</f>
        <v/>
      </c>
    </row>
    <row r="4386">
      <c r="A4386">
        <f>IF(INDEX(L_ID,ROW()-4)="","",IF(COUNTIF(P_ID,INDEX(L_ID,ROW()-4))&gt;0,1,0))</f>
        <v/>
      </c>
      <c r="B4386">
        <f>IF(INDEX(P_Type,ROW()-4)="","",TRIM(UPPER(INDEX(P_Type,ROW()-4))))</f>
        <v/>
      </c>
      <c r="D4386">
        <f>IF(INDEX(L_Type,ROW()-4)="","",TRIM(UPPER(INDEX(L_Type,ROW()-4))))</f>
        <v/>
      </c>
      <c r="E4386">
        <f>IF(INDEX(P_Status,ROW()-4)="","",TRIM(UPPER(INDEX(P_Status,ROW()-4))))</f>
        <v/>
      </c>
      <c r="G4386">
        <f>IF(INDEX(L_Status,ROW()-4)="","",TRIM(UPPER(INDEX(L_Status,ROW()-4))))</f>
        <v/>
      </c>
      <c r="J4386">
        <f>IF(INDEX(L_ID,ROW()-4)="","",IF(SUMPRODUCT((P_ID=INDEX(L_ID,ROW()-4))*(P_StatusN="INACTIVE"))&gt;0,1,0))</f>
        <v/>
      </c>
    </row>
    <row r="4387">
      <c r="A4387">
        <f>IF(INDEX(L_ID,ROW()-4)="","",IF(COUNTIF(P_ID,INDEX(L_ID,ROW()-4))&gt;0,1,0))</f>
        <v/>
      </c>
      <c r="B4387">
        <f>IF(INDEX(P_Type,ROW()-4)="","",TRIM(UPPER(INDEX(P_Type,ROW()-4))))</f>
        <v/>
      </c>
      <c r="D4387">
        <f>IF(INDEX(L_Type,ROW()-4)="","",TRIM(UPPER(INDEX(L_Type,ROW()-4))))</f>
        <v/>
      </c>
      <c r="E4387">
        <f>IF(INDEX(P_Status,ROW()-4)="","",TRIM(UPPER(INDEX(P_Status,ROW()-4))))</f>
        <v/>
      </c>
      <c r="G4387">
        <f>IF(INDEX(L_Status,ROW()-4)="","",TRIM(UPPER(INDEX(L_Status,ROW()-4))))</f>
        <v/>
      </c>
      <c r="J4387">
        <f>IF(INDEX(L_ID,ROW()-4)="","",IF(SUMPRODUCT((P_ID=INDEX(L_ID,ROW()-4))*(P_StatusN="INACTIVE"))&gt;0,1,0))</f>
        <v/>
      </c>
    </row>
    <row r="4388">
      <c r="A4388">
        <f>IF(INDEX(L_ID,ROW()-4)="","",IF(COUNTIF(P_ID,INDEX(L_ID,ROW()-4))&gt;0,1,0))</f>
        <v/>
      </c>
      <c r="B4388">
        <f>IF(INDEX(P_Type,ROW()-4)="","",TRIM(UPPER(INDEX(P_Type,ROW()-4))))</f>
        <v/>
      </c>
      <c r="D4388">
        <f>IF(INDEX(L_Type,ROW()-4)="","",TRIM(UPPER(INDEX(L_Type,ROW()-4))))</f>
        <v/>
      </c>
      <c r="E4388">
        <f>IF(INDEX(P_Status,ROW()-4)="","",TRIM(UPPER(INDEX(P_Status,ROW()-4))))</f>
        <v/>
      </c>
      <c r="G4388">
        <f>IF(INDEX(L_Status,ROW()-4)="","",TRIM(UPPER(INDEX(L_Status,ROW()-4))))</f>
        <v/>
      </c>
      <c r="J4388">
        <f>IF(INDEX(L_ID,ROW()-4)="","",IF(SUMPRODUCT((P_ID=INDEX(L_ID,ROW()-4))*(P_StatusN="INACTIVE"))&gt;0,1,0))</f>
        <v/>
      </c>
    </row>
    <row r="4389">
      <c r="A4389">
        <f>IF(INDEX(L_ID,ROW()-4)="","",IF(COUNTIF(P_ID,INDEX(L_ID,ROW()-4))&gt;0,1,0))</f>
        <v/>
      </c>
      <c r="B4389">
        <f>IF(INDEX(P_Type,ROW()-4)="","",TRIM(UPPER(INDEX(P_Type,ROW()-4))))</f>
        <v/>
      </c>
      <c r="D4389">
        <f>IF(INDEX(L_Type,ROW()-4)="","",TRIM(UPPER(INDEX(L_Type,ROW()-4))))</f>
        <v/>
      </c>
      <c r="E4389">
        <f>IF(INDEX(P_Status,ROW()-4)="","",TRIM(UPPER(INDEX(P_Status,ROW()-4))))</f>
        <v/>
      </c>
      <c r="G4389">
        <f>IF(INDEX(L_Status,ROW()-4)="","",TRIM(UPPER(INDEX(L_Status,ROW()-4))))</f>
        <v/>
      </c>
      <c r="J4389">
        <f>IF(INDEX(L_ID,ROW()-4)="","",IF(SUMPRODUCT((P_ID=INDEX(L_ID,ROW()-4))*(P_StatusN="INACTIVE"))&gt;0,1,0))</f>
        <v/>
      </c>
    </row>
    <row r="4390">
      <c r="A4390">
        <f>IF(INDEX(L_ID,ROW()-4)="","",IF(COUNTIF(P_ID,INDEX(L_ID,ROW()-4))&gt;0,1,0))</f>
        <v/>
      </c>
      <c r="B4390">
        <f>IF(INDEX(P_Type,ROW()-4)="","",TRIM(UPPER(INDEX(P_Type,ROW()-4))))</f>
        <v/>
      </c>
      <c r="D4390">
        <f>IF(INDEX(L_Type,ROW()-4)="","",TRIM(UPPER(INDEX(L_Type,ROW()-4))))</f>
        <v/>
      </c>
      <c r="E4390">
        <f>IF(INDEX(P_Status,ROW()-4)="","",TRIM(UPPER(INDEX(P_Status,ROW()-4))))</f>
        <v/>
      </c>
      <c r="G4390">
        <f>IF(INDEX(L_Status,ROW()-4)="","",TRIM(UPPER(INDEX(L_Status,ROW()-4))))</f>
        <v/>
      </c>
      <c r="J4390">
        <f>IF(INDEX(L_ID,ROW()-4)="","",IF(SUMPRODUCT((P_ID=INDEX(L_ID,ROW()-4))*(P_StatusN="INACTIVE"))&gt;0,1,0))</f>
        <v/>
      </c>
    </row>
    <row r="4391">
      <c r="A4391">
        <f>IF(INDEX(L_ID,ROW()-4)="","",IF(COUNTIF(P_ID,INDEX(L_ID,ROW()-4))&gt;0,1,0))</f>
        <v/>
      </c>
      <c r="B4391">
        <f>IF(INDEX(P_Type,ROW()-4)="","",TRIM(UPPER(INDEX(P_Type,ROW()-4))))</f>
        <v/>
      </c>
      <c r="D4391">
        <f>IF(INDEX(L_Type,ROW()-4)="","",TRIM(UPPER(INDEX(L_Type,ROW()-4))))</f>
        <v/>
      </c>
      <c r="E4391">
        <f>IF(INDEX(P_Status,ROW()-4)="","",TRIM(UPPER(INDEX(P_Status,ROW()-4))))</f>
        <v/>
      </c>
      <c r="G4391">
        <f>IF(INDEX(L_Status,ROW()-4)="","",TRIM(UPPER(INDEX(L_Status,ROW()-4))))</f>
        <v/>
      </c>
      <c r="J4391">
        <f>IF(INDEX(L_ID,ROW()-4)="","",IF(SUMPRODUCT((P_ID=INDEX(L_ID,ROW()-4))*(P_StatusN="INACTIVE"))&gt;0,1,0))</f>
        <v/>
      </c>
    </row>
    <row r="4392">
      <c r="A4392">
        <f>IF(INDEX(L_ID,ROW()-4)="","",IF(COUNTIF(P_ID,INDEX(L_ID,ROW()-4))&gt;0,1,0))</f>
        <v/>
      </c>
      <c r="B4392">
        <f>IF(INDEX(P_Type,ROW()-4)="","",TRIM(UPPER(INDEX(P_Type,ROW()-4))))</f>
        <v/>
      </c>
      <c r="D4392">
        <f>IF(INDEX(L_Type,ROW()-4)="","",TRIM(UPPER(INDEX(L_Type,ROW()-4))))</f>
        <v/>
      </c>
      <c r="E4392">
        <f>IF(INDEX(P_Status,ROW()-4)="","",TRIM(UPPER(INDEX(P_Status,ROW()-4))))</f>
        <v/>
      </c>
      <c r="G4392">
        <f>IF(INDEX(L_Status,ROW()-4)="","",TRIM(UPPER(INDEX(L_Status,ROW()-4))))</f>
        <v/>
      </c>
      <c r="J4392">
        <f>IF(INDEX(L_ID,ROW()-4)="","",IF(SUMPRODUCT((P_ID=INDEX(L_ID,ROW()-4))*(P_StatusN="INACTIVE"))&gt;0,1,0))</f>
        <v/>
      </c>
    </row>
    <row r="4393">
      <c r="A4393">
        <f>IF(INDEX(L_ID,ROW()-4)="","",IF(COUNTIF(P_ID,INDEX(L_ID,ROW()-4))&gt;0,1,0))</f>
        <v/>
      </c>
      <c r="B4393">
        <f>IF(INDEX(P_Type,ROW()-4)="","",TRIM(UPPER(INDEX(P_Type,ROW()-4))))</f>
        <v/>
      </c>
      <c r="D4393">
        <f>IF(INDEX(L_Type,ROW()-4)="","",TRIM(UPPER(INDEX(L_Type,ROW()-4))))</f>
        <v/>
      </c>
      <c r="E4393">
        <f>IF(INDEX(P_Status,ROW()-4)="","",TRIM(UPPER(INDEX(P_Status,ROW()-4))))</f>
        <v/>
      </c>
      <c r="G4393">
        <f>IF(INDEX(L_Status,ROW()-4)="","",TRIM(UPPER(INDEX(L_Status,ROW()-4))))</f>
        <v/>
      </c>
      <c r="J4393">
        <f>IF(INDEX(L_ID,ROW()-4)="","",IF(SUMPRODUCT((P_ID=INDEX(L_ID,ROW()-4))*(P_StatusN="INACTIVE"))&gt;0,1,0))</f>
        <v/>
      </c>
    </row>
    <row r="4394">
      <c r="A4394">
        <f>IF(INDEX(L_ID,ROW()-4)="","",IF(COUNTIF(P_ID,INDEX(L_ID,ROW()-4))&gt;0,1,0))</f>
        <v/>
      </c>
      <c r="B4394">
        <f>IF(INDEX(P_Type,ROW()-4)="","",TRIM(UPPER(INDEX(P_Type,ROW()-4))))</f>
        <v/>
      </c>
      <c r="D4394">
        <f>IF(INDEX(L_Type,ROW()-4)="","",TRIM(UPPER(INDEX(L_Type,ROW()-4))))</f>
        <v/>
      </c>
      <c r="E4394">
        <f>IF(INDEX(P_Status,ROW()-4)="","",TRIM(UPPER(INDEX(P_Status,ROW()-4))))</f>
        <v/>
      </c>
      <c r="G4394">
        <f>IF(INDEX(L_Status,ROW()-4)="","",TRIM(UPPER(INDEX(L_Status,ROW()-4))))</f>
        <v/>
      </c>
      <c r="J4394">
        <f>IF(INDEX(L_ID,ROW()-4)="","",IF(SUMPRODUCT((P_ID=INDEX(L_ID,ROW()-4))*(P_StatusN="INACTIVE"))&gt;0,1,0))</f>
        <v/>
      </c>
    </row>
    <row r="4395">
      <c r="A4395">
        <f>IF(INDEX(L_ID,ROW()-4)="","",IF(COUNTIF(P_ID,INDEX(L_ID,ROW()-4))&gt;0,1,0))</f>
        <v/>
      </c>
      <c r="B4395">
        <f>IF(INDEX(P_Type,ROW()-4)="","",TRIM(UPPER(INDEX(P_Type,ROW()-4))))</f>
        <v/>
      </c>
      <c r="D4395">
        <f>IF(INDEX(L_Type,ROW()-4)="","",TRIM(UPPER(INDEX(L_Type,ROW()-4))))</f>
        <v/>
      </c>
      <c r="E4395">
        <f>IF(INDEX(P_Status,ROW()-4)="","",TRIM(UPPER(INDEX(P_Status,ROW()-4))))</f>
        <v/>
      </c>
      <c r="G4395">
        <f>IF(INDEX(L_Status,ROW()-4)="","",TRIM(UPPER(INDEX(L_Status,ROW()-4))))</f>
        <v/>
      </c>
      <c r="J4395">
        <f>IF(INDEX(L_ID,ROW()-4)="","",IF(SUMPRODUCT((P_ID=INDEX(L_ID,ROW()-4))*(P_StatusN="INACTIVE"))&gt;0,1,0))</f>
        <v/>
      </c>
    </row>
    <row r="4396">
      <c r="A4396">
        <f>IF(INDEX(L_ID,ROW()-4)="","",IF(COUNTIF(P_ID,INDEX(L_ID,ROW()-4))&gt;0,1,0))</f>
        <v/>
      </c>
      <c r="B4396">
        <f>IF(INDEX(P_Type,ROW()-4)="","",TRIM(UPPER(INDEX(P_Type,ROW()-4))))</f>
        <v/>
      </c>
      <c r="D4396">
        <f>IF(INDEX(L_Type,ROW()-4)="","",TRIM(UPPER(INDEX(L_Type,ROW()-4))))</f>
        <v/>
      </c>
      <c r="E4396">
        <f>IF(INDEX(P_Status,ROW()-4)="","",TRIM(UPPER(INDEX(P_Status,ROW()-4))))</f>
        <v/>
      </c>
      <c r="G4396">
        <f>IF(INDEX(L_Status,ROW()-4)="","",TRIM(UPPER(INDEX(L_Status,ROW()-4))))</f>
        <v/>
      </c>
      <c r="J4396">
        <f>IF(INDEX(L_ID,ROW()-4)="","",IF(SUMPRODUCT((P_ID=INDEX(L_ID,ROW()-4))*(P_StatusN="INACTIVE"))&gt;0,1,0))</f>
        <v/>
      </c>
    </row>
    <row r="4397">
      <c r="A4397">
        <f>IF(INDEX(L_ID,ROW()-4)="","",IF(COUNTIF(P_ID,INDEX(L_ID,ROW()-4))&gt;0,1,0))</f>
        <v/>
      </c>
      <c r="B4397">
        <f>IF(INDEX(P_Type,ROW()-4)="","",TRIM(UPPER(INDEX(P_Type,ROW()-4))))</f>
        <v/>
      </c>
      <c r="D4397">
        <f>IF(INDEX(L_Type,ROW()-4)="","",TRIM(UPPER(INDEX(L_Type,ROW()-4))))</f>
        <v/>
      </c>
      <c r="E4397">
        <f>IF(INDEX(P_Status,ROW()-4)="","",TRIM(UPPER(INDEX(P_Status,ROW()-4))))</f>
        <v/>
      </c>
      <c r="G4397">
        <f>IF(INDEX(L_Status,ROW()-4)="","",TRIM(UPPER(INDEX(L_Status,ROW()-4))))</f>
        <v/>
      </c>
      <c r="J4397">
        <f>IF(INDEX(L_ID,ROW()-4)="","",IF(SUMPRODUCT((P_ID=INDEX(L_ID,ROW()-4))*(P_StatusN="INACTIVE"))&gt;0,1,0))</f>
        <v/>
      </c>
    </row>
    <row r="4398">
      <c r="A4398">
        <f>IF(INDEX(L_ID,ROW()-4)="","",IF(COUNTIF(P_ID,INDEX(L_ID,ROW()-4))&gt;0,1,0))</f>
        <v/>
      </c>
      <c r="B4398">
        <f>IF(INDEX(P_Type,ROW()-4)="","",TRIM(UPPER(INDEX(P_Type,ROW()-4))))</f>
        <v/>
      </c>
      <c r="D4398">
        <f>IF(INDEX(L_Type,ROW()-4)="","",TRIM(UPPER(INDEX(L_Type,ROW()-4))))</f>
        <v/>
      </c>
      <c r="E4398">
        <f>IF(INDEX(P_Status,ROW()-4)="","",TRIM(UPPER(INDEX(P_Status,ROW()-4))))</f>
        <v/>
      </c>
      <c r="G4398">
        <f>IF(INDEX(L_Status,ROW()-4)="","",TRIM(UPPER(INDEX(L_Status,ROW()-4))))</f>
        <v/>
      </c>
      <c r="J4398">
        <f>IF(INDEX(L_ID,ROW()-4)="","",IF(SUMPRODUCT((P_ID=INDEX(L_ID,ROW()-4))*(P_StatusN="INACTIVE"))&gt;0,1,0))</f>
        <v/>
      </c>
    </row>
    <row r="4399">
      <c r="A4399">
        <f>IF(INDEX(L_ID,ROW()-4)="","",IF(COUNTIF(P_ID,INDEX(L_ID,ROW()-4))&gt;0,1,0))</f>
        <v/>
      </c>
      <c r="B4399">
        <f>IF(INDEX(P_Type,ROW()-4)="","",TRIM(UPPER(INDEX(P_Type,ROW()-4))))</f>
        <v/>
      </c>
      <c r="D4399">
        <f>IF(INDEX(L_Type,ROW()-4)="","",TRIM(UPPER(INDEX(L_Type,ROW()-4))))</f>
        <v/>
      </c>
      <c r="E4399">
        <f>IF(INDEX(P_Status,ROW()-4)="","",TRIM(UPPER(INDEX(P_Status,ROW()-4))))</f>
        <v/>
      </c>
      <c r="G4399">
        <f>IF(INDEX(L_Status,ROW()-4)="","",TRIM(UPPER(INDEX(L_Status,ROW()-4))))</f>
        <v/>
      </c>
      <c r="J4399">
        <f>IF(INDEX(L_ID,ROW()-4)="","",IF(SUMPRODUCT((P_ID=INDEX(L_ID,ROW()-4))*(P_StatusN="INACTIVE"))&gt;0,1,0))</f>
        <v/>
      </c>
    </row>
    <row r="4400">
      <c r="A4400">
        <f>IF(INDEX(L_ID,ROW()-4)="","",IF(COUNTIF(P_ID,INDEX(L_ID,ROW()-4))&gt;0,1,0))</f>
        <v/>
      </c>
      <c r="B4400">
        <f>IF(INDEX(P_Type,ROW()-4)="","",TRIM(UPPER(INDEX(P_Type,ROW()-4))))</f>
        <v/>
      </c>
      <c r="D4400">
        <f>IF(INDEX(L_Type,ROW()-4)="","",TRIM(UPPER(INDEX(L_Type,ROW()-4))))</f>
        <v/>
      </c>
      <c r="E4400">
        <f>IF(INDEX(P_Status,ROW()-4)="","",TRIM(UPPER(INDEX(P_Status,ROW()-4))))</f>
        <v/>
      </c>
      <c r="G4400">
        <f>IF(INDEX(L_Status,ROW()-4)="","",TRIM(UPPER(INDEX(L_Status,ROW()-4))))</f>
        <v/>
      </c>
      <c r="J4400">
        <f>IF(INDEX(L_ID,ROW()-4)="","",IF(SUMPRODUCT((P_ID=INDEX(L_ID,ROW()-4))*(P_StatusN="INACTIVE"))&gt;0,1,0))</f>
        <v/>
      </c>
    </row>
    <row r="4401">
      <c r="A4401">
        <f>IF(INDEX(L_ID,ROW()-4)="","",IF(COUNTIF(P_ID,INDEX(L_ID,ROW()-4))&gt;0,1,0))</f>
        <v/>
      </c>
      <c r="B4401">
        <f>IF(INDEX(P_Type,ROW()-4)="","",TRIM(UPPER(INDEX(P_Type,ROW()-4))))</f>
        <v/>
      </c>
      <c r="D4401">
        <f>IF(INDEX(L_Type,ROW()-4)="","",TRIM(UPPER(INDEX(L_Type,ROW()-4))))</f>
        <v/>
      </c>
      <c r="E4401">
        <f>IF(INDEX(P_Status,ROW()-4)="","",TRIM(UPPER(INDEX(P_Status,ROW()-4))))</f>
        <v/>
      </c>
      <c r="G4401">
        <f>IF(INDEX(L_Status,ROW()-4)="","",TRIM(UPPER(INDEX(L_Status,ROW()-4))))</f>
        <v/>
      </c>
      <c r="J4401">
        <f>IF(INDEX(L_ID,ROW()-4)="","",IF(SUMPRODUCT((P_ID=INDEX(L_ID,ROW()-4))*(P_StatusN="INACTIVE"))&gt;0,1,0))</f>
        <v/>
      </c>
    </row>
    <row r="4402">
      <c r="A4402">
        <f>IF(INDEX(L_ID,ROW()-4)="","",IF(COUNTIF(P_ID,INDEX(L_ID,ROW()-4))&gt;0,1,0))</f>
        <v/>
      </c>
      <c r="B4402">
        <f>IF(INDEX(P_Type,ROW()-4)="","",TRIM(UPPER(INDEX(P_Type,ROW()-4))))</f>
        <v/>
      </c>
      <c r="D4402">
        <f>IF(INDEX(L_Type,ROW()-4)="","",TRIM(UPPER(INDEX(L_Type,ROW()-4))))</f>
        <v/>
      </c>
      <c r="E4402">
        <f>IF(INDEX(P_Status,ROW()-4)="","",TRIM(UPPER(INDEX(P_Status,ROW()-4))))</f>
        <v/>
      </c>
      <c r="G4402">
        <f>IF(INDEX(L_Status,ROW()-4)="","",TRIM(UPPER(INDEX(L_Status,ROW()-4))))</f>
        <v/>
      </c>
      <c r="J4402">
        <f>IF(INDEX(L_ID,ROW()-4)="","",IF(SUMPRODUCT((P_ID=INDEX(L_ID,ROW()-4))*(P_StatusN="INACTIVE"))&gt;0,1,0))</f>
        <v/>
      </c>
    </row>
    <row r="4403">
      <c r="A4403">
        <f>IF(INDEX(L_ID,ROW()-4)="","",IF(COUNTIF(P_ID,INDEX(L_ID,ROW()-4))&gt;0,1,0))</f>
        <v/>
      </c>
      <c r="B4403">
        <f>IF(INDEX(P_Type,ROW()-4)="","",TRIM(UPPER(INDEX(P_Type,ROW()-4))))</f>
        <v/>
      </c>
      <c r="D4403">
        <f>IF(INDEX(L_Type,ROW()-4)="","",TRIM(UPPER(INDEX(L_Type,ROW()-4))))</f>
        <v/>
      </c>
      <c r="E4403">
        <f>IF(INDEX(P_Status,ROW()-4)="","",TRIM(UPPER(INDEX(P_Status,ROW()-4))))</f>
        <v/>
      </c>
      <c r="G4403">
        <f>IF(INDEX(L_Status,ROW()-4)="","",TRIM(UPPER(INDEX(L_Status,ROW()-4))))</f>
        <v/>
      </c>
      <c r="J4403">
        <f>IF(INDEX(L_ID,ROW()-4)="","",IF(SUMPRODUCT((P_ID=INDEX(L_ID,ROW()-4))*(P_StatusN="INACTIVE"))&gt;0,1,0))</f>
        <v/>
      </c>
    </row>
    <row r="4404">
      <c r="A4404">
        <f>IF(INDEX(L_ID,ROW()-4)="","",IF(COUNTIF(P_ID,INDEX(L_ID,ROW()-4))&gt;0,1,0))</f>
        <v/>
      </c>
      <c r="B4404">
        <f>IF(INDEX(P_Type,ROW()-4)="","",TRIM(UPPER(INDEX(P_Type,ROW()-4))))</f>
        <v/>
      </c>
      <c r="D4404">
        <f>IF(INDEX(L_Type,ROW()-4)="","",TRIM(UPPER(INDEX(L_Type,ROW()-4))))</f>
        <v/>
      </c>
      <c r="E4404">
        <f>IF(INDEX(P_Status,ROW()-4)="","",TRIM(UPPER(INDEX(P_Status,ROW()-4))))</f>
        <v/>
      </c>
      <c r="G4404">
        <f>IF(INDEX(L_Status,ROW()-4)="","",TRIM(UPPER(INDEX(L_Status,ROW()-4))))</f>
        <v/>
      </c>
      <c r="J4404">
        <f>IF(INDEX(L_ID,ROW()-4)="","",IF(SUMPRODUCT((P_ID=INDEX(L_ID,ROW()-4))*(P_StatusN="INACTIVE"))&gt;0,1,0))</f>
        <v/>
      </c>
    </row>
    <row r="4405">
      <c r="A4405">
        <f>IF(INDEX(L_ID,ROW()-4)="","",IF(COUNTIF(P_ID,INDEX(L_ID,ROW()-4))&gt;0,1,0))</f>
        <v/>
      </c>
      <c r="B4405">
        <f>IF(INDEX(P_Type,ROW()-4)="","",TRIM(UPPER(INDEX(P_Type,ROW()-4))))</f>
        <v/>
      </c>
      <c r="D4405">
        <f>IF(INDEX(L_Type,ROW()-4)="","",TRIM(UPPER(INDEX(L_Type,ROW()-4))))</f>
        <v/>
      </c>
      <c r="E4405">
        <f>IF(INDEX(P_Status,ROW()-4)="","",TRIM(UPPER(INDEX(P_Status,ROW()-4))))</f>
        <v/>
      </c>
      <c r="G4405">
        <f>IF(INDEX(L_Status,ROW()-4)="","",TRIM(UPPER(INDEX(L_Status,ROW()-4))))</f>
        <v/>
      </c>
      <c r="J4405">
        <f>IF(INDEX(L_ID,ROW()-4)="","",IF(SUMPRODUCT((P_ID=INDEX(L_ID,ROW()-4))*(P_StatusN="INACTIVE"))&gt;0,1,0))</f>
        <v/>
      </c>
    </row>
    <row r="4406">
      <c r="A4406">
        <f>IF(INDEX(L_ID,ROW()-4)="","",IF(COUNTIF(P_ID,INDEX(L_ID,ROW()-4))&gt;0,1,0))</f>
        <v/>
      </c>
      <c r="B4406">
        <f>IF(INDEX(P_Type,ROW()-4)="","",TRIM(UPPER(INDEX(P_Type,ROW()-4))))</f>
        <v/>
      </c>
      <c r="D4406">
        <f>IF(INDEX(L_Type,ROW()-4)="","",TRIM(UPPER(INDEX(L_Type,ROW()-4))))</f>
        <v/>
      </c>
      <c r="E4406">
        <f>IF(INDEX(P_Status,ROW()-4)="","",TRIM(UPPER(INDEX(P_Status,ROW()-4))))</f>
        <v/>
      </c>
      <c r="G4406">
        <f>IF(INDEX(L_Status,ROW()-4)="","",TRIM(UPPER(INDEX(L_Status,ROW()-4))))</f>
        <v/>
      </c>
      <c r="J4406">
        <f>IF(INDEX(L_ID,ROW()-4)="","",IF(SUMPRODUCT((P_ID=INDEX(L_ID,ROW()-4))*(P_StatusN="INACTIVE"))&gt;0,1,0))</f>
        <v/>
      </c>
    </row>
    <row r="4407">
      <c r="A4407">
        <f>IF(INDEX(L_ID,ROW()-4)="","",IF(COUNTIF(P_ID,INDEX(L_ID,ROW()-4))&gt;0,1,0))</f>
        <v/>
      </c>
      <c r="B4407">
        <f>IF(INDEX(P_Type,ROW()-4)="","",TRIM(UPPER(INDEX(P_Type,ROW()-4))))</f>
        <v/>
      </c>
      <c r="D4407">
        <f>IF(INDEX(L_Type,ROW()-4)="","",TRIM(UPPER(INDEX(L_Type,ROW()-4))))</f>
        <v/>
      </c>
      <c r="E4407">
        <f>IF(INDEX(P_Status,ROW()-4)="","",TRIM(UPPER(INDEX(P_Status,ROW()-4))))</f>
        <v/>
      </c>
      <c r="G4407">
        <f>IF(INDEX(L_Status,ROW()-4)="","",TRIM(UPPER(INDEX(L_Status,ROW()-4))))</f>
        <v/>
      </c>
      <c r="J4407">
        <f>IF(INDEX(L_ID,ROW()-4)="","",IF(SUMPRODUCT((P_ID=INDEX(L_ID,ROW()-4))*(P_StatusN="INACTIVE"))&gt;0,1,0))</f>
        <v/>
      </c>
    </row>
    <row r="4408">
      <c r="A4408">
        <f>IF(INDEX(L_ID,ROW()-4)="","",IF(COUNTIF(P_ID,INDEX(L_ID,ROW()-4))&gt;0,1,0))</f>
        <v/>
      </c>
      <c r="B4408">
        <f>IF(INDEX(P_Type,ROW()-4)="","",TRIM(UPPER(INDEX(P_Type,ROW()-4))))</f>
        <v/>
      </c>
      <c r="D4408">
        <f>IF(INDEX(L_Type,ROW()-4)="","",TRIM(UPPER(INDEX(L_Type,ROW()-4))))</f>
        <v/>
      </c>
      <c r="E4408">
        <f>IF(INDEX(P_Status,ROW()-4)="","",TRIM(UPPER(INDEX(P_Status,ROW()-4))))</f>
        <v/>
      </c>
      <c r="G4408">
        <f>IF(INDEX(L_Status,ROW()-4)="","",TRIM(UPPER(INDEX(L_Status,ROW()-4))))</f>
        <v/>
      </c>
      <c r="J4408">
        <f>IF(INDEX(L_ID,ROW()-4)="","",IF(SUMPRODUCT((P_ID=INDEX(L_ID,ROW()-4))*(P_StatusN="INACTIVE"))&gt;0,1,0))</f>
        <v/>
      </c>
    </row>
    <row r="4409">
      <c r="A4409">
        <f>IF(INDEX(L_ID,ROW()-4)="","",IF(COUNTIF(P_ID,INDEX(L_ID,ROW()-4))&gt;0,1,0))</f>
        <v/>
      </c>
      <c r="B4409">
        <f>IF(INDEX(P_Type,ROW()-4)="","",TRIM(UPPER(INDEX(P_Type,ROW()-4))))</f>
        <v/>
      </c>
      <c r="D4409">
        <f>IF(INDEX(L_Type,ROW()-4)="","",TRIM(UPPER(INDEX(L_Type,ROW()-4))))</f>
        <v/>
      </c>
      <c r="E4409">
        <f>IF(INDEX(P_Status,ROW()-4)="","",TRIM(UPPER(INDEX(P_Status,ROW()-4))))</f>
        <v/>
      </c>
      <c r="G4409">
        <f>IF(INDEX(L_Status,ROW()-4)="","",TRIM(UPPER(INDEX(L_Status,ROW()-4))))</f>
        <v/>
      </c>
      <c r="J4409">
        <f>IF(INDEX(L_ID,ROW()-4)="","",IF(SUMPRODUCT((P_ID=INDEX(L_ID,ROW()-4))*(P_StatusN="INACTIVE"))&gt;0,1,0))</f>
        <v/>
      </c>
    </row>
    <row r="4410">
      <c r="A4410">
        <f>IF(INDEX(L_ID,ROW()-4)="","",IF(COUNTIF(P_ID,INDEX(L_ID,ROW()-4))&gt;0,1,0))</f>
        <v/>
      </c>
      <c r="B4410">
        <f>IF(INDEX(P_Type,ROW()-4)="","",TRIM(UPPER(INDEX(P_Type,ROW()-4))))</f>
        <v/>
      </c>
      <c r="D4410">
        <f>IF(INDEX(L_Type,ROW()-4)="","",TRIM(UPPER(INDEX(L_Type,ROW()-4))))</f>
        <v/>
      </c>
      <c r="E4410">
        <f>IF(INDEX(P_Status,ROW()-4)="","",TRIM(UPPER(INDEX(P_Status,ROW()-4))))</f>
        <v/>
      </c>
      <c r="G4410">
        <f>IF(INDEX(L_Status,ROW()-4)="","",TRIM(UPPER(INDEX(L_Status,ROW()-4))))</f>
        <v/>
      </c>
      <c r="J4410">
        <f>IF(INDEX(L_ID,ROW()-4)="","",IF(SUMPRODUCT((P_ID=INDEX(L_ID,ROW()-4))*(P_StatusN="INACTIVE"))&gt;0,1,0))</f>
        <v/>
      </c>
    </row>
    <row r="4411">
      <c r="A4411">
        <f>IF(INDEX(L_ID,ROW()-4)="","",IF(COUNTIF(P_ID,INDEX(L_ID,ROW()-4))&gt;0,1,0))</f>
        <v/>
      </c>
      <c r="B4411">
        <f>IF(INDEX(P_Type,ROW()-4)="","",TRIM(UPPER(INDEX(P_Type,ROW()-4))))</f>
        <v/>
      </c>
      <c r="D4411">
        <f>IF(INDEX(L_Type,ROW()-4)="","",TRIM(UPPER(INDEX(L_Type,ROW()-4))))</f>
        <v/>
      </c>
      <c r="E4411">
        <f>IF(INDEX(P_Status,ROW()-4)="","",TRIM(UPPER(INDEX(P_Status,ROW()-4))))</f>
        <v/>
      </c>
      <c r="G4411">
        <f>IF(INDEX(L_Status,ROW()-4)="","",TRIM(UPPER(INDEX(L_Status,ROW()-4))))</f>
        <v/>
      </c>
      <c r="J4411">
        <f>IF(INDEX(L_ID,ROW()-4)="","",IF(SUMPRODUCT((P_ID=INDEX(L_ID,ROW()-4))*(P_StatusN="INACTIVE"))&gt;0,1,0))</f>
        <v/>
      </c>
    </row>
    <row r="4412">
      <c r="A4412">
        <f>IF(INDEX(L_ID,ROW()-4)="","",IF(COUNTIF(P_ID,INDEX(L_ID,ROW()-4))&gt;0,1,0))</f>
        <v/>
      </c>
      <c r="B4412">
        <f>IF(INDEX(P_Type,ROW()-4)="","",TRIM(UPPER(INDEX(P_Type,ROW()-4))))</f>
        <v/>
      </c>
      <c r="D4412">
        <f>IF(INDEX(L_Type,ROW()-4)="","",TRIM(UPPER(INDEX(L_Type,ROW()-4))))</f>
        <v/>
      </c>
      <c r="E4412">
        <f>IF(INDEX(P_Status,ROW()-4)="","",TRIM(UPPER(INDEX(P_Status,ROW()-4))))</f>
        <v/>
      </c>
      <c r="G4412">
        <f>IF(INDEX(L_Status,ROW()-4)="","",TRIM(UPPER(INDEX(L_Status,ROW()-4))))</f>
        <v/>
      </c>
      <c r="J4412">
        <f>IF(INDEX(L_ID,ROW()-4)="","",IF(SUMPRODUCT((P_ID=INDEX(L_ID,ROW()-4))*(P_StatusN="INACTIVE"))&gt;0,1,0))</f>
        <v/>
      </c>
    </row>
    <row r="4413">
      <c r="A4413">
        <f>IF(INDEX(L_ID,ROW()-4)="","",IF(COUNTIF(P_ID,INDEX(L_ID,ROW()-4))&gt;0,1,0))</f>
        <v/>
      </c>
      <c r="B4413">
        <f>IF(INDEX(P_Type,ROW()-4)="","",TRIM(UPPER(INDEX(P_Type,ROW()-4))))</f>
        <v/>
      </c>
      <c r="D4413">
        <f>IF(INDEX(L_Type,ROW()-4)="","",TRIM(UPPER(INDEX(L_Type,ROW()-4))))</f>
        <v/>
      </c>
      <c r="E4413">
        <f>IF(INDEX(P_Status,ROW()-4)="","",TRIM(UPPER(INDEX(P_Status,ROW()-4))))</f>
        <v/>
      </c>
      <c r="G4413">
        <f>IF(INDEX(L_Status,ROW()-4)="","",TRIM(UPPER(INDEX(L_Status,ROW()-4))))</f>
        <v/>
      </c>
      <c r="J4413">
        <f>IF(INDEX(L_ID,ROW()-4)="","",IF(SUMPRODUCT((P_ID=INDEX(L_ID,ROW()-4))*(P_StatusN="INACTIVE"))&gt;0,1,0))</f>
        <v/>
      </c>
    </row>
    <row r="4414">
      <c r="A4414">
        <f>IF(INDEX(L_ID,ROW()-4)="","",IF(COUNTIF(P_ID,INDEX(L_ID,ROW()-4))&gt;0,1,0))</f>
        <v/>
      </c>
      <c r="B4414">
        <f>IF(INDEX(P_Type,ROW()-4)="","",TRIM(UPPER(INDEX(P_Type,ROW()-4))))</f>
        <v/>
      </c>
      <c r="D4414">
        <f>IF(INDEX(L_Type,ROW()-4)="","",TRIM(UPPER(INDEX(L_Type,ROW()-4))))</f>
        <v/>
      </c>
      <c r="E4414">
        <f>IF(INDEX(P_Status,ROW()-4)="","",TRIM(UPPER(INDEX(P_Status,ROW()-4))))</f>
        <v/>
      </c>
      <c r="G4414">
        <f>IF(INDEX(L_Status,ROW()-4)="","",TRIM(UPPER(INDEX(L_Status,ROW()-4))))</f>
        <v/>
      </c>
      <c r="J4414">
        <f>IF(INDEX(L_ID,ROW()-4)="","",IF(SUMPRODUCT((P_ID=INDEX(L_ID,ROW()-4))*(P_StatusN="INACTIVE"))&gt;0,1,0))</f>
        <v/>
      </c>
    </row>
    <row r="4415">
      <c r="A4415">
        <f>IF(INDEX(L_ID,ROW()-4)="","",IF(COUNTIF(P_ID,INDEX(L_ID,ROW()-4))&gt;0,1,0))</f>
        <v/>
      </c>
      <c r="B4415">
        <f>IF(INDEX(P_Type,ROW()-4)="","",TRIM(UPPER(INDEX(P_Type,ROW()-4))))</f>
        <v/>
      </c>
      <c r="D4415">
        <f>IF(INDEX(L_Type,ROW()-4)="","",TRIM(UPPER(INDEX(L_Type,ROW()-4))))</f>
        <v/>
      </c>
      <c r="E4415">
        <f>IF(INDEX(P_Status,ROW()-4)="","",TRIM(UPPER(INDEX(P_Status,ROW()-4))))</f>
        <v/>
      </c>
      <c r="G4415">
        <f>IF(INDEX(L_Status,ROW()-4)="","",TRIM(UPPER(INDEX(L_Status,ROW()-4))))</f>
        <v/>
      </c>
      <c r="J4415">
        <f>IF(INDEX(L_ID,ROW()-4)="","",IF(SUMPRODUCT((P_ID=INDEX(L_ID,ROW()-4))*(P_StatusN="INACTIVE"))&gt;0,1,0))</f>
        <v/>
      </c>
    </row>
    <row r="4416">
      <c r="A4416">
        <f>IF(INDEX(L_ID,ROW()-4)="","",IF(COUNTIF(P_ID,INDEX(L_ID,ROW()-4))&gt;0,1,0))</f>
        <v/>
      </c>
      <c r="B4416">
        <f>IF(INDEX(P_Type,ROW()-4)="","",TRIM(UPPER(INDEX(P_Type,ROW()-4))))</f>
        <v/>
      </c>
      <c r="D4416">
        <f>IF(INDEX(L_Type,ROW()-4)="","",TRIM(UPPER(INDEX(L_Type,ROW()-4))))</f>
        <v/>
      </c>
      <c r="E4416">
        <f>IF(INDEX(P_Status,ROW()-4)="","",TRIM(UPPER(INDEX(P_Status,ROW()-4))))</f>
        <v/>
      </c>
      <c r="G4416">
        <f>IF(INDEX(L_Status,ROW()-4)="","",TRIM(UPPER(INDEX(L_Status,ROW()-4))))</f>
        <v/>
      </c>
      <c r="J4416">
        <f>IF(INDEX(L_ID,ROW()-4)="","",IF(SUMPRODUCT((P_ID=INDEX(L_ID,ROW()-4))*(P_StatusN="INACTIVE"))&gt;0,1,0))</f>
        <v/>
      </c>
    </row>
    <row r="4417">
      <c r="A4417">
        <f>IF(INDEX(L_ID,ROW()-4)="","",IF(COUNTIF(P_ID,INDEX(L_ID,ROW()-4))&gt;0,1,0))</f>
        <v/>
      </c>
      <c r="B4417">
        <f>IF(INDEX(P_Type,ROW()-4)="","",TRIM(UPPER(INDEX(P_Type,ROW()-4))))</f>
        <v/>
      </c>
      <c r="D4417">
        <f>IF(INDEX(L_Type,ROW()-4)="","",TRIM(UPPER(INDEX(L_Type,ROW()-4))))</f>
        <v/>
      </c>
      <c r="E4417">
        <f>IF(INDEX(P_Status,ROW()-4)="","",TRIM(UPPER(INDEX(P_Status,ROW()-4))))</f>
        <v/>
      </c>
      <c r="G4417">
        <f>IF(INDEX(L_Status,ROW()-4)="","",TRIM(UPPER(INDEX(L_Status,ROW()-4))))</f>
        <v/>
      </c>
      <c r="J4417">
        <f>IF(INDEX(L_ID,ROW()-4)="","",IF(SUMPRODUCT((P_ID=INDEX(L_ID,ROW()-4))*(P_StatusN="INACTIVE"))&gt;0,1,0))</f>
        <v/>
      </c>
    </row>
    <row r="4418">
      <c r="A4418">
        <f>IF(INDEX(L_ID,ROW()-4)="","",IF(COUNTIF(P_ID,INDEX(L_ID,ROW()-4))&gt;0,1,0))</f>
        <v/>
      </c>
      <c r="B4418">
        <f>IF(INDEX(P_Type,ROW()-4)="","",TRIM(UPPER(INDEX(P_Type,ROW()-4))))</f>
        <v/>
      </c>
      <c r="D4418">
        <f>IF(INDEX(L_Type,ROW()-4)="","",TRIM(UPPER(INDEX(L_Type,ROW()-4))))</f>
        <v/>
      </c>
      <c r="E4418">
        <f>IF(INDEX(P_Status,ROW()-4)="","",TRIM(UPPER(INDEX(P_Status,ROW()-4))))</f>
        <v/>
      </c>
      <c r="G4418">
        <f>IF(INDEX(L_Status,ROW()-4)="","",TRIM(UPPER(INDEX(L_Status,ROW()-4))))</f>
        <v/>
      </c>
      <c r="J4418">
        <f>IF(INDEX(L_ID,ROW()-4)="","",IF(SUMPRODUCT((P_ID=INDEX(L_ID,ROW()-4))*(P_StatusN="INACTIVE"))&gt;0,1,0))</f>
        <v/>
      </c>
    </row>
    <row r="4419">
      <c r="A4419">
        <f>IF(INDEX(L_ID,ROW()-4)="","",IF(COUNTIF(P_ID,INDEX(L_ID,ROW()-4))&gt;0,1,0))</f>
        <v/>
      </c>
      <c r="B4419">
        <f>IF(INDEX(P_Type,ROW()-4)="","",TRIM(UPPER(INDEX(P_Type,ROW()-4))))</f>
        <v/>
      </c>
      <c r="D4419">
        <f>IF(INDEX(L_Type,ROW()-4)="","",TRIM(UPPER(INDEX(L_Type,ROW()-4))))</f>
        <v/>
      </c>
      <c r="E4419">
        <f>IF(INDEX(P_Status,ROW()-4)="","",TRIM(UPPER(INDEX(P_Status,ROW()-4))))</f>
        <v/>
      </c>
      <c r="G4419">
        <f>IF(INDEX(L_Status,ROW()-4)="","",TRIM(UPPER(INDEX(L_Status,ROW()-4))))</f>
        <v/>
      </c>
      <c r="J4419">
        <f>IF(INDEX(L_ID,ROW()-4)="","",IF(SUMPRODUCT((P_ID=INDEX(L_ID,ROW()-4))*(P_StatusN="INACTIVE"))&gt;0,1,0))</f>
        <v/>
      </c>
    </row>
    <row r="4420">
      <c r="A4420">
        <f>IF(INDEX(L_ID,ROW()-4)="","",IF(COUNTIF(P_ID,INDEX(L_ID,ROW()-4))&gt;0,1,0))</f>
        <v/>
      </c>
      <c r="B4420">
        <f>IF(INDEX(P_Type,ROW()-4)="","",TRIM(UPPER(INDEX(P_Type,ROW()-4))))</f>
        <v/>
      </c>
      <c r="D4420">
        <f>IF(INDEX(L_Type,ROW()-4)="","",TRIM(UPPER(INDEX(L_Type,ROW()-4))))</f>
        <v/>
      </c>
      <c r="E4420">
        <f>IF(INDEX(P_Status,ROW()-4)="","",TRIM(UPPER(INDEX(P_Status,ROW()-4))))</f>
        <v/>
      </c>
      <c r="G4420">
        <f>IF(INDEX(L_Status,ROW()-4)="","",TRIM(UPPER(INDEX(L_Status,ROW()-4))))</f>
        <v/>
      </c>
      <c r="J4420">
        <f>IF(INDEX(L_ID,ROW()-4)="","",IF(SUMPRODUCT((P_ID=INDEX(L_ID,ROW()-4))*(P_StatusN="INACTIVE"))&gt;0,1,0))</f>
        <v/>
      </c>
    </row>
    <row r="4421">
      <c r="A4421">
        <f>IF(INDEX(L_ID,ROW()-4)="","",IF(COUNTIF(P_ID,INDEX(L_ID,ROW()-4))&gt;0,1,0))</f>
        <v/>
      </c>
      <c r="B4421">
        <f>IF(INDEX(P_Type,ROW()-4)="","",TRIM(UPPER(INDEX(P_Type,ROW()-4))))</f>
        <v/>
      </c>
      <c r="D4421">
        <f>IF(INDEX(L_Type,ROW()-4)="","",TRIM(UPPER(INDEX(L_Type,ROW()-4))))</f>
        <v/>
      </c>
      <c r="E4421">
        <f>IF(INDEX(P_Status,ROW()-4)="","",TRIM(UPPER(INDEX(P_Status,ROW()-4))))</f>
        <v/>
      </c>
      <c r="G4421">
        <f>IF(INDEX(L_Status,ROW()-4)="","",TRIM(UPPER(INDEX(L_Status,ROW()-4))))</f>
        <v/>
      </c>
      <c r="J4421">
        <f>IF(INDEX(L_ID,ROW()-4)="","",IF(SUMPRODUCT((P_ID=INDEX(L_ID,ROW()-4))*(P_StatusN="INACTIVE"))&gt;0,1,0))</f>
        <v/>
      </c>
    </row>
    <row r="4422">
      <c r="A4422">
        <f>IF(INDEX(L_ID,ROW()-4)="","",IF(COUNTIF(P_ID,INDEX(L_ID,ROW()-4))&gt;0,1,0))</f>
        <v/>
      </c>
      <c r="B4422">
        <f>IF(INDEX(P_Type,ROW()-4)="","",TRIM(UPPER(INDEX(P_Type,ROW()-4))))</f>
        <v/>
      </c>
      <c r="D4422">
        <f>IF(INDEX(L_Type,ROW()-4)="","",TRIM(UPPER(INDEX(L_Type,ROW()-4))))</f>
        <v/>
      </c>
      <c r="E4422">
        <f>IF(INDEX(P_Status,ROW()-4)="","",TRIM(UPPER(INDEX(P_Status,ROW()-4))))</f>
        <v/>
      </c>
      <c r="G4422">
        <f>IF(INDEX(L_Status,ROW()-4)="","",TRIM(UPPER(INDEX(L_Status,ROW()-4))))</f>
        <v/>
      </c>
      <c r="J4422">
        <f>IF(INDEX(L_ID,ROW()-4)="","",IF(SUMPRODUCT((P_ID=INDEX(L_ID,ROW()-4))*(P_StatusN="INACTIVE"))&gt;0,1,0))</f>
        <v/>
      </c>
    </row>
    <row r="4423">
      <c r="A4423">
        <f>IF(INDEX(L_ID,ROW()-4)="","",IF(COUNTIF(P_ID,INDEX(L_ID,ROW()-4))&gt;0,1,0))</f>
        <v/>
      </c>
      <c r="B4423">
        <f>IF(INDEX(P_Type,ROW()-4)="","",TRIM(UPPER(INDEX(P_Type,ROW()-4))))</f>
        <v/>
      </c>
      <c r="D4423">
        <f>IF(INDEX(L_Type,ROW()-4)="","",TRIM(UPPER(INDEX(L_Type,ROW()-4))))</f>
        <v/>
      </c>
      <c r="E4423">
        <f>IF(INDEX(P_Status,ROW()-4)="","",TRIM(UPPER(INDEX(P_Status,ROW()-4))))</f>
        <v/>
      </c>
      <c r="G4423">
        <f>IF(INDEX(L_Status,ROW()-4)="","",TRIM(UPPER(INDEX(L_Status,ROW()-4))))</f>
        <v/>
      </c>
      <c r="J4423">
        <f>IF(INDEX(L_ID,ROW()-4)="","",IF(SUMPRODUCT((P_ID=INDEX(L_ID,ROW()-4))*(P_StatusN="INACTIVE"))&gt;0,1,0))</f>
        <v/>
      </c>
    </row>
    <row r="4424">
      <c r="A4424">
        <f>IF(INDEX(L_ID,ROW()-4)="","",IF(COUNTIF(P_ID,INDEX(L_ID,ROW()-4))&gt;0,1,0))</f>
        <v/>
      </c>
      <c r="B4424">
        <f>IF(INDEX(P_Type,ROW()-4)="","",TRIM(UPPER(INDEX(P_Type,ROW()-4))))</f>
        <v/>
      </c>
      <c r="D4424">
        <f>IF(INDEX(L_Type,ROW()-4)="","",TRIM(UPPER(INDEX(L_Type,ROW()-4))))</f>
        <v/>
      </c>
      <c r="E4424">
        <f>IF(INDEX(P_Status,ROW()-4)="","",TRIM(UPPER(INDEX(P_Status,ROW()-4))))</f>
        <v/>
      </c>
      <c r="G4424">
        <f>IF(INDEX(L_Status,ROW()-4)="","",TRIM(UPPER(INDEX(L_Status,ROW()-4))))</f>
        <v/>
      </c>
      <c r="J4424">
        <f>IF(INDEX(L_ID,ROW()-4)="","",IF(SUMPRODUCT((P_ID=INDEX(L_ID,ROW()-4))*(P_StatusN="INACTIVE"))&gt;0,1,0))</f>
        <v/>
      </c>
    </row>
    <row r="4425">
      <c r="A4425">
        <f>IF(INDEX(L_ID,ROW()-4)="","",IF(COUNTIF(P_ID,INDEX(L_ID,ROW()-4))&gt;0,1,0))</f>
        <v/>
      </c>
      <c r="B4425">
        <f>IF(INDEX(P_Type,ROW()-4)="","",TRIM(UPPER(INDEX(P_Type,ROW()-4))))</f>
        <v/>
      </c>
      <c r="D4425">
        <f>IF(INDEX(L_Type,ROW()-4)="","",TRIM(UPPER(INDEX(L_Type,ROW()-4))))</f>
        <v/>
      </c>
      <c r="E4425">
        <f>IF(INDEX(P_Status,ROW()-4)="","",TRIM(UPPER(INDEX(P_Status,ROW()-4))))</f>
        <v/>
      </c>
      <c r="G4425">
        <f>IF(INDEX(L_Status,ROW()-4)="","",TRIM(UPPER(INDEX(L_Status,ROW()-4))))</f>
        <v/>
      </c>
      <c r="J4425">
        <f>IF(INDEX(L_ID,ROW()-4)="","",IF(SUMPRODUCT((P_ID=INDEX(L_ID,ROW()-4))*(P_StatusN="INACTIVE"))&gt;0,1,0))</f>
        <v/>
      </c>
    </row>
    <row r="4426">
      <c r="A4426">
        <f>IF(INDEX(L_ID,ROW()-4)="","",IF(COUNTIF(P_ID,INDEX(L_ID,ROW()-4))&gt;0,1,0))</f>
        <v/>
      </c>
      <c r="B4426">
        <f>IF(INDEX(P_Type,ROW()-4)="","",TRIM(UPPER(INDEX(P_Type,ROW()-4))))</f>
        <v/>
      </c>
      <c r="D4426">
        <f>IF(INDEX(L_Type,ROW()-4)="","",TRIM(UPPER(INDEX(L_Type,ROW()-4))))</f>
        <v/>
      </c>
      <c r="E4426">
        <f>IF(INDEX(P_Status,ROW()-4)="","",TRIM(UPPER(INDEX(P_Status,ROW()-4))))</f>
        <v/>
      </c>
      <c r="G4426">
        <f>IF(INDEX(L_Status,ROW()-4)="","",TRIM(UPPER(INDEX(L_Status,ROW()-4))))</f>
        <v/>
      </c>
      <c r="J4426">
        <f>IF(INDEX(L_ID,ROW()-4)="","",IF(SUMPRODUCT((P_ID=INDEX(L_ID,ROW()-4))*(P_StatusN="INACTIVE"))&gt;0,1,0))</f>
        <v/>
      </c>
    </row>
    <row r="4427">
      <c r="A4427">
        <f>IF(INDEX(L_ID,ROW()-4)="","",IF(COUNTIF(P_ID,INDEX(L_ID,ROW()-4))&gt;0,1,0))</f>
        <v/>
      </c>
      <c r="B4427">
        <f>IF(INDEX(P_Type,ROW()-4)="","",TRIM(UPPER(INDEX(P_Type,ROW()-4))))</f>
        <v/>
      </c>
      <c r="D4427">
        <f>IF(INDEX(L_Type,ROW()-4)="","",TRIM(UPPER(INDEX(L_Type,ROW()-4))))</f>
        <v/>
      </c>
      <c r="E4427">
        <f>IF(INDEX(P_Status,ROW()-4)="","",TRIM(UPPER(INDEX(P_Status,ROW()-4))))</f>
        <v/>
      </c>
      <c r="G4427">
        <f>IF(INDEX(L_Status,ROW()-4)="","",TRIM(UPPER(INDEX(L_Status,ROW()-4))))</f>
        <v/>
      </c>
      <c r="J4427">
        <f>IF(INDEX(L_ID,ROW()-4)="","",IF(SUMPRODUCT((P_ID=INDEX(L_ID,ROW()-4))*(P_StatusN="INACTIVE"))&gt;0,1,0))</f>
        <v/>
      </c>
    </row>
    <row r="4428">
      <c r="A4428">
        <f>IF(INDEX(L_ID,ROW()-4)="","",IF(COUNTIF(P_ID,INDEX(L_ID,ROW()-4))&gt;0,1,0))</f>
        <v/>
      </c>
      <c r="B4428">
        <f>IF(INDEX(P_Type,ROW()-4)="","",TRIM(UPPER(INDEX(P_Type,ROW()-4))))</f>
        <v/>
      </c>
      <c r="D4428">
        <f>IF(INDEX(L_Type,ROW()-4)="","",TRIM(UPPER(INDEX(L_Type,ROW()-4))))</f>
        <v/>
      </c>
      <c r="E4428">
        <f>IF(INDEX(P_Status,ROW()-4)="","",TRIM(UPPER(INDEX(P_Status,ROW()-4))))</f>
        <v/>
      </c>
      <c r="G4428">
        <f>IF(INDEX(L_Status,ROW()-4)="","",TRIM(UPPER(INDEX(L_Status,ROW()-4))))</f>
        <v/>
      </c>
      <c r="J4428">
        <f>IF(INDEX(L_ID,ROW()-4)="","",IF(SUMPRODUCT((P_ID=INDEX(L_ID,ROW()-4))*(P_StatusN="INACTIVE"))&gt;0,1,0))</f>
        <v/>
      </c>
    </row>
    <row r="4429">
      <c r="A4429">
        <f>IF(INDEX(L_ID,ROW()-4)="","",IF(COUNTIF(P_ID,INDEX(L_ID,ROW()-4))&gt;0,1,0))</f>
        <v/>
      </c>
      <c r="B4429">
        <f>IF(INDEX(P_Type,ROW()-4)="","",TRIM(UPPER(INDEX(P_Type,ROW()-4))))</f>
        <v/>
      </c>
      <c r="D4429">
        <f>IF(INDEX(L_Type,ROW()-4)="","",TRIM(UPPER(INDEX(L_Type,ROW()-4))))</f>
        <v/>
      </c>
      <c r="E4429">
        <f>IF(INDEX(P_Status,ROW()-4)="","",TRIM(UPPER(INDEX(P_Status,ROW()-4))))</f>
        <v/>
      </c>
      <c r="G4429">
        <f>IF(INDEX(L_Status,ROW()-4)="","",TRIM(UPPER(INDEX(L_Status,ROW()-4))))</f>
        <v/>
      </c>
      <c r="J4429">
        <f>IF(INDEX(L_ID,ROW()-4)="","",IF(SUMPRODUCT((P_ID=INDEX(L_ID,ROW()-4))*(P_StatusN="INACTIVE"))&gt;0,1,0))</f>
        <v/>
      </c>
    </row>
    <row r="4430">
      <c r="A4430">
        <f>IF(INDEX(L_ID,ROW()-4)="","",IF(COUNTIF(P_ID,INDEX(L_ID,ROW()-4))&gt;0,1,0))</f>
        <v/>
      </c>
      <c r="B4430">
        <f>IF(INDEX(P_Type,ROW()-4)="","",TRIM(UPPER(INDEX(P_Type,ROW()-4))))</f>
        <v/>
      </c>
      <c r="D4430">
        <f>IF(INDEX(L_Type,ROW()-4)="","",TRIM(UPPER(INDEX(L_Type,ROW()-4))))</f>
        <v/>
      </c>
      <c r="E4430">
        <f>IF(INDEX(P_Status,ROW()-4)="","",TRIM(UPPER(INDEX(P_Status,ROW()-4))))</f>
        <v/>
      </c>
      <c r="G4430">
        <f>IF(INDEX(L_Status,ROW()-4)="","",TRIM(UPPER(INDEX(L_Status,ROW()-4))))</f>
        <v/>
      </c>
      <c r="J4430">
        <f>IF(INDEX(L_ID,ROW()-4)="","",IF(SUMPRODUCT((P_ID=INDEX(L_ID,ROW()-4))*(P_StatusN="INACTIVE"))&gt;0,1,0))</f>
        <v/>
      </c>
    </row>
    <row r="4431">
      <c r="A4431">
        <f>IF(INDEX(L_ID,ROW()-4)="","",IF(COUNTIF(P_ID,INDEX(L_ID,ROW()-4))&gt;0,1,0))</f>
        <v/>
      </c>
      <c r="B4431">
        <f>IF(INDEX(P_Type,ROW()-4)="","",TRIM(UPPER(INDEX(P_Type,ROW()-4))))</f>
        <v/>
      </c>
      <c r="D4431">
        <f>IF(INDEX(L_Type,ROW()-4)="","",TRIM(UPPER(INDEX(L_Type,ROW()-4))))</f>
        <v/>
      </c>
      <c r="E4431">
        <f>IF(INDEX(P_Status,ROW()-4)="","",TRIM(UPPER(INDEX(P_Status,ROW()-4))))</f>
        <v/>
      </c>
      <c r="G4431">
        <f>IF(INDEX(L_Status,ROW()-4)="","",TRIM(UPPER(INDEX(L_Status,ROW()-4))))</f>
        <v/>
      </c>
      <c r="J4431">
        <f>IF(INDEX(L_ID,ROW()-4)="","",IF(SUMPRODUCT((P_ID=INDEX(L_ID,ROW()-4))*(P_StatusN="INACTIVE"))&gt;0,1,0))</f>
        <v/>
      </c>
    </row>
    <row r="4432">
      <c r="A4432">
        <f>IF(INDEX(L_ID,ROW()-4)="","",IF(COUNTIF(P_ID,INDEX(L_ID,ROW()-4))&gt;0,1,0))</f>
        <v/>
      </c>
      <c r="B4432">
        <f>IF(INDEX(P_Type,ROW()-4)="","",TRIM(UPPER(INDEX(P_Type,ROW()-4))))</f>
        <v/>
      </c>
      <c r="D4432">
        <f>IF(INDEX(L_Type,ROW()-4)="","",TRIM(UPPER(INDEX(L_Type,ROW()-4))))</f>
        <v/>
      </c>
      <c r="E4432">
        <f>IF(INDEX(P_Status,ROW()-4)="","",TRIM(UPPER(INDEX(P_Status,ROW()-4))))</f>
        <v/>
      </c>
      <c r="G4432">
        <f>IF(INDEX(L_Status,ROW()-4)="","",TRIM(UPPER(INDEX(L_Status,ROW()-4))))</f>
        <v/>
      </c>
      <c r="J4432">
        <f>IF(INDEX(L_ID,ROW()-4)="","",IF(SUMPRODUCT((P_ID=INDEX(L_ID,ROW()-4))*(P_StatusN="INACTIVE"))&gt;0,1,0))</f>
        <v/>
      </c>
    </row>
    <row r="4433">
      <c r="A4433">
        <f>IF(INDEX(L_ID,ROW()-4)="","",IF(COUNTIF(P_ID,INDEX(L_ID,ROW()-4))&gt;0,1,0))</f>
        <v/>
      </c>
      <c r="B4433">
        <f>IF(INDEX(P_Type,ROW()-4)="","",TRIM(UPPER(INDEX(P_Type,ROW()-4))))</f>
        <v/>
      </c>
      <c r="D4433">
        <f>IF(INDEX(L_Type,ROW()-4)="","",TRIM(UPPER(INDEX(L_Type,ROW()-4))))</f>
        <v/>
      </c>
      <c r="E4433">
        <f>IF(INDEX(P_Status,ROW()-4)="","",TRIM(UPPER(INDEX(P_Status,ROW()-4))))</f>
        <v/>
      </c>
      <c r="G4433">
        <f>IF(INDEX(L_Status,ROW()-4)="","",TRIM(UPPER(INDEX(L_Status,ROW()-4))))</f>
        <v/>
      </c>
      <c r="J4433">
        <f>IF(INDEX(L_ID,ROW()-4)="","",IF(SUMPRODUCT((P_ID=INDEX(L_ID,ROW()-4))*(P_StatusN="INACTIVE"))&gt;0,1,0))</f>
        <v/>
      </c>
    </row>
    <row r="4434">
      <c r="A4434">
        <f>IF(INDEX(L_ID,ROW()-4)="","",IF(COUNTIF(P_ID,INDEX(L_ID,ROW()-4))&gt;0,1,0))</f>
        <v/>
      </c>
      <c r="B4434">
        <f>IF(INDEX(P_Type,ROW()-4)="","",TRIM(UPPER(INDEX(P_Type,ROW()-4))))</f>
        <v/>
      </c>
      <c r="D4434">
        <f>IF(INDEX(L_Type,ROW()-4)="","",TRIM(UPPER(INDEX(L_Type,ROW()-4))))</f>
        <v/>
      </c>
      <c r="E4434">
        <f>IF(INDEX(P_Status,ROW()-4)="","",TRIM(UPPER(INDEX(P_Status,ROW()-4))))</f>
        <v/>
      </c>
      <c r="G4434">
        <f>IF(INDEX(L_Status,ROW()-4)="","",TRIM(UPPER(INDEX(L_Status,ROW()-4))))</f>
        <v/>
      </c>
      <c r="J4434">
        <f>IF(INDEX(L_ID,ROW()-4)="","",IF(SUMPRODUCT((P_ID=INDEX(L_ID,ROW()-4))*(P_StatusN="INACTIVE"))&gt;0,1,0))</f>
        <v/>
      </c>
    </row>
    <row r="4435">
      <c r="A4435">
        <f>IF(INDEX(L_ID,ROW()-4)="","",IF(COUNTIF(P_ID,INDEX(L_ID,ROW()-4))&gt;0,1,0))</f>
        <v/>
      </c>
      <c r="B4435">
        <f>IF(INDEX(P_Type,ROW()-4)="","",TRIM(UPPER(INDEX(P_Type,ROW()-4))))</f>
        <v/>
      </c>
      <c r="D4435">
        <f>IF(INDEX(L_Type,ROW()-4)="","",TRIM(UPPER(INDEX(L_Type,ROW()-4))))</f>
        <v/>
      </c>
      <c r="E4435">
        <f>IF(INDEX(P_Status,ROW()-4)="","",TRIM(UPPER(INDEX(P_Status,ROW()-4))))</f>
        <v/>
      </c>
      <c r="G4435">
        <f>IF(INDEX(L_Status,ROW()-4)="","",TRIM(UPPER(INDEX(L_Status,ROW()-4))))</f>
        <v/>
      </c>
      <c r="J4435">
        <f>IF(INDEX(L_ID,ROW()-4)="","",IF(SUMPRODUCT((P_ID=INDEX(L_ID,ROW()-4))*(P_StatusN="INACTIVE"))&gt;0,1,0))</f>
        <v/>
      </c>
    </row>
    <row r="4436">
      <c r="A4436">
        <f>IF(INDEX(L_ID,ROW()-4)="","",IF(COUNTIF(P_ID,INDEX(L_ID,ROW()-4))&gt;0,1,0))</f>
        <v/>
      </c>
      <c r="B4436">
        <f>IF(INDEX(P_Type,ROW()-4)="","",TRIM(UPPER(INDEX(P_Type,ROW()-4))))</f>
        <v/>
      </c>
      <c r="D4436">
        <f>IF(INDEX(L_Type,ROW()-4)="","",TRIM(UPPER(INDEX(L_Type,ROW()-4))))</f>
        <v/>
      </c>
      <c r="E4436">
        <f>IF(INDEX(P_Status,ROW()-4)="","",TRIM(UPPER(INDEX(P_Status,ROW()-4))))</f>
        <v/>
      </c>
      <c r="G4436">
        <f>IF(INDEX(L_Status,ROW()-4)="","",TRIM(UPPER(INDEX(L_Status,ROW()-4))))</f>
        <v/>
      </c>
      <c r="J4436">
        <f>IF(INDEX(L_ID,ROW()-4)="","",IF(SUMPRODUCT((P_ID=INDEX(L_ID,ROW()-4))*(P_StatusN="INACTIVE"))&gt;0,1,0))</f>
        <v/>
      </c>
    </row>
    <row r="4437">
      <c r="A4437">
        <f>IF(INDEX(L_ID,ROW()-4)="","",IF(COUNTIF(P_ID,INDEX(L_ID,ROW()-4))&gt;0,1,0))</f>
        <v/>
      </c>
      <c r="B4437">
        <f>IF(INDEX(P_Type,ROW()-4)="","",TRIM(UPPER(INDEX(P_Type,ROW()-4))))</f>
        <v/>
      </c>
      <c r="D4437">
        <f>IF(INDEX(L_Type,ROW()-4)="","",TRIM(UPPER(INDEX(L_Type,ROW()-4))))</f>
        <v/>
      </c>
      <c r="E4437">
        <f>IF(INDEX(P_Status,ROW()-4)="","",TRIM(UPPER(INDEX(P_Status,ROW()-4))))</f>
        <v/>
      </c>
      <c r="G4437">
        <f>IF(INDEX(L_Status,ROW()-4)="","",TRIM(UPPER(INDEX(L_Status,ROW()-4))))</f>
        <v/>
      </c>
      <c r="J4437">
        <f>IF(INDEX(L_ID,ROW()-4)="","",IF(SUMPRODUCT((P_ID=INDEX(L_ID,ROW()-4))*(P_StatusN="INACTIVE"))&gt;0,1,0))</f>
        <v/>
      </c>
    </row>
    <row r="4438">
      <c r="A4438">
        <f>IF(INDEX(L_ID,ROW()-4)="","",IF(COUNTIF(P_ID,INDEX(L_ID,ROW()-4))&gt;0,1,0))</f>
        <v/>
      </c>
      <c r="B4438">
        <f>IF(INDEX(P_Type,ROW()-4)="","",TRIM(UPPER(INDEX(P_Type,ROW()-4))))</f>
        <v/>
      </c>
      <c r="D4438">
        <f>IF(INDEX(L_Type,ROW()-4)="","",TRIM(UPPER(INDEX(L_Type,ROW()-4))))</f>
        <v/>
      </c>
      <c r="E4438">
        <f>IF(INDEX(P_Status,ROW()-4)="","",TRIM(UPPER(INDEX(P_Status,ROW()-4))))</f>
        <v/>
      </c>
      <c r="G4438">
        <f>IF(INDEX(L_Status,ROW()-4)="","",TRIM(UPPER(INDEX(L_Status,ROW()-4))))</f>
        <v/>
      </c>
      <c r="J4438">
        <f>IF(INDEX(L_ID,ROW()-4)="","",IF(SUMPRODUCT((P_ID=INDEX(L_ID,ROW()-4))*(P_StatusN="INACTIVE"))&gt;0,1,0))</f>
        <v/>
      </c>
    </row>
    <row r="4439">
      <c r="A4439">
        <f>IF(INDEX(L_ID,ROW()-4)="","",IF(COUNTIF(P_ID,INDEX(L_ID,ROW()-4))&gt;0,1,0))</f>
        <v/>
      </c>
      <c r="B4439">
        <f>IF(INDEX(P_Type,ROW()-4)="","",TRIM(UPPER(INDEX(P_Type,ROW()-4))))</f>
        <v/>
      </c>
      <c r="D4439">
        <f>IF(INDEX(L_Type,ROW()-4)="","",TRIM(UPPER(INDEX(L_Type,ROW()-4))))</f>
        <v/>
      </c>
      <c r="E4439">
        <f>IF(INDEX(P_Status,ROW()-4)="","",TRIM(UPPER(INDEX(P_Status,ROW()-4))))</f>
        <v/>
      </c>
      <c r="G4439">
        <f>IF(INDEX(L_Status,ROW()-4)="","",TRIM(UPPER(INDEX(L_Status,ROW()-4))))</f>
        <v/>
      </c>
      <c r="J4439">
        <f>IF(INDEX(L_ID,ROW()-4)="","",IF(SUMPRODUCT((P_ID=INDEX(L_ID,ROW()-4))*(P_StatusN="INACTIVE"))&gt;0,1,0))</f>
        <v/>
      </c>
    </row>
    <row r="4440">
      <c r="A4440">
        <f>IF(INDEX(L_ID,ROW()-4)="","",IF(COUNTIF(P_ID,INDEX(L_ID,ROW()-4))&gt;0,1,0))</f>
        <v/>
      </c>
      <c r="B4440">
        <f>IF(INDEX(P_Type,ROW()-4)="","",TRIM(UPPER(INDEX(P_Type,ROW()-4))))</f>
        <v/>
      </c>
      <c r="D4440">
        <f>IF(INDEX(L_Type,ROW()-4)="","",TRIM(UPPER(INDEX(L_Type,ROW()-4))))</f>
        <v/>
      </c>
      <c r="E4440">
        <f>IF(INDEX(P_Status,ROW()-4)="","",TRIM(UPPER(INDEX(P_Status,ROW()-4))))</f>
        <v/>
      </c>
      <c r="G4440">
        <f>IF(INDEX(L_Status,ROW()-4)="","",TRIM(UPPER(INDEX(L_Status,ROW()-4))))</f>
        <v/>
      </c>
      <c r="J4440">
        <f>IF(INDEX(L_ID,ROW()-4)="","",IF(SUMPRODUCT((P_ID=INDEX(L_ID,ROW()-4))*(P_StatusN="INACTIVE"))&gt;0,1,0))</f>
        <v/>
      </c>
    </row>
    <row r="4441">
      <c r="A4441">
        <f>IF(INDEX(L_ID,ROW()-4)="","",IF(COUNTIF(P_ID,INDEX(L_ID,ROW()-4))&gt;0,1,0))</f>
        <v/>
      </c>
      <c r="B4441">
        <f>IF(INDEX(P_Type,ROW()-4)="","",TRIM(UPPER(INDEX(P_Type,ROW()-4))))</f>
        <v/>
      </c>
      <c r="D4441">
        <f>IF(INDEX(L_Type,ROW()-4)="","",TRIM(UPPER(INDEX(L_Type,ROW()-4))))</f>
        <v/>
      </c>
      <c r="E4441">
        <f>IF(INDEX(P_Status,ROW()-4)="","",TRIM(UPPER(INDEX(P_Status,ROW()-4))))</f>
        <v/>
      </c>
      <c r="G4441">
        <f>IF(INDEX(L_Status,ROW()-4)="","",TRIM(UPPER(INDEX(L_Status,ROW()-4))))</f>
        <v/>
      </c>
      <c r="J4441">
        <f>IF(INDEX(L_ID,ROW()-4)="","",IF(SUMPRODUCT((P_ID=INDEX(L_ID,ROW()-4))*(P_StatusN="INACTIVE"))&gt;0,1,0))</f>
        <v/>
      </c>
    </row>
    <row r="4442">
      <c r="A4442">
        <f>IF(INDEX(L_ID,ROW()-4)="","",IF(COUNTIF(P_ID,INDEX(L_ID,ROW()-4))&gt;0,1,0))</f>
        <v/>
      </c>
      <c r="B4442">
        <f>IF(INDEX(P_Type,ROW()-4)="","",TRIM(UPPER(INDEX(P_Type,ROW()-4))))</f>
        <v/>
      </c>
      <c r="D4442">
        <f>IF(INDEX(L_Type,ROW()-4)="","",TRIM(UPPER(INDEX(L_Type,ROW()-4))))</f>
        <v/>
      </c>
      <c r="E4442">
        <f>IF(INDEX(P_Status,ROW()-4)="","",TRIM(UPPER(INDEX(P_Status,ROW()-4))))</f>
        <v/>
      </c>
      <c r="G4442">
        <f>IF(INDEX(L_Status,ROW()-4)="","",TRIM(UPPER(INDEX(L_Status,ROW()-4))))</f>
        <v/>
      </c>
      <c r="J4442">
        <f>IF(INDEX(L_ID,ROW()-4)="","",IF(SUMPRODUCT((P_ID=INDEX(L_ID,ROW()-4))*(P_StatusN="INACTIVE"))&gt;0,1,0))</f>
        <v/>
      </c>
    </row>
    <row r="4443">
      <c r="A4443">
        <f>IF(INDEX(L_ID,ROW()-4)="","",IF(COUNTIF(P_ID,INDEX(L_ID,ROW()-4))&gt;0,1,0))</f>
        <v/>
      </c>
      <c r="B4443">
        <f>IF(INDEX(P_Type,ROW()-4)="","",TRIM(UPPER(INDEX(P_Type,ROW()-4))))</f>
        <v/>
      </c>
      <c r="D4443">
        <f>IF(INDEX(L_Type,ROW()-4)="","",TRIM(UPPER(INDEX(L_Type,ROW()-4))))</f>
        <v/>
      </c>
      <c r="E4443">
        <f>IF(INDEX(P_Status,ROW()-4)="","",TRIM(UPPER(INDEX(P_Status,ROW()-4))))</f>
        <v/>
      </c>
      <c r="G4443">
        <f>IF(INDEX(L_Status,ROW()-4)="","",TRIM(UPPER(INDEX(L_Status,ROW()-4))))</f>
        <v/>
      </c>
      <c r="J4443">
        <f>IF(INDEX(L_ID,ROW()-4)="","",IF(SUMPRODUCT((P_ID=INDEX(L_ID,ROW()-4))*(P_StatusN="INACTIVE"))&gt;0,1,0))</f>
        <v/>
      </c>
    </row>
    <row r="4444">
      <c r="A4444">
        <f>IF(INDEX(L_ID,ROW()-4)="","",IF(COUNTIF(P_ID,INDEX(L_ID,ROW()-4))&gt;0,1,0))</f>
        <v/>
      </c>
      <c r="B4444">
        <f>IF(INDEX(P_Type,ROW()-4)="","",TRIM(UPPER(INDEX(P_Type,ROW()-4))))</f>
        <v/>
      </c>
      <c r="D4444">
        <f>IF(INDEX(L_Type,ROW()-4)="","",TRIM(UPPER(INDEX(L_Type,ROW()-4))))</f>
        <v/>
      </c>
      <c r="E4444">
        <f>IF(INDEX(P_Status,ROW()-4)="","",TRIM(UPPER(INDEX(P_Status,ROW()-4))))</f>
        <v/>
      </c>
      <c r="G4444">
        <f>IF(INDEX(L_Status,ROW()-4)="","",TRIM(UPPER(INDEX(L_Status,ROW()-4))))</f>
        <v/>
      </c>
      <c r="J4444">
        <f>IF(INDEX(L_ID,ROW()-4)="","",IF(SUMPRODUCT((P_ID=INDEX(L_ID,ROW()-4))*(P_StatusN="INACTIVE"))&gt;0,1,0))</f>
        <v/>
      </c>
    </row>
    <row r="4445">
      <c r="A4445">
        <f>IF(INDEX(L_ID,ROW()-4)="","",IF(COUNTIF(P_ID,INDEX(L_ID,ROW()-4))&gt;0,1,0))</f>
        <v/>
      </c>
      <c r="B4445">
        <f>IF(INDEX(P_Type,ROW()-4)="","",TRIM(UPPER(INDEX(P_Type,ROW()-4))))</f>
        <v/>
      </c>
      <c r="D4445">
        <f>IF(INDEX(L_Type,ROW()-4)="","",TRIM(UPPER(INDEX(L_Type,ROW()-4))))</f>
        <v/>
      </c>
      <c r="E4445">
        <f>IF(INDEX(P_Status,ROW()-4)="","",TRIM(UPPER(INDEX(P_Status,ROW()-4))))</f>
        <v/>
      </c>
      <c r="G4445">
        <f>IF(INDEX(L_Status,ROW()-4)="","",TRIM(UPPER(INDEX(L_Status,ROW()-4))))</f>
        <v/>
      </c>
      <c r="J4445">
        <f>IF(INDEX(L_ID,ROW()-4)="","",IF(SUMPRODUCT((P_ID=INDEX(L_ID,ROW()-4))*(P_StatusN="INACTIVE"))&gt;0,1,0))</f>
        <v/>
      </c>
    </row>
    <row r="4446">
      <c r="A4446">
        <f>IF(INDEX(L_ID,ROW()-4)="","",IF(COUNTIF(P_ID,INDEX(L_ID,ROW()-4))&gt;0,1,0))</f>
        <v/>
      </c>
      <c r="B4446">
        <f>IF(INDEX(P_Type,ROW()-4)="","",TRIM(UPPER(INDEX(P_Type,ROW()-4))))</f>
        <v/>
      </c>
      <c r="D4446">
        <f>IF(INDEX(L_Type,ROW()-4)="","",TRIM(UPPER(INDEX(L_Type,ROW()-4))))</f>
        <v/>
      </c>
      <c r="E4446">
        <f>IF(INDEX(P_Status,ROW()-4)="","",TRIM(UPPER(INDEX(P_Status,ROW()-4))))</f>
        <v/>
      </c>
      <c r="G4446">
        <f>IF(INDEX(L_Status,ROW()-4)="","",TRIM(UPPER(INDEX(L_Status,ROW()-4))))</f>
        <v/>
      </c>
      <c r="J4446">
        <f>IF(INDEX(L_ID,ROW()-4)="","",IF(SUMPRODUCT((P_ID=INDEX(L_ID,ROW()-4))*(P_StatusN="INACTIVE"))&gt;0,1,0))</f>
        <v/>
      </c>
    </row>
    <row r="4447">
      <c r="A4447">
        <f>IF(INDEX(L_ID,ROW()-4)="","",IF(COUNTIF(P_ID,INDEX(L_ID,ROW()-4))&gt;0,1,0))</f>
        <v/>
      </c>
      <c r="B4447">
        <f>IF(INDEX(P_Type,ROW()-4)="","",TRIM(UPPER(INDEX(P_Type,ROW()-4))))</f>
        <v/>
      </c>
      <c r="D4447">
        <f>IF(INDEX(L_Type,ROW()-4)="","",TRIM(UPPER(INDEX(L_Type,ROW()-4))))</f>
        <v/>
      </c>
      <c r="E4447">
        <f>IF(INDEX(P_Status,ROW()-4)="","",TRIM(UPPER(INDEX(P_Status,ROW()-4))))</f>
        <v/>
      </c>
      <c r="G4447">
        <f>IF(INDEX(L_Status,ROW()-4)="","",TRIM(UPPER(INDEX(L_Status,ROW()-4))))</f>
        <v/>
      </c>
      <c r="J4447">
        <f>IF(INDEX(L_ID,ROW()-4)="","",IF(SUMPRODUCT((P_ID=INDEX(L_ID,ROW()-4))*(P_StatusN="INACTIVE"))&gt;0,1,0))</f>
        <v/>
      </c>
    </row>
    <row r="4448">
      <c r="A4448">
        <f>IF(INDEX(L_ID,ROW()-4)="","",IF(COUNTIF(P_ID,INDEX(L_ID,ROW()-4))&gt;0,1,0))</f>
        <v/>
      </c>
      <c r="B4448">
        <f>IF(INDEX(P_Type,ROW()-4)="","",TRIM(UPPER(INDEX(P_Type,ROW()-4))))</f>
        <v/>
      </c>
      <c r="D4448">
        <f>IF(INDEX(L_Type,ROW()-4)="","",TRIM(UPPER(INDEX(L_Type,ROW()-4))))</f>
        <v/>
      </c>
      <c r="E4448">
        <f>IF(INDEX(P_Status,ROW()-4)="","",TRIM(UPPER(INDEX(P_Status,ROW()-4))))</f>
        <v/>
      </c>
      <c r="G4448">
        <f>IF(INDEX(L_Status,ROW()-4)="","",TRIM(UPPER(INDEX(L_Status,ROW()-4))))</f>
        <v/>
      </c>
      <c r="J4448">
        <f>IF(INDEX(L_ID,ROW()-4)="","",IF(SUMPRODUCT((P_ID=INDEX(L_ID,ROW()-4))*(P_StatusN="INACTIVE"))&gt;0,1,0))</f>
        <v/>
      </c>
    </row>
    <row r="4449">
      <c r="A4449">
        <f>IF(INDEX(L_ID,ROW()-4)="","",IF(COUNTIF(P_ID,INDEX(L_ID,ROW()-4))&gt;0,1,0))</f>
        <v/>
      </c>
      <c r="B4449">
        <f>IF(INDEX(P_Type,ROW()-4)="","",TRIM(UPPER(INDEX(P_Type,ROW()-4))))</f>
        <v/>
      </c>
      <c r="D4449">
        <f>IF(INDEX(L_Type,ROW()-4)="","",TRIM(UPPER(INDEX(L_Type,ROW()-4))))</f>
        <v/>
      </c>
      <c r="E4449">
        <f>IF(INDEX(P_Status,ROW()-4)="","",TRIM(UPPER(INDEX(P_Status,ROW()-4))))</f>
        <v/>
      </c>
      <c r="G4449">
        <f>IF(INDEX(L_Status,ROW()-4)="","",TRIM(UPPER(INDEX(L_Status,ROW()-4))))</f>
        <v/>
      </c>
      <c r="J4449">
        <f>IF(INDEX(L_ID,ROW()-4)="","",IF(SUMPRODUCT((P_ID=INDEX(L_ID,ROW()-4))*(P_StatusN="INACTIVE"))&gt;0,1,0))</f>
        <v/>
      </c>
    </row>
    <row r="4450">
      <c r="A4450">
        <f>IF(INDEX(L_ID,ROW()-4)="","",IF(COUNTIF(P_ID,INDEX(L_ID,ROW()-4))&gt;0,1,0))</f>
        <v/>
      </c>
      <c r="B4450">
        <f>IF(INDEX(P_Type,ROW()-4)="","",TRIM(UPPER(INDEX(P_Type,ROW()-4))))</f>
        <v/>
      </c>
      <c r="D4450">
        <f>IF(INDEX(L_Type,ROW()-4)="","",TRIM(UPPER(INDEX(L_Type,ROW()-4))))</f>
        <v/>
      </c>
      <c r="E4450">
        <f>IF(INDEX(P_Status,ROW()-4)="","",TRIM(UPPER(INDEX(P_Status,ROW()-4))))</f>
        <v/>
      </c>
      <c r="G4450">
        <f>IF(INDEX(L_Status,ROW()-4)="","",TRIM(UPPER(INDEX(L_Status,ROW()-4))))</f>
        <v/>
      </c>
      <c r="J4450">
        <f>IF(INDEX(L_ID,ROW()-4)="","",IF(SUMPRODUCT((P_ID=INDEX(L_ID,ROW()-4))*(P_StatusN="INACTIVE"))&gt;0,1,0))</f>
        <v/>
      </c>
    </row>
    <row r="4451">
      <c r="A4451">
        <f>IF(INDEX(L_ID,ROW()-4)="","",IF(COUNTIF(P_ID,INDEX(L_ID,ROW()-4))&gt;0,1,0))</f>
        <v/>
      </c>
      <c r="B4451">
        <f>IF(INDEX(P_Type,ROW()-4)="","",TRIM(UPPER(INDEX(P_Type,ROW()-4))))</f>
        <v/>
      </c>
      <c r="D4451">
        <f>IF(INDEX(L_Type,ROW()-4)="","",TRIM(UPPER(INDEX(L_Type,ROW()-4))))</f>
        <v/>
      </c>
      <c r="E4451">
        <f>IF(INDEX(P_Status,ROW()-4)="","",TRIM(UPPER(INDEX(P_Status,ROW()-4))))</f>
        <v/>
      </c>
      <c r="G4451">
        <f>IF(INDEX(L_Status,ROW()-4)="","",TRIM(UPPER(INDEX(L_Status,ROW()-4))))</f>
        <v/>
      </c>
      <c r="J4451">
        <f>IF(INDEX(L_ID,ROW()-4)="","",IF(SUMPRODUCT((P_ID=INDEX(L_ID,ROW()-4))*(P_StatusN="INACTIVE"))&gt;0,1,0))</f>
        <v/>
      </c>
    </row>
    <row r="4452">
      <c r="A4452">
        <f>IF(INDEX(L_ID,ROW()-4)="","",IF(COUNTIF(P_ID,INDEX(L_ID,ROW()-4))&gt;0,1,0))</f>
        <v/>
      </c>
      <c r="B4452">
        <f>IF(INDEX(P_Type,ROW()-4)="","",TRIM(UPPER(INDEX(P_Type,ROW()-4))))</f>
        <v/>
      </c>
      <c r="D4452">
        <f>IF(INDEX(L_Type,ROW()-4)="","",TRIM(UPPER(INDEX(L_Type,ROW()-4))))</f>
        <v/>
      </c>
      <c r="E4452">
        <f>IF(INDEX(P_Status,ROW()-4)="","",TRIM(UPPER(INDEX(P_Status,ROW()-4))))</f>
        <v/>
      </c>
      <c r="G4452">
        <f>IF(INDEX(L_Status,ROW()-4)="","",TRIM(UPPER(INDEX(L_Status,ROW()-4))))</f>
        <v/>
      </c>
      <c r="J4452">
        <f>IF(INDEX(L_ID,ROW()-4)="","",IF(SUMPRODUCT((P_ID=INDEX(L_ID,ROW()-4))*(P_StatusN="INACTIVE"))&gt;0,1,0))</f>
        <v/>
      </c>
    </row>
    <row r="4453">
      <c r="A4453">
        <f>IF(INDEX(L_ID,ROW()-4)="","",IF(COUNTIF(P_ID,INDEX(L_ID,ROW()-4))&gt;0,1,0))</f>
        <v/>
      </c>
      <c r="B4453">
        <f>IF(INDEX(P_Type,ROW()-4)="","",TRIM(UPPER(INDEX(P_Type,ROW()-4))))</f>
        <v/>
      </c>
      <c r="D4453">
        <f>IF(INDEX(L_Type,ROW()-4)="","",TRIM(UPPER(INDEX(L_Type,ROW()-4))))</f>
        <v/>
      </c>
      <c r="E4453">
        <f>IF(INDEX(P_Status,ROW()-4)="","",TRIM(UPPER(INDEX(P_Status,ROW()-4))))</f>
        <v/>
      </c>
      <c r="G4453">
        <f>IF(INDEX(L_Status,ROW()-4)="","",TRIM(UPPER(INDEX(L_Status,ROW()-4))))</f>
        <v/>
      </c>
      <c r="J4453">
        <f>IF(INDEX(L_ID,ROW()-4)="","",IF(SUMPRODUCT((P_ID=INDEX(L_ID,ROW()-4))*(P_StatusN="INACTIVE"))&gt;0,1,0))</f>
        <v/>
      </c>
    </row>
    <row r="4454">
      <c r="A4454">
        <f>IF(INDEX(L_ID,ROW()-4)="","",IF(COUNTIF(P_ID,INDEX(L_ID,ROW()-4))&gt;0,1,0))</f>
        <v/>
      </c>
      <c r="B4454">
        <f>IF(INDEX(P_Type,ROW()-4)="","",TRIM(UPPER(INDEX(P_Type,ROW()-4))))</f>
        <v/>
      </c>
      <c r="D4454">
        <f>IF(INDEX(L_Type,ROW()-4)="","",TRIM(UPPER(INDEX(L_Type,ROW()-4))))</f>
        <v/>
      </c>
      <c r="E4454">
        <f>IF(INDEX(P_Status,ROW()-4)="","",TRIM(UPPER(INDEX(P_Status,ROW()-4))))</f>
        <v/>
      </c>
      <c r="G4454">
        <f>IF(INDEX(L_Status,ROW()-4)="","",TRIM(UPPER(INDEX(L_Status,ROW()-4))))</f>
        <v/>
      </c>
      <c r="J4454">
        <f>IF(INDEX(L_ID,ROW()-4)="","",IF(SUMPRODUCT((P_ID=INDEX(L_ID,ROW()-4))*(P_StatusN="INACTIVE"))&gt;0,1,0))</f>
        <v/>
      </c>
    </row>
    <row r="4455">
      <c r="A4455">
        <f>IF(INDEX(L_ID,ROW()-4)="","",IF(COUNTIF(P_ID,INDEX(L_ID,ROW()-4))&gt;0,1,0))</f>
        <v/>
      </c>
      <c r="B4455">
        <f>IF(INDEX(P_Type,ROW()-4)="","",TRIM(UPPER(INDEX(P_Type,ROW()-4))))</f>
        <v/>
      </c>
      <c r="D4455">
        <f>IF(INDEX(L_Type,ROW()-4)="","",TRIM(UPPER(INDEX(L_Type,ROW()-4))))</f>
        <v/>
      </c>
      <c r="E4455">
        <f>IF(INDEX(P_Status,ROW()-4)="","",TRIM(UPPER(INDEX(P_Status,ROW()-4))))</f>
        <v/>
      </c>
      <c r="G4455">
        <f>IF(INDEX(L_Status,ROW()-4)="","",TRIM(UPPER(INDEX(L_Status,ROW()-4))))</f>
        <v/>
      </c>
      <c r="J4455">
        <f>IF(INDEX(L_ID,ROW()-4)="","",IF(SUMPRODUCT((P_ID=INDEX(L_ID,ROW()-4))*(P_StatusN="INACTIVE"))&gt;0,1,0))</f>
        <v/>
      </c>
    </row>
    <row r="4456">
      <c r="A4456">
        <f>IF(INDEX(L_ID,ROW()-4)="","",IF(COUNTIF(P_ID,INDEX(L_ID,ROW()-4))&gt;0,1,0))</f>
        <v/>
      </c>
      <c r="B4456">
        <f>IF(INDEX(P_Type,ROW()-4)="","",TRIM(UPPER(INDEX(P_Type,ROW()-4))))</f>
        <v/>
      </c>
      <c r="D4456">
        <f>IF(INDEX(L_Type,ROW()-4)="","",TRIM(UPPER(INDEX(L_Type,ROW()-4))))</f>
        <v/>
      </c>
      <c r="E4456">
        <f>IF(INDEX(P_Status,ROW()-4)="","",TRIM(UPPER(INDEX(P_Status,ROW()-4))))</f>
        <v/>
      </c>
      <c r="G4456">
        <f>IF(INDEX(L_Status,ROW()-4)="","",TRIM(UPPER(INDEX(L_Status,ROW()-4))))</f>
        <v/>
      </c>
      <c r="J4456">
        <f>IF(INDEX(L_ID,ROW()-4)="","",IF(SUMPRODUCT((P_ID=INDEX(L_ID,ROW()-4))*(P_StatusN="INACTIVE"))&gt;0,1,0))</f>
        <v/>
      </c>
    </row>
    <row r="4457">
      <c r="A4457">
        <f>IF(INDEX(L_ID,ROW()-4)="","",IF(COUNTIF(P_ID,INDEX(L_ID,ROW()-4))&gt;0,1,0))</f>
        <v/>
      </c>
      <c r="B4457">
        <f>IF(INDEX(P_Type,ROW()-4)="","",TRIM(UPPER(INDEX(P_Type,ROW()-4))))</f>
        <v/>
      </c>
      <c r="D4457">
        <f>IF(INDEX(L_Type,ROW()-4)="","",TRIM(UPPER(INDEX(L_Type,ROW()-4))))</f>
        <v/>
      </c>
      <c r="E4457">
        <f>IF(INDEX(P_Status,ROW()-4)="","",TRIM(UPPER(INDEX(P_Status,ROW()-4))))</f>
        <v/>
      </c>
      <c r="G4457">
        <f>IF(INDEX(L_Status,ROW()-4)="","",TRIM(UPPER(INDEX(L_Status,ROW()-4))))</f>
        <v/>
      </c>
      <c r="J4457">
        <f>IF(INDEX(L_ID,ROW()-4)="","",IF(SUMPRODUCT((P_ID=INDEX(L_ID,ROW()-4))*(P_StatusN="INACTIVE"))&gt;0,1,0))</f>
        <v/>
      </c>
    </row>
    <row r="4458">
      <c r="A4458">
        <f>IF(INDEX(L_ID,ROW()-4)="","",IF(COUNTIF(P_ID,INDEX(L_ID,ROW()-4))&gt;0,1,0))</f>
        <v/>
      </c>
      <c r="B4458">
        <f>IF(INDEX(P_Type,ROW()-4)="","",TRIM(UPPER(INDEX(P_Type,ROW()-4))))</f>
        <v/>
      </c>
      <c r="D4458">
        <f>IF(INDEX(L_Type,ROW()-4)="","",TRIM(UPPER(INDEX(L_Type,ROW()-4))))</f>
        <v/>
      </c>
      <c r="E4458">
        <f>IF(INDEX(P_Status,ROW()-4)="","",TRIM(UPPER(INDEX(P_Status,ROW()-4))))</f>
        <v/>
      </c>
      <c r="G4458">
        <f>IF(INDEX(L_Status,ROW()-4)="","",TRIM(UPPER(INDEX(L_Status,ROW()-4))))</f>
        <v/>
      </c>
      <c r="J4458">
        <f>IF(INDEX(L_ID,ROW()-4)="","",IF(SUMPRODUCT((P_ID=INDEX(L_ID,ROW()-4))*(P_StatusN="INACTIVE"))&gt;0,1,0))</f>
        <v/>
      </c>
    </row>
    <row r="4459">
      <c r="A4459">
        <f>IF(INDEX(L_ID,ROW()-4)="","",IF(COUNTIF(P_ID,INDEX(L_ID,ROW()-4))&gt;0,1,0))</f>
        <v/>
      </c>
      <c r="B4459">
        <f>IF(INDEX(P_Type,ROW()-4)="","",TRIM(UPPER(INDEX(P_Type,ROW()-4))))</f>
        <v/>
      </c>
      <c r="D4459">
        <f>IF(INDEX(L_Type,ROW()-4)="","",TRIM(UPPER(INDEX(L_Type,ROW()-4))))</f>
        <v/>
      </c>
      <c r="E4459">
        <f>IF(INDEX(P_Status,ROW()-4)="","",TRIM(UPPER(INDEX(P_Status,ROW()-4))))</f>
        <v/>
      </c>
      <c r="G4459">
        <f>IF(INDEX(L_Status,ROW()-4)="","",TRIM(UPPER(INDEX(L_Status,ROW()-4))))</f>
        <v/>
      </c>
      <c r="J4459">
        <f>IF(INDEX(L_ID,ROW()-4)="","",IF(SUMPRODUCT((P_ID=INDEX(L_ID,ROW()-4))*(P_StatusN="INACTIVE"))&gt;0,1,0))</f>
        <v/>
      </c>
    </row>
    <row r="4460">
      <c r="A4460">
        <f>IF(INDEX(L_ID,ROW()-4)="","",IF(COUNTIF(P_ID,INDEX(L_ID,ROW()-4))&gt;0,1,0))</f>
        <v/>
      </c>
      <c r="B4460">
        <f>IF(INDEX(P_Type,ROW()-4)="","",TRIM(UPPER(INDEX(P_Type,ROW()-4))))</f>
        <v/>
      </c>
      <c r="D4460">
        <f>IF(INDEX(L_Type,ROW()-4)="","",TRIM(UPPER(INDEX(L_Type,ROW()-4))))</f>
        <v/>
      </c>
      <c r="E4460">
        <f>IF(INDEX(P_Status,ROW()-4)="","",TRIM(UPPER(INDEX(P_Status,ROW()-4))))</f>
        <v/>
      </c>
      <c r="G4460">
        <f>IF(INDEX(L_Status,ROW()-4)="","",TRIM(UPPER(INDEX(L_Status,ROW()-4))))</f>
        <v/>
      </c>
      <c r="J4460">
        <f>IF(INDEX(L_ID,ROW()-4)="","",IF(SUMPRODUCT((P_ID=INDEX(L_ID,ROW()-4))*(P_StatusN="INACTIVE"))&gt;0,1,0))</f>
        <v/>
      </c>
    </row>
    <row r="4461">
      <c r="A4461">
        <f>IF(INDEX(L_ID,ROW()-4)="","",IF(COUNTIF(P_ID,INDEX(L_ID,ROW()-4))&gt;0,1,0))</f>
        <v/>
      </c>
      <c r="B4461">
        <f>IF(INDEX(P_Type,ROW()-4)="","",TRIM(UPPER(INDEX(P_Type,ROW()-4))))</f>
        <v/>
      </c>
      <c r="D4461">
        <f>IF(INDEX(L_Type,ROW()-4)="","",TRIM(UPPER(INDEX(L_Type,ROW()-4))))</f>
        <v/>
      </c>
      <c r="E4461">
        <f>IF(INDEX(P_Status,ROW()-4)="","",TRIM(UPPER(INDEX(P_Status,ROW()-4))))</f>
        <v/>
      </c>
      <c r="G4461">
        <f>IF(INDEX(L_Status,ROW()-4)="","",TRIM(UPPER(INDEX(L_Status,ROW()-4))))</f>
        <v/>
      </c>
      <c r="J4461">
        <f>IF(INDEX(L_ID,ROW()-4)="","",IF(SUMPRODUCT((P_ID=INDEX(L_ID,ROW()-4))*(P_StatusN="INACTIVE"))&gt;0,1,0))</f>
        <v/>
      </c>
    </row>
    <row r="4462">
      <c r="A4462">
        <f>IF(INDEX(L_ID,ROW()-4)="","",IF(COUNTIF(P_ID,INDEX(L_ID,ROW()-4))&gt;0,1,0))</f>
        <v/>
      </c>
      <c r="B4462">
        <f>IF(INDEX(P_Type,ROW()-4)="","",TRIM(UPPER(INDEX(P_Type,ROW()-4))))</f>
        <v/>
      </c>
      <c r="D4462">
        <f>IF(INDEX(L_Type,ROW()-4)="","",TRIM(UPPER(INDEX(L_Type,ROW()-4))))</f>
        <v/>
      </c>
      <c r="E4462">
        <f>IF(INDEX(P_Status,ROW()-4)="","",TRIM(UPPER(INDEX(P_Status,ROW()-4))))</f>
        <v/>
      </c>
      <c r="G4462">
        <f>IF(INDEX(L_Status,ROW()-4)="","",TRIM(UPPER(INDEX(L_Status,ROW()-4))))</f>
        <v/>
      </c>
      <c r="J4462">
        <f>IF(INDEX(L_ID,ROW()-4)="","",IF(SUMPRODUCT((P_ID=INDEX(L_ID,ROW()-4))*(P_StatusN="INACTIVE"))&gt;0,1,0))</f>
        <v/>
      </c>
    </row>
    <row r="4463">
      <c r="A4463">
        <f>IF(INDEX(L_ID,ROW()-4)="","",IF(COUNTIF(P_ID,INDEX(L_ID,ROW()-4))&gt;0,1,0))</f>
        <v/>
      </c>
      <c r="B4463">
        <f>IF(INDEX(P_Type,ROW()-4)="","",TRIM(UPPER(INDEX(P_Type,ROW()-4))))</f>
        <v/>
      </c>
      <c r="D4463">
        <f>IF(INDEX(L_Type,ROW()-4)="","",TRIM(UPPER(INDEX(L_Type,ROW()-4))))</f>
        <v/>
      </c>
      <c r="E4463">
        <f>IF(INDEX(P_Status,ROW()-4)="","",TRIM(UPPER(INDEX(P_Status,ROW()-4))))</f>
        <v/>
      </c>
      <c r="G4463">
        <f>IF(INDEX(L_Status,ROW()-4)="","",TRIM(UPPER(INDEX(L_Status,ROW()-4))))</f>
        <v/>
      </c>
      <c r="J4463">
        <f>IF(INDEX(L_ID,ROW()-4)="","",IF(SUMPRODUCT((P_ID=INDEX(L_ID,ROW()-4))*(P_StatusN="INACTIVE"))&gt;0,1,0))</f>
        <v/>
      </c>
    </row>
    <row r="4464">
      <c r="A4464">
        <f>IF(INDEX(L_ID,ROW()-4)="","",IF(COUNTIF(P_ID,INDEX(L_ID,ROW()-4))&gt;0,1,0))</f>
        <v/>
      </c>
      <c r="B4464">
        <f>IF(INDEX(P_Type,ROW()-4)="","",TRIM(UPPER(INDEX(P_Type,ROW()-4))))</f>
        <v/>
      </c>
      <c r="D4464">
        <f>IF(INDEX(L_Type,ROW()-4)="","",TRIM(UPPER(INDEX(L_Type,ROW()-4))))</f>
        <v/>
      </c>
      <c r="E4464">
        <f>IF(INDEX(P_Status,ROW()-4)="","",TRIM(UPPER(INDEX(P_Status,ROW()-4))))</f>
        <v/>
      </c>
      <c r="G4464">
        <f>IF(INDEX(L_Status,ROW()-4)="","",TRIM(UPPER(INDEX(L_Status,ROW()-4))))</f>
        <v/>
      </c>
      <c r="J4464">
        <f>IF(INDEX(L_ID,ROW()-4)="","",IF(SUMPRODUCT((P_ID=INDEX(L_ID,ROW()-4))*(P_StatusN="INACTIVE"))&gt;0,1,0))</f>
        <v/>
      </c>
    </row>
    <row r="4465">
      <c r="A4465">
        <f>IF(INDEX(L_ID,ROW()-4)="","",IF(COUNTIF(P_ID,INDEX(L_ID,ROW()-4))&gt;0,1,0))</f>
        <v/>
      </c>
      <c r="B4465">
        <f>IF(INDEX(P_Type,ROW()-4)="","",TRIM(UPPER(INDEX(P_Type,ROW()-4))))</f>
        <v/>
      </c>
      <c r="D4465">
        <f>IF(INDEX(L_Type,ROW()-4)="","",TRIM(UPPER(INDEX(L_Type,ROW()-4))))</f>
        <v/>
      </c>
      <c r="E4465">
        <f>IF(INDEX(P_Status,ROW()-4)="","",TRIM(UPPER(INDEX(P_Status,ROW()-4))))</f>
        <v/>
      </c>
      <c r="G4465">
        <f>IF(INDEX(L_Status,ROW()-4)="","",TRIM(UPPER(INDEX(L_Status,ROW()-4))))</f>
        <v/>
      </c>
      <c r="J4465">
        <f>IF(INDEX(L_ID,ROW()-4)="","",IF(SUMPRODUCT((P_ID=INDEX(L_ID,ROW()-4))*(P_StatusN="INACTIVE"))&gt;0,1,0))</f>
        <v/>
      </c>
    </row>
    <row r="4466">
      <c r="A4466">
        <f>IF(INDEX(L_ID,ROW()-4)="","",IF(COUNTIF(P_ID,INDEX(L_ID,ROW()-4))&gt;0,1,0))</f>
        <v/>
      </c>
      <c r="B4466">
        <f>IF(INDEX(P_Type,ROW()-4)="","",TRIM(UPPER(INDEX(P_Type,ROW()-4))))</f>
        <v/>
      </c>
      <c r="D4466">
        <f>IF(INDEX(L_Type,ROW()-4)="","",TRIM(UPPER(INDEX(L_Type,ROW()-4))))</f>
        <v/>
      </c>
      <c r="E4466">
        <f>IF(INDEX(P_Status,ROW()-4)="","",TRIM(UPPER(INDEX(P_Status,ROW()-4))))</f>
        <v/>
      </c>
      <c r="G4466">
        <f>IF(INDEX(L_Status,ROW()-4)="","",TRIM(UPPER(INDEX(L_Status,ROW()-4))))</f>
        <v/>
      </c>
      <c r="J4466">
        <f>IF(INDEX(L_ID,ROW()-4)="","",IF(SUMPRODUCT((P_ID=INDEX(L_ID,ROW()-4))*(P_StatusN="INACTIVE"))&gt;0,1,0))</f>
        <v/>
      </c>
    </row>
    <row r="4467">
      <c r="A4467">
        <f>IF(INDEX(L_ID,ROW()-4)="","",IF(COUNTIF(P_ID,INDEX(L_ID,ROW()-4))&gt;0,1,0))</f>
        <v/>
      </c>
      <c r="B4467">
        <f>IF(INDEX(P_Type,ROW()-4)="","",TRIM(UPPER(INDEX(P_Type,ROW()-4))))</f>
        <v/>
      </c>
      <c r="D4467">
        <f>IF(INDEX(L_Type,ROW()-4)="","",TRIM(UPPER(INDEX(L_Type,ROW()-4))))</f>
        <v/>
      </c>
      <c r="E4467">
        <f>IF(INDEX(P_Status,ROW()-4)="","",TRIM(UPPER(INDEX(P_Status,ROW()-4))))</f>
        <v/>
      </c>
      <c r="G4467">
        <f>IF(INDEX(L_Status,ROW()-4)="","",TRIM(UPPER(INDEX(L_Status,ROW()-4))))</f>
        <v/>
      </c>
      <c r="J4467">
        <f>IF(INDEX(L_ID,ROW()-4)="","",IF(SUMPRODUCT((P_ID=INDEX(L_ID,ROW()-4))*(P_StatusN="INACTIVE"))&gt;0,1,0))</f>
        <v/>
      </c>
    </row>
    <row r="4468">
      <c r="A4468">
        <f>IF(INDEX(L_ID,ROW()-4)="","",IF(COUNTIF(P_ID,INDEX(L_ID,ROW()-4))&gt;0,1,0))</f>
        <v/>
      </c>
      <c r="B4468">
        <f>IF(INDEX(P_Type,ROW()-4)="","",TRIM(UPPER(INDEX(P_Type,ROW()-4))))</f>
        <v/>
      </c>
      <c r="D4468">
        <f>IF(INDEX(L_Type,ROW()-4)="","",TRIM(UPPER(INDEX(L_Type,ROW()-4))))</f>
        <v/>
      </c>
      <c r="E4468">
        <f>IF(INDEX(P_Status,ROW()-4)="","",TRIM(UPPER(INDEX(P_Status,ROW()-4))))</f>
        <v/>
      </c>
      <c r="G4468">
        <f>IF(INDEX(L_Status,ROW()-4)="","",TRIM(UPPER(INDEX(L_Status,ROW()-4))))</f>
        <v/>
      </c>
      <c r="J4468">
        <f>IF(INDEX(L_ID,ROW()-4)="","",IF(SUMPRODUCT((P_ID=INDEX(L_ID,ROW()-4))*(P_StatusN="INACTIVE"))&gt;0,1,0))</f>
        <v/>
      </c>
    </row>
    <row r="4469">
      <c r="A4469">
        <f>IF(INDEX(L_ID,ROW()-4)="","",IF(COUNTIF(P_ID,INDEX(L_ID,ROW()-4))&gt;0,1,0))</f>
        <v/>
      </c>
      <c r="B4469">
        <f>IF(INDEX(P_Type,ROW()-4)="","",TRIM(UPPER(INDEX(P_Type,ROW()-4))))</f>
        <v/>
      </c>
      <c r="D4469">
        <f>IF(INDEX(L_Type,ROW()-4)="","",TRIM(UPPER(INDEX(L_Type,ROW()-4))))</f>
        <v/>
      </c>
      <c r="E4469">
        <f>IF(INDEX(P_Status,ROW()-4)="","",TRIM(UPPER(INDEX(P_Status,ROW()-4))))</f>
        <v/>
      </c>
      <c r="G4469">
        <f>IF(INDEX(L_Status,ROW()-4)="","",TRIM(UPPER(INDEX(L_Status,ROW()-4))))</f>
        <v/>
      </c>
      <c r="J4469">
        <f>IF(INDEX(L_ID,ROW()-4)="","",IF(SUMPRODUCT((P_ID=INDEX(L_ID,ROW()-4))*(P_StatusN="INACTIVE"))&gt;0,1,0))</f>
        <v/>
      </c>
    </row>
    <row r="4470">
      <c r="A4470">
        <f>IF(INDEX(L_ID,ROW()-4)="","",IF(COUNTIF(P_ID,INDEX(L_ID,ROW()-4))&gt;0,1,0))</f>
        <v/>
      </c>
      <c r="B4470">
        <f>IF(INDEX(P_Type,ROW()-4)="","",TRIM(UPPER(INDEX(P_Type,ROW()-4))))</f>
        <v/>
      </c>
      <c r="D4470">
        <f>IF(INDEX(L_Type,ROW()-4)="","",TRIM(UPPER(INDEX(L_Type,ROW()-4))))</f>
        <v/>
      </c>
      <c r="E4470">
        <f>IF(INDEX(P_Status,ROW()-4)="","",TRIM(UPPER(INDEX(P_Status,ROW()-4))))</f>
        <v/>
      </c>
      <c r="G4470">
        <f>IF(INDEX(L_Status,ROW()-4)="","",TRIM(UPPER(INDEX(L_Status,ROW()-4))))</f>
        <v/>
      </c>
      <c r="J4470">
        <f>IF(INDEX(L_ID,ROW()-4)="","",IF(SUMPRODUCT((P_ID=INDEX(L_ID,ROW()-4))*(P_StatusN="INACTIVE"))&gt;0,1,0))</f>
        <v/>
      </c>
    </row>
    <row r="4471">
      <c r="A4471">
        <f>IF(INDEX(L_ID,ROW()-4)="","",IF(COUNTIF(P_ID,INDEX(L_ID,ROW()-4))&gt;0,1,0))</f>
        <v/>
      </c>
      <c r="B4471">
        <f>IF(INDEX(P_Type,ROW()-4)="","",TRIM(UPPER(INDEX(P_Type,ROW()-4))))</f>
        <v/>
      </c>
      <c r="D4471">
        <f>IF(INDEX(L_Type,ROW()-4)="","",TRIM(UPPER(INDEX(L_Type,ROW()-4))))</f>
        <v/>
      </c>
      <c r="E4471">
        <f>IF(INDEX(P_Status,ROW()-4)="","",TRIM(UPPER(INDEX(P_Status,ROW()-4))))</f>
        <v/>
      </c>
      <c r="G4471">
        <f>IF(INDEX(L_Status,ROW()-4)="","",TRIM(UPPER(INDEX(L_Status,ROW()-4))))</f>
        <v/>
      </c>
      <c r="J4471">
        <f>IF(INDEX(L_ID,ROW()-4)="","",IF(SUMPRODUCT((P_ID=INDEX(L_ID,ROW()-4))*(P_StatusN="INACTIVE"))&gt;0,1,0))</f>
        <v/>
      </c>
    </row>
    <row r="4472">
      <c r="A4472">
        <f>IF(INDEX(L_ID,ROW()-4)="","",IF(COUNTIF(P_ID,INDEX(L_ID,ROW()-4))&gt;0,1,0))</f>
        <v/>
      </c>
      <c r="B4472">
        <f>IF(INDEX(P_Type,ROW()-4)="","",TRIM(UPPER(INDEX(P_Type,ROW()-4))))</f>
        <v/>
      </c>
      <c r="D4472">
        <f>IF(INDEX(L_Type,ROW()-4)="","",TRIM(UPPER(INDEX(L_Type,ROW()-4))))</f>
        <v/>
      </c>
      <c r="E4472">
        <f>IF(INDEX(P_Status,ROW()-4)="","",TRIM(UPPER(INDEX(P_Status,ROW()-4))))</f>
        <v/>
      </c>
      <c r="G4472">
        <f>IF(INDEX(L_Status,ROW()-4)="","",TRIM(UPPER(INDEX(L_Status,ROW()-4))))</f>
        <v/>
      </c>
      <c r="J4472">
        <f>IF(INDEX(L_ID,ROW()-4)="","",IF(SUMPRODUCT((P_ID=INDEX(L_ID,ROW()-4))*(P_StatusN="INACTIVE"))&gt;0,1,0))</f>
        <v/>
      </c>
    </row>
    <row r="4473">
      <c r="A4473">
        <f>IF(INDEX(L_ID,ROW()-4)="","",IF(COUNTIF(P_ID,INDEX(L_ID,ROW()-4))&gt;0,1,0))</f>
        <v/>
      </c>
      <c r="B4473">
        <f>IF(INDEX(P_Type,ROW()-4)="","",TRIM(UPPER(INDEX(P_Type,ROW()-4))))</f>
        <v/>
      </c>
      <c r="D4473">
        <f>IF(INDEX(L_Type,ROW()-4)="","",TRIM(UPPER(INDEX(L_Type,ROW()-4))))</f>
        <v/>
      </c>
      <c r="E4473">
        <f>IF(INDEX(P_Status,ROW()-4)="","",TRIM(UPPER(INDEX(P_Status,ROW()-4))))</f>
        <v/>
      </c>
      <c r="G4473">
        <f>IF(INDEX(L_Status,ROW()-4)="","",TRIM(UPPER(INDEX(L_Status,ROW()-4))))</f>
        <v/>
      </c>
      <c r="J4473">
        <f>IF(INDEX(L_ID,ROW()-4)="","",IF(SUMPRODUCT((P_ID=INDEX(L_ID,ROW()-4))*(P_StatusN="INACTIVE"))&gt;0,1,0))</f>
        <v/>
      </c>
    </row>
    <row r="4474">
      <c r="A4474">
        <f>IF(INDEX(L_ID,ROW()-4)="","",IF(COUNTIF(P_ID,INDEX(L_ID,ROW()-4))&gt;0,1,0))</f>
        <v/>
      </c>
      <c r="B4474">
        <f>IF(INDEX(P_Type,ROW()-4)="","",TRIM(UPPER(INDEX(P_Type,ROW()-4))))</f>
        <v/>
      </c>
      <c r="D4474">
        <f>IF(INDEX(L_Type,ROW()-4)="","",TRIM(UPPER(INDEX(L_Type,ROW()-4))))</f>
        <v/>
      </c>
      <c r="E4474">
        <f>IF(INDEX(P_Status,ROW()-4)="","",TRIM(UPPER(INDEX(P_Status,ROW()-4))))</f>
        <v/>
      </c>
      <c r="G4474">
        <f>IF(INDEX(L_Status,ROW()-4)="","",TRIM(UPPER(INDEX(L_Status,ROW()-4))))</f>
        <v/>
      </c>
      <c r="J4474">
        <f>IF(INDEX(L_ID,ROW()-4)="","",IF(SUMPRODUCT((P_ID=INDEX(L_ID,ROW()-4))*(P_StatusN="INACTIVE"))&gt;0,1,0))</f>
        <v/>
      </c>
    </row>
    <row r="4475">
      <c r="A4475">
        <f>IF(INDEX(L_ID,ROW()-4)="","",IF(COUNTIF(P_ID,INDEX(L_ID,ROW()-4))&gt;0,1,0))</f>
        <v/>
      </c>
      <c r="B4475">
        <f>IF(INDEX(P_Type,ROW()-4)="","",TRIM(UPPER(INDEX(P_Type,ROW()-4))))</f>
        <v/>
      </c>
      <c r="D4475">
        <f>IF(INDEX(L_Type,ROW()-4)="","",TRIM(UPPER(INDEX(L_Type,ROW()-4))))</f>
        <v/>
      </c>
      <c r="E4475">
        <f>IF(INDEX(P_Status,ROW()-4)="","",TRIM(UPPER(INDEX(P_Status,ROW()-4))))</f>
        <v/>
      </c>
      <c r="G4475">
        <f>IF(INDEX(L_Status,ROW()-4)="","",TRIM(UPPER(INDEX(L_Status,ROW()-4))))</f>
        <v/>
      </c>
      <c r="J4475">
        <f>IF(INDEX(L_ID,ROW()-4)="","",IF(SUMPRODUCT((P_ID=INDEX(L_ID,ROW()-4))*(P_StatusN="INACTIVE"))&gt;0,1,0))</f>
        <v/>
      </c>
    </row>
    <row r="4476">
      <c r="A4476">
        <f>IF(INDEX(L_ID,ROW()-4)="","",IF(COUNTIF(P_ID,INDEX(L_ID,ROW()-4))&gt;0,1,0))</f>
        <v/>
      </c>
      <c r="B4476">
        <f>IF(INDEX(P_Type,ROW()-4)="","",TRIM(UPPER(INDEX(P_Type,ROW()-4))))</f>
        <v/>
      </c>
      <c r="D4476">
        <f>IF(INDEX(L_Type,ROW()-4)="","",TRIM(UPPER(INDEX(L_Type,ROW()-4))))</f>
        <v/>
      </c>
      <c r="E4476">
        <f>IF(INDEX(P_Status,ROW()-4)="","",TRIM(UPPER(INDEX(P_Status,ROW()-4))))</f>
        <v/>
      </c>
      <c r="G4476">
        <f>IF(INDEX(L_Status,ROW()-4)="","",TRIM(UPPER(INDEX(L_Status,ROW()-4))))</f>
        <v/>
      </c>
      <c r="J4476">
        <f>IF(INDEX(L_ID,ROW()-4)="","",IF(SUMPRODUCT((P_ID=INDEX(L_ID,ROW()-4))*(P_StatusN="INACTIVE"))&gt;0,1,0))</f>
        <v/>
      </c>
    </row>
    <row r="4477">
      <c r="A4477">
        <f>IF(INDEX(L_ID,ROW()-4)="","",IF(COUNTIF(P_ID,INDEX(L_ID,ROW()-4))&gt;0,1,0))</f>
        <v/>
      </c>
      <c r="B4477">
        <f>IF(INDEX(P_Type,ROW()-4)="","",TRIM(UPPER(INDEX(P_Type,ROW()-4))))</f>
        <v/>
      </c>
      <c r="D4477">
        <f>IF(INDEX(L_Type,ROW()-4)="","",TRIM(UPPER(INDEX(L_Type,ROW()-4))))</f>
        <v/>
      </c>
      <c r="E4477">
        <f>IF(INDEX(P_Status,ROW()-4)="","",TRIM(UPPER(INDEX(P_Status,ROW()-4))))</f>
        <v/>
      </c>
      <c r="G4477">
        <f>IF(INDEX(L_Status,ROW()-4)="","",TRIM(UPPER(INDEX(L_Status,ROW()-4))))</f>
        <v/>
      </c>
      <c r="J4477">
        <f>IF(INDEX(L_ID,ROW()-4)="","",IF(SUMPRODUCT((P_ID=INDEX(L_ID,ROW()-4))*(P_StatusN="INACTIVE"))&gt;0,1,0))</f>
        <v/>
      </c>
    </row>
    <row r="4478">
      <c r="A4478">
        <f>IF(INDEX(L_ID,ROW()-4)="","",IF(COUNTIF(P_ID,INDEX(L_ID,ROW()-4))&gt;0,1,0))</f>
        <v/>
      </c>
      <c r="B4478">
        <f>IF(INDEX(P_Type,ROW()-4)="","",TRIM(UPPER(INDEX(P_Type,ROW()-4))))</f>
        <v/>
      </c>
      <c r="D4478">
        <f>IF(INDEX(L_Type,ROW()-4)="","",TRIM(UPPER(INDEX(L_Type,ROW()-4))))</f>
        <v/>
      </c>
      <c r="E4478">
        <f>IF(INDEX(P_Status,ROW()-4)="","",TRIM(UPPER(INDEX(P_Status,ROW()-4))))</f>
        <v/>
      </c>
      <c r="G4478">
        <f>IF(INDEX(L_Status,ROW()-4)="","",TRIM(UPPER(INDEX(L_Status,ROW()-4))))</f>
        <v/>
      </c>
      <c r="J4478">
        <f>IF(INDEX(L_ID,ROW()-4)="","",IF(SUMPRODUCT((P_ID=INDEX(L_ID,ROW()-4))*(P_StatusN="INACTIVE"))&gt;0,1,0))</f>
        <v/>
      </c>
    </row>
    <row r="4479">
      <c r="A4479">
        <f>IF(INDEX(L_ID,ROW()-4)="","",IF(COUNTIF(P_ID,INDEX(L_ID,ROW()-4))&gt;0,1,0))</f>
        <v/>
      </c>
      <c r="B4479">
        <f>IF(INDEX(P_Type,ROW()-4)="","",TRIM(UPPER(INDEX(P_Type,ROW()-4))))</f>
        <v/>
      </c>
      <c r="D4479">
        <f>IF(INDEX(L_Type,ROW()-4)="","",TRIM(UPPER(INDEX(L_Type,ROW()-4))))</f>
        <v/>
      </c>
      <c r="E4479">
        <f>IF(INDEX(P_Status,ROW()-4)="","",TRIM(UPPER(INDEX(P_Status,ROW()-4))))</f>
        <v/>
      </c>
      <c r="G4479">
        <f>IF(INDEX(L_Status,ROW()-4)="","",TRIM(UPPER(INDEX(L_Status,ROW()-4))))</f>
        <v/>
      </c>
      <c r="J4479">
        <f>IF(INDEX(L_ID,ROW()-4)="","",IF(SUMPRODUCT((P_ID=INDEX(L_ID,ROW()-4))*(P_StatusN="INACTIVE"))&gt;0,1,0))</f>
        <v/>
      </c>
    </row>
    <row r="4480">
      <c r="A4480">
        <f>IF(INDEX(L_ID,ROW()-4)="","",IF(COUNTIF(P_ID,INDEX(L_ID,ROW()-4))&gt;0,1,0))</f>
        <v/>
      </c>
      <c r="B4480">
        <f>IF(INDEX(P_Type,ROW()-4)="","",TRIM(UPPER(INDEX(P_Type,ROW()-4))))</f>
        <v/>
      </c>
      <c r="D4480">
        <f>IF(INDEX(L_Type,ROW()-4)="","",TRIM(UPPER(INDEX(L_Type,ROW()-4))))</f>
        <v/>
      </c>
      <c r="E4480">
        <f>IF(INDEX(P_Status,ROW()-4)="","",TRIM(UPPER(INDEX(P_Status,ROW()-4))))</f>
        <v/>
      </c>
      <c r="G4480">
        <f>IF(INDEX(L_Status,ROW()-4)="","",TRIM(UPPER(INDEX(L_Status,ROW()-4))))</f>
        <v/>
      </c>
      <c r="J4480">
        <f>IF(INDEX(L_ID,ROW()-4)="","",IF(SUMPRODUCT((P_ID=INDEX(L_ID,ROW()-4))*(P_StatusN="INACTIVE"))&gt;0,1,0))</f>
        <v/>
      </c>
    </row>
    <row r="4481">
      <c r="A4481">
        <f>IF(INDEX(L_ID,ROW()-4)="","",IF(COUNTIF(P_ID,INDEX(L_ID,ROW()-4))&gt;0,1,0))</f>
        <v/>
      </c>
      <c r="B4481">
        <f>IF(INDEX(P_Type,ROW()-4)="","",TRIM(UPPER(INDEX(P_Type,ROW()-4))))</f>
        <v/>
      </c>
      <c r="D4481">
        <f>IF(INDEX(L_Type,ROW()-4)="","",TRIM(UPPER(INDEX(L_Type,ROW()-4))))</f>
        <v/>
      </c>
      <c r="E4481">
        <f>IF(INDEX(P_Status,ROW()-4)="","",TRIM(UPPER(INDEX(P_Status,ROW()-4))))</f>
        <v/>
      </c>
      <c r="G4481">
        <f>IF(INDEX(L_Status,ROW()-4)="","",TRIM(UPPER(INDEX(L_Status,ROW()-4))))</f>
        <v/>
      </c>
      <c r="J4481">
        <f>IF(INDEX(L_ID,ROW()-4)="","",IF(SUMPRODUCT((P_ID=INDEX(L_ID,ROW()-4))*(P_StatusN="INACTIVE"))&gt;0,1,0))</f>
        <v/>
      </c>
    </row>
    <row r="4482">
      <c r="A4482">
        <f>IF(INDEX(L_ID,ROW()-4)="","",IF(COUNTIF(P_ID,INDEX(L_ID,ROW()-4))&gt;0,1,0))</f>
        <v/>
      </c>
      <c r="B4482">
        <f>IF(INDEX(P_Type,ROW()-4)="","",TRIM(UPPER(INDEX(P_Type,ROW()-4))))</f>
        <v/>
      </c>
      <c r="D4482">
        <f>IF(INDEX(L_Type,ROW()-4)="","",TRIM(UPPER(INDEX(L_Type,ROW()-4))))</f>
        <v/>
      </c>
      <c r="E4482">
        <f>IF(INDEX(P_Status,ROW()-4)="","",TRIM(UPPER(INDEX(P_Status,ROW()-4))))</f>
        <v/>
      </c>
      <c r="G4482">
        <f>IF(INDEX(L_Status,ROW()-4)="","",TRIM(UPPER(INDEX(L_Status,ROW()-4))))</f>
        <v/>
      </c>
      <c r="J4482">
        <f>IF(INDEX(L_ID,ROW()-4)="","",IF(SUMPRODUCT((P_ID=INDEX(L_ID,ROW()-4))*(P_StatusN="INACTIVE"))&gt;0,1,0))</f>
        <v/>
      </c>
    </row>
    <row r="4483">
      <c r="A4483">
        <f>IF(INDEX(L_ID,ROW()-4)="","",IF(COUNTIF(P_ID,INDEX(L_ID,ROW()-4))&gt;0,1,0))</f>
        <v/>
      </c>
      <c r="B4483">
        <f>IF(INDEX(P_Type,ROW()-4)="","",TRIM(UPPER(INDEX(P_Type,ROW()-4))))</f>
        <v/>
      </c>
      <c r="D4483">
        <f>IF(INDEX(L_Type,ROW()-4)="","",TRIM(UPPER(INDEX(L_Type,ROW()-4))))</f>
        <v/>
      </c>
      <c r="E4483">
        <f>IF(INDEX(P_Status,ROW()-4)="","",TRIM(UPPER(INDEX(P_Status,ROW()-4))))</f>
        <v/>
      </c>
      <c r="G4483">
        <f>IF(INDEX(L_Status,ROW()-4)="","",TRIM(UPPER(INDEX(L_Status,ROW()-4))))</f>
        <v/>
      </c>
      <c r="J4483">
        <f>IF(INDEX(L_ID,ROW()-4)="","",IF(SUMPRODUCT((P_ID=INDEX(L_ID,ROW()-4))*(P_StatusN="INACTIVE"))&gt;0,1,0))</f>
        <v/>
      </c>
    </row>
    <row r="4484">
      <c r="A4484">
        <f>IF(INDEX(L_ID,ROW()-4)="","",IF(COUNTIF(P_ID,INDEX(L_ID,ROW()-4))&gt;0,1,0))</f>
        <v/>
      </c>
      <c r="B4484">
        <f>IF(INDEX(P_Type,ROW()-4)="","",TRIM(UPPER(INDEX(P_Type,ROW()-4))))</f>
        <v/>
      </c>
      <c r="D4484">
        <f>IF(INDEX(L_Type,ROW()-4)="","",TRIM(UPPER(INDEX(L_Type,ROW()-4))))</f>
        <v/>
      </c>
      <c r="E4484">
        <f>IF(INDEX(P_Status,ROW()-4)="","",TRIM(UPPER(INDEX(P_Status,ROW()-4))))</f>
        <v/>
      </c>
      <c r="G4484">
        <f>IF(INDEX(L_Status,ROW()-4)="","",TRIM(UPPER(INDEX(L_Status,ROW()-4))))</f>
        <v/>
      </c>
      <c r="J4484">
        <f>IF(INDEX(L_ID,ROW()-4)="","",IF(SUMPRODUCT((P_ID=INDEX(L_ID,ROW()-4))*(P_StatusN="INACTIVE"))&gt;0,1,0))</f>
        <v/>
      </c>
    </row>
    <row r="4485">
      <c r="A4485">
        <f>IF(INDEX(L_ID,ROW()-4)="","",IF(COUNTIF(P_ID,INDEX(L_ID,ROW()-4))&gt;0,1,0))</f>
        <v/>
      </c>
      <c r="B4485">
        <f>IF(INDEX(P_Type,ROW()-4)="","",TRIM(UPPER(INDEX(P_Type,ROW()-4))))</f>
        <v/>
      </c>
      <c r="D4485">
        <f>IF(INDEX(L_Type,ROW()-4)="","",TRIM(UPPER(INDEX(L_Type,ROW()-4))))</f>
        <v/>
      </c>
      <c r="E4485">
        <f>IF(INDEX(P_Status,ROW()-4)="","",TRIM(UPPER(INDEX(P_Status,ROW()-4))))</f>
        <v/>
      </c>
      <c r="G4485">
        <f>IF(INDEX(L_Status,ROW()-4)="","",TRIM(UPPER(INDEX(L_Status,ROW()-4))))</f>
        <v/>
      </c>
      <c r="J4485">
        <f>IF(INDEX(L_ID,ROW()-4)="","",IF(SUMPRODUCT((P_ID=INDEX(L_ID,ROW()-4))*(P_StatusN="INACTIVE"))&gt;0,1,0))</f>
        <v/>
      </c>
    </row>
    <row r="4486">
      <c r="A4486">
        <f>IF(INDEX(L_ID,ROW()-4)="","",IF(COUNTIF(P_ID,INDEX(L_ID,ROW()-4))&gt;0,1,0))</f>
        <v/>
      </c>
      <c r="B4486">
        <f>IF(INDEX(P_Type,ROW()-4)="","",TRIM(UPPER(INDEX(P_Type,ROW()-4))))</f>
        <v/>
      </c>
      <c r="D4486">
        <f>IF(INDEX(L_Type,ROW()-4)="","",TRIM(UPPER(INDEX(L_Type,ROW()-4))))</f>
        <v/>
      </c>
      <c r="E4486">
        <f>IF(INDEX(P_Status,ROW()-4)="","",TRIM(UPPER(INDEX(P_Status,ROW()-4))))</f>
        <v/>
      </c>
      <c r="G4486">
        <f>IF(INDEX(L_Status,ROW()-4)="","",TRIM(UPPER(INDEX(L_Status,ROW()-4))))</f>
        <v/>
      </c>
      <c r="J4486">
        <f>IF(INDEX(L_ID,ROW()-4)="","",IF(SUMPRODUCT((P_ID=INDEX(L_ID,ROW()-4))*(P_StatusN="INACTIVE"))&gt;0,1,0))</f>
        <v/>
      </c>
    </row>
    <row r="4487">
      <c r="A4487">
        <f>IF(INDEX(L_ID,ROW()-4)="","",IF(COUNTIF(P_ID,INDEX(L_ID,ROW()-4))&gt;0,1,0))</f>
        <v/>
      </c>
      <c r="B4487">
        <f>IF(INDEX(P_Type,ROW()-4)="","",TRIM(UPPER(INDEX(P_Type,ROW()-4))))</f>
        <v/>
      </c>
      <c r="D4487">
        <f>IF(INDEX(L_Type,ROW()-4)="","",TRIM(UPPER(INDEX(L_Type,ROW()-4))))</f>
        <v/>
      </c>
      <c r="E4487">
        <f>IF(INDEX(P_Status,ROW()-4)="","",TRIM(UPPER(INDEX(P_Status,ROW()-4))))</f>
        <v/>
      </c>
      <c r="G4487">
        <f>IF(INDEX(L_Status,ROW()-4)="","",TRIM(UPPER(INDEX(L_Status,ROW()-4))))</f>
        <v/>
      </c>
      <c r="J4487">
        <f>IF(INDEX(L_ID,ROW()-4)="","",IF(SUMPRODUCT((P_ID=INDEX(L_ID,ROW()-4))*(P_StatusN="INACTIVE"))&gt;0,1,0))</f>
        <v/>
      </c>
    </row>
    <row r="4488">
      <c r="A4488">
        <f>IF(INDEX(L_ID,ROW()-4)="","",IF(COUNTIF(P_ID,INDEX(L_ID,ROW()-4))&gt;0,1,0))</f>
        <v/>
      </c>
      <c r="B4488">
        <f>IF(INDEX(P_Type,ROW()-4)="","",TRIM(UPPER(INDEX(P_Type,ROW()-4))))</f>
        <v/>
      </c>
      <c r="D4488">
        <f>IF(INDEX(L_Type,ROW()-4)="","",TRIM(UPPER(INDEX(L_Type,ROW()-4))))</f>
        <v/>
      </c>
      <c r="E4488">
        <f>IF(INDEX(P_Status,ROW()-4)="","",TRIM(UPPER(INDEX(P_Status,ROW()-4))))</f>
        <v/>
      </c>
      <c r="G4488">
        <f>IF(INDEX(L_Status,ROW()-4)="","",TRIM(UPPER(INDEX(L_Status,ROW()-4))))</f>
        <v/>
      </c>
      <c r="J4488">
        <f>IF(INDEX(L_ID,ROW()-4)="","",IF(SUMPRODUCT((P_ID=INDEX(L_ID,ROW()-4))*(P_StatusN="INACTIVE"))&gt;0,1,0))</f>
        <v/>
      </c>
    </row>
    <row r="4489">
      <c r="A4489">
        <f>IF(INDEX(L_ID,ROW()-4)="","",IF(COUNTIF(P_ID,INDEX(L_ID,ROW()-4))&gt;0,1,0))</f>
        <v/>
      </c>
      <c r="B4489">
        <f>IF(INDEX(P_Type,ROW()-4)="","",TRIM(UPPER(INDEX(P_Type,ROW()-4))))</f>
        <v/>
      </c>
      <c r="D4489">
        <f>IF(INDEX(L_Type,ROW()-4)="","",TRIM(UPPER(INDEX(L_Type,ROW()-4))))</f>
        <v/>
      </c>
      <c r="E4489">
        <f>IF(INDEX(P_Status,ROW()-4)="","",TRIM(UPPER(INDEX(P_Status,ROW()-4))))</f>
        <v/>
      </c>
      <c r="G4489">
        <f>IF(INDEX(L_Status,ROW()-4)="","",TRIM(UPPER(INDEX(L_Status,ROW()-4))))</f>
        <v/>
      </c>
      <c r="J4489">
        <f>IF(INDEX(L_ID,ROW()-4)="","",IF(SUMPRODUCT((P_ID=INDEX(L_ID,ROW()-4))*(P_StatusN="INACTIVE"))&gt;0,1,0))</f>
        <v/>
      </c>
    </row>
    <row r="4490">
      <c r="A4490">
        <f>IF(INDEX(L_ID,ROW()-4)="","",IF(COUNTIF(P_ID,INDEX(L_ID,ROW()-4))&gt;0,1,0))</f>
        <v/>
      </c>
      <c r="B4490">
        <f>IF(INDEX(P_Type,ROW()-4)="","",TRIM(UPPER(INDEX(P_Type,ROW()-4))))</f>
        <v/>
      </c>
      <c r="D4490">
        <f>IF(INDEX(L_Type,ROW()-4)="","",TRIM(UPPER(INDEX(L_Type,ROW()-4))))</f>
        <v/>
      </c>
      <c r="E4490">
        <f>IF(INDEX(P_Status,ROW()-4)="","",TRIM(UPPER(INDEX(P_Status,ROW()-4))))</f>
        <v/>
      </c>
      <c r="G4490">
        <f>IF(INDEX(L_Status,ROW()-4)="","",TRIM(UPPER(INDEX(L_Status,ROW()-4))))</f>
        <v/>
      </c>
      <c r="J4490">
        <f>IF(INDEX(L_ID,ROW()-4)="","",IF(SUMPRODUCT((P_ID=INDEX(L_ID,ROW()-4))*(P_StatusN="INACTIVE"))&gt;0,1,0))</f>
        <v/>
      </c>
    </row>
    <row r="4491">
      <c r="A4491">
        <f>IF(INDEX(L_ID,ROW()-4)="","",IF(COUNTIF(P_ID,INDEX(L_ID,ROW()-4))&gt;0,1,0))</f>
        <v/>
      </c>
      <c r="B4491">
        <f>IF(INDEX(P_Type,ROW()-4)="","",TRIM(UPPER(INDEX(P_Type,ROW()-4))))</f>
        <v/>
      </c>
      <c r="D4491">
        <f>IF(INDEX(L_Type,ROW()-4)="","",TRIM(UPPER(INDEX(L_Type,ROW()-4))))</f>
        <v/>
      </c>
      <c r="E4491">
        <f>IF(INDEX(P_Status,ROW()-4)="","",TRIM(UPPER(INDEX(P_Status,ROW()-4))))</f>
        <v/>
      </c>
      <c r="G4491">
        <f>IF(INDEX(L_Status,ROW()-4)="","",TRIM(UPPER(INDEX(L_Status,ROW()-4))))</f>
        <v/>
      </c>
      <c r="J4491">
        <f>IF(INDEX(L_ID,ROW()-4)="","",IF(SUMPRODUCT((P_ID=INDEX(L_ID,ROW()-4))*(P_StatusN="INACTIVE"))&gt;0,1,0))</f>
        <v/>
      </c>
    </row>
    <row r="4492">
      <c r="A4492">
        <f>IF(INDEX(L_ID,ROW()-4)="","",IF(COUNTIF(P_ID,INDEX(L_ID,ROW()-4))&gt;0,1,0))</f>
        <v/>
      </c>
      <c r="B4492">
        <f>IF(INDEX(P_Type,ROW()-4)="","",TRIM(UPPER(INDEX(P_Type,ROW()-4))))</f>
        <v/>
      </c>
      <c r="D4492">
        <f>IF(INDEX(L_Type,ROW()-4)="","",TRIM(UPPER(INDEX(L_Type,ROW()-4))))</f>
        <v/>
      </c>
      <c r="E4492">
        <f>IF(INDEX(P_Status,ROW()-4)="","",TRIM(UPPER(INDEX(P_Status,ROW()-4))))</f>
        <v/>
      </c>
      <c r="G4492">
        <f>IF(INDEX(L_Status,ROW()-4)="","",TRIM(UPPER(INDEX(L_Status,ROW()-4))))</f>
        <v/>
      </c>
      <c r="J4492">
        <f>IF(INDEX(L_ID,ROW()-4)="","",IF(SUMPRODUCT((P_ID=INDEX(L_ID,ROW()-4))*(P_StatusN="INACTIVE"))&gt;0,1,0))</f>
        <v/>
      </c>
    </row>
    <row r="4493">
      <c r="A4493">
        <f>IF(INDEX(L_ID,ROW()-4)="","",IF(COUNTIF(P_ID,INDEX(L_ID,ROW()-4))&gt;0,1,0))</f>
        <v/>
      </c>
      <c r="B4493">
        <f>IF(INDEX(P_Type,ROW()-4)="","",TRIM(UPPER(INDEX(P_Type,ROW()-4))))</f>
        <v/>
      </c>
      <c r="D4493">
        <f>IF(INDEX(L_Type,ROW()-4)="","",TRIM(UPPER(INDEX(L_Type,ROW()-4))))</f>
        <v/>
      </c>
      <c r="E4493">
        <f>IF(INDEX(P_Status,ROW()-4)="","",TRIM(UPPER(INDEX(P_Status,ROW()-4))))</f>
        <v/>
      </c>
      <c r="G4493">
        <f>IF(INDEX(L_Status,ROW()-4)="","",TRIM(UPPER(INDEX(L_Status,ROW()-4))))</f>
        <v/>
      </c>
      <c r="J4493">
        <f>IF(INDEX(L_ID,ROW()-4)="","",IF(SUMPRODUCT((P_ID=INDEX(L_ID,ROW()-4))*(P_StatusN="INACTIVE"))&gt;0,1,0))</f>
        <v/>
      </c>
    </row>
    <row r="4494">
      <c r="A4494">
        <f>IF(INDEX(L_ID,ROW()-4)="","",IF(COUNTIF(P_ID,INDEX(L_ID,ROW()-4))&gt;0,1,0))</f>
        <v/>
      </c>
      <c r="B4494">
        <f>IF(INDEX(P_Type,ROW()-4)="","",TRIM(UPPER(INDEX(P_Type,ROW()-4))))</f>
        <v/>
      </c>
      <c r="D4494">
        <f>IF(INDEX(L_Type,ROW()-4)="","",TRIM(UPPER(INDEX(L_Type,ROW()-4))))</f>
        <v/>
      </c>
      <c r="E4494">
        <f>IF(INDEX(P_Status,ROW()-4)="","",TRIM(UPPER(INDEX(P_Status,ROW()-4))))</f>
        <v/>
      </c>
      <c r="G4494">
        <f>IF(INDEX(L_Status,ROW()-4)="","",TRIM(UPPER(INDEX(L_Status,ROW()-4))))</f>
        <v/>
      </c>
      <c r="J4494">
        <f>IF(INDEX(L_ID,ROW()-4)="","",IF(SUMPRODUCT((P_ID=INDEX(L_ID,ROW()-4))*(P_StatusN="INACTIVE"))&gt;0,1,0))</f>
        <v/>
      </c>
    </row>
    <row r="4495">
      <c r="A4495">
        <f>IF(INDEX(L_ID,ROW()-4)="","",IF(COUNTIF(P_ID,INDEX(L_ID,ROW()-4))&gt;0,1,0))</f>
        <v/>
      </c>
      <c r="B4495">
        <f>IF(INDEX(P_Type,ROW()-4)="","",TRIM(UPPER(INDEX(P_Type,ROW()-4))))</f>
        <v/>
      </c>
      <c r="D4495">
        <f>IF(INDEX(L_Type,ROW()-4)="","",TRIM(UPPER(INDEX(L_Type,ROW()-4))))</f>
        <v/>
      </c>
      <c r="E4495">
        <f>IF(INDEX(P_Status,ROW()-4)="","",TRIM(UPPER(INDEX(P_Status,ROW()-4))))</f>
        <v/>
      </c>
      <c r="G4495">
        <f>IF(INDEX(L_Status,ROW()-4)="","",TRIM(UPPER(INDEX(L_Status,ROW()-4))))</f>
        <v/>
      </c>
      <c r="J4495">
        <f>IF(INDEX(L_ID,ROW()-4)="","",IF(SUMPRODUCT((P_ID=INDEX(L_ID,ROW()-4))*(P_StatusN="INACTIVE"))&gt;0,1,0))</f>
        <v/>
      </c>
    </row>
    <row r="4496">
      <c r="A4496">
        <f>IF(INDEX(L_ID,ROW()-4)="","",IF(COUNTIF(P_ID,INDEX(L_ID,ROW()-4))&gt;0,1,0))</f>
        <v/>
      </c>
      <c r="B4496">
        <f>IF(INDEX(P_Type,ROW()-4)="","",TRIM(UPPER(INDEX(P_Type,ROW()-4))))</f>
        <v/>
      </c>
      <c r="D4496">
        <f>IF(INDEX(L_Type,ROW()-4)="","",TRIM(UPPER(INDEX(L_Type,ROW()-4))))</f>
        <v/>
      </c>
      <c r="E4496">
        <f>IF(INDEX(P_Status,ROW()-4)="","",TRIM(UPPER(INDEX(P_Status,ROW()-4))))</f>
        <v/>
      </c>
      <c r="G4496">
        <f>IF(INDEX(L_Status,ROW()-4)="","",TRIM(UPPER(INDEX(L_Status,ROW()-4))))</f>
        <v/>
      </c>
      <c r="J4496">
        <f>IF(INDEX(L_ID,ROW()-4)="","",IF(SUMPRODUCT((P_ID=INDEX(L_ID,ROW()-4))*(P_StatusN="INACTIVE"))&gt;0,1,0))</f>
        <v/>
      </c>
    </row>
    <row r="4497">
      <c r="A4497">
        <f>IF(INDEX(L_ID,ROW()-4)="","",IF(COUNTIF(P_ID,INDEX(L_ID,ROW()-4))&gt;0,1,0))</f>
        <v/>
      </c>
      <c r="B4497">
        <f>IF(INDEX(P_Type,ROW()-4)="","",TRIM(UPPER(INDEX(P_Type,ROW()-4))))</f>
        <v/>
      </c>
      <c r="D4497">
        <f>IF(INDEX(L_Type,ROW()-4)="","",TRIM(UPPER(INDEX(L_Type,ROW()-4))))</f>
        <v/>
      </c>
      <c r="E4497">
        <f>IF(INDEX(P_Status,ROW()-4)="","",TRIM(UPPER(INDEX(P_Status,ROW()-4))))</f>
        <v/>
      </c>
      <c r="G4497">
        <f>IF(INDEX(L_Status,ROW()-4)="","",TRIM(UPPER(INDEX(L_Status,ROW()-4))))</f>
        <v/>
      </c>
      <c r="J4497">
        <f>IF(INDEX(L_ID,ROW()-4)="","",IF(SUMPRODUCT((P_ID=INDEX(L_ID,ROW()-4))*(P_StatusN="INACTIVE"))&gt;0,1,0))</f>
        <v/>
      </c>
    </row>
    <row r="4498">
      <c r="A4498">
        <f>IF(INDEX(L_ID,ROW()-4)="","",IF(COUNTIF(P_ID,INDEX(L_ID,ROW()-4))&gt;0,1,0))</f>
        <v/>
      </c>
      <c r="B4498">
        <f>IF(INDEX(P_Type,ROW()-4)="","",TRIM(UPPER(INDEX(P_Type,ROW()-4))))</f>
        <v/>
      </c>
      <c r="D4498">
        <f>IF(INDEX(L_Type,ROW()-4)="","",TRIM(UPPER(INDEX(L_Type,ROW()-4))))</f>
        <v/>
      </c>
      <c r="E4498">
        <f>IF(INDEX(P_Status,ROW()-4)="","",TRIM(UPPER(INDEX(P_Status,ROW()-4))))</f>
        <v/>
      </c>
      <c r="G4498">
        <f>IF(INDEX(L_Status,ROW()-4)="","",TRIM(UPPER(INDEX(L_Status,ROW()-4))))</f>
        <v/>
      </c>
      <c r="J4498">
        <f>IF(INDEX(L_ID,ROW()-4)="","",IF(SUMPRODUCT((P_ID=INDEX(L_ID,ROW()-4))*(P_StatusN="INACTIVE"))&gt;0,1,0))</f>
        <v/>
      </c>
    </row>
    <row r="4499">
      <c r="A4499">
        <f>IF(INDEX(L_ID,ROW()-4)="","",IF(COUNTIF(P_ID,INDEX(L_ID,ROW()-4))&gt;0,1,0))</f>
        <v/>
      </c>
      <c r="B4499">
        <f>IF(INDEX(P_Type,ROW()-4)="","",TRIM(UPPER(INDEX(P_Type,ROW()-4))))</f>
        <v/>
      </c>
      <c r="D4499">
        <f>IF(INDEX(L_Type,ROW()-4)="","",TRIM(UPPER(INDEX(L_Type,ROW()-4))))</f>
        <v/>
      </c>
      <c r="E4499">
        <f>IF(INDEX(P_Status,ROW()-4)="","",TRIM(UPPER(INDEX(P_Status,ROW()-4))))</f>
        <v/>
      </c>
      <c r="G4499">
        <f>IF(INDEX(L_Status,ROW()-4)="","",TRIM(UPPER(INDEX(L_Status,ROW()-4))))</f>
        <v/>
      </c>
      <c r="J4499">
        <f>IF(INDEX(L_ID,ROW()-4)="","",IF(SUMPRODUCT((P_ID=INDEX(L_ID,ROW()-4))*(P_StatusN="INACTIVE"))&gt;0,1,0))</f>
        <v/>
      </c>
    </row>
    <row r="4500">
      <c r="A4500">
        <f>IF(INDEX(L_ID,ROW()-4)="","",IF(COUNTIF(P_ID,INDEX(L_ID,ROW()-4))&gt;0,1,0))</f>
        <v/>
      </c>
      <c r="B4500">
        <f>IF(INDEX(P_Type,ROW()-4)="","",TRIM(UPPER(INDEX(P_Type,ROW()-4))))</f>
        <v/>
      </c>
      <c r="D4500">
        <f>IF(INDEX(L_Type,ROW()-4)="","",TRIM(UPPER(INDEX(L_Type,ROW()-4))))</f>
        <v/>
      </c>
      <c r="E4500">
        <f>IF(INDEX(P_Status,ROW()-4)="","",TRIM(UPPER(INDEX(P_Status,ROW()-4))))</f>
        <v/>
      </c>
      <c r="G4500">
        <f>IF(INDEX(L_Status,ROW()-4)="","",TRIM(UPPER(INDEX(L_Status,ROW()-4))))</f>
        <v/>
      </c>
      <c r="J4500">
        <f>IF(INDEX(L_ID,ROW()-4)="","",IF(SUMPRODUCT((P_ID=INDEX(L_ID,ROW()-4))*(P_StatusN="INACTIVE"))&gt;0,1,0))</f>
        <v/>
      </c>
    </row>
    <row r="4501">
      <c r="A4501">
        <f>IF(INDEX(L_ID,ROW()-4)="","",IF(COUNTIF(P_ID,INDEX(L_ID,ROW()-4))&gt;0,1,0))</f>
        <v/>
      </c>
      <c r="B4501">
        <f>IF(INDEX(P_Type,ROW()-4)="","",TRIM(UPPER(INDEX(P_Type,ROW()-4))))</f>
        <v/>
      </c>
      <c r="D4501">
        <f>IF(INDEX(L_Type,ROW()-4)="","",TRIM(UPPER(INDEX(L_Type,ROW()-4))))</f>
        <v/>
      </c>
      <c r="E4501">
        <f>IF(INDEX(P_Status,ROW()-4)="","",TRIM(UPPER(INDEX(P_Status,ROW()-4))))</f>
        <v/>
      </c>
      <c r="G4501">
        <f>IF(INDEX(L_Status,ROW()-4)="","",TRIM(UPPER(INDEX(L_Status,ROW()-4))))</f>
        <v/>
      </c>
      <c r="J4501">
        <f>IF(INDEX(L_ID,ROW()-4)="","",IF(SUMPRODUCT((P_ID=INDEX(L_ID,ROW()-4))*(P_StatusN="INACTIVE"))&gt;0,1,0))</f>
        <v/>
      </c>
    </row>
    <row r="4502">
      <c r="A4502">
        <f>IF(INDEX(L_ID,ROW()-4)="","",IF(COUNTIF(P_ID,INDEX(L_ID,ROW()-4))&gt;0,1,0))</f>
        <v/>
      </c>
      <c r="B4502">
        <f>IF(INDEX(P_Type,ROW()-4)="","",TRIM(UPPER(INDEX(P_Type,ROW()-4))))</f>
        <v/>
      </c>
      <c r="D4502">
        <f>IF(INDEX(L_Type,ROW()-4)="","",TRIM(UPPER(INDEX(L_Type,ROW()-4))))</f>
        <v/>
      </c>
      <c r="E4502">
        <f>IF(INDEX(P_Status,ROW()-4)="","",TRIM(UPPER(INDEX(P_Status,ROW()-4))))</f>
        <v/>
      </c>
      <c r="G4502">
        <f>IF(INDEX(L_Status,ROW()-4)="","",TRIM(UPPER(INDEX(L_Status,ROW()-4))))</f>
        <v/>
      </c>
      <c r="J4502">
        <f>IF(INDEX(L_ID,ROW()-4)="","",IF(SUMPRODUCT((P_ID=INDEX(L_ID,ROW()-4))*(P_StatusN="INACTIVE"))&gt;0,1,0))</f>
        <v/>
      </c>
    </row>
    <row r="4503">
      <c r="A4503">
        <f>IF(INDEX(L_ID,ROW()-4)="","",IF(COUNTIF(P_ID,INDEX(L_ID,ROW()-4))&gt;0,1,0))</f>
        <v/>
      </c>
      <c r="B4503">
        <f>IF(INDEX(P_Type,ROW()-4)="","",TRIM(UPPER(INDEX(P_Type,ROW()-4))))</f>
        <v/>
      </c>
      <c r="D4503">
        <f>IF(INDEX(L_Type,ROW()-4)="","",TRIM(UPPER(INDEX(L_Type,ROW()-4))))</f>
        <v/>
      </c>
      <c r="E4503">
        <f>IF(INDEX(P_Status,ROW()-4)="","",TRIM(UPPER(INDEX(P_Status,ROW()-4))))</f>
        <v/>
      </c>
      <c r="G4503">
        <f>IF(INDEX(L_Status,ROW()-4)="","",TRIM(UPPER(INDEX(L_Status,ROW()-4))))</f>
        <v/>
      </c>
      <c r="J4503">
        <f>IF(INDEX(L_ID,ROW()-4)="","",IF(SUMPRODUCT((P_ID=INDEX(L_ID,ROW()-4))*(P_StatusN="INACTIVE"))&gt;0,1,0))</f>
        <v/>
      </c>
    </row>
    <row r="4504">
      <c r="A4504">
        <f>IF(INDEX(L_ID,ROW()-4)="","",IF(COUNTIF(P_ID,INDEX(L_ID,ROW()-4))&gt;0,1,0))</f>
        <v/>
      </c>
      <c r="B4504">
        <f>IF(INDEX(P_Type,ROW()-4)="","",TRIM(UPPER(INDEX(P_Type,ROW()-4))))</f>
        <v/>
      </c>
      <c r="D4504">
        <f>IF(INDEX(L_Type,ROW()-4)="","",TRIM(UPPER(INDEX(L_Type,ROW()-4))))</f>
        <v/>
      </c>
      <c r="E4504">
        <f>IF(INDEX(P_Status,ROW()-4)="","",TRIM(UPPER(INDEX(P_Status,ROW()-4))))</f>
        <v/>
      </c>
      <c r="G4504">
        <f>IF(INDEX(L_Status,ROW()-4)="","",TRIM(UPPER(INDEX(L_Status,ROW()-4))))</f>
        <v/>
      </c>
      <c r="J4504">
        <f>IF(INDEX(L_ID,ROW()-4)="","",IF(SUMPRODUCT((P_ID=INDEX(L_ID,ROW()-4))*(P_StatusN="INACTIVE"))&gt;0,1,0))</f>
        <v/>
      </c>
    </row>
    <row r="4505">
      <c r="A4505">
        <f>IF(INDEX(L_ID,ROW()-4)="","",IF(COUNTIF(P_ID,INDEX(L_ID,ROW()-4))&gt;0,1,0))</f>
        <v/>
      </c>
      <c r="B4505">
        <f>IF(INDEX(P_Type,ROW()-4)="","",TRIM(UPPER(INDEX(P_Type,ROW()-4))))</f>
        <v/>
      </c>
      <c r="D4505">
        <f>IF(INDEX(L_Type,ROW()-4)="","",TRIM(UPPER(INDEX(L_Type,ROW()-4))))</f>
        <v/>
      </c>
      <c r="E4505">
        <f>IF(INDEX(P_Status,ROW()-4)="","",TRIM(UPPER(INDEX(P_Status,ROW()-4))))</f>
        <v/>
      </c>
      <c r="G4505">
        <f>IF(INDEX(L_Status,ROW()-4)="","",TRIM(UPPER(INDEX(L_Status,ROW()-4))))</f>
        <v/>
      </c>
      <c r="J4505">
        <f>IF(INDEX(L_ID,ROW()-4)="","",IF(SUMPRODUCT((P_ID=INDEX(L_ID,ROW()-4))*(P_StatusN="INACTIVE"))&gt;0,1,0))</f>
        <v/>
      </c>
    </row>
    <row r="4506">
      <c r="A4506">
        <f>IF(INDEX(L_ID,ROW()-4)="","",IF(COUNTIF(P_ID,INDEX(L_ID,ROW()-4))&gt;0,1,0))</f>
        <v/>
      </c>
      <c r="B4506">
        <f>IF(INDEX(P_Type,ROW()-4)="","",TRIM(UPPER(INDEX(P_Type,ROW()-4))))</f>
        <v/>
      </c>
      <c r="D4506">
        <f>IF(INDEX(L_Type,ROW()-4)="","",TRIM(UPPER(INDEX(L_Type,ROW()-4))))</f>
        <v/>
      </c>
      <c r="E4506">
        <f>IF(INDEX(P_Status,ROW()-4)="","",TRIM(UPPER(INDEX(P_Status,ROW()-4))))</f>
        <v/>
      </c>
      <c r="G4506">
        <f>IF(INDEX(L_Status,ROW()-4)="","",TRIM(UPPER(INDEX(L_Status,ROW()-4))))</f>
        <v/>
      </c>
      <c r="J4506">
        <f>IF(INDEX(L_ID,ROW()-4)="","",IF(SUMPRODUCT((P_ID=INDEX(L_ID,ROW()-4))*(P_StatusN="INACTIVE"))&gt;0,1,0))</f>
        <v/>
      </c>
    </row>
    <row r="4507">
      <c r="A4507">
        <f>IF(INDEX(L_ID,ROW()-4)="","",IF(COUNTIF(P_ID,INDEX(L_ID,ROW()-4))&gt;0,1,0))</f>
        <v/>
      </c>
      <c r="B4507">
        <f>IF(INDEX(P_Type,ROW()-4)="","",TRIM(UPPER(INDEX(P_Type,ROW()-4))))</f>
        <v/>
      </c>
      <c r="D4507">
        <f>IF(INDEX(L_Type,ROW()-4)="","",TRIM(UPPER(INDEX(L_Type,ROW()-4))))</f>
        <v/>
      </c>
      <c r="E4507">
        <f>IF(INDEX(P_Status,ROW()-4)="","",TRIM(UPPER(INDEX(P_Status,ROW()-4))))</f>
        <v/>
      </c>
      <c r="G4507">
        <f>IF(INDEX(L_Status,ROW()-4)="","",TRIM(UPPER(INDEX(L_Status,ROW()-4))))</f>
        <v/>
      </c>
      <c r="J4507">
        <f>IF(INDEX(L_ID,ROW()-4)="","",IF(SUMPRODUCT((P_ID=INDEX(L_ID,ROW()-4))*(P_StatusN="INACTIVE"))&gt;0,1,0))</f>
        <v/>
      </c>
    </row>
    <row r="4508">
      <c r="A4508">
        <f>IF(INDEX(L_ID,ROW()-4)="","",IF(COUNTIF(P_ID,INDEX(L_ID,ROW()-4))&gt;0,1,0))</f>
        <v/>
      </c>
      <c r="B4508">
        <f>IF(INDEX(P_Type,ROW()-4)="","",TRIM(UPPER(INDEX(P_Type,ROW()-4))))</f>
        <v/>
      </c>
      <c r="D4508">
        <f>IF(INDEX(L_Type,ROW()-4)="","",TRIM(UPPER(INDEX(L_Type,ROW()-4))))</f>
        <v/>
      </c>
      <c r="E4508">
        <f>IF(INDEX(P_Status,ROW()-4)="","",TRIM(UPPER(INDEX(P_Status,ROW()-4))))</f>
        <v/>
      </c>
      <c r="G4508">
        <f>IF(INDEX(L_Status,ROW()-4)="","",TRIM(UPPER(INDEX(L_Status,ROW()-4))))</f>
        <v/>
      </c>
      <c r="J4508">
        <f>IF(INDEX(L_ID,ROW()-4)="","",IF(SUMPRODUCT((P_ID=INDEX(L_ID,ROW()-4))*(P_StatusN="INACTIVE"))&gt;0,1,0))</f>
        <v/>
      </c>
    </row>
    <row r="4509">
      <c r="A4509">
        <f>IF(INDEX(L_ID,ROW()-4)="","",IF(COUNTIF(P_ID,INDEX(L_ID,ROW()-4))&gt;0,1,0))</f>
        <v/>
      </c>
      <c r="B4509">
        <f>IF(INDEX(P_Type,ROW()-4)="","",TRIM(UPPER(INDEX(P_Type,ROW()-4))))</f>
        <v/>
      </c>
      <c r="D4509">
        <f>IF(INDEX(L_Type,ROW()-4)="","",TRIM(UPPER(INDEX(L_Type,ROW()-4))))</f>
        <v/>
      </c>
      <c r="E4509">
        <f>IF(INDEX(P_Status,ROW()-4)="","",TRIM(UPPER(INDEX(P_Status,ROW()-4))))</f>
        <v/>
      </c>
      <c r="G4509">
        <f>IF(INDEX(L_Status,ROW()-4)="","",TRIM(UPPER(INDEX(L_Status,ROW()-4))))</f>
        <v/>
      </c>
      <c r="J4509">
        <f>IF(INDEX(L_ID,ROW()-4)="","",IF(SUMPRODUCT((P_ID=INDEX(L_ID,ROW()-4))*(P_StatusN="INACTIVE"))&gt;0,1,0))</f>
        <v/>
      </c>
    </row>
    <row r="4510">
      <c r="A4510">
        <f>IF(INDEX(L_ID,ROW()-4)="","",IF(COUNTIF(P_ID,INDEX(L_ID,ROW()-4))&gt;0,1,0))</f>
        <v/>
      </c>
      <c r="B4510">
        <f>IF(INDEX(P_Type,ROW()-4)="","",TRIM(UPPER(INDEX(P_Type,ROW()-4))))</f>
        <v/>
      </c>
      <c r="D4510">
        <f>IF(INDEX(L_Type,ROW()-4)="","",TRIM(UPPER(INDEX(L_Type,ROW()-4))))</f>
        <v/>
      </c>
      <c r="E4510">
        <f>IF(INDEX(P_Status,ROW()-4)="","",TRIM(UPPER(INDEX(P_Status,ROW()-4))))</f>
        <v/>
      </c>
      <c r="G4510">
        <f>IF(INDEX(L_Status,ROW()-4)="","",TRIM(UPPER(INDEX(L_Status,ROW()-4))))</f>
        <v/>
      </c>
      <c r="J4510">
        <f>IF(INDEX(L_ID,ROW()-4)="","",IF(SUMPRODUCT((P_ID=INDEX(L_ID,ROW()-4))*(P_StatusN="INACTIVE"))&gt;0,1,0))</f>
        <v/>
      </c>
    </row>
    <row r="4511">
      <c r="A4511">
        <f>IF(INDEX(L_ID,ROW()-4)="","",IF(COUNTIF(P_ID,INDEX(L_ID,ROW()-4))&gt;0,1,0))</f>
        <v/>
      </c>
      <c r="B4511">
        <f>IF(INDEX(P_Type,ROW()-4)="","",TRIM(UPPER(INDEX(P_Type,ROW()-4))))</f>
        <v/>
      </c>
      <c r="D4511">
        <f>IF(INDEX(L_Type,ROW()-4)="","",TRIM(UPPER(INDEX(L_Type,ROW()-4))))</f>
        <v/>
      </c>
      <c r="E4511">
        <f>IF(INDEX(P_Status,ROW()-4)="","",TRIM(UPPER(INDEX(P_Status,ROW()-4))))</f>
        <v/>
      </c>
      <c r="G4511">
        <f>IF(INDEX(L_Status,ROW()-4)="","",TRIM(UPPER(INDEX(L_Status,ROW()-4))))</f>
        <v/>
      </c>
      <c r="J4511">
        <f>IF(INDEX(L_ID,ROW()-4)="","",IF(SUMPRODUCT((P_ID=INDEX(L_ID,ROW()-4))*(P_StatusN="INACTIVE"))&gt;0,1,0))</f>
        <v/>
      </c>
    </row>
    <row r="4512">
      <c r="A4512">
        <f>IF(INDEX(L_ID,ROW()-4)="","",IF(COUNTIF(P_ID,INDEX(L_ID,ROW()-4))&gt;0,1,0))</f>
        <v/>
      </c>
      <c r="B4512">
        <f>IF(INDEX(P_Type,ROW()-4)="","",TRIM(UPPER(INDEX(P_Type,ROW()-4))))</f>
        <v/>
      </c>
      <c r="D4512">
        <f>IF(INDEX(L_Type,ROW()-4)="","",TRIM(UPPER(INDEX(L_Type,ROW()-4))))</f>
        <v/>
      </c>
      <c r="E4512">
        <f>IF(INDEX(P_Status,ROW()-4)="","",TRIM(UPPER(INDEX(P_Status,ROW()-4))))</f>
        <v/>
      </c>
      <c r="G4512">
        <f>IF(INDEX(L_Status,ROW()-4)="","",TRIM(UPPER(INDEX(L_Status,ROW()-4))))</f>
        <v/>
      </c>
      <c r="J4512">
        <f>IF(INDEX(L_ID,ROW()-4)="","",IF(SUMPRODUCT((P_ID=INDEX(L_ID,ROW()-4))*(P_StatusN="INACTIVE"))&gt;0,1,0))</f>
        <v/>
      </c>
    </row>
    <row r="4513">
      <c r="A4513">
        <f>IF(INDEX(L_ID,ROW()-4)="","",IF(COUNTIF(P_ID,INDEX(L_ID,ROW()-4))&gt;0,1,0))</f>
        <v/>
      </c>
      <c r="B4513">
        <f>IF(INDEX(P_Type,ROW()-4)="","",TRIM(UPPER(INDEX(P_Type,ROW()-4))))</f>
        <v/>
      </c>
      <c r="D4513">
        <f>IF(INDEX(L_Type,ROW()-4)="","",TRIM(UPPER(INDEX(L_Type,ROW()-4))))</f>
        <v/>
      </c>
      <c r="E4513">
        <f>IF(INDEX(P_Status,ROW()-4)="","",TRIM(UPPER(INDEX(P_Status,ROW()-4))))</f>
        <v/>
      </c>
      <c r="G4513">
        <f>IF(INDEX(L_Status,ROW()-4)="","",TRIM(UPPER(INDEX(L_Status,ROW()-4))))</f>
        <v/>
      </c>
      <c r="J4513">
        <f>IF(INDEX(L_ID,ROW()-4)="","",IF(SUMPRODUCT((P_ID=INDEX(L_ID,ROW()-4))*(P_StatusN="INACTIVE"))&gt;0,1,0))</f>
        <v/>
      </c>
    </row>
    <row r="4514">
      <c r="A4514">
        <f>IF(INDEX(L_ID,ROW()-4)="","",IF(COUNTIF(P_ID,INDEX(L_ID,ROW()-4))&gt;0,1,0))</f>
        <v/>
      </c>
      <c r="B4514">
        <f>IF(INDEX(P_Type,ROW()-4)="","",TRIM(UPPER(INDEX(P_Type,ROW()-4))))</f>
        <v/>
      </c>
      <c r="D4514">
        <f>IF(INDEX(L_Type,ROW()-4)="","",TRIM(UPPER(INDEX(L_Type,ROW()-4))))</f>
        <v/>
      </c>
      <c r="E4514">
        <f>IF(INDEX(P_Status,ROW()-4)="","",TRIM(UPPER(INDEX(P_Status,ROW()-4))))</f>
        <v/>
      </c>
      <c r="G4514">
        <f>IF(INDEX(L_Status,ROW()-4)="","",TRIM(UPPER(INDEX(L_Status,ROW()-4))))</f>
        <v/>
      </c>
      <c r="J4514">
        <f>IF(INDEX(L_ID,ROW()-4)="","",IF(SUMPRODUCT((P_ID=INDEX(L_ID,ROW()-4))*(P_StatusN="INACTIVE"))&gt;0,1,0))</f>
        <v/>
      </c>
    </row>
    <row r="4515">
      <c r="A4515">
        <f>IF(INDEX(L_ID,ROW()-4)="","",IF(COUNTIF(P_ID,INDEX(L_ID,ROW()-4))&gt;0,1,0))</f>
        <v/>
      </c>
      <c r="B4515">
        <f>IF(INDEX(P_Type,ROW()-4)="","",TRIM(UPPER(INDEX(P_Type,ROW()-4))))</f>
        <v/>
      </c>
      <c r="D4515">
        <f>IF(INDEX(L_Type,ROW()-4)="","",TRIM(UPPER(INDEX(L_Type,ROW()-4))))</f>
        <v/>
      </c>
      <c r="E4515">
        <f>IF(INDEX(P_Status,ROW()-4)="","",TRIM(UPPER(INDEX(P_Status,ROW()-4))))</f>
        <v/>
      </c>
      <c r="G4515">
        <f>IF(INDEX(L_Status,ROW()-4)="","",TRIM(UPPER(INDEX(L_Status,ROW()-4))))</f>
        <v/>
      </c>
      <c r="J4515">
        <f>IF(INDEX(L_ID,ROW()-4)="","",IF(SUMPRODUCT((P_ID=INDEX(L_ID,ROW()-4))*(P_StatusN="INACTIVE"))&gt;0,1,0))</f>
        <v/>
      </c>
    </row>
    <row r="4516">
      <c r="A4516">
        <f>IF(INDEX(L_ID,ROW()-4)="","",IF(COUNTIF(P_ID,INDEX(L_ID,ROW()-4))&gt;0,1,0))</f>
        <v/>
      </c>
      <c r="B4516">
        <f>IF(INDEX(P_Type,ROW()-4)="","",TRIM(UPPER(INDEX(P_Type,ROW()-4))))</f>
        <v/>
      </c>
      <c r="D4516">
        <f>IF(INDEX(L_Type,ROW()-4)="","",TRIM(UPPER(INDEX(L_Type,ROW()-4))))</f>
        <v/>
      </c>
      <c r="E4516">
        <f>IF(INDEX(P_Status,ROW()-4)="","",TRIM(UPPER(INDEX(P_Status,ROW()-4))))</f>
        <v/>
      </c>
      <c r="G4516">
        <f>IF(INDEX(L_Status,ROW()-4)="","",TRIM(UPPER(INDEX(L_Status,ROW()-4))))</f>
        <v/>
      </c>
      <c r="J4516">
        <f>IF(INDEX(L_ID,ROW()-4)="","",IF(SUMPRODUCT((P_ID=INDEX(L_ID,ROW()-4))*(P_StatusN="INACTIVE"))&gt;0,1,0))</f>
        <v/>
      </c>
    </row>
    <row r="4517">
      <c r="A4517">
        <f>IF(INDEX(L_ID,ROW()-4)="","",IF(COUNTIF(P_ID,INDEX(L_ID,ROW()-4))&gt;0,1,0))</f>
        <v/>
      </c>
      <c r="B4517">
        <f>IF(INDEX(P_Type,ROW()-4)="","",TRIM(UPPER(INDEX(P_Type,ROW()-4))))</f>
        <v/>
      </c>
      <c r="D4517">
        <f>IF(INDEX(L_Type,ROW()-4)="","",TRIM(UPPER(INDEX(L_Type,ROW()-4))))</f>
        <v/>
      </c>
      <c r="E4517">
        <f>IF(INDEX(P_Status,ROW()-4)="","",TRIM(UPPER(INDEX(P_Status,ROW()-4))))</f>
        <v/>
      </c>
      <c r="G4517">
        <f>IF(INDEX(L_Status,ROW()-4)="","",TRIM(UPPER(INDEX(L_Status,ROW()-4))))</f>
        <v/>
      </c>
      <c r="J4517">
        <f>IF(INDEX(L_ID,ROW()-4)="","",IF(SUMPRODUCT((P_ID=INDEX(L_ID,ROW()-4))*(P_StatusN="INACTIVE"))&gt;0,1,0))</f>
        <v/>
      </c>
    </row>
    <row r="4518">
      <c r="A4518">
        <f>IF(INDEX(L_ID,ROW()-4)="","",IF(COUNTIF(P_ID,INDEX(L_ID,ROW()-4))&gt;0,1,0))</f>
        <v/>
      </c>
      <c r="B4518">
        <f>IF(INDEX(P_Type,ROW()-4)="","",TRIM(UPPER(INDEX(P_Type,ROW()-4))))</f>
        <v/>
      </c>
      <c r="D4518">
        <f>IF(INDEX(L_Type,ROW()-4)="","",TRIM(UPPER(INDEX(L_Type,ROW()-4))))</f>
        <v/>
      </c>
      <c r="E4518">
        <f>IF(INDEX(P_Status,ROW()-4)="","",TRIM(UPPER(INDEX(P_Status,ROW()-4))))</f>
        <v/>
      </c>
      <c r="G4518">
        <f>IF(INDEX(L_Status,ROW()-4)="","",TRIM(UPPER(INDEX(L_Status,ROW()-4))))</f>
        <v/>
      </c>
      <c r="J4518">
        <f>IF(INDEX(L_ID,ROW()-4)="","",IF(SUMPRODUCT((P_ID=INDEX(L_ID,ROW()-4))*(P_StatusN="INACTIVE"))&gt;0,1,0))</f>
        <v/>
      </c>
    </row>
    <row r="4519">
      <c r="A4519">
        <f>IF(INDEX(L_ID,ROW()-4)="","",IF(COUNTIF(P_ID,INDEX(L_ID,ROW()-4))&gt;0,1,0))</f>
        <v/>
      </c>
      <c r="B4519">
        <f>IF(INDEX(P_Type,ROW()-4)="","",TRIM(UPPER(INDEX(P_Type,ROW()-4))))</f>
        <v/>
      </c>
      <c r="D4519">
        <f>IF(INDEX(L_Type,ROW()-4)="","",TRIM(UPPER(INDEX(L_Type,ROW()-4))))</f>
        <v/>
      </c>
      <c r="E4519">
        <f>IF(INDEX(P_Status,ROW()-4)="","",TRIM(UPPER(INDEX(P_Status,ROW()-4))))</f>
        <v/>
      </c>
      <c r="G4519">
        <f>IF(INDEX(L_Status,ROW()-4)="","",TRIM(UPPER(INDEX(L_Status,ROW()-4))))</f>
        <v/>
      </c>
      <c r="J4519">
        <f>IF(INDEX(L_ID,ROW()-4)="","",IF(SUMPRODUCT((P_ID=INDEX(L_ID,ROW()-4))*(P_StatusN="INACTIVE"))&gt;0,1,0))</f>
        <v/>
      </c>
    </row>
    <row r="4520">
      <c r="A4520">
        <f>IF(INDEX(L_ID,ROW()-4)="","",IF(COUNTIF(P_ID,INDEX(L_ID,ROW()-4))&gt;0,1,0))</f>
        <v/>
      </c>
      <c r="B4520">
        <f>IF(INDEX(P_Type,ROW()-4)="","",TRIM(UPPER(INDEX(P_Type,ROW()-4))))</f>
        <v/>
      </c>
      <c r="D4520">
        <f>IF(INDEX(L_Type,ROW()-4)="","",TRIM(UPPER(INDEX(L_Type,ROW()-4))))</f>
        <v/>
      </c>
      <c r="E4520">
        <f>IF(INDEX(P_Status,ROW()-4)="","",TRIM(UPPER(INDEX(P_Status,ROW()-4))))</f>
        <v/>
      </c>
      <c r="G4520">
        <f>IF(INDEX(L_Status,ROW()-4)="","",TRIM(UPPER(INDEX(L_Status,ROW()-4))))</f>
        <v/>
      </c>
      <c r="J4520">
        <f>IF(INDEX(L_ID,ROW()-4)="","",IF(SUMPRODUCT((P_ID=INDEX(L_ID,ROW()-4))*(P_StatusN="INACTIVE"))&gt;0,1,0))</f>
        <v/>
      </c>
    </row>
    <row r="4521">
      <c r="A4521">
        <f>IF(INDEX(L_ID,ROW()-4)="","",IF(COUNTIF(P_ID,INDEX(L_ID,ROW()-4))&gt;0,1,0))</f>
        <v/>
      </c>
      <c r="B4521">
        <f>IF(INDEX(P_Type,ROW()-4)="","",TRIM(UPPER(INDEX(P_Type,ROW()-4))))</f>
        <v/>
      </c>
      <c r="D4521">
        <f>IF(INDEX(L_Type,ROW()-4)="","",TRIM(UPPER(INDEX(L_Type,ROW()-4))))</f>
        <v/>
      </c>
      <c r="E4521">
        <f>IF(INDEX(P_Status,ROW()-4)="","",TRIM(UPPER(INDEX(P_Status,ROW()-4))))</f>
        <v/>
      </c>
      <c r="G4521">
        <f>IF(INDEX(L_Status,ROW()-4)="","",TRIM(UPPER(INDEX(L_Status,ROW()-4))))</f>
        <v/>
      </c>
      <c r="J4521">
        <f>IF(INDEX(L_ID,ROW()-4)="","",IF(SUMPRODUCT((P_ID=INDEX(L_ID,ROW()-4))*(P_StatusN="INACTIVE"))&gt;0,1,0))</f>
        <v/>
      </c>
    </row>
    <row r="4522">
      <c r="A4522">
        <f>IF(INDEX(L_ID,ROW()-4)="","",IF(COUNTIF(P_ID,INDEX(L_ID,ROW()-4))&gt;0,1,0))</f>
        <v/>
      </c>
      <c r="B4522">
        <f>IF(INDEX(P_Type,ROW()-4)="","",TRIM(UPPER(INDEX(P_Type,ROW()-4))))</f>
        <v/>
      </c>
      <c r="D4522">
        <f>IF(INDEX(L_Type,ROW()-4)="","",TRIM(UPPER(INDEX(L_Type,ROW()-4))))</f>
        <v/>
      </c>
      <c r="E4522">
        <f>IF(INDEX(P_Status,ROW()-4)="","",TRIM(UPPER(INDEX(P_Status,ROW()-4))))</f>
        <v/>
      </c>
      <c r="G4522">
        <f>IF(INDEX(L_Status,ROW()-4)="","",TRIM(UPPER(INDEX(L_Status,ROW()-4))))</f>
        <v/>
      </c>
      <c r="J4522">
        <f>IF(INDEX(L_ID,ROW()-4)="","",IF(SUMPRODUCT((P_ID=INDEX(L_ID,ROW()-4))*(P_StatusN="INACTIVE"))&gt;0,1,0))</f>
        <v/>
      </c>
    </row>
    <row r="4523">
      <c r="A4523">
        <f>IF(INDEX(L_ID,ROW()-4)="","",IF(COUNTIF(P_ID,INDEX(L_ID,ROW()-4))&gt;0,1,0))</f>
        <v/>
      </c>
      <c r="B4523">
        <f>IF(INDEX(P_Type,ROW()-4)="","",TRIM(UPPER(INDEX(P_Type,ROW()-4))))</f>
        <v/>
      </c>
      <c r="D4523">
        <f>IF(INDEX(L_Type,ROW()-4)="","",TRIM(UPPER(INDEX(L_Type,ROW()-4))))</f>
        <v/>
      </c>
      <c r="E4523">
        <f>IF(INDEX(P_Status,ROW()-4)="","",TRIM(UPPER(INDEX(P_Status,ROW()-4))))</f>
        <v/>
      </c>
      <c r="G4523">
        <f>IF(INDEX(L_Status,ROW()-4)="","",TRIM(UPPER(INDEX(L_Status,ROW()-4))))</f>
        <v/>
      </c>
      <c r="J4523">
        <f>IF(INDEX(L_ID,ROW()-4)="","",IF(SUMPRODUCT((P_ID=INDEX(L_ID,ROW()-4))*(P_StatusN="INACTIVE"))&gt;0,1,0))</f>
        <v/>
      </c>
    </row>
    <row r="4524">
      <c r="A4524">
        <f>IF(INDEX(L_ID,ROW()-4)="","",IF(COUNTIF(P_ID,INDEX(L_ID,ROW()-4))&gt;0,1,0))</f>
        <v/>
      </c>
      <c r="B4524">
        <f>IF(INDEX(P_Type,ROW()-4)="","",TRIM(UPPER(INDEX(P_Type,ROW()-4))))</f>
        <v/>
      </c>
      <c r="D4524">
        <f>IF(INDEX(L_Type,ROW()-4)="","",TRIM(UPPER(INDEX(L_Type,ROW()-4))))</f>
        <v/>
      </c>
      <c r="E4524">
        <f>IF(INDEX(P_Status,ROW()-4)="","",TRIM(UPPER(INDEX(P_Status,ROW()-4))))</f>
        <v/>
      </c>
      <c r="G4524">
        <f>IF(INDEX(L_Status,ROW()-4)="","",TRIM(UPPER(INDEX(L_Status,ROW()-4))))</f>
        <v/>
      </c>
      <c r="J4524">
        <f>IF(INDEX(L_ID,ROW()-4)="","",IF(SUMPRODUCT((P_ID=INDEX(L_ID,ROW()-4))*(P_StatusN="INACTIVE"))&gt;0,1,0))</f>
        <v/>
      </c>
    </row>
    <row r="4525">
      <c r="A4525">
        <f>IF(INDEX(L_ID,ROW()-4)="","",IF(COUNTIF(P_ID,INDEX(L_ID,ROW()-4))&gt;0,1,0))</f>
        <v/>
      </c>
      <c r="B4525">
        <f>IF(INDEX(P_Type,ROW()-4)="","",TRIM(UPPER(INDEX(P_Type,ROW()-4))))</f>
        <v/>
      </c>
      <c r="D4525">
        <f>IF(INDEX(L_Type,ROW()-4)="","",TRIM(UPPER(INDEX(L_Type,ROW()-4))))</f>
        <v/>
      </c>
      <c r="E4525">
        <f>IF(INDEX(P_Status,ROW()-4)="","",TRIM(UPPER(INDEX(P_Status,ROW()-4))))</f>
        <v/>
      </c>
      <c r="G4525">
        <f>IF(INDEX(L_Status,ROW()-4)="","",TRIM(UPPER(INDEX(L_Status,ROW()-4))))</f>
        <v/>
      </c>
      <c r="J4525">
        <f>IF(INDEX(L_ID,ROW()-4)="","",IF(SUMPRODUCT((P_ID=INDEX(L_ID,ROW()-4))*(P_StatusN="INACTIVE"))&gt;0,1,0))</f>
        <v/>
      </c>
    </row>
    <row r="4526">
      <c r="A4526">
        <f>IF(INDEX(L_ID,ROW()-4)="","",IF(COUNTIF(P_ID,INDEX(L_ID,ROW()-4))&gt;0,1,0))</f>
        <v/>
      </c>
      <c r="B4526">
        <f>IF(INDEX(P_Type,ROW()-4)="","",TRIM(UPPER(INDEX(P_Type,ROW()-4))))</f>
        <v/>
      </c>
      <c r="D4526">
        <f>IF(INDEX(L_Type,ROW()-4)="","",TRIM(UPPER(INDEX(L_Type,ROW()-4))))</f>
        <v/>
      </c>
      <c r="E4526">
        <f>IF(INDEX(P_Status,ROW()-4)="","",TRIM(UPPER(INDEX(P_Status,ROW()-4))))</f>
        <v/>
      </c>
      <c r="G4526">
        <f>IF(INDEX(L_Status,ROW()-4)="","",TRIM(UPPER(INDEX(L_Status,ROW()-4))))</f>
        <v/>
      </c>
      <c r="J4526">
        <f>IF(INDEX(L_ID,ROW()-4)="","",IF(SUMPRODUCT((P_ID=INDEX(L_ID,ROW()-4))*(P_StatusN="INACTIVE"))&gt;0,1,0))</f>
        <v/>
      </c>
    </row>
    <row r="4527">
      <c r="A4527">
        <f>IF(INDEX(L_ID,ROW()-4)="","",IF(COUNTIF(P_ID,INDEX(L_ID,ROW()-4))&gt;0,1,0))</f>
        <v/>
      </c>
      <c r="B4527">
        <f>IF(INDEX(P_Type,ROW()-4)="","",TRIM(UPPER(INDEX(P_Type,ROW()-4))))</f>
        <v/>
      </c>
      <c r="D4527">
        <f>IF(INDEX(L_Type,ROW()-4)="","",TRIM(UPPER(INDEX(L_Type,ROW()-4))))</f>
        <v/>
      </c>
      <c r="E4527">
        <f>IF(INDEX(P_Status,ROW()-4)="","",TRIM(UPPER(INDEX(P_Status,ROW()-4))))</f>
        <v/>
      </c>
      <c r="G4527">
        <f>IF(INDEX(L_Status,ROW()-4)="","",TRIM(UPPER(INDEX(L_Status,ROW()-4))))</f>
        <v/>
      </c>
      <c r="J4527">
        <f>IF(INDEX(L_ID,ROW()-4)="","",IF(SUMPRODUCT((P_ID=INDEX(L_ID,ROW()-4))*(P_StatusN="INACTIVE"))&gt;0,1,0))</f>
        <v/>
      </c>
    </row>
    <row r="4528">
      <c r="A4528">
        <f>IF(INDEX(L_ID,ROW()-4)="","",IF(COUNTIF(P_ID,INDEX(L_ID,ROW()-4))&gt;0,1,0))</f>
        <v/>
      </c>
      <c r="B4528">
        <f>IF(INDEX(P_Type,ROW()-4)="","",TRIM(UPPER(INDEX(P_Type,ROW()-4))))</f>
        <v/>
      </c>
      <c r="D4528">
        <f>IF(INDEX(L_Type,ROW()-4)="","",TRIM(UPPER(INDEX(L_Type,ROW()-4))))</f>
        <v/>
      </c>
      <c r="E4528">
        <f>IF(INDEX(P_Status,ROW()-4)="","",TRIM(UPPER(INDEX(P_Status,ROW()-4))))</f>
        <v/>
      </c>
      <c r="G4528">
        <f>IF(INDEX(L_Status,ROW()-4)="","",TRIM(UPPER(INDEX(L_Status,ROW()-4))))</f>
        <v/>
      </c>
      <c r="J4528">
        <f>IF(INDEX(L_ID,ROW()-4)="","",IF(SUMPRODUCT((P_ID=INDEX(L_ID,ROW()-4))*(P_StatusN="INACTIVE"))&gt;0,1,0))</f>
        <v/>
      </c>
    </row>
    <row r="4529">
      <c r="A4529">
        <f>IF(INDEX(L_ID,ROW()-4)="","",IF(COUNTIF(P_ID,INDEX(L_ID,ROW()-4))&gt;0,1,0))</f>
        <v/>
      </c>
      <c r="B4529">
        <f>IF(INDEX(P_Type,ROW()-4)="","",TRIM(UPPER(INDEX(P_Type,ROW()-4))))</f>
        <v/>
      </c>
      <c r="D4529">
        <f>IF(INDEX(L_Type,ROW()-4)="","",TRIM(UPPER(INDEX(L_Type,ROW()-4))))</f>
        <v/>
      </c>
      <c r="E4529">
        <f>IF(INDEX(P_Status,ROW()-4)="","",TRIM(UPPER(INDEX(P_Status,ROW()-4))))</f>
        <v/>
      </c>
      <c r="G4529">
        <f>IF(INDEX(L_Status,ROW()-4)="","",TRIM(UPPER(INDEX(L_Status,ROW()-4))))</f>
        <v/>
      </c>
      <c r="J4529">
        <f>IF(INDEX(L_ID,ROW()-4)="","",IF(SUMPRODUCT((P_ID=INDEX(L_ID,ROW()-4))*(P_StatusN="INACTIVE"))&gt;0,1,0))</f>
        <v/>
      </c>
    </row>
    <row r="4530">
      <c r="A4530">
        <f>IF(INDEX(L_ID,ROW()-4)="","",IF(COUNTIF(P_ID,INDEX(L_ID,ROW()-4))&gt;0,1,0))</f>
        <v/>
      </c>
      <c r="B4530">
        <f>IF(INDEX(P_Type,ROW()-4)="","",TRIM(UPPER(INDEX(P_Type,ROW()-4))))</f>
        <v/>
      </c>
      <c r="D4530">
        <f>IF(INDEX(L_Type,ROW()-4)="","",TRIM(UPPER(INDEX(L_Type,ROW()-4))))</f>
        <v/>
      </c>
      <c r="E4530">
        <f>IF(INDEX(P_Status,ROW()-4)="","",TRIM(UPPER(INDEX(P_Status,ROW()-4))))</f>
        <v/>
      </c>
      <c r="G4530">
        <f>IF(INDEX(L_Status,ROW()-4)="","",TRIM(UPPER(INDEX(L_Status,ROW()-4))))</f>
        <v/>
      </c>
      <c r="J4530">
        <f>IF(INDEX(L_ID,ROW()-4)="","",IF(SUMPRODUCT((P_ID=INDEX(L_ID,ROW()-4))*(P_StatusN="INACTIVE"))&gt;0,1,0))</f>
        <v/>
      </c>
    </row>
    <row r="4531">
      <c r="A4531">
        <f>IF(INDEX(L_ID,ROW()-4)="","",IF(COUNTIF(P_ID,INDEX(L_ID,ROW()-4))&gt;0,1,0))</f>
        <v/>
      </c>
      <c r="B4531">
        <f>IF(INDEX(P_Type,ROW()-4)="","",TRIM(UPPER(INDEX(P_Type,ROW()-4))))</f>
        <v/>
      </c>
      <c r="D4531">
        <f>IF(INDEX(L_Type,ROW()-4)="","",TRIM(UPPER(INDEX(L_Type,ROW()-4))))</f>
        <v/>
      </c>
      <c r="E4531">
        <f>IF(INDEX(P_Status,ROW()-4)="","",TRIM(UPPER(INDEX(P_Status,ROW()-4))))</f>
        <v/>
      </c>
      <c r="G4531">
        <f>IF(INDEX(L_Status,ROW()-4)="","",TRIM(UPPER(INDEX(L_Status,ROW()-4))))</f>
        <v/>
      </c>
      <c r="J4531">
        <f>IF(INDEX(L_ID,ROW()-4)="","",IF(SUMPRODUCT((P_ID=INDEX(L_ID,ROW()-4))*(P_StatusN="INACTIVE"))&gt;0,1,0))</f>
        <v/>
      </c>
    </row>
    <row r="4532">
      <c r="A4532">
        <f>IF(INDEX(L_ID,ROW()-4)="","",IF(COUNTIF(P_ID,INDEX(L_ID,ROW()-4))&gt;0,1,0))</f>
        <v/>
      </c>
      <c r="B4532">
        <f>IF(INDEX(P_Type,ROW()-4)="","",TRIM(UPPER(INDEX(P_Type,ROW()-4))))</f>
        <v/>
      </c>
      <c r="D4532">
        <f>IF(INDEX(L_Type,ROW()-4)="","",TRIM(UPPER(INDEX(L_Type,ROW()-4))))</f>
        <v/>
      </c>
      <c r="E4532">
        <f>IF(INDEX(P_Status,ROW()-4)="","",TRIM(UPPER(INDEX(P_Status,ROW()-4))))</f>
        <v/>
      </c>
      <c r="G4532">
        <f>IF(INDEX(L_Status,ROW()-4)="","",TRIM(UPPER(INDEX(L_Status,ROW()-4))))</f>
        <v/>
      </c>
      <c r="J4532">
        <f>IF(INDEX(L_ID,ROW()-4)="","",IF(SUMPRODUCT((P_ID=INDEX(L_ID,ROW()-4))*(P_StatusN="INACTIVE"))&gt;0,1,0))</f>
        <v/>
      </c>
    </row>
    <row r="4533">
      <c r="A4533">
        <f>IF(INDEX(L_ID,ROW()-4)="","",IF(COUNTIF(P_ID,INDEX(L_ID,ROW()-4))&gt;0,1,0))</f>
        <v/>
      </c>
      <c r="B4533">
        <f>IF(INDEX(P_Type,ROW()-4)="","",TRIM(UPPER(INDEX(P_Type,ROW()-4))))</f>
        <v/>
      </c>
      <c r="D4533">
        <f>IF(INDEX(L_Type,ROW()-4)="","",TRIM(UPPER(INDEX(L_Type,ROW()-4))))</f>
        <v/>
      </c>
      <c r="E4533">
        <f>IF(INDEX(P_Status,ROW()-4)="","",TRIM(UPPER(INDEX(P_Status,ROW()-4))))</f>
        <v/>
      </c>
      <c r="G4533">
        <f>IF(INDEX(L_Status,ROW()-4)="","",TRIM(UPPER(INDEX(L_Status,ROW()-4))))</f>
        <v/>
      </c>
      <c r="J4533">
        <f>IF(INDEX(L_ID,ROW()-4)="","",IF(SUMPRODUCT((P_ID=INDEX(L_ID,ROW()-4))*(P_StatusN="INACTIVE"))&gt;0,1,0))</f>
        <v/>
      </c>
    </row>
    <row r="4534">
      <c r="A4534">
        <f>IF(INDEX(L_ID,ROW()-4)="","",IF(COUNTIF(P_ID,INDEX(L_ID,ROW()-4))&gt;0,1,0))</f>
        <v/>
      </c>
      <c r="B4534">
        <f>IF(INDEX(P_Type,ROW()-4)="","",TRIM(UPPER(INDEX(P_Type,ROW()-4))))</f>
        <v/>
      </c>
      <c r="D4534">
        <f>IF(INDEX(L_Type,ROW()-4)="","",TRIM(UPPER(INDEX(L_Type,ROW()-4))))</f>
        <v/>
      </c>
      <c r="E4534">
        <f>IF(INDEX(P_Status,ROW()-4)="","",TRIM(UPPER(INDEX(P_Status,ROW()-4))))</f>
        <v/>
      </c>
      <c r="G4534">
        <f>IF(INDEX(L_Status,ROW()-4)="","",TRIM(UPPER(INDEX(L_Status,ROW()-4))))</f>
        <v/>
      </c>
      <c r="J4534">
        <f>IF(INDEX(L_ID,ROW()-4)="","",IF(SUMPRODUCT((P_ID=INDEX(L_ID,ROW()-4))*(P_StatusN="INACTIVE"))&gt;0,1,0))</f>
        <v/>
      </c>
    </row>
    <row r="4535">
      <c r="A4535">
        <f>IF(INDEX(L_ID,ROW()-4)="","",IF(COUNTIF(P_ID,INDEX(L_ID,ROW()-4))&gt;0,1,0))</f>
        <v/>
      </c>
      <c r="B4535">
        <f>IF(INDEX(P_Type,ROW()-4)="","",TRIM(UPPER(INDEX(P_Type,ROW()-4))))</f>
        <v/>
      </c>
      <c r="D4535">
        <f>IF(INDEX(L_Type,ROW()-4)="","",TRIM(UPPER(INDEX(L_Type,ROW()-4))))</f>
        <v/>
      </c>
      <c r="E4535">
        <f>IF(INDEX(P_Status,ROW()-4)="","",TRIM(UPPER(INDEX(P_Status,ROW()-4))))</f>
        <v/>
      </c>
      <c r="G4535">
        <f>IF(INDEX(L_Status,ROW()-4)="","",TRIM(UPPER(INDEX(L_Status,ROW()-4))))</f>
        <v/>
      </c>
      <c r="J4535">
        <f>IF(INDEX(L_ID,ROW()-4)="","",IF(SUMPRODUCT((P_ID=INDEX(L_ID,ROW()-4))*(P_StatusN="INACTIVE"))&gt;0,1,0))</f>
        <v/>
      </c>
    </row>
    <row r="4536">
      <c r="A4536">
        <f>IF(INDEX(L_ID,ROW()-4)="","",IF(COUNTIF(P_ID,INDEX(L_ID,ROW()-4))&gt;0,1,0))</f>
        <v/>
      </c>
      <c r="B4536">
        <f>IF(INDEX(P_Type,ROW()-4)="","",TRIM(UPPER(INDEX(P_Type,ROW()-4))))</f>
        <v/>
      </c>
      <c r="D4536">
        <f>IF(INDEX(L_Type,ROW()-4)="","",TRIM(UPPER(INDEX(L_Type,ROW()-4))))</f>
        <v/>
      </c>
      <c r="E4536">
        <f>IF(INDEX(P_Status,ROW()-4)="","",TRIM(UPPER(INDEX(P_Status,ROW()-4))))</f>
        <v/>
      </c>
      <c r="G4536">
        <f>IF(INDEX(L_Status,ROW()-4)="","",TRIM(UPPER(INDEX(L_Status,ROW()-4))))</f>
        <v/>
      </c>
      <c r="J4536">
        <f>IF(INDEX(L_ID,ROW()-4)="","",IF(SUMPRODUCT((P_ID=INDEX(L_ID,ROW()-4))*(P_StatusN="INACTIVE"))&gt;0,1,0))</f>
        <v/>
      </c>
    </row>
    <row r="4537">
      <c r="A4537">
        <f>IF(INDEX(L_ID,ROW()-4)="","",IF(COUNTIF(P_ID,INDEX(L_ID,ROW()-4))&gt;0,1,0))</f>
        <v/>
      </c>
      <c r="B4537">
        <f>IF(INDEX(P_Type,ROW()-4)="","",TRIM(UPPER(INDEX(P_Type,ROW()-4))))</f>
        <v/>
      </c>
      <c r="D4537">
        <f>IF(INDEX(L_Type,ROW()-4)="","",TRIM(UPPER(INDEX(L_Type,ROW()-4))))</f>
        <v/>
      </c>
      <c r="E4537">
        <f>IF(INDEX(P_Status,ROW()-4)="","",TRIM(UPPER(INDEX(P_Status,ROW()-4))))</f>
        <v/>
      </c>
      <c r="G4537">
        <f>IF(INDEX(L_Status,ROW()-4)="","",TRIM(UPPER(INDEX(L_Status,ROW()-4))))</f>
        <v/>
      </c>
      <c r="J4537">
        <f>IF(INDEX(L_ID,ROW()-4)="","",IF(SUMPRODUCT((P_ID=INDEX(L_ID,ROW()-4))*(P_StatusN="INACTIVE"))&gt;0,1,0))</f>
        <v/>
      </c>
    </row>
    <row r="4538">
      <c r="A4538">
        <f>IF(INDEX(L_ID,ROW()-4)="","",IF(COUNTIF(P_ID,INDEX(L_ID,ROW()-4))&gt;0,1,0))</f>
        <v/>
      </c>
      <c r="B4538">
        <f>IF(INDEX(P_Type,ROW()-4)="","",TRIM(UPPER(INDEX(P_Type,ROW()-4))))</f>
        <v/>
      </c>
      <c r="D4538">
        <f>IF(INDEX(L_Type,ROW()-4)="","",TRIM(UPPER(INDEX(L_Type,ROW()-4))))</f>
        <v/>
      </c>
      <c r="E4538">
        <f>IF(INDEX(P_Status,ROW()-4)="","",TRIM(UPPER(INDEX(P_Status,ROW()-4))))</f>
        <v/>
      </c>
      <c r="G4538">
        <f>IF(INDEX(L_Status,ROW()-4)="","",TRIM(UPPER(INDEX(L_Status,ROW()-4))))</f>
        <v/>
      </c>
      <c r="J4538">
        <f>IF(INDEX(L_ID,ROW()-4)="","",IF(SUMPRODUCT((P_ID=INDEX(L_ID,ROW()-4))*(P_StatusN="INACTIVE"))&gt;0,1,0))</f>
        <v/>
      </c>
    </row>
    <row r="4539">
      <c r="A4539">
        <f>IF(INDEX(L_ID,ROW()-4)="","",IF(COUNTIF(P_ID,INDEX(L_ID,ROW()-4))&gt;0,1,0))</f>
        <v/>
      </c>
      <c r="B4539">
        <f>IF(INDEX(P_Type,ROW()-4)="","",TRIM(UPPER(INDEX(P_Type,ROW()-4))))</f>
        <v/>
      </c>
      <c r="D4539">
        <f>IF(INDEX(L_Type,ROW()-4)="","",TRIM(UPPER(INDEX(L_Type,ROW()-4))))</f>
        <v/>
      </c>
      <c r="E4539">
        <f>IF(INDEX(P_Status,ROW()-4)="","",TRIM(UPPER(INDEX(P_Status,ROW()-4))))</f>
        <v/>
      </c>
      <c r="G4539">
        <f>IF(INDEX(L_Status,ROW()-4)="","",TRIM(UPPER(INDEX(L_Status,ROW()-4))))</f>
        <v/>
      </c>
      <c r="J4539">
        <f>IF(INDEX(L_ID,ROW()-4)="","",IF(SUMPRODUCT((P_ID=INDEX(L_ID,ROW()-4))*(P_StatusN="INACTIVE"))&gt;0,1,0))</f>
        <v/>
      </c>
    </row>
    <row r="4540">
      <c r="A4540">
        <f>IF(INDEX(L_ID,ROW()-4)="","",IF(COUNTIF(P_ID,INDEX(L_ID,ROW()-4))&gt;0,1,0))</f>
        <v/>
      </c>
      <c r="B4540">
        <f>IF(INDEX(P_Type,ROW()-4)="","",TRIM(UPPER(INDEX(P_Type,ROW()-4))))</f>
        <v/>
      </c>
      <c r="D4540">
        <f>IF(INDEX(L_Type,ROW()-4)="","",TRIM(UPPER(INDEX(L_Type,ROW()-4))))</f>
        <v/>
      </c>
      <c r="E4540">
        <f>IF(INDEX(P_Status,ROW()-4)="","",TRIM(UPPER(INDEX(P_Status,ROW()-4))))</f>
        <v/>
      </c>
      <c r="G4540">
        <f>IF(INDEX(L_Status,ROW()-4)="","",TRIM(UPPER(INDEX(L_Status,ROW()-4))))</f>
        <v/>
      </c>
      <c r="J4540">
        <f>IF(INDEX(L_ID,ROW()-4)="","",IF(SUMPRODUCT((P_ID=INDEX(L_ID,ROW()-4))*(P_StatusN="INACTIVE"))&gt;0,1,0))</f>
        <v/>
      </c>
    </row>
    <row r="4541">
      <c r="A4541">
        <f>IF(INDEX(L_ID,ROW()-4)="","",IF(COUNTIF(P_ID,INDEX(L_ID,ROW()-4))&gt;0,1,0))</f>
        <v/>
      </c>
      <c r="B4541">
        <f>IF(INDEX(P_Type,ROW()-4)="","",TRIM(UPPER(INDEX(P_Type,ROW()-4))))</f>
        <v/>
      </c>
      <c r="D4541">
        <f>IF(INDEX(L_Type,ROW()-4)="","",TRIM(UPPER(INDEX(L_Type,ROW()-4))))</f>
        <v/>
      </c>
      <c r="E4541">
        <f>IF(INDEX(P_Status,ROW()-4)="","",TRIM(UPPER(INDEX(P_Status,ROW()-4))))</f>
        <v/>
      </c>
      <c r="G4541">
        <f>IF(INDEX(L_Status,ROW()-4)="","",TRIM(UPPER(INDEX(L_Status,ROW()-4))))</f>
        <v/>
      </c>
      <c r="J4541">
        <f>IF(INDEX(L_ID,ROW()-4)="","",IF(SUMPRODUCT((P_ID=INDEX(L_ID,ROW()-4))*(P_StatusN="INACTIVE"))&gt;0,1,0))</f>
        <v/>
      </c>
    </row>
    <row r="4542">
      <c r="A4542">
        <f>IF(INDEX(L_ID,ROW()-4)="","",IF(COUNTIF(P_ID,INDEX(L_ID,ROW()-4))&gt;0,1,0))</f>
        <v/>
      </c>
      <c r="B4542">
        <f>IF(INDEX(P_Type,ROW()-4)="","",TRIM(UPPER(INDEX(P_Type,ROW()-4))))</f>
        <v/>
      </c>
      <c r="D4542">
        <f>IF(INDEX(L_Type,ROW()-4)="","",TRIM(UPPER(INDEX(L_Type,ROW()-4))))</f>
        <v/>
      </c>
      <c r="E4542">
        <f>IF(INDEX(P_Status,ROW()-4)="","",TRIM(UPPER(INDEX(P_Status,ROW()-4))))</f>
        <v/>
      </c>
      <c r="G4542">
        <f>IF(INDEX(L_Status,ROW()-4)="","",TRIM(UPPER(INDEX(L_Status,ROW()-4))))</f>
        <v/>
      </c>
      <c r="J4542">
        <f>IF(INDEX(L_ID,ROW()-4)="","",IF(SUMPRODUCT((P_ID=INDEX(L_ID,ROW()-4))*(P_StatusN="INACTIVE"))&gt;0,1,0))</f>
        <v/>
      </c>
    </row>
    <row r="4543">
      <c r="A4543">
        <f>IF(INDEX(L_ID,ROW()-4)="","",IF(COUNTIF(P_ID,INDEX(L_ID,ROW()-4))&gt;0,1,0))</f>
        <v/>
      </c>
      <c r="B4543">
        <f>IF(INDEX(P_Type,ROW()-4)="","",TRIM(UPPER(INDEX(P_Type,ROW()-4))))</f>
        <v/>
      </c>
      <c r="D4543">
        <f>IF(INDEX(L_Type,ROW()-4)="","",TRIM(UPPER(INDEX(L_Type,ROW()-4))))</f>
        <v/>
      </c>
      <c r="E4543">
        <f>IF(INDEX(P_Status,ROW()-4)="","",TRIM(UPPER(INDEX(P_Status,ROW()-4))))</f>
        <v/>
      </c>
      <c r="G4543">
        <f>IF(INDEX(L_Status,ROW()-4)="","",TRIM(UPPER(INDEX(L_Status,ROW()-4))))</f>
        <v/>
      </c>
      <c r="J4543">
        <f>IF(INDEX(L_ID,ROW()-4)="","",IF(SUMPRODUCT((P_ID=INDEX(L_ID,ROW()-4))*(P_StatusN="INACTIVE"))&gt;0,1,0))</f>
        <v/>
      </c>
    </row>
    <row r="4544">
      <c r="A4544">
        <f>IF(INDEX(L_ID,ROW()-4)="","",IF(COUNTIF(P_ID,INDEX(L_ID,ROW()-4))&gt;0,1,0))</f>
        <v/>
      </c>
      <c r="B4544">
        <f>IF(INDEX(P_Type,ROW()-4)="","",TRIM(UPPER(INDEX(P_Type,ROW()-4))))</f>
        <v/>
      </c>
      <c r="D4544">
        <f>IF(INDEX(L_Type,ROW()-4)="","",TRIM(UPPER(INDEX(L_Type,ROW()-4))))</f>
        <v/>
      </c>
      <c r="E4544">
        <f>IF(INDEX(P_Status,ROW()-4)="","",TRIM(UPPER(INDEX(P_Status,ROW()-4))))</f>
        <v/>
      </c>
      <c r="G4544">
        <f>IF(INDEX(L_Status,ROW()-4)="","",TRIM(UPPER(INDEX(L_Status,ROW()-4))))</f>
        <v/>
      </c>
      <c r="J4544">
        <f>IF(INDEX(L_ID,ROW()-4)="","",IF(SUMPRODUCT((P_ID=INDEX(L_ID,ROW()-4))*(P_StatusN="INACTIVE"))&gt;0,1,0))</f>
        <v/>
      </c>
    </row>
    <row r="4545">
      <c r="A4545">
        <f>IF(INDEX(L_ID,ROW()-4)="","",IF(COUNTIF(P_ID,INDEX(L_ID,ROW()-4))&gt;0,1,0))</f>
        <v/>
      </c>
      <c r="B4545">
        <f>IF(INDEX(P_Type,ROW()-4)="","",TRIM(UPPER(INDEX(P_Type,ROW()-4))))</f>
        <v/>
      </c>
      <c r="D4545">
        <f>IF(INDEX(L_Type,ROW()-4)="","",TRIM(UPPER(INDEX(L_Type,ROW()-4))))</f>
        <v/>
      </c>
      <c r="E4545">
        <f>IF(INDEX(P_Status,ROW()-4)="","",TRIM(UPPER(INDEX(P_Status,ROW()-4))))</f>
        <v/>
      </c>
      <c r="G4545">
        <f>IF(INDEX(L_Status,ROW()-4)="","",TRIM(UPPER(INDEX(L_Status,ROW()-4))))</f>
        <v/>
      </c>
      <c r="J4545">
        <f>IF(INDEX(L_ID,ROW()-4)="","",IF(SUMPRODUCT((P_ID=INDEX(L_ID,ROW()-4))*(P_StatusN="INACTIVE"))&gt;0,1,0))</f>
        <v/>
      </c>
    </row>
    <row r="4546">
      <c r="A4546">
        <f>IF(INDEX(L_ID,ROW()-4)="","",IF(COUNTIF(P_ID,INDEX(L_ID,ROW()-4))&gt;0,1,0))</f>
        <v/>
      </c>
      <c r="B4546">
        <f>IF(INDEX(P_Type,ROW()-4)="","",TRIM(UPPER(INDEX(P_Type,ROW()-4))))</f>
        <v/>
      </c>
      <c r="D4546">
        <f>IF(INDEX(L_Type,ROW()-4)="","",TRIM(UPPER(INDEX(L_Type,ROW()-4))))</f>
        <v/>
      </c>
      <c r="E4546">
        <f>IF(INDEX(P_Status,ROW()-4)="","",TRIM(UPPER(INDEX(P_Status,ROW()-4))))</f>
        <v/>
      </c>
      <c r="G4546">
        <f>IF(INDEX(L_Status,ROW()-4)="","",TRIM(UPPER(INDEX(L_Status,ROW()-4))))</f>
        <v/>
      </c>
      <c r="J4546">
        <f>IF(INDEX(L_ID,ROW()-4)="","",IF(SUMPRODUCT((P_ID=INDEX(L_ID,ROW()-4))*(P_StatusN="INACTIVE"))&gt;0,1,0))</f>
        <v/>
      </c>
    </row>
    <row r="4547">
      <c r="A4547">
        <f>IF(INDEX(L_ID,ROW()-4)="","",IF(COUNTIF(P_ID,INDEX(L_ID,ROW()-4))&gt;0,1,0))</f>
        <v/>
      </c>
      <c r="B4547">
        <f>IF(INDEX(P_Type,ROW()-4)="","",TRIM(UPPER(INDEX(P_Type,ROW()-4))))</f>
        <v/>
      </c>
      <c r="D4547">
        <f>IF(INDEX(L_Type,ROW()-4)="","",TRIM(UPPER(INDEX(L_Type,ROW()-4))))</f>
        <v/>
      </c>
      <c r="E4547">
        <f>IF(INDEX(P_Status,ROW()-4)="","",TRIM(UPPER(INDEX(P_Status,ROW()-4))))</f>
        <v/>
      </c>
      <c r="G4547">
        <f>IF(INDEX(L_Status,ROW()-4)="","",TRIM(UPPER(INDEX(L_Status,ROW()-4))))</f>
        <v/>
      </c>
      <c r="J4547">
        <f>IF(INDEX(L_ID,ROW()-4)="","",IF(SUMPRODUCT((P_ID=INDEX(L_ID,ROW()-4))*(P_StatusN="INACTIVE"))&gt;0,1,0))</f>
        <v/>
      </c>
    </row>
    <row r="4548">
      <c r="A4548">
        <f>IF(INDEX(L_ID,ROW()-4)="","",IF(COUNTIF(P_ID,INDEX(L_ID,ROW()-4))&gt;0,1,0))</f>
        <v/>
      </c>
      <c r="B4548">
        <f>IF(INDEX(P_Type,ROW()-4)="","",TRIM(UPPER(INDEX(P_Type,ROW()-4))))</f>
        <v/>
      </c>
      <c r="D4548">
        <f>IF(INDEX(L_Type,ROW()-4)="","",TRIM(UPPER(INDEX(L_Type,ROW()-4))))</f>
        <v/>
      </c>
      <c r="E4548">
        <f>IF(INDEX(P_Status,ROW()-4)="","",TRIM(UPPER(INDEX(P_Status,ROW()-4))))</f>
        <v/>
      </c>
      <c r="G4548">
        <f>IF(INDEX(L_Status,ROW()-4)="","",TRIM(UPPER(INDEX(L_Status,ROW()-4))))</f>
        <v/>
      </c>
      <c r="J4548">
        <f>IF(INDEX(L_ID,ROW()-4)="","",IF(SUMPRODUCT((P_ID=INDEX(L_ID,ROW()-4))*(P_StatusN="INACTIVE"))&gt;0,1,0))</f>
        <v/>
      </c>
    </row>
    <row r="4549">
      <c r="A4549">
        <f>IF(INDEX(L_ID,ROW()-4)="","",IF(COUNTIF(P_ID,INDEX(L_ID,ROW()-4))&gt;0,1,0))</f>
        <v/>
      </c>
      <c r="B4549">
        <f>IF(INDEX(P_Type,ROW()-4)="","",TRIM(UPPER(INDEX(P_Type,ROW()-4))))</f>
        <v/>
      </c>
      <c r="D4549">
        <f>IF(INDEX(L_Type,ROW()-4)="","",TRIM(UPPER(INDEX(L_Type,ROW()-4))))</f>
        <v/>
      </c>
      <c r="E4549">
        <f>IF(INDEX(P_Status,ROW()-4)="","",TRIM(UPPER(INDEX(P_Status,ROW()-4))))</f>
        <v/>
      </c>
      <c r="G4549">
        <f>IF(INDEX(L_Status,ROW()-4)="","",TRIM(UPPER(INDEX(L_Status,ROW()-4))))</f>
        <v/>
      </c>
      <c r="J4549">
        <f>IF(INDEX(L_ID,ROW()-4)="","",IF(SUMPRODUCT((P_ID=INDEX(L_ID,ROW()-4))*(P_StatusN="INACTIVE"))&gt;0,1,0))</f>
        <v/>
      </c>
    </row>
    <row r="4550">
      <c r="A4550">
        <f>IF(INDEX(L_ID,ROW()-4)="","",IF(COUNTIF(P_ID,INDEX(L_ID,ROW()-4))&gt;0,1,0))</f>
        <v/>
      </c>
      <c r="B4550">
        <f>IF(INDEX(P_Type,ROW()-4)="","",TRIM(UPPER(INDEX(P_Type,ROW()-4))))</f>
        <v/>
      </c>
      <c r="D4550">
        <f>IF(INDEX(L_Type,ROW()-4)="","",TRIM(UPPER(INDEX(L_Type,ROW()-4))))</f>
        <v/>
      </c>
      <c r="E4550">
        <f>IF(INDEX(P_Status,ROW()-4)="","",TRIM(UPPER(INDEX(P_Status,ROW()-4))))</f>
        <v/>
      </c>
      <c r="G4550">
        <f>IF(INDEX(L_Status,ROW()-4)="","",TRIM(UPPER(INDEX(L_Status,ROW()-4))))</f>
        <v/>
      </c>
      <c r="J4550">
        <f>IF(INDEX(L_ID,ROW()-4)="","",IF(SUMPRODUCT((P_ID=INDEX(L_ID,ROW()-4))*(P_StatusN="INACTIVE"))&gt;0,1,0))</f>
        <v/>
      </c>
    </row>
    <row r="4551">
      <c r="A4551">
        <f>IF(INDEX(L_ID,ROW()-4)="","",IF(COUNTIF(P_ID,INDEX(L_ID,ROW()-4))&gt;0,1,0))</f>
        <v/>
      </c>
      <c r="B4551">
        <f>IF(INDEX(P_Type,ROW()-4)="","",TRIM(UPPER(INDEX(P_Type,ROW()-4))))</f>
        <v/>
      </c>
      <c r="D4551">
        <f>IF(INDEX(L_Type,ROW()-4)="","",TRIM(UPPER(INDEX(L_Type,ROW()-4))))</f>
        <v/>
      </c>
      <c r="E4551">
        <f>IF(INDEX(P_Status,ROW()-4)="","",TRIM(UPPER(INDEX(P_Status,ROW()-4))))</f>
        <v/>
      </c>
      <c r="G4551">
        <f>IF(INDEX(L_Status,ROW()-4)="","",TRIM(UPPER(INDEX(L_Status,ROW()-4))))</f>
        <v/>
      </c>
      <c r="J4551">
        <f>IF(INDEX(L_ID,ROW()-4)="","",IF(SUMPRODUCT((P_ID=INDEX(L_ID,ROW()-4))*(P_StatusN="INACTIVE"))&gt;0,1,0))</f>
        <v/>
      </c>
    </row>
    <row r="4552">
      <c r="A4552">
        <f>IF(INDEX(L_ID,ROW()-4)="","",IF(COUNTIF(P_ID,INDEX(L_ID,ROW()-4))&gt;0,1,0))</f>
        <v/>
      </c>
      <c r="B4552">
        <f>IF(INDEX(P_Type,ROW()-4)="","",TRIM(UPPER(INDEX(P_Type,ROW()-4))))</f>
        <v/>
      </c>
      <c r="D4552">
        <f>IF(INDEX(L_Type,ROW()-4)="","",TRIM(UPPER(INDEX(L_Type,ROW()-4))))</f>
        <v/>
      </c>
      <c r="E4552">
        <f>IF(INDEX(P_Status,ROW()-4)="","",TRIM(UPPER(INDEX(P_Status,ROW()-4))))</f>
        <v/>
      </c>
      <c r="G4552">
        <f>IF(INDEX(L_Status,ROW()-4)="","",TRIM(UPPER(INDEX(L_Status,ROW()-4))))</f>
        <v/>
      </c>
      <c r="J4552">
        <f>IF(INDEX(L_ID,ROW()-4)="","",IF(SUMPRODUCT((P_ID=INDEX(L_ID,ROW()-4))*(P_StatusN="INACTIVE"))&gt;0,1,0))</f>
        <v/>
      </c>
    </row>
    <row r="4553">
      <c r="A4553">
        <f>IF(INDEX(L_ID,ROW()-4)="","",IF(COUNTIF(P_ID,INDEX(L_ID,ROW()-4))&gt;0,1,0))</f>
        <v/>
      </c>
      <c r="B4553">
        <f>IF(INDEX(P_Type,ROW()-4)="","",TRIM(UPPER(INDEX(P_Type,ROW()-4))))</f>
        <v/>
      </c>
      <c r="D4553">
        <f>IF(INDEX(L_Type,ROW()-4)="","",TRIM(UPPER(INDEX(L_Type,ROW()-4))))</f>
        <v/>
      </c>
      <c r="E4553">
        <f>IF(INDEX(P_Status,ROW()-4)="","",TRIM(UPPER(INDEX(P_Status,ROW()-4))))</f>
        <v/>
      </c>
      <c r="G4553">
        <f>IF(INDEX(L_Status,ROW()-4)="","",TRIM(UPPER(INDEX(L_Status,ROW()-4))))</f>
        <v/>
      </c>
      <c r="J4553">
        <f>IF(INDEX(L_ID,ROW()-4)="","",IF(SUMPRODUCT((P_ID=INDEX(L_ID,ROW()-4))*(P_StatusN="INACTIVE"))&gt;0,1,0))</f>
        <v/>
      </c>
    </row>
    <row r="4554">
      <c r="A4554">
        <f>IF(INDEX(L_ID,ROW()-4)="","",IF(COUNTIF(P_ID,INDEX(L_ID,ROW()-4))&gt;0,1,0))</f>
        <v/>
      </c>
      <c r="B4554">
        <f>IF(INDEX(P_Type,ROW()-4)="","",TRIM(UPPER(INDEX(P_Type,ROW()-4))))</f>
        <v/>
      </c>
      <c r="D4554">
        <f>IF(INDEX(L_Type,ROW()-4)="","",TRIM(UPPER(INDEX(L_Type,ROW()-4))))</f>
        <v/>
      </c>
      <c r="E4554">
        <f>IF(INDEX(P_Status,ROW()-4)="","",TRIM(UPPER(INDEX(P_Status,ROW()-4))))</f>
        <v/>
      </c>
      <c r="G4554">
        <f>IF(INDEX(L_Status,ROW()-4)="","",TRIM(UPPER(INDEX(L_Status,ROW()-4))))</f>
        <v/>
      </c>
      <c r="J4554">
        <f>IF(INDEX(L_ID,ROW()-4)="","",IF(SUMPRODUCT((P_ID=INDEX(L_ID,ROW()-4))*(P_StatusN="INACTIVE"))&gt;0,1,0))</f>
        <v/>
      </c>
    </row>
    <row r="4555">
      <c r="A4555">
        <f>IF(INDEX(L_ID,ROW()-4)="","",IF(COUNTIF(P_ID,INDEX(L_ID,ROW()-4))&gt;0,1,0))</f>
        <v/>
      </c>
      <c r="B4555">
        <f>IF(INDEX(P_Type,ROW()-4)="","",TRIM(UPPER(INDEX(P_Type,ROW()-4))))</f>
        <v/>
      </c>
      <c r="D4555">
        <f>IF(INDEX(L_Type,ROW()-4)="","",TRIM(UPPER(INDEX(L_Type,ROW()-4))))</f>
        <v/>
      </c>
      <c r="E4555">
        <f>IF(INDEX(P_Status,ROW()-4)="","",TRIM(UPPER(INDEX(P_Status,ROW()-4))))</f>
        <v/>
      </c>
      <c r="G4555">
        <f>IF(INDEX(L_Status,ROW()-4)="","",TRIM(UPPER(INDEX(L_Status,ROW()-4))))</f>
        <v/>
      </c>
      <c r="J4555">
        <f>IF(INDEX(L_ID,ROW()-4)="","",IF(SUMPRODUCT((P_ID=INDEX(L_ID,ROW()-4))*(P_StatusN="INACTIVE"))&gt;0,1,0))</f>
        <v/>
      </c>
    </row>
    <row r="4556">
      <c r="A4556">
        <f>IF(INDEX(L_ID,ROW()-4)="","",IF(COUNTIF(P_ID,INDEX(L_ID,ROW()-4))&gt;0,1,0))</f>
        <v/>
      </c>
      <c r="B4556">
        <f>IF(INDEX(P_Type,ROW()-4)="","",TRIM(UPPER(INDEX(P_Type,ROW()-4))))</f>
        <v/>
      </c>
      <c r="D4556">
        <f>IF(INDEX(L_Type,ROW()-4)="","",TRIM(UPPER(INDEX(L_Type,ROW()-4))))</f>
        <v/>
      </c>
      <c r="E4556">
        <f>IF(INDEX(P_Status,ROW()-4)="","",TRIM(UPPER(INDEX(P_Status,ROW()-4))))</f>
        <v/>
      </c>
      <c r="G4556">
        <f>IF(INDEX(L_Status,ROW()-4)="","",TRIM(UPPER(INDEX(L_Status,ROW()-4))))</f>
        <v/>
      </c>
      <c r="J4556">
        <f>IF(INDEX(L_ID,ROW()-4)="","",IF(SUMPRODUCT((P_ID=INDEX(L_ID,ROW()-4))*(P_StatusN="INACTIVE"))&gt;0,1,0))</f>
        <v/>
      </c>
    </row>
    <row r="4557">
      <c r="A4557">
        <f>IF(INDEX(L_ID,ROW()-4)="","",IF(COUNTIF(P_ID,INDEX(L_ID,ROW()-4))&gt;0,1,0))</f>
        <v/>
      </c>
      <c r="B4557">
        <f>IF(INDEX(P_Type,ROW()-4)="","",TRIM(UPPER(INDEX(P_Type,ROW()-4))))</f>
        <v/>
      </c>
      <c r="D4557">
        <f>IF(INDEX(L_Type,ROW()-4)="","",TRIM(UPPER(INDEX(L_Type,ROW()-4))))</f>
        <v/>
      </c>
      <c r="E4557">
        <f>IF(INDEX(P_Status,ROW()-4)="","",TRIM(UPPER(INDEX(P_Status,ROW()-4))))</f>
        <v/>
      </c>
      <c r="G4557">
        <f>IF(INDEX(L_Status,ROW()-4)="","",TRIM(UPPER(INDEX(L_Status,ROW()-4))))</f>
        <v/>
      </c>
      <c r="J4557">
        <f>IF(INDEX(L_ID,ROW()-4)="","",IF(SUMPRODUCT((P_ID=INDEX(L_ID,ROW()-4))*(P_StatusN="INACTIVE"))&gt;0,1,0))</f>
        <v/>
      </c>
    </row>
    <row r="4558">
      <c r="A4558">
        <f>IF(INDEX(L_ID,ROW()-4)="","",IF(COUNTIF(P_ID,INDEX(L_ID,ROW()-4))&gt;0,1,0))</f>
        <v/>
      </c>
      <c r="B4558">
        <f>IF(INDEX(P_Type,ROW()-4)="","",TRIM(UPPER(INDEX(P_Type,ROW()-4))))</f>
        <v/>
      </c>
      <c r="D4558">
        <f>IF(INDEX(L_Type,ROW()-4)="","",TRIM(UPPER(INDEX(L_Type,ROW()-4))))</f>
        <v/>
      </c>
      <c r="E4558">
        <f>IF(INDEX(P_Status,ROW()-4)="","",TRIM(UPPER(INDEX(P_Status,ROW()-4))))</f>
        <v/>
      </c>
      <c r="G4558">
        <f>IF(INDEX(L_Status,ROW()-4)="","",TRIM(UPPER(INDEX(L_Status,ROW()-4))))</f>
        <v/>
      </c>
      <c r="J4558">
        <f>IF(INDEX(L_ID,ROW()-4)="","",IF(SUMPRODUCT((P_ID=INDEX(L_ID,ROW()-4))*(P_StatusN="INACTIVE"))&gt;0,1,0))</f>
        <v/>
      </c>
    </row>
    <row r="4559">
      <c r="A4559">
        <f>IF(INDEX(L_ID,ROW()-4)="","",IF(COUNTIF(P_ID,INDEX(L_ID,ROW()-4))&gt;0,1,0))</f>
        <v/>
      </c>
      <c r="B4559">
        <f>IF(INDEX(P_Type,ROW()-4)="","",TRIM(UPPER(INDEX(P_Type,ROW()-4))))</f>
        <v/>
      </c>
      <c r="D4559">
        <f>IF(INDEX(L_Type,ROW()-4)="","",TRIM(UPPER(INDEX(L_Type,ROW()-4))))</f>
        <v/>
      </c>
      <c r="E4559">
        <f>IF(INDEX(P_Status,ROW()-4)="","",TRIM(UPPER(INDEX(P_Status,ROW()-4))))</f>
        <v/>
      </c>
      <c r="G4559">
        <f>IF(INDEX(L_Status,ROW()-4)="","",TRIM(UPPER(INDEX(L_Status,ROW()-4))))</f>
        <v/>
      </c>
      <c r="J4559">
        <f>IF(INDEX(L_ID,ROW()-4)="","",IF(SUMPRODUCT((P_ID=INDEX(L_ID,ROW()-4))*(P_StatusN="INACTIVE"))&gt;0,1,0))</f>
        <v/>
      </c>
    </row>
    <row r="4560">
      <c r="A4560">
        <f>IF(INDEX(L_ID,ROW()-4)="","",IF(COUNTIF(P_ID,INDEX(L_ID,ROW()-4))&gt;0,1,0))</f>
        <v/>
      </c>
      <c r="B4560">
        <f>IF(INDEX(P_Type,ROW()-4)="","",TRIM(UPPER(INDEX(P_Type,ROW()-4))))</f>
        <v/>
      </c>
      <c r="D4560">
        <f>IF(INDEX(L_Type,ROW()-4)="","",TRIM(UPPER(INDEX(L_Type,ROW()-4))))</f>
        <v/>
      </c>
      <c r="E4560">
        <f>IF(INDEX(P_Status,ROW()-4)="","",TRIM(UPPER(INDEX(P_Status,ROW()-4))))</f>
        <v/>
      </c>
      <c r="G4560">
        <f>IF(INDEX(L_Status,ROW()-4)="","",TRIM(UPPER(INDEX(L_Status,ROW()-4))))</f>
        <v/>
      </c>
      <c r="J4560">
        <f>IF(INDEX(L_ID,ROW()-4)="","",IF(SUMPRODUCT((P_ID=INDEX(L_ID,ROW()-4))*(P_StatusN="INACTIVE"))&gt;0,1,0))</f>
        <v/>
      </c>
    </row>
    <row r="4561">
      <c r="A4561">
        <f>IF(INDEX(L_ID,ROW()-4)="","",IF(COUNTIF(P_ID,INDEX(L_ID,ROW()-4))&gt;0,1,0))</f>
        <v/>
      </c>
      <c r="B4561">
        <f>IF(INDEX(P_Type,ROW()-4)="","",TRIM(UPPER(INDEX(P_Type,ROW()-4))))</f>
        <v/>
      </c>
      <c r="D4561">
        <f>IF(INDEX(L_Type,ROW()-4)="","",TRIM(UPPER(INDEX(L_Type,ROW()-4))))</f>
        <v/>
      </c>
      <c r="E4561">
        <f>IF(INDEX(P_Status,ROW()-4)="","",TRIM(UPPER(INDEX(P_Status,ROW()-4))))</f>
        <v/>
      </c>
      <c r="G4561">
        <f>IF(INDEX(L_Status,ROW()-4)="","",TRIM(UPPER(INDEX(L_Status,ROW()-4))))</f>
        <v/>
      </c>
      <c r="J4561">
        <f>IF(INDEX(L_ID,ROW()-4)="","",IF(SUMPRODUCT((P_ID=INDEX(L_ID,ROW()-4))*(P_StatusN="INACTIVE"))&gt;0,1,0))</f>
        <v/>
      </c>
    </row>
    <row r="4562">
      <c r="A4562">
        <f>IF(INDEX(L_ID,ROW()-4)="","",IF(COUNTIF(P_ID,INDEX(L_ID,ROW()-4))&gt;0,1,0))</f>
        <v/>
      </c>
      <c r="B4562">
        <f>IF(INDEX(P_Type,ROW()-4)="","",TRIM(UPPER(INDEX(P_Type,ROW()-4))))</f>
        <v/>
      </c>
      <c r="D4562">
        <f>IF(INDEX(L_Type,ROW()-4)="","",TRIM(UPPER(INDEX(L_Type,ROW()-4))))</f>
        <v/>
      </c>
      <c r="E4562">
        <f>IF(INDEX(P_Status,ROW()-4)="","",TRIM(UPPER(INDEX(P_Status,ROW()-4))))</f>
        <v/>
      </c>
      <c r="G4562">
        <f>IF(INDEX(L_Status,ROW()-4)="","",TRIM(UPPER(INDEX(L_Status,ROW()-4))))</f>
        <v/>
      </c>
      <c r="J4562">
        <f>IF(INDEX(L_ID,ROW()-4)="","",IF(SUMPRODUCT((P_ID=INDEX(L_ID,ROW()-4))*(P_StatusN="INACTIVE"))&gt;0,1,0))</f>
        <v/>
      </c>
    </row>
    <row r="4563">
      <c r="A4563">
        <f>IF(INDEX(L_ID,ROW()-4)="","",IF(COUNTIF(P_ID,INDEX(L_ID,ROW()-4))&gt;0,1,0))</f>
        <v/>
      </c>
      <c r="B4563">
        <f>IF(INDEX(P_Type,ROW()-4)="","",TRIM(UPPER(INDEX(P_Type,ROW()-4))))</f>
        <v/>
      </c>
      <c r="D4563">
        <f>IF(INDEX(L_Type,ROW()-4)="","",TRIM(UPPER(INDEX(L_Type,ROW()-4))))</f>
        <v/>
      </c>
      <c r="E4563">
        <f>IF(INDEX(P_Status,ROW()-4)="","",TRIM(UPPER(INDEX(P_Status,ROW()-4))))</f>
        <v/>
      </c>
      <c r="G4563">
        <f>IF(INDEX(L_Status,ROW()-4)="","",TRIM(UPPER(INDEX(L_Status,ROW()-4))))</f>
        <v/>
      </c>
      <c r="J4563">
        <f>IF(INDEX(L_ID,ROW()-4)="","",IF(SUMPRODUCT((P_ID=INDEX(L_ID,ROW()-4))*(P_StatusN="INACTIVE"))&gt;0,1,0))</f>
        <v/>
      </c>
    </row>
    <row r="4564">
      <c r="A4564">
        <f>IF(INDEX(L_ID,ROW()-4)="","",IF(COUNTIF(P_ID,INDEX(L_ID,ROW()-4))&gt;0,1,0))</f>
        <v/>
      </c>
      <c r="B4564">
        <f>IF(INDEX(P_Type,ROW()-4)="","",TRIM(UPPER(INDEX(P_Type,ROW()-4))))</f>
        <v/>
      </c>
      <c r="D4564">
        <f>IF(INDEX(L_Type,ROW()-4)="","",TRIM(UPPER(INDEX(L_Type,ROW()-4))))</f>
        <v/>
      </c>
      <c r="E4564">
        <f>IF(INDEX(P_Status,ROW()-4)="","",TRIM(UPPER(INDEX(P_Status,ROW()-4))))</f>
        <v/>
      </c>
      <c r="G4564">
        <f>IF(INDEX(L_Status,ROW()-4)="","",TRIM(UPPER(INDEX(L_Status,ROW()-4))))</f>
        <v/>
      </c>
      <c r="J4564">
        <f>IF(INDEX(L_ID,ROW()-4)="","",IF(SUMPRODUCT((P_ID=INDEX(L_ID,ROW()-4))*(P_StatusN="INACTIVE"))&gt;0,1,0))</f>
        <v/>
      </c>
    </row>
    <row r="4565">
      <c r="A4565">
        <f>IF(INDEX(L_ID,ROW()-4)="","",IF(COUNTIF(P_ID,INDEX(L_ID,ROW()-4))&gt;0,1,0))</f>
        <v/>
      </c>
      <c r="B4565">
        <f>IF(INDEX(P_Type,ROW()-4)="","",TRIM(UPPER(INDEX(P_Type,ROW()-4))))</f>
        <v/>
      </c>
      <c r="D4565">
        <f>IF(INDEX(L_Type,ROW()-4)="","",TRIM(UPPER(INDEX(L_Type,ROW()-4))))</f>
        <v/>
      </c>
      <c r="E4565">
        <f>IF(INDEX(P_Status,ROW()-4)="","",TRIM(UPPER(INDEX(P_Status,ROW()-4))))</f>
        <v/>
      </c>
      <c r="G4565">
        <f>IF(INDEX(L_Status,ROW()-4)="","",TRIM(UPPER(INDEX(L_Status,ROW()-4))))</f>
        <v/>
      </c>
      <c r="J4565">
        <f>IF(INDEX(L_ID,ROW()-4)="","",IF(SUMPRODUCT((P_ID=INDEX(L_ID,ROW()-4))*(P_StatusN="INACTIVE"))&gt;0,1,0))</f>
        <v/>
      </c>
    </row>
    <row r="4566">
      <c r="A4566">
        <f>IF(INDEX(L_ID,ROW()-4)="","",IF(COUNTIF(P_ID,INDEX(L_ID,ROW()-4))&gt;0,1,0))</f>
        <v/>
      </c>
      <c r="B4566">
        <f>IF(INDEX(P_Type,ROW()-4)="","",TRIM(UPPER(INDEX(P_Type,ROW()-4))))</f>
        <v/>
      </c>
      <c r="D4566">
        <f>IF(INDEX(L_Type,ROW()-4)="","",TRIM(UPPER(INDEX(L_Type,ROW()-4))))</f>
        <v/>
      </c>
      <c r="E4566">
        <f>IF(INDEX(P_Status,ROW()-4)="","",TRIM(UPPER(INDEX(P_Status,ROW()-4))))</f>
        <v/>
      </c>
      <c r="G4566">
        <f>IF(INDEX(L_Status,ROW()-4)="","",TRIM(UPPER(INDEX(L_Status,ROW()-4))))</f>
        <v/>
      </c>
      <c r="J4566">
        <f>IF(INDEX(L_ID,ROW()-4)="","",IF(SUMPRODUCT((P_ID=INDEX(L_ID,ROW()-4))*(P_StatusN="INACTIVE"))&gt;0,1,0))</f>
        <v/>
      </c>
    </row>
    <row r="4567">
      <c r="A4567">
        <f>IF(INDEX(L_ID,ROW()-4)="","",IF(COUNTIF(P_ID,INDEX(L_ID,ROW()-4))&gt;0,1,0))</f>
        <v/>
      </c>
      <c r="B4567">
        <f>IF(INDEX(P_Type,ROW()-4)="","",TRIM(UPPER(INDEX(P_Type,ROW()-4))))</f>
        <v/>
      </c>
      <c r="D4567">
        <f>IF(INDEX(L_Type,ROW()-4)="","",TRIM(UPPER(INDEX(L_Type,ROW()-4))))</f>
        <v/>
      </c>
      <c r="E4567">
        <f>IF(INDEX(P_Status,ROW()-4)="","",TRIM(UPPER(INDEX(P_Status,ROW()-4))))</f>
        <v/>
      </c>
      <c r="G4567">
        <f>IF(INDEX(L_Status,ROW()-4)="","",TRIM(UPPER(INDEX(L_Status,ROW()-4))))</f>
        <v/>
      </c>
      <c r="J4567">
        <f>IF(INDEX(L_ID,ROW()-4)="","",IF(SUMPRODUCT((P_ID=INDEX(L_ID,ROW()-4))*(P_StatusN="INACTIVE"))&gt;0,1,0))</f>
        <v/>
      </c>
    </row>
    <row r="4568">
      <c r="A4568">
        <f>IF(INDEX(L_ID,ROW()-4)="","",IF(COUNTIF(P_ID,INDEX(L_ID,ROW()-4))&gt;0,1,0))</f>
        <v/>
      </c>
      <c r="B4568">
        <f>IF(INDEX(P_Type,ROW()-4)="","",TRIM(UPPER(INDEX(P_Type,ROW()-4))))</f>
        <v/>
      </c>
      <c r="D4568">
        <f>IF(INDEX(L_Type,ROW()-4)="","",TRIM(UPPER(INDEX(L_Type,ROW()-4))))</f>
        <v/>
      </c>
      <c r="E4568">
        <f>IF(INDEX(P_Status,ROW()-4)="","",TRIM(UPPER(INDEX(P_Status,ROW()-4))))</f>
        <v/>
      </c>
      <c r="G4568">
        <f>IF(INDEX(L_Status,ROW()-4)="","",TRIM(UPPER(INDEX(L_Status,ROW()-4))))</f>
        <v/>
      </c>
      <c r="J4568">
        <f>IF(INDEX(L_ID,ROW()-4)="","",IF(SUMPRODUCT((P_ID=INDEX(L_ID,ROW()-4))*(P_StatusN="INACTIVE"))&gt;0,1,0))</f>
        <v/>
      </c>
    </row>
    <row r="4569">
      <c r="A4569">
        <f>IF(INDEX(L_ID,ROW()-4)="","",IF(COUNTIF(P_ID,INDEX(L_ID,ROW()-4))&gt;0,1,0))</f>
        <v/>
      </c>
      <c r="B4569">
        <f>IF(INDEX(P_Type,ROW()-4)="","",TRIM(UPPER(INDEX(P_Type,ROW()-4))))</f>
        <v/>
      </c>
      <c r="D4569">
        <f>IF(INDEX(L_Type,ROW()-4)="","",TRIM(UPPER(INDEX(L_Type,ROW()-4))))</f>
        <v/>
      </c>
      <c r="E4569">
        <f>IF(INDEX(P_Status,ROW()-4)="","",TRIM(UPPER(INDEX(P_Status,ROW()-4))))</f>
        <v/>
      </c>
      <c r="G4569">
        <f>IF(INDEX(L_Status,ROW()-4)="","",TRIM(UPPER(INDEX(L_Status,ROW()-4))))</f>
        <v/>
      </c>
      <c r="J4569">
        <f>IF(INDEX(L_ID,ROW()-4)="","",IF(SUMPRODUCT((P_ID=INDEX(L_ID,ROW()-4))*(P_StatusN="INACTIVE"))&gt;0,1,0))</f>
        <v/>
      </c>
    </row>
    <row r="4570">
      <c r="A4570">
        <f>IF(INDEX(L_ID,ROW()-4)="","",IF(COUNTIF(P_ID,INDEX(L_ID,ROW()-4))&gt;0,1,0))</f>
        <v/>
      </c>
      <c r="B4570">
        <f>IF(INDEX(P_Type,ROW()-4)="","",TRIM(UPPER(INDEX(P_Type,ROW()-4))))</f>
        <v/>
      </c>
      <c r="D4570">
        <f>IF(INDEX(L_Type,ROW()-4)="","",TRIM(UPPER(INDEX(L_Type,ROW()-4))))</f>
        <v/>
      </c>
      <c r="E4570">
        <f>IF(INDEX(P_Status,ROW()-4)="","",TRIM(UPPER(INDEX(P_Status,ROW()-4))))</f>
        <v/>
      </c>
      <c r="G4570">
        <f>IF(INDEX(L_Status,ROW()-4)="","",TRIM(UPPER(INDEX(L_Status,ROW()-4))))</f>
        <v/>
      </c>
      <c r="J4570">
        <f>IF(INDEX(L_ID,ROW()-4)="","",IF(SUMPRODUCT((P_ID=INDEX(L_ID,ROW()-4))*(P_StatusN="INACTIVE"))&gt;0,1,0))</f>
        <v/>
      </c>
    </row>
    <row r="4571">
      <c r="A4571">
        <f>IF(INDEX(L_ID,ROW()-4)="","",IF(COUNTIF(P_ID,INDEX(L_ID,ROW()-4))&gt;0,1,0))</f>
        <v/>
      </c>
      <c r="B4571">
        <f>IF(INDEX(P_Type,ROW()-4)="","",TRIM(UPPER(INDEX(P_Type,ROW()-4))))</f>
        <v/>
      </c>
      <c r="D4571">
        <f>IF(INDEX(L_Type,ROW()-4)="","",TRIM(UPPER(INDEX(L_Type,ROW()-4))))</f>
        <v/>
      </c>
      <c r="E4571">
        <f>IF(INDEX(P_Status,ROW()-4)="","",TRIM(UPPER(INDEX(P_Status,ROW()-4))))</f>
        <v/>
      </c>
      <c r="G4571">
        <f>IF(INDEX(L_Status,ROW()-4)="","",TRIM(UPPER(INDEX(L_Status,ROW()-4))))</f>
        <v/>
      </c>
      <c r="J4571">
        <f>IF(INDEX(L_ID,ROW()-4)="","",IF(SUMPRODUCT((P_ID=INDEX(L_ID,ROW()-4))*(P_StatusN="INACTIVE"))&gt;0,1,0))</f>
        <v/>
      </c>
    </row>
    <row r="4572">
      <c r="A4572">
        <f>IF(INDEX(L_ID,ROW()-4)="","",IF(COUNTIF(P_ID,INDEX(L_ID,ROW()-4))&gt;0,1,0))</f>
        <v/>
      </c>
      <c r="B4572">
        <f>IF(INDEX(P_Type,ROW()-4)="","",TRIM(UPPER(INDEX(P_Type,ROW()-4))))</f>
        <v/>
      </c>
      <c r="D4572">
        <f>IF(INDEX(L_Type,ROW()-4)="","",TRIM(UPPER(INDEX(L_Type,ROW()-4))))</f>
        <v/>
      </c>
      <c r="E4572">
        <f>IF(INDEX(P_Status,ROW()-4)="","",TRIM(UPPER(INDEX(P_Status,ROW()-4))))</f>
        <v/>
      </c>
      <c r="G4572">
        <f>IF(INDEX(L_Status,ROW()-4)="","",TRIM(UPPER(INDEX(L_Status,ROW()-4))))</f>
        <v/>
      </c>
      <c r="J4572">
        <f>IF(INDEX(L_ID,ROW()-4)="","",IF(SUMPRODUCT((P_ID=INDEX(L_ID,ROW()-4))*(P_StatusN="INACTIVE"))&gt;0,1,0))</f>
        <v/>
      </c>
    </row>
    <row r="4573">
      <c r="A4573">
        <f>IF(INDEX(L_ID,ROW()-4)="","",IF(COUNTIF(P_ID,INDEX(L_ID,ROW()-4))&gt;0,1,0))</f>
        <v/>
      </c>
      <c r="B4573">
        <f>IF(INDEX(P_Type,ROW()-4)="","",TRIM(UPPER(INDEX(P_Type,ROW()-4))))</f>
        <v/>
      </c>
      <c r="D4573">
        <f>IF(INDEX(L_Type,ROW()-4)="","",TRIM(UPPER(INDEX(L_Type,ROW()-4))))</f>
        <v/>
      </c>
      <c r="E4573">
        <f>IF(INDEX(P_Status,ROW()-4)="","",TRIM(UPPER(INDEX(P_Status,ROW()-4))))</f>
        <v/>
      </c>
      <c r="G4573">
        <f>IF(INDEX(L_Status,ROW()-4)="","",TRIM(UPPER(INDEX(L_Status,ROW()-4))))</f>
        <v/>
      </c>
      <c r="J4573">
        <f>IF(INDEX(L_ID,ROW()-4)="","",IF(SUMPRODUCT((P_ID=INDEX(L_ID,ROW()-4))*(P_StatusN="INACTIVE"))&gt;0,1,0))</f>
        <v/>
      </c>
    </row>
    <row r="4574">
      <c r="A4574">
        <f>IF(INDEX(L_ID,ROW()-4)="","",IF(COUNTIF(P_ID,INDEX(L_ID,ROW()-4))&gt;0,1,0))</f>
        <v/>
      </c>
      <c r="B4574">
        <f>IF(INDEX(P_Type,ROW()-4)="","",TRIM(UPPER(INDEX(P_Type,ROW()-4))))</f>
        <v/>
      </c>
      <c r="D4574">
        <f>IF(INDEX(L_Type,ROW()-4)="","",TRIM(UPPER(INDEX(L_Type,ROW()-4))))</f>
        <v/>
      </c>
      <c r="E4574">
        <f>IF(INDEX(P_Status,ROW()-4)="","",TRIM(UPPER(INDEX(P_Status,ROW()-4))))</f>
        <v/>
      </c>
      <c r="G4574">
        <f>IF(INDEX(L_Status,ROW()-4)="","",TRIM(UPPER(INDEX(L_Status,ROW()-4))))</f>
        <v/>
      </c>
      <c r="J4574">
        <f>IF(INDEX(L_ID,ROW()-4)="","",IF(SUMPRODUCT((P_ID=INDEX(L_ID,ROW()-4))*(P_StatusN="INACTIVE"))&gt;0,1,0))</f>
        <v/>
      </c>
    </row>
    <row r="4575">
      <c r="A4575">
        <f>IF(INDEX(L_ID,ROW()-4)="","",IF(COUNTIF(P_ID,INDEX(L_ID,ROW()-4))&gt;0,1,0))</f>
        <v/>
      </c>
      <c r="B4575">
        <f>IF(INDEX(P_Type,ROW()-4)="","",TRIM(UPPER(INDEX(P_Type,ROW()-4))))</f>
        <v/>
      </c>
      <c r="D4575">
        <f>IF(INDEX(L_Type,ROW()-4)="","",TRIM(UPPER(INDEX(L_Type,ROW()-4))))</f>
        <v/>
      </c>
      <c r="E4575">
        <f>IF(INDEX(P_Status,ROW()-4)="","",TRIM(UPPER(INDEX(P_Status,ROW()-4))))</f>
        <v/>
      </c>
      <c r="G4575">
        <f>IF(INDEX(L_Status,ROW()-4)="","",TRIM(UPPER(INDEX(L_Status,ROW()-4))))</f>
        <v/>
      </c>
      <c r="J4575">
        <f>IF(INDEX(L_ID,ROW()-4)="","",IF(SUMPRODUCT((P_ID=INDEX(L_ID,ROW()-4))*(P_StatusN="INACTIVE"))&gt;0,1,0))</f>
        <v/>
      </c>
    </row>
    <row r="4576">
      <c r="A4576">
        <f>IF(INDEX(L_ID,ROW()-4)="","",IF(COUNTIF(P_ID,INDEX(L_ID,ROW()-4))&gt;0,1,0))</f>
        <v/>
      </c>
      <c r="B4576">
        <f>IF(INDEX(P_Type,ROW()-4)="","",TRIM(UPPER(INDEX(P_Type,ROW()-4))))</f>
        <v/>
      </c>
      <c r="D4576">
        <f>IF(INDEX(L_Type,ROW()-4)="","",TRIM(UPPER(INDEX(L_Type,ROW()-4))))</f>
        <v/>
      </c>
      <c r="E4576">
        <f>IF(INDEX(P_Status,ROW()-4)="","",TRIM(UPPER(INDEX(P_Status,ROW()-4))))</f>
        <v/>
      </c>
      <c r="G4576">
        <f>IF(INDEX(L_Status,ROW()-4)="","",TRIM(UPPER(INDEX(L_Status,ROW()-4))))</f>
        <v/>
      </c>
      <c r="J4576">
        <f>IF(INDEX(L_ID,ROW()-4)="","",IF(SUMPRODUCT((P_ID=INDEX(L_ID,ROW()-4))*(P_StatusN="INACTIVE"))&gt;0,1,0))</f>
        <v/>
      </c>
    </row>
    <row r="4577">
      <c r="A4577">
        <f>IF(INDEX(L_ID,ROW()-4)="","",IF(COUNTIF(P_ID,INDEX(L_ID,ROW()-4))&gt;0,1,0))</f>
        <v/>
      </c>
      <c r="B4577">
        <f>IF(INDEX(P_Type,ROW()-4)="","",TRIM(UPPER(INDEX(P_Type,ROW()-4))))</f>
        <v/>
      </c>
      <c r="D4577">
        <f>IF(INDEX(L_Type,ROW()-4)="","",TRIM(UPPER(INDEX(L_Type,ROW()-4))))</f>
        <v/>
      </c>
      <c r="E4577">
        <f>IF(INDEX(P_Status,ROW()-4)="","",TRIM(UPPER(INDEX(P_Status,ROW()-4))))</f>
        <v/>
      </c>
      <c r="G4577">
        <f>IF(INDEX(L_Status,ROW()-4)="","",TRIM(UPPER(INDEX(L_Status,ROW()-4))))</f>
        <v/>
      </c>
      <c r="J4577">
        <f>IF(INDEX(L_ID,ROW()-4)="","",IF(SUMPRODUCT((P_ID=INDEX(L_ID,ROW()-4))*(P_StatusN="INACTIVE"))&gt;0,1,0))</f>
        <v/>
      </c>
    </row>
    <row r="4578">
      <c r="A4578">
        <f>IF(INDEX(L_ID,ROW()-4)="","",IF(COUNTIF(P_ID,INDEX(L_ID,ROW()-4))&gt;0,1,0))</f>
        <v/>
      </c>
      <c r="B4578">
        <f>IF(INDEX(P_Type,ROW()-4)="","",TRIM(UPPER(INDEX(P_Type,ROW()-4))))</f>
        <v/>
      </c>
      <c r="D4578">
        <f>IF(INDEX(L_Type,ROW()-4)="","",TRIM(UPPER(INDEX(L_Type,ROW()-4))))</f>
        <v/>
      </c>
      <c r="E4578">
        <f>IF(INDEX(P_Status,ROW()-4)="","",TRIM(UPPER(INDEX(P_Status,ROW()-4))))</f>
        <v/>
      </c>
      <c r="G4578">
        <f>IF(INDEX(L_Status,ROW()-4)="","",TRIM(UPPER(INDEX(L_Status,ROW()-4))))</f>
        <v/>
      </c>
      <c r="J4578">
        <f>IF(INDEX(L_ID,ROW()-4)="","",IF(SUMPRODUCT((P_ID=INDEX(L_ID,ROW()-4))*(P_StatusN="INACTIVE"))&gt;0,1,0))</f>
        <v/>
      </c>
    </row>
    <row r="4579">
      <c r="A4579">
        <f>IF(INDEX(L_ID,ROW()-4)="","",IF(COUNTIF(P_ID,INDEX(L_ID,ROW()-4))&gt;0,1,0))</f>
        <v/>
      </c>
      <c r="B4579">
        <f>IF(INDEX(P_Type,ROW()-4)="","",TRIM(UPPER(INDEX(P_Type,ROW()-4))))</f>
        <v/>
      </c>
      <c r="D4579">
        <f>IF(INDEX(L_Type,ROW()-4)="","",TRIM(UPPER(INDEX(L_Type,ROW()-4))))</f>
        <v/>
      </c>
      <c r="E4579">
        <f>IF(INDEX(P_Status,ROW()-4)="","",TRIM(UPPER(INDEX(P_Status,ROW()-4))))</f>
        <v/>
      </c>
      <c r="G4579">
        <f>IF(INDEX(L_Status,ROW()-4)="","",TRIM(UPPER(INDEX(L_Status,ROW()-4))))</f>
        <v/>
      </c>
      <c r="J4579">
        <f>IF(INDEX(L_ID,ROW()-4)="","",IF(SUMPRODUCT((P_ID=INDEX(L_ID,ROW()-4))*(P_StatusN="INACTIVE"))&gt;0,1,0))</f>
        <v/>
      </c>
    </row>
    <row r="4580">
      <c r="A4580">
        <f>IF(INDEX(L_ID,ROW()-4)="","",IF(COUNTIF(P_ID,INDEX(L_ID,ROW()-4))&gt;0,1,0))</f>
        <v/>
      </c>
      <c r="B4580">
        <f>IF(INDEX(P_Type,ROW()-4)="","",TRIM(UPPER(INDEX(P_Type,ROW()-4))))</f>
        <v/>
      </c>
      <c r="D4580">
        <f>IF(INDEX(L_Type,ROW()-4)="","",TRIM(UPPER(INDEX(L_Type,ROW()-4))))</f>
        <v/>
      </c>
      <c r="E4580">
        <f>IF(INDEX(P_Status,ROW()-4)="","",TRIM(UPPER(INDEX(P_Status,ROW()-4))))</f>
        <v/>
      </c>
      <c r="G4580">
        <f>IF(INDEX(L_Status,ROW()-4)="","",TRIM(UPPER(INDEX(L_Status,ROW()-4))))</f>
        <v/>
      </c>
      <c r="J4580">
        <f>IF(INDEX(L_ID,ROW()-4)="","",IF(SUMPRODUCT((P_ID=INDEX(L_ID,ROW()-4))*(P_StatusN="INACTIVE"))&gt;0,1,0))</f>
        <v/>
      </c>
    </row>
    <row r="4581">
      <c r="A4581">
        <f>IF(INDEX(L_ID,ROW()-4)="","",IF(COUNTIF(P_ID,INDEX(L_ID,ROW()-4))&gt;0,1,0))</f>
        <v/>
      </c>
      <c r="B4581">
        <f>IF(INDEX(P_Type,ROW()-4)="","",TRIM(UPPER(INDEX(P_Type,ROW()-4))))</f>
        <v/>
      </c>
      <c r="D4581">
        <f>IF(INDEX(L_Type,ROW()-4)="","",TRIM(UPPER(INDEX(L_Type,ROW()-4))))</f>
        <v/>
      </c>
      <c r="E4581">
        <f>IF(INDEX(P_Status,ROW()-4)="","",TRIM(UPPER(INDEX(P_Status,ROW()-4))))</f>
        <v/>
      </c>
      <c r="G4581">
        <f>IF(INDEX(L_Status,ROW()-4)="","",TRIM(UPPER(INDEX(L_Status,ROW()-4))))</f>
        <v/>
      </c>
      <c r="J4581">
        <f>IF(INDEX(L_ID,ROW()-4)="","",IF(SUMPRODUCT((P_ID=INDEX(L_ID,ROW()-4))*(P_StatusN="INACTIVE"))&gt;0,1,0))</f>
        <v/>
      </c>
    </row>
    <row r="4582">
      <c r="A4582">
        <f>IF(INDEX(L_ID,ROW()-4)="","",IF(COUNTIF(P_ID,INDEX(L_ID,ROW()-4))&gt;0,1,0))</f>
        <v/>
      </c>
      <c r="B4582">
        <f>IF(INDEX(P_Type,ROW()-4)="","",TRIM(UPPER(INDEX(P_Type,ROW()-4))))</f>
        <v/>
      </c>
      <c r="D4582">
        <f>IF(INDEX(L_Type,ROW()-4)="","",TRIM(UPPER(INDEX(L_Type,ROW()-4))))</f>
        <v/>
      </c>
      <c r="E4582">
        <f>IF(INDEX(P_Status,ROW()-4)="","",TRIM(UPPER(INDEX(P_Status,ROW()-4))))</f>
        <v/>
      </c>
      <c r="G4582">
        <f>IF(INDEX(L_Status,ROW()-4)="","",TRIM(UPPER(INDEX(L_Status,ROW()-4))))</f>
        <v/>
      </c>
      <c r="J4582">
        <f>IF(INDEX(L_ID,ROW()-4)="","",IF(SUMPRODUCT((P_ID=INDEX(L_ID,ROW()-4))*(P_StatusN="INACTIVE"))&gt;0,1,0))</f>
        <v/>
      </c>
    </row>
    <row r="4583">
      <c r="A4583">
        <f>IF(INDEX(L_ID,ROW()-4)="","",IF(COUNTIF(P_ID,INDEX(L_ID,ROW()-4))&gt;0,1,0))</f>
        <v/>
      </c>
      <c r="B4583">
        <f>IF(INDEX(P_Type,ROW()-4)="","",TRIM(UPPER(INDEX(P_Type,ROW()-4))))</f>
        <v/>
      </c>
      <c r="D4583">
        <f>IF(INDEX(L_Type,ROW()-4)="","",TRIM(UPPER(INDEX(L_Type,ROW()-4))))</f>
        <v/>
      </c>
      <c r="E4583">
        <f>IF(INDEX(P_Status,ROW()-4)="","",TRIM(UPPER(INDEX(P_Status,ROW()-4))))</f>
        <v/>
      </c>
      <c r="G4583">
        <f>IF(INDEX(L_Status,ROW()-4)="","",TRIM(UPPER(INDEX(L_Status,ROW()-4))))</f>
        <v/>
      </c>
      <c r="J4583">
        <f>IF(INDEX(L_ID,ROW()-4)="","",IF(SUMPRODUCT((P_ID=INDEX(L_ID,ROW()-4))*(P_StatusN="INACTIVE"))&gt;0,1,0))</f>
        <v/>
      </c>
    </row>
    <row r="4584">
      <c r="A4584">
        <f>IF(INDEX(L_ID,ROW()-4)="","",IF(COUNTIF(P_ID,INDEX(L_ID,ROW()-4))&gt;0,1,0))</f>
        <v/>
      </c>
      <c r="B4584">
        <f>IF(INDEX(P_Type,ROW()-4)="","",TRIM(UPPER(INDEX(P_Type,ROW()-4))))</f>
        <v/>
      </c>
      <c r="D4584">
        <f>IF(INDEX(L_Type,ROW()-4)="","",TRIM(UPPER(INDEX(L_Type,ROW()-4))))</f>
        <v/>
      </c>
      <c r="E4584">
        <f>IF(INDEX(P_Status,ROW()-4)="","",TRIM(UPPER(INDEX(P_Status,ROW()-4))))</f>
        <v/>
      </c>
      <c r="G4584">
        <f>IF(INDEX(L_Status,ROW()-4)="","",TRIM(UPPER(INDEX(L_Status,ROW()-4))))</f>
        <v/>
      </c>
      <c r="J4584">
        <f>IF(INDEX(L_ID,ROW()-4)="","",IF(SUMPRODUCT((P_ID=INDEX(L_ID,ROW()-4))*(P_StatusN="INACTIVE"))&gt;0,1,0))</f>
        <v/>
      </c>
    </row>
    <row r="4585">
      <c r="A4585">
        <f>IF(INDEX(L_ID,ROW()-4)="","",IF(COUNTIF(P_ID,INDEX(L_ID,ROW()-4))&gt;0,1,0))</f>
        <v/>
      </c>
      <c r="B4585">
        <f>IF(INDEX(P_Type,ROW()-4)="","",TRIM(UPPER(INDEX(P_Type,ROW()-4))))</f>
        <v/>
      </c>
      <c r="D4585">
        <f>IF(INDEX(L_Type,ROW()-4)="","",TRIM(UPPER(INDEX(L_Type,ROW()-4))))</f>
        <v/>
      </c>
      <c r="E4585">
        <f>IF(INDEX(P_Status,ROW()-4)="","",TRIM(UPPER(INDEX(P_Status,ROW()-4))))</f>
        <v/>
      </c>
      <c r="G4585">
        <f>IF(INDEX(L_Status,ROW()-4)="","",TRIM(UPPER(INDEX(L_Status,ROW()-4))))</f>
        <v/>
      </c>
      <c r="J4585">
        <f>IF(INDEX(L_ID,ROW()-4)="","",IF(SUMPRODUCT((P_ID=INDEX(L_ID,ROW()-4))*(P_StatusN="INACTIVE"))&gt;0,1,0))</f>
        <v/>
      </c>
    </row>
    <row r="4586">
      <c r="A4586">
        <f>IF(INDEX(L_ID,ROW()-4)="","",IF(COUNTIF(P_ID,INDEX(L_ID,ROW()-4))&gt;0,1,0))</f>
        <v/>
      </c>
      <c r="B4586">
        <f>IF(INDEX(P_Type,ROW()-4)="","",TRIM(UPPER(INDEX(P_Type,ROW()-4))))</f>
        <v/>
      </c>
      <c r="D4586">
        <f>IF(INDEX(L_Type,ROW()-4)="","",TRIM(UPPER(INDEX(L_Type,ROW()-4))))</f>
        <v/>
      </c>
      <c r="E4586">
        <f>IF(INDEX(P_Status,ROW()-4)="","",TRIM(UPPER(INDEX(P_Status,ROW()-4))))</f>
        <v/>
      </c>
      <c r="G4586">
        <f>IF(INDEX(L_Status,ROW()-4)="","",TRIM(UPPER(INDEX(L_Status,ROW()-4))))</f>
        <v/>
      </c>
      <c r="J4586">
        <f>IF(INDEX(L_ID,ROW()-4)="","",IF(SUMPRODUCT((P_ID=INDEX(L_ID,ROW()-4))*(P_StatusN="INACTIVE"))&gt;0,1,0))</f>
        <v/>
      </c>
    </row>
    <row r="4587">
      <c r="A4587">
        <f>IF(INDEX(L_ID,ROW()-4)="","",IF(COUNTIF(P_ID,INDEX(L_ID,ROW()-4))&gt;0,1,0))</f>
        <v/>
      </c>
      <c r="B4587">
        <f>IF(INDEX(P_Type,ROW()-4)="","",TRIM(UPPER(INDEX(P_Type,ROW()-4))))</f>
        <v/>
      </c>
      <c r="D4587">
        <f>IF(INDEX(L_Type,ROW()-4)="","",TRIM(UPPER(INDEX(L_Type,ROW()-4))))</f>
        <v/>
      </c>
      <c r="E4587">
        <f>IF(INDEX(P_Status,ROW()-4)="","",TRIM(UPPER(INDEX(P_Status,ROW()-4))))</f>
        <v/>
      </c>
      <c r="G4587">
        <f>IF(INDEX(L_Status,ROW()-4)="","",TRIM(UPPER(INDEX(L_Status,ROW()-4))))</f>
        <v/>
      </c>
      <c r="J4587">
        <f>IF(INDEX(L_ID,ROW()-4)="","",IF(SUMPRODUCT((P_ID=INDEX(L_ID,ROW()-4))*(P_StatusN="INACTIVE"))&gt;0,1,0))</f>
        <v/>
      </c>
    </row>
    <row r="4588">
      <c r="A4588">
        <f>IF(INDEX(L_ID,ROW()-4)="","",IF(COUNTIF(P_ID,INDEX(L_ID,ROW()-4))&gt;0,1,0))</f>
        <v/>
      </c>
      <c r="B4588">
        <f>IF(INDEX(P_Type,ROW()-4)="","",TRIM(UPPER(INDEX(P_Type,ROW()-4))))</f>
        <v/>
      </c>
      <c r="D4588">
        <f>IF(INDEX(L_Type,ROW()-4)="","",TRIM(UPPER(INDEX(L_Type,ROW()-4))))</f>
        <v/>
      </c>
      <c r="E4588">
        <f>IF(INDEX(P_Status,ROW()-4)="","",TRIM(UPPER(INDEX(P_Status,ROW()-4))))</f>
        <v/>
      </c>
      <c r="G4588">
        <f>IF(INDEX(L_Status,ROW()-4)="","",TRIM(UPPER(INDEX(L_Status,ROW()-4))))</f>
        <v/>
      </c>
      <c r="J4588">
        <f>IF(INDEX(L_ID,ROW()-4)="","",IF(SUMPRODUCT((P_ID=INDEX(L_ID,ROW()-4))*(P_StatusN="INACTIVE"))&gt;0,1,0))</f>
        <v/>
      </c>
    </row>
    <row r="4589">
      <c r="A4589">
        <f>IF(INDEX(L_ID,ROW()-4)="","",IF(COUNTIF(P_ID,INDEX(L_ID,ROW()-4))&gt;0,1,0))</f>
        <v/>
      </c>
      <c r="B4589">
        <f>IF(INDEX(P_Type,ROW()-4)="","",TRIM(UPPER(INDEX(P_Type,ROW()-4))))</f>
        <v/>
      </c>
      <c r="D4589">
        <f>IF(INDEX(L_Type,ROW()-4)="","",TRIM(UPPER(INDEX(L_Type,ROW()-4))))</f>
        <v/>
      </c>
      <c r="E4589">
        <f>IF(INDEX(P_Status,ROW()-4)="","",TRIM(UPPER(INDEX(P_Status,ROW()-4))))</f>
        <v/>
      </c>
      <c r="G4589">
        <f>IF(INDEX(L_Status,ROW()-4)="","",TRIM(UPPER(INDEX(L_Status,ROW()-4))))</f>
        <v/>
      </c>
      <c r="J4589">
        <f>IF(INDEX(L_ID,ROW()-4)="","",IF(SUMPRODUCT((P_ID=INDEX(L_ID,ROW()-4))*(P_StatusN="INACTIVE"))&gt;0,1,0))</f>
        <v/>
      </c>
    </row>
    <row r="4590">
      <c r="A4590">
        <f>IF(INDEX(L_ID,ROW()-4)="","",IF(COUNTIF(P_ID,INDEX(L_ID,ROW()-4))&gt;0,1,0))</f>
        <v/>
      </c>
      <c r="B4590">
        <f>IF(INDEX(P_Type,ROW()-4)="","",TRIM(UPPER(INDEX(P_Type,ROW()-4))))</f>
        <v/>
      </c>
      <c r="D4590">
        <f>IF(INDEX(L_Type,ROW()-4)="","",TRIM(UPPER(INDEX(L_Type,ROW()-4))))</f>
        <v/>
      </c>
      <c r="E4590">
        <f>IF(INDEX(P_Status,ROW()-4)="","",TRIM(UPPER(INDEX(P_Status,ROW()-4))))</f>
        <v/>
      </c>
      <c r="G4590">
        <f>IF(INDEX(L_Status,ROW()-4)="","",TRIM(UPPER(INDEX(L_Status,ROW()-4))))</f>
        <v/>
      </c>
      <c r="J4590">
        <f>IF(INDEX(L_ID,ROW()-4)="","",IF(SUMPRODUCT((P_ID=INDEX(L_ID,ROW()-4))*(P_StatusN="INACTIVE"))&gt;0,1,0))</f>
        <v/>
      </c>
    </row>
    <row r="4591">
      <c r="A4591">
        <f>IF(INDEX(L_ID,ROW()-4)="","",IF(COUNTIF(P_ID,INDEX(L_ID,ROW()-4))&gt;0,1,0))</f>
        <v/>
      </c>
      <c r="B4591">
        <f>IF(INDEX(P_Type,ROW()-4)="","",TRIM(UPPER(INDEX(P_Type,ROW()-4))))</f>
        <v/>
      </c>
      <c r="D4591">
        <f>IF(INDEX(L_Type,ROW()-4)="","",TRIM(UPPER(INDEX(L_Type,ROW()-4))))</f>
        <v/>
      </c>
      <c r="E4591">
        <f>IF(INDEX(P_Status,ROW()-4)="","",TRIM(UPPER(INDEX(P_Status,ROW()-4))))</f>
        <v/>
      </c>
      <c r="G4591">
        <f>IF(INDEX(L_Status,ROW()-4)="","",TRIM(UPPER(INDEX(L_Status,ROW()-4))))</f>
        <v/>
      </c>
      <c r="J4591">
        <f>IF(INDEX(L_ID,ROW()-4)="","",IF(SUMPRODUCT((P_ID=INDEX(L_ID,ROW()-4))*(P_StatusN="INACTIVE"))&gt;0,1,0))</f>
        <v/>
      </c>
    </row>
    <row r="4592">
      <c r="A4592">
        <f>IF(INDEX(L_ID,ROW()-4)="","",IF(COUNTIF(P_ID,INDEX(L_ID,ROW()-4))&gt;0,1,0))</f>
        <v/>
      </c>
      <c r="B4592">
        <f>IF(INDEX(P_Type,ROW()-4)="","",TRIM(UPPER(INDEX(P_Type,ROW()-4))))</f>
        <v/>
      </c>
      <c r="D4592">
        <f>IF(INDEX(L_Type,ROW()-4)="","",TRIM(UPPER(INDEX(L_Type,ROW()-4))))</f>
        <v/>
      </c>
      <c r="E4592">
        <f>IF(INDEX(P_Status,ROW()-4)="","",TRIM(UPPER(INDEX(P_Status,ROW()-4))))</f>
        <v/>
      </c>
      <c r="G4592">
        <f>IF(INDEX(L_Status,ROW()-4)="","",TRIM(UPPER(INDEX(L_Status,ROW()-4))))</f>
        <v/>
      </c>
      <c r="J4592">
        <f>IF(INDEX(L_ID,ROW()-4)="","",IF(SUMPRODUCT((P_ID=INDEX(L_ID,ROW()-4))*(P_StatusN="INACTIVE"))&gt;0,1,0))</f>
        <v/>
      </c>
    </row>
    <row r="4593">
      <c r="A4593">
        <f>IF(INDEX(L_ID,ROW()-4)="","",IF(COUNTIF(P_ID,INDEX(L_ID,ROW()-4))&gt;0,1,0))</f>
        <v/>
      </c>
      <c r="B4593">
        <f>IF(INDEX(P_Type,ROW()-4)="","",TRIM(UPPER(INDEX(P_Type,ROW()-4))))</f>
        <v/>
      </c>
      <c r="D4593">
        <f>IF(INDEX(L_Type,ROW()-4)="","",TRIM(UPPER(INDEX(L_Type,ROW()-4))))</f>
        <v/>
      </c>
      <c r="E4593">
        <f>IF(INDEX(P_Status,ROW()-4)="","",TRIM(UPPER(INDEX(P_Status,ROW()-4))))</f>
        <v/>
      </c>
      <c r="G4593">
        <f>IF(INDEX(L_Status,ROW()-4)="","",TRIM(UPPER(INDEX(L_Status,ROW()-4))))</f>
        <v/>
      </c>
      <c r="J4593">
        <f>IF(INDEX(L_ID,ROW()-4)="","",IF(SUMPRODUCT((P_ID=INDEX(L_ID,ROW()-4))*(P_StatusN="INACTIVE"))&gt;0,1,0))</f>
        <v/>
      </c>
    </row>
    <row r="4594">
      <c r="A4594">
        <f>IF(INDEX(L_ID,ROW()-4)="","",IF(COUNTIF(P_ID,INDEX(L_ID,ROW()-4))&gt;0,1,0))</f>
        <v/>
      </c>
      <c r="B4594">
        <f>IF(INDEX(P_Type,ROW()-4)="","",TRIM(UPPER(INDEX(P_Type,ROW()-4))))</f>
        <v/>
      </c>
      <c r="D4594">
        <f>IF(INDEX(L_Type,ROW()-4)="","",TRIM(UPPER(INDEX(L_Type,ROW()-4))))</f>
        <v/>
      </c>
      <c r="E4594">
        <f>IF(INDEX(P_Status,ROW()-4)="","",TRIM(UPPER(INDEX(P_Status,ROW()-4))))</f>
        <v/>
      </c>
      <c r="G4594">
        <f>IF(INDEX(L_Status,ROW()-4)="","",TRIM(UPPER(INDEX(L_Status,ROW()-4))))</f>
        <v/>
      </c>
      <c r="J4594">
        <f>IF(INDEX(L_ID,ROW()-4)="","",IF(SUMPRODUCT((P_ID=INDEX(L_ID,ROW()-4))*(P_StatusN="INACTIVE"))&gt;0,1,0))</f>
        <v/>
      </c>
    </row>
    <row r="4595">
      <c r="A4595">
        <f>IF(INDEX(L_ID,ROW()-4)="","",IF(COUNTIF(P_ID,INDEX(L_ID,ROW()-4))&gt;0,1,0))</f>
        <v/>
      </c>
      <c r="B4595">
        <f>IF(INDEX(P_Type,ROW()-4)="","",TRIM(UPPER(INDEX(P_Type,ROW()-4))))</f>
        <v/>
      </c>
      <c r="D4595">
        <f>IF(INDEX(L_Type,ROW()-4)="","",TRIM(UPPER(INDEX(L_Type,ROW()-4))))</f>
        <v/>
      </c>
      <c r="E4595">
        <f>IF(INDEX(P_Status,ROW()-4)="","",TRIM(UPPER(INDEX(P_Status,ROW()-4))))</f>
        <v/>
      </c>
      <c r="G4595">
        <f>IF(INDEX(L_Status,ROW()-4)="","",TRIM(UPPER(INDEX(L_Status,ROW()-4))))</f>
        <v/>
      </c>
      <c r="J4595">
        <f>IF(INDEX(L_ID,ROW()-4)="","",IF(SUMPRODUCT((P_ID=INDEX(L_ID,ROW()-4))*(P_StatusN="INACTIVE"))&gt;0,1,0))</f>
        <v/>
      </c>
    </row>
    <row r="4596">
      <c r="A4596">
        <f>IF(INDEX(L_ID,ROW()-4)="","",IF(COUNTIF(P_ID,INDEX(L_ID,ROW()-4))&gt;0,1,0))</f>
        <v/>
      </c>
      <c r="B4596">
        <f>IF(INDEX(P_Type,ROW()-4)="","",TRIM(UPPER(INDEX(P_Type,ROW()-4))))</f>
        <v/>
      </c>
      <c r="D4596">
        <f>IF(INDEX(L_Type,ROW()-4)="","",TRIM(UPPER(INDEX(L_Type,ROW()-4))))</f>
        <v/>
      </c>
      <c r="E4596">
        <f>IF(INDEX(P_Status,ROW()-4)="","",TRIM(UPPER(INDEX(P_Status,ROW()-4))))</f>
        <v/>
      </c>
      <c r="G4596">
        <f>IF(INDEX(L_Status,ROW()-4)="","",TRIM(UPPER(INDEX(L_Status,ROW()-4))))</f>
        <v/>
      </c>
      <c r="J4596">
        <f>IF(INDEX(L_ID,ROW()-4)="","",IF(SUMPRODUCT((P_ID=INDEX(L_ID,ROW()-4))*(P_StatusN="INACTIVE"))&gt;0,1,0))</f>
        <v/>
      </c>
    </row>
    <row r="4597">
      <c r="A4597">
        <f>IF(INDEX(L_ID,ROW()-4)="","",IF(COUNTIF(P_ID,INDEX(L_ID,ROW()-4))&gt;0,1,0))</f>
        <v/>
      </c>
      <c r="B4597">
        <f>IF(INDEX(P_Type,ROW()-4)="","",TRIM(UPPER(INDEX(P_Type,ROW()-4))))</f>
        <v/>
      </c>
      <c r="D4597">
        <f>IF(INDEX(L_Type,ROW()-4)="","",TRIM(UPPER(INDEX(L_Type,ROW()-4))))</f>
        <v/>
      </c>
      <c r="E4597">
        <f>IF(INDEX(P_Status,ROW()-4)="","",TRIM(UPPER(INDEX(P_Status,ROW()-4))))</f>
        <v/>
      </c>
      <c r="G4597">
        <f>IF(INDEX(L_Status,ROW()-4)="","",TRIM(UPPER(INDEX(L_Status,ROW()-4))))</f>
        <v/>
      </c>
      <c r="J4597">
        <f>IF(INDEX(L_ID,ROW()-4)="","",IF(SUMPRODUCT((P_ID=INDEX(L_ID,ROW()-4))*(P_StatusN="INACTIVE"))&gt;0,1,0))</f>
        <v/>
      </c>
    </row>
    <row r="4598">
      <c r="A4598">
        <f>IF(INDEX(L_ID,ROW()-4)="","",IF(COUNTIF(P_ID,INDEX(L_ID,ROW()-4))&gt;0,1,0))</f>
        <v/>
      </c>
      <c r="B4598">
        <f>IF(INDEX(P_Type,ROW()-4)="","",TRIM(UPPER(INDEX(P_Type,ROW()-4))))</f>
        <v/>
      </c>
      <c r="D4598">
        <f>IF(INDEX(L_Type,ROW()-4)="","",TRIM(UPPER(INDEX(L_Type,ROW()-4))))</f>
        <v/>
      </c>
      <c r="E4598">
        <f>IF(INDEX(P_Status,ROW()-4)="","",TRIM(UPPER(INDEX(P_Status,ROW()-4))))</f>
        <v/>
      </c>
      <c r="G4598">
        <f>IF(INDEX(L_Status,ROW()-4)="","",TRIM(UPPER(INDEX(L_Status,ROW()-4))))</f>
        <v/>
      </c>
      <c r="J4598">
        <f>IF(INDEX(L_ID,ROW()-4)="","",IF(SUMPRODUCT((P_ID=INDEX(L_ID,ROW()-4))*(P_StatusN="INACTIVE"))&gt;0,1,0))</f>
        <v/>
      </c>
    </row>
    <row r="4599">
      <c r="A4599">
        <f>IF(INDEX(L_ID,ROW()-4)="","",IF(COUNTIF(P_ID,INDEX(L_ID,ROW()-4))&gt;0,1,0))</f>
        <v/>
      </c>
      <c r="B4599">
        <f>IF(INDEX(P_Type,ROW()-4)="","",TRIM(UPPER(INDEX(P_Type,ROW()-4))))</f>
        <v/>
      </c>
      <c r="D4599">
        <f>IF(INDEX(L_Type,ROW()-4)="","",TRIM(UPPER(INDEX(L_Type,ROW()-4))))</f>
        <v/>
      </c>
      <c r="E4599">
        <f>IF(INDEX(P_Status,ROW()-4)="","",TRIM(UPPER(INDEX(P_Status,ROW()-4))))</f>
        <v/>
      </c>
      <c r="G4599">
        <f>IF(INDEX(L_Status,ROW()-4)="","",TRIM(UPPER(INDEX(L_Status,ROW()-4))))</f>
        <v/>
      </c>
      <c r="J4599">
        <f>IF(INDEX(L_ID,ROW()-4)="","",IF(SUMPRODUCT((P_ID=INDEX(L_ID,ROW()-4))*(P_StatusN="INACTIVE"))&gt;0,1,0))</f>
        <v/>
      </c>
    </row>
    <row r="4600">
      <c r="A4600">
        <f>IF(INDEX(L_ID,ROW()-4)="","",IF(COUNTIF(P_ID,INDEX(L_ID,ROW()-4))&gt;0,1,0))</f>
        <v/>
      </c>
      <c r="B4600">
        <f>IF(INDEX(P_Type,ROW()-4)="","",TRIM(UPPER(INDEX(P_Type,ROW()-4))))</f>
        <v/>
      </c>
      <c r="D4600">
        <f>IF(INDEX(L_Type,ROW()-4)="","",TRIM(UPPER(INDEX(L_Type,ROW()-4))))</f>
        <v/>
      </c>
      <c r="E4600">
        <f>IF(INDEX(P_Status,ROW()-4)="","",TRIM(UPPER(INDEX(P_Status,ROW()-4))))</f>
        <v/>
      </c>
      <c r="G4600">
        <f>IF(INDEX(L_Status,ROW()-4)="","",TRIM(UPPER(INDEX(L_Status,ROW()-4))))</f>
        <v/>
      </c>
      <c r="J4600">
        <f>IF(INDEX(L_ID,ROW()-4)="","",IF(SUMPRODUCT((P_ID=INDEX(L_ID,ROW()-4))*(P_StatusN="INACTIVE"))&gt;0,1,0))</f>
        <v/>
      </c>
    </row>
    <row r="4601">
      <c r="A4601">
        <f>IF(INDEX(L_ID,ROW()-4)="","",IF(COUNTIF(P_ID,INDEX(L_ID,ROW()-4))&gt;0,1,0))</f>
        <v/>
      </c>
      <c r="B4601">
        <f>IF(INDEX(P_Type,ROW()-4)="","",TRIM(UPPER(INDEX(P_Type,ROW()-4))))</f>
        <v/>
      </c>
      <c r="D4601">
        <f>IF(INDEX(L_Type,ROW()-4)="","",TRIM(UPPER(INDEX(L_Type,ROW()-4))))</f>
        <v/>
      </c>
      <c r="E4601">
        <f>IF(INDEX(P_Status,ROW()-4)="","",TRIM(UPPER(INDEX(P_Status,ROW()-4))))</f>
        <v/>
      </c>
      <c r="G4601">
        <f>IF(INDEX(L_Status,ROW()-4)="","",TRIM(UPPER(INDEX(L_Status,ROW()-4))))</f>
        <v/>
      </c>
      <c r="J4601">
        <f>IF(INDEX(L_ID,ROW()-4)="","",IF(SUMPRODUCT((P_ID=INDEX(L_ID,ROW()-4))*(P_StatusN="INACTIVE"))&gt;0,1,0))</f>
        <v/>
      </c>
    </row>
    <row r="4602">
      <c r="A4602">
        <f>IF(INDEX(L_ID,ROW()-4)="","",IF(COUNTIF(P_ID,INDEX(L_ID,ROW()-4))&gt;0,1,0))</f>
        <v/>
      </c>
      <c r="B4602">
        <f>IF(INDEX(P_Type,ROW()-4)="","",TRIM(UPPER(INDEX(P_Type,ROW()-4))))</f>
        <v/>
      </c>
      <c r="D4602">
        <f>IF(INDEX(L_Type,ROW()-4)="","",TRIM(UPPER(INDEX(L_Type,ROW()-4))))</f>
        <v/>
      </c>
      <c r="E4602">
        <f>IF(INDEX(P_Status,ROW()-4)="","",TRIM(UPPER(INDEX(P_Status,ROW()-4))))</f>
        <v/>
      </c>
      <c r="G4602">
        <f>IF(INDEX(L_Status,ROW()-4)="","",TRIM(UPPER(INDEX(L_Status,ROW()-4))))</f>
        <v/>
      </c>
      <c r="J4602">
        <f>IF(INDEX(L_ID,ROW()-4)="","",IF(SUMPRODUCT((P_ID=INDEX(L_ID,ROW()-4))*(P_StatusN="INACTIVE"))&gt;0,1,0))</f>
        <v/>
      </c>
    </row>
    <row r="4603">
      <c r="A4603">
        <f>IF(INDEX(L_ID,ROW()-4)="","",IF(COUNTIF(P_ID,INDEX(L_ID,ROW()-4))&gt;0,1,0))</f>
        <v/>
      </c>
      <c r="B4603">
        <f>IF(INDEX(P_Type,ROW()-4)="","",TRIM(UPPER(INDEX(P_Type,ROW()-4))))</f>
        <v/>
      </c>
      <c r="D4603">
        <f>IF(INDEX(L_Type,ROW()-4)="","",TRIM(UPPER(INDEX(L_Type,ROW()-4))))</f>
        <v/>
      </c>
      <c r="E4603">
        <f>IF(INDEX(P_Status,ROW()-4)="","",TRIM(UPPER(INDEX(P_Status,ROW()-4))))</f>
        <v/>
      </c>
      <c r="G4603">
        <f>IF(INDEX(L_Status,ROW()-4)="","",TRIM(UPPER(INDEX(L_Status,ROW()-4))))</f>
        <v/>
      </c>
      <c r="J4603">
        <f>IF(INDEX(L_ID,ROW()-4)="","",IF(SUMPRODUCT((P_ID=INDEX(L_ID,ROW()-4))*(P_StatusN="INACTIVE"))&gt;0,1,0))</f>
        <v/>
      </c>
    </row>
    <row r="4604">
      <c r="A4604">
        <f>IF(INDEX(L_ID,ROW()-4)="","",IF(COUNTIF(P_ID,INDEX(L_ID,ROW()-4))&gt;0,1,0))</f>
        <v/>
      </c>
      <c r="B4604">
        <f>IF(INDEX(P_Type,ROW()-4)="","",TRIM(UPPER(INDEX(P_Type,ROW()-4))))</f>
        <v/>
      </c>
      <c r="D4604">
        <f>IF(INDEX(L_Type,ROW()-4)="","",TRIM(UPPER(INDEX(L_Type,ROW()-4))))</f>
        <v/>
      </c>
      <c r="E4604">
        <f>IF(INDEX(P_Status,ROW()-4)="","",TRIM(UPPER(INDEX(P_Status,ROW()-4))))</f>
        <v/>
      </c>
      <c r="G4604">
        <f>IF(INDEX(L_Status,ROW()-4)="","",TRIM(UPPER(INDEX(L_Status,ROW()-4))))</f>
        <v/>
      </c>
      <c r="J4604">
        <f>IF(INDEX(L_ID,ROW()-4)="","",IF(SUMPRODUCT((P_ID=INDEX(L_ID,ROW()-4))*(P_StatusN="INACTIVE"))&gt;0,1,0))</f>
        <v/>
      </c>
    </row>
    <row r="4605">
      <c r="A4605">
        <f>IF(INDEX(L_ID,ROW()-4)="","",IF(COUNTIF(P_ID,INDEX(L_ID,ROW()-4))&gt;0,1,0))</f>
        <v/>
      </c>
      <c r="B4605">
        <f>IF(INDEX(P_Type,ROW()-4)="","",TRIM(UPPER(INDEX(P_Type,ROW()-4))))</f>
        <v/>
      </c>
      <c r="D4605">
        <f>IF(INDEX(L_Type,ROW()-4)="","",TRIM(UPPER(INDEX(L_Type,ROW()-4))))</f>
        <v/>
      </c>
      <c r="E4605">
        <f>IF(INDEX(P_Status,ROW()-4)="","",TRIM(UPPER(INDEX(P_Status,ROW()-4))))</f>
        <v/>
      </c>
      <c r="G4605">
        <f>IF(INDEX(L_Status,ROW()-4)="","",TRIM(UPPER(INDEX(L_Status,ROW()-4))))</f>
        <v/>
      </c>
      <c r="J4605">
        <f>IF(INDEX(L_ID,ROW()-4)="","",IF(SUMPRODUCT((P_ID=INDEX(L_ID,ROW()-4))*(P_StatusN="INACTIVE"))&gt;0,1,0))</f>
        <v/>
      </c>
    </row>
    <row r="4606">
      <c r="A4606">
        <f>IF(INDEX(L_ID,ROW()-4)="","",IF(COUNTIF(P_ID,INDEX(L_ID,ROW()-4))&gt;0,1,0))</f>
        <v/>
      </c>
      <c r="B4606">
        <f>IF(INDEX(P_Type,ROW()-4)="","",TRIM(UPPER(INDEX(P_Type,ROW()-4))))</f>
        <v/>
      </c>
      <c r="D4606">
        <f>IF(INDEX(L_Type,ROW()-4)="","",TRIM(UPPER(INDEX(L_Type,ROW()-4))))</f>
        <v/>
      </c>
      <c r="E4606">
        <f>IF(INDEX(P_Status,ROW()-4)="","",TRIM(UPPER(INDEX(P_Status,ROW()-4))))</f>
        <v/>
      </c>
      <c r="G4606">
        <f>IF(INDEX(L_Status,ROW()-4)="","",TRIM(UPPER(INDEX(L_Status,ROW()-4))))</f>
        <v/>
      </c>
      <c r="J4606">
        <f>IF(INDEX(L_ID,ROW()-4)="","",IF(SUMPRODUCT((P_ID=INDEX(L_ID,ROW()-4))*(P_StatusN="INACTIVE"))&gt;0,1,0))</f>
        <v/>
      </c>
    </row>
    <row r="4607">
      <c r="A4607">
        <f>IF(INDEX(L_ID,ROW()-4)="","",IF(COUNTIF(P_ID,INDEX(L_ID,ROW()-4))&gt;0,1,0))</f>
        <v/>
      </c>
      <c r="B4607">
        <f>IF(INDEX(P_Type,ROW()-4)="","",TRIM(UPPER(INDEX(P_Type,ROW()-4))))</f>
        <v/>
      </c>
      <c r="D4607">
        <f>IF(INDEX(L_Type,ROW()-4)="","",TRIM(UPPER(INDEX(L_Type,ROW()-4))))</f>
        <v/>
      </c>
      <c r="E4607">
        <f>IF(INDEX(P_Status,ROW()-4)="","",TRIM(UPPER(INDEX(P_Status,ROW()-4))))</f>
        <v/>
      </c>
      <c r="G4607">
        <f>IF(INDEX(L_Status,ROW()-4)="","",TRIM(UPPER(INDEX(L_Status,ROW()-4))))</f>
        <v/>
      </c>
      <c r="J4607">
        <f>IF(INDEX(L_ID,ROW()-4)="","",IF(SUMPRODUCT((P_ID=INDEX(L_ID,ROW()-4))*(P_StatusN="INACTIVE"))&gt;0,1,0))</f>
        <v/>
      </c>
    </row>
    <row r="4608">
      <c r="A4608">
        <f>IF(INDEX(L_ID,ROW()-4)="","",IF(COUNTIF(P_ID,INDEX(L_ID,ROW()-4))&gt;0,1,0))</f>
        <v/>
      </c>
      <c r="B4608">
        <f>IF(INDEX(P_Type,ROW()-4)="","",TRIM(UPPER(INDEX(P_Type,ROW()-4))))</f>
        <v/>
      </c>
      <c r="D4608">
        <f>IF(INDEX(L_Type,ROW()-4)="","",TRIM(UPPER(INDEX(L_Type,ROW()-4))))</f>
        <v/>
      </c>
      <c r="E4608">
        <f>IF(INDEX(P_Status,ROW()-4)="","",TRIM(UPPER(INDEX(P_Status,ROW()-4))))</f>
        <v/>
      </c>
      <c r="G4608">
        <f>IF(INDEX(L_Status,ROW()-4)="","",TRIM(UPPER(INDEX(L_Status,ROW()-4))))</f>
        <v/>
      </c>
      <c r="J4608">
        <f>IF(INDEX(L_ID,ROW()-4)="","",IF(SUMPRODUCT((P_ID=INDEX(L_ID,ROW()-4))*(P_StatusN="INACTIVE"))&gt;0,1,0))</f>
        <v/>
      </c>
    </row>
    <row r="4609">
      <c r="A4609">
        <f>IF(INDEX(L_ID,ROW()-4)="","",IF(COUNTIF(P_ID,INDEX(L_ID,ROW()-4))&gt;0,1,0))</f>
        <v/>
      </c>
      <c r="B4609">
        <f>IF(INDEX(P_Type,ROW()-4)="","",TRIM(UPPER(INDEX(P_Type,ROW()-4))))</f>
        <v/>
      </c>
      <c r="D4609">
        <f>IF(INDEX(L_Type,ROW()-4)="","",TRIM(UPPER(INDEX(L_Type,ROW()-4))))</f>
        <v/>
      </c>
      <c r="E4609">
        <f>IF(INDEX(P_Status,ROW()-4)="","",TRIM(UPPER(INDEX(P_Status,ROW()-4))))</f>
        <v/>
      </c>
      <c r="G4609">
        <f>IF(INDEX(L_Status,ROW()-4)="","",TRIM(UPPER(INDEX(L_Status,ROW()-4))))</f>
        <v/>
      </c>
      <c r="J4609">
        <f>IF(INDEX(L_ID,ROW()-4)="","",IF(SUMPRODUCT((P_ID=INDEX(L_ID,ROW()-4))*(P_StatusN="INACTIVE"))&gt;0,1,0))</f>
        <v/>
      </c>
    </row>
    <row r="4610">
      <c r="A4610">
        <f>IF(INDEX(L_ID,ROW()-4)="","",IF(COUNTIF(P_ID,INDEX(L_ID,ROW()-4))&gt;0,1,0))</f>
        <v/>
      </c>
      <c r="B4610">
        <f>IF(INDEX(P_Type,ROW()-4)="","",TRIM(UPPER(INDEX(P_Type,ROW()-4))))</f>
        <v/>
      </c>
      <c r="D4610">
        <f>IF(INDEX(L_Type,ROW()-4)="","",TRIM(UPPER(INDEX(L_Type,ROW()-4))))</f>
        <v/>
      </c>
      <c r="E4610">
        <f>IF(INDEX(P_Status,ROW()-4)="","",TRIM(UPPER(INDEX(P_Status,ROW()-4))))</f>
        <v/>
      </c>
      <c r="G4610">
        <f>IF(INDEX(L_Status,ROW()-4)="","",TRIM(UPPER(INDEX(L_Status,ROW()-4))))</f>
        <v/>
      </c>
      <c r="J4610">
        <f>IF(INDEX(L_ID,ROW()-4)="","",IF(SUMPRODUCT((P_ID=INDEX(L_ID,ROW()-4))*(P_StatusN="INACTIVE"))&gt;0,1,0))</f>
        <v/>
      </c>
    </row>
    <row r="4611">
      <c r="A4611">
        <f>IF(INDEX(L_ID,ROW()-4)="","",IF(COUNTIF(P_ID,INDEX(L_ID,ROW()-4))&gt;0,1,0))</f>
        <v/>
      </c>
      <c r="B4611">
        <f>IF(INDEX(P_Type,ROW()-4)="","",TRIM(UPPER(INDEX(P_Type,ROW()-4))))</f>
        <v/>
      </c>
      <c r="D4611">
        <f>IF(INDEX(L_Type,ROW()-4)="","",TRIM(UPPER(INDEX(L_Type,ROW()-4))))</f>
        <v/>
      </c>
      <c r="E4611">
        <f>IF(INDEX(P_Status,ROW()-4)="","",TRIM(UPPER(INDEX(P_Status,ROW()-4))))</f>
        <v/>
      </c>
      <c r="G4611">
        <f>IF(INDEX(L_Status,ROW()-4)="","",TRIM(UPPER(INDEX(L_Status,ROW()-4))))</f>
        <v/>
      </c>
      <c r="J4611">
        <f>IF(INDEX(L_ID,ROW()-4)="","",IF(SUMPRODUCT((P_ID=INDEX(L_ID,ROW()-4))*(P_StatusN="INACTIVE"))&gt;0,1,0))</f>
        <v/>
      </c>
    </row>
    <row r="4612">
      <c r="A4612">
        <f>IF(INDEX(L_ID,ROW()-4)="","",IF(COUNTIF(P_ID,INDEX(L_ID,ROW()-4))&gt;0,1,0))</f>
        <v/>
      </c>
      <c r="B4612">
        <f>IF(INDEX(P_Type,ROW()-4)="","",TRIM(UPPER(INDEX(P_Type,ROW()-4))))</f>
        <v/>
      </c>
      <c r="D4612">
        <f>IF(INDEX(L_Type,ROW()-4)="","",TRIM(UPPER(INDEX(L_Type,ROW()-4))))</f>
        <v/>
      </c>
      <c r="E4612">
        <f>IF(INDEX(P_Status,ROW()-4)="","",TRIM(UPPER(INDEX(P_Status,ROW()-4))))</f>
        <v/>
      </c>
      <c r="G4612">
        <f>IF(INDEX(L_Status,ROW()-4)="","",TRIM(UPPER(INDEX(L_Status,ROW()-4))))</f>
        <v/>
      </c>
      <c r="J4612">
        <f>IF(INDEX(L_ID,ROW()-4)="","",IF(SUMPRODUCT((P_ID=INDEX(L_ID,ROW()-4))*(P_StatusN="INACTIVE"))&gt;0,1,0))</f>
        <v/>
      </c>
    </row>
    <row r="4613">
      <c r="A4613">
        <f>IF(INDEX(L_ID,ROW()-4)="","",IF(COUNTIF(P_ID,INDEX(L_ID,ROW()-4))&gt;0,1,0))</f>
        <v/>
      </c>
      <c r="B4613">
        <f>IF(INDEX(P_Type,ROW()-4)="","",TRIM(UPPER(INDEX(P_Type,ROW()-4))))</f>
        <v/>
      </c>
      <c r="D4613">
        <f>IF(INDEX(L_Type,ROW()-4)="","",TRIM(UPPER(INDEX(L_Type,ROW()-4))))</f>
        <v/>
      </c>
      <c r="E4613">
        <f>IF(INDEX(P_Status,ROW()-4)="","",TRIM(UPPER(INDEX(P_Status,ROW()-4))))</f>
        <v/>
      </c>
      <c r="G4613">
        <f>IF(INDEX(L_Status,ROW()-4)="","",TRIM(UPPER(INDEX(L_Status,ROW()-4))))</f>
        <v/>
      </c>
      <c r="J4613">
        <f>IF(INDEX(L_ID,ROW()-4)="","",IF(SUMPRODUCT((P_ID=INDEX(L_ID,ROW()-4))*(P_StatusN="INACTIVE"))&gt;0,1,0))</f>
        <v/>
      </c>
    </row>
    <row r="4614">
      <c r="A4614">
        <f>IF(INDEX(L_ID,ROW()-4)="","",IF(COUNTIF(P_ID,INDEX(L_ID,ROW()-4))&gt;0,1,0))</f>
        <v/>
      </c>
      <c r="B4614">
        <f>IF(INDEX(P_Type,ROW()-4)="","",TRIM(UPPER(INDEX(P_Type,ROW()-4))))</f>
        <v/>
      </c>
      <c r="D4614">
        <f>IF(INDEX(L_Type,ROW()-4)="","",TRIM(UPPER(INDEX(L_Type,ROW()-4))))</f>
        <v/>
      </c>
      <c r="E4614">
        <f>IF(INDEX(P_Status,ROW()-4)="","",TRIM(UPPER(INDEX(P_Status,ROW()-4))))</f>
        <v/>
      </c>
      <c r="G4614">
        <f>IF(INDEX(L_Status,ROW()-4)="","",TRIM(UPPER(INDEX(L_Status,ROW()-4))))</f>
        <v/>
      </c>
      <c r="J4614">
        <f>IF(INDEX(L_ID,ROW()-4)="","",IF(SUMPRODUCT((P_ID=INDEX(L_ID,ROW()-4))*(P_StatusN="INACTIVE"))&gt;0,1,0))</f>
        <v/>
      </c>
    </row>
    <row r="4615">
      <c r="A4615">
        <f>IF(INDEX(L_ID,ROW()-4)="","",IF(COUNTIF(P_ID,INDEX(L_ID,ROW()-4))&gt;0,1,0))</f>
        <v/>
      </c>
      <c r="B4615">
        <f>IF(INDEX(P_Type,ROW()-4)="","",TRIM(UPPER(INDEX(P_Type,ROW()-4))))</f>
        <v/>
      </c>
      <c r="D4615">
        <f>IF(INDEX(L_Type,ROW()-4)="","",TRIM(UPPER(INDEX(L_Type,ROW()-4))))</f>
        <v/>
      </c>
      <c r="E4615">
        <f>IF(INDEX(P_Status,ROW()-4)="","",TRIM(UPPER(INDEX(P_Status,ROW()-4))))</f>
        <v/>
      </c>
      <c r="G4615">
        <f>IF(INDEX(L_Status,ROW()-4)="","",TRIM(UPPER(INDEX(L_Status,ROW()-4))))</f>
        <v/>
      </c>
      <c r="J4615">
        <f>IF(INDEX(L_ID,ROW()-4)="","",IF(SUMPRODUCT((P_ID=INDEX(L_ID,ROW()-4))*(P_StatusN="INACTIVE"))&gt;0,1,0))</f>
        <v/>
      </c>
    </row>
    <row r="4616">
      <c r="A4616">
        <f>IF(INDEX(L_ID,ROW()-4)="","",IF(COUNTIF(P_ID,INDEX(L_ID,ROW()-4))&gt;0,1,0))</f>
        <v/>
      </c>
      <c r="B4616">
        <f>IF(INDEX(P_Type,ROW()-4)="","",TRIM(UPPER(INDEX(P_Type,ROW()-4))))</f>
        <v/>
      </c>
      <c r="D4616">
        <f>IF(INDEX(L_Type,ROW()-4)="","",TRIM(UPPER(INDEX(L_Type,ROW()-4))))</f>
        <v/>
      </c>
      <c r="E4616">
        <f>IF(INDEX(P_Status,ROW()-4)="","",TRIM(UPPER(INDEX(P_Status,ROW()-4))))</f>
        <v/>
      </c>
      <c r="G4616">
        <f>IF(INDEX(L_Status,ROW()-4)="","",TRIM(UPPER(INDEX(L_Status,ROW()-4))))</f>
        <v/>
      </c>
      <c r="J4616">
        <f>IF(INDEX(L_ID,ROW()-4)="","",IF(SUMPRODUCT((P_ID=INDEX(L_ID,ROW()-4))*(P_StatusN="INACTIVE"))&gt;0,1,0))</f>
        <v/>
      </c>
    </row>
    <row r="4617">
      <c r="A4617">
        <f>IF(INDEX(L_ID,ROW()-4)="","",IF(COUNTIF(P_ID,INDEX(L_ID,ROW()-4))&gt;0,1,0))</f>
        <v/>
      </c>
      <c r="B4617">
        <f>IF(INDEX(P_Type,ROW()-4)="","",TRIM(UPPER(INDEX(P_Type,ROW()-4))))</f>
        <v/>
      </c>
      <c r="D4617">
        <f>IF(INDEX(L_Type,ROW()-4)="","",TRIM(UPPER(INDEX(L_Type,ROW()-4))))</f>
        <v/>
      </c>
      <c r="E4617">
        <f>IF(INDEX(P_Status,ROW()-4)="","",TRIM(UPPER(INDEX(P_Status,ROW()-4))))</f>
        <v/>
      </c>
      <c r="G4617">
        <f>IF(INDEX(L_Status,ROW()-4)="","",TRIM(UPPER(INDEX(L_Status,ROW()-4))))</f>
        <v/>
      </c>
      <c r="J4617">
        <f>IF(INDEX(L_ID,ROW()-4)="","",IF(SUMPRODUCT((P_ID=INDEX(L_ID,ROW()-4))*(P_StatusN="INACTIVE"))&gt;0,1,0))</f>
        <v/>
      </c>
    </row>
    <row r="4618">
      <c r="A4618">
        <f>IF(INDEX(L_ID,ROW()-4)="","",IF(COUNTIF(P_ID,INDEX(L_ID,ROW()-4))&gt;0,1,0))</f>
        <v/>
      </c>
      <c r="B4618">
        <f>IF(INDEX(P_Type,ROW()-4)="","",TRIM(UPPER(INDEX(P_Type,ROW()-4))))</f>
        <v/>
      </c>
      <c r="D4618">
        <f>IF(INDEX(L_Type,ROW()-4)="","",TRIM(UPPER(INDEX(L_Type,ROW()-4))))</f>
        <v/>
      </c>
      <c r="E4618">
        <f>IF(INDEX(P_Status,ROW()-4)="","",TRIM(UPPER(INDEX(P_Status,ROW()-4))))</f>
        <v/>
      </c>
      <c r="G4618">
        <f>IF(INDEX(L_Status,ROW()-4)="","",TRIM(UPPER(INDEX(L_Status,ROW()-4))))</f>
        <v/>
      </c>
      <c r="J4618">
        <f>IF(INDEX(L_ID,ROW()-4)="","",IF(SUMPRODUCT((P_ID=INDEX(L_ID,ROW()-4))*(P_StatusN="INACTIVE"))&gt;0,1,0))</f>
        <v/>
      </c>
    </row>
    <row r="4619">
      <c r="A4619">
        <f>IF(INDEX(L_ID,ROW()-4)="","",IF(COUNTIF(P_ID,INDEX(L_ID,ROW()-4))&gt;0,1,0))</f>
        <v/>
      </c>
      <c r="B4619">
        <f>IF(INDEX(P_Type,ROW()-4)="","",TRIM(UPPER(INDEX(P_Type,ROW()-4))))</f>
        <v/>
      </c>
      <c r="D4619">
        <f>IF(INDEX(L_Type,ROW()-4)="","",TRIM(UPPER(INDEX(L_Type,ROW()-4))))</f>
        <v/>
      </c>
      <c r="E4619">
        <f>IF(INDEX(P_Status,ROW()-4)="","",TRIM(UPPER(INDEX(P_Status,ROW()-4))))</f>
        <v/>
      </c>
      <c r="G4619">
        <f>IF(INDEX(L_Status,ROW()-4)="","",TRIM(UPPER(INDEX(L_Status,ROW()-4))))</f>
        <v/>
      </c>
      <c r="J4619">
        <f>IF(INDEX(L_ID,ROW()-4)="","",IF(SUMPRODUCT((P_ID=INDEX(L_ID,ROW()-4))*(P_StatusN="INACTIVE"))&gt;0,1,0))</f>
        <v/>
      </c>
    </row>
    <row r="4620">
      <c r="A4620">
        <f>IF(INDEX(L_ID,ROW()-4)="","",IF(COUNTIF(P_ID,INDEX(L_ID,ROW()-4))&gt;0,1,0))</f>
        <v/>
      </c>
      <c r="B4620">
        <f>IF(INDEX(P_Type,ROW()-4)="","",TRIM(UPPER(INDEX(P_Type,ROW()-4))))</f>
        <v/>
      </c>
      <c r="D4620">
        <f>IF(INDEX(L_Type,ROW()-4)="","",TRIM(UPPER(INDEX(L_Type,ROW()-4))))</f>
        <v/>
      </c>
      <c r="E4620">
        <f>IF(INDEX(P_Status,ROW()-4)="","",TRIM(UPPER(INDEX(P_Status,ROW()-4))))</f>
        <v/>
      </c>
      <c r="G4620">
        <f>IF(INDEX(L_Status,ROW()-4)="","",TRIM(UPPER(INDEX(L_Status,ROW()-4))))</f>
        <v/>
      </c>
      <c r="J4620">
        <f>IF(INDEX(L_ID,ROW()-4)="","",IF(SUMPRODUCT((P_ID=INDEX(L_ID,ROW()-4))*(P_StatusN="INACTIVE"))&gt;0,1,0))</f>
        <v/>
      </c>
    </row>
    <row r="4621">
      <c r="A4621">
        <f>IF(INDEX(L_ID,ROW()-4)="","",IF(COUNTIF(P_ID,INDEX(L_ID,ROW()-4))&gt;0,1,0))</f>
        <v/>
      </c>
      <c r="B4621">
        <f>IF(INDEX(P_Type,ROW()-4)="","",TRIM(UPPER(INDEX(P_Type,ROW()-4))))</f>
        <v/>
      </c>
      <c r="D4621">
        <f>IF(INDEX(L_Type,ROW()-4)="","",TRIM(UPPER(INDEX(L_Type,ROW()-4))))</f>
        <v/>
      </c>
      <c r="E4621">
        <f>IF(INDEX(P_Status,ROW()-4)="","",TRIM(UPPER(INDEX(P_Status,ROW()-4))))</f>
        <v/>
      </c>
      <c r="G4621">
        <f>IF(INDEX(L_Status,ROW()-4)="","",TRIM(UPPER(INDEX(L_Status,ROW()-4))))</f>
        <v/>
      </c>
      <c r="J4621">
        <f>IF(INDEX(L_ID,ROW()-4)="","",IF(SUMPRODUCT((P_ID=INDEX(L_ID,ROW()-4))*(P_StatusN="INACTIVE"))&gt;0,1,0))</f>
        <v/>
      </c>
    </row>
    <row r="4622">
      <c r="A4622">
        <f>IF(INDEX(L_ID,ROW()-4)="","",IF(COUNTIF(P_ID,INDEX(L_ID,ROW()-4))&gt;0,1,0))</f>
        <v/>
      </c>
      <c r="B4622">
        <f>IF(INDEX(P_Type,ROW()-4)="","",TRIM(UPPER(INDEX(P_Type,ROW()-4))))</f>
        <v/>
      </c>
      <c r="D4622">
        <f>IF(INDEX(L_Type,ROW()-4)="","",TRIM(UPPER(INDEX(L_Type,ROW()-4))))</f>
        <v/>
      </c>
      <c r="E4622">
        <f>IF(INDEX(P_Status,ROW()-4)="","",TRIM(UPPER(INDEX(P_Status,ROW()-4))))</f>
        <v/>
      </c>
      <c r="G4622">
        <f>IF(INDEX(L_Status,ROW()-4)="","",TRIM(UPPER(INDEX(L_Status,ROW()-4))))</f>
        <v/>
      </c>
      <c r="J4622">
        <f>IF(INDEX(L_ID,ROW()-4)="","",IF(SUMPRODUCT((P_ID=INDEX(L_ID,ROW()-4))*(P_StatusN="INACTIVE"))&gt;0,1,0))</f>
        <v/>
      </c>
    </row>
    <row r="4623">
      <c r="A4623">
        <f>IF(INDEX(L_ID,ROW()-4)="","",IF(COUNTIF(P_ID,INDEX(L_ID,ROW()-4))&gt;0,1,0))</f>
        <v/>
      </c>
      <c r="B4623">
        <f>IF(INDEX(P_Type,ROW()-4)="","",TRIM(UPPER(INDEX(P_Type,ROW()-4))))</f>
        <v/>
      </c>
      <c r="D4623">
        <f>IF(INDEX(L_Type,ROW()-4)="","",TRIM(UPPER(INDEX(L_Type,ROW()-4))))</f>
        <v/>
      </c>
      <c r="E4623">
        <f>IF(INDEX(P_Status,ROW()-4)="","",TRIM(UPPER(INDEX(P_Status,ROW()-4))))</f>
        <v/>
      </c>
      <c r="G4623">
        <f>IF(INDEX(L_Status,ROW()-4)="","",TRIM(UPPER(INDEX(L_Status,ROW()-4))))</f>
        <v/>
      </c>
      <c r="J4623">
        <f>IF(INDEX(L_ID,ROW()-4)="","",IF(SUMPRODUCT((P_ID=INDEX(L_ID,ROW()-4))*(P_StatusN="INACTIVE"))&gt;0,1,0))</f>
        <v/>
      </c>
    </row>
    <row r="4624">
      <c r="A4624">
        <f>IF(INDEX(L_ID,ROW()-4)="","",IF(COUNTIF(P_ID,INDEX(L_ID,ROW()-4))&gt;0,1,0))</f>
        <v/>
      </c>
      <c r="B4624">
        <f>IF(INDEX(P_Type,ROW()-4)="","",TRIM(UPPER(INDEX(P_Type,ROW()-4))))</f>
        <v/>
      </c>
      <c r="D4624">
        <f>IF(INDEX(L_Type,ROW()-4)="","",TRIM(UPPER(INDEX(L_Type,ROW()-4))))</f>
        <v/>
      </c>
      <c r="E4624">
        <f>IF(INDEX(P_Status,ROW()-4)="","",TRIM(UPPER(INDEX(P_Status,ROW()-4))))</f>
        <v/>
      </c>
      <c r="G4624">
        <f>IF(INDEX(L_Status,ROW()-4)="","",TRIM(UPPER(INDEX(L_Status,ROW()-4))))</f>
        <v/>
      </c>
      <c r="J4624">
        <f>IF(INDEX(L_ID,ROW()-4)="","",IF(SUMPRODUCT((P_ID=INDEX(L_ID,ROW()-4))*(P_StatusN="INACTIVE"))&gt;0,1,0))</f>
        <v/>
      </c>
    </row>
    <row r="4625">
      <c r="A4625">
        <f>IF(INDEX(L_ID,ROW()-4)="","",IF(COUNTIF(P_ID,INDEX(L_ID,ROW()-4))&gt;0,1,0))</f>
        <v/>
      </c>
      <c r="B4625">
        <f>IF(INDEX(P_Type,ROW()-4)="","",TRIM(UPPER(INDEX(P_Type,ROW()-4))))</f>
        <v/>
      </c>
      <c r="D4625">
        <f>IF(INDEX(L_Type,ROW()-4)="","",TRIM(UPPER(INDEX(L_Type,ROW()-4))))</f>
        <v/>
      </c>
      <c r="E4625">
        <f>IF(INDEX(P_Status,ROW()-4)="","",TRIM(UPPER(INDEX(P_Status,ROW()-4))))</f>
        <v/>
      </c>
      <c r="G4625">
        <f>IF(INDEX(L_Status,ROW()-4)="","",TRIM(UPPER(INDEX(L_Status,ROW()-4))))</f>
        <v/>
      </c>
      <c r="J4625">
        <f>IF(INDEX(L_ID,ROW()-4)="","",IF(SUMPRODUCT((P_ID=INDEX(L_ID,ROW()-4))*(P_StatusN="INACTIVE"))&gt;0,1,0))</f>
        <v/>
      </c>
    </row>
    <row r="4626">
      <c r="A4626">
        <f>IF(INDEX(L_ID,ROW()-4)="","",IF(COUNTIF(P_ID,INDEX(L_ID,ROW()-4))&gt;0,1,0))</f>
        <v/>
      </c>
      <c r="B4626">
        <f>IF(INDEX(P_Type,ROW()-4)="","",TRIM(UPPER(INDEX(P_Type,ROW()-4))))</f>
        <v/>
      </c>
      <c r="D4626">
        <f>IF(INDEX(L_Type,ROW()-4)="","",TRIM(UPPER(INDEX(L_Type,ROW()-4))))</f>
        <v/>
      </c>
      <c r="E4626">
        <f>IF(INDEX(P_Status,ROW()-4)="","",TRIM(UPPER(INDEX(P_Status,ROW()-4))))</f>
        <v/>
      </c>
      <c r="G4626">
        <f>IF(INDEX(L_Status,ROW()-4)="","",TRIM(UPPER(INDEX(L_Status,ROW()-4))))</f>
        <v/>
      </c>
      <c r="J4626">
        <f>IF(INDEX(L_ID,ROW()-4)="","",IF(SUMPRODUCT((P_ID=INDEX(L_ID,ROW()-4))*(P_StatusN="INACTIVE"))&gt;0,1,0))</f>
        <v/>
      </c>
    </row>
    <row r="4627">
      <c r="A4627">
        <f>IF(INDEX(L_ID,ROW()-4)="","",IF(COUNTIF(P_ID,INDEX(L_ID,ROW()-4))&gt;0,1,0))</f>
        <v/>
      </c>
      <c r="B4627">
        <f>IF(INDEX(P_Type,ROW()-4)="","",TRIM(UPPER(INDEX(P_Type,ROW()-4))))</f>
        <v/>
      </c>
      <c r="D4627">
        <f>IF(INDEX(L_Type,ROW()-4)="","",TRIM(UPPER(INDEX(L_Type,ROW()-4))))</f>
        <v/>
      </c>
      <c r="E4627">
        <f>IF(INDEX(P_Status,ROW()-4)="","",TRIM(UPPER(INDEX(P_Status,ROW()-4))))</f>
        <v/>
      </c>
      <c r="G4627">
        <f>IF(INDEX(L_Status,ROW()-4)="","",TRIM(UPPER(INDEX(L_Status,ROW()-4))))</f>
        <v/>
      </c>
      <c r="J4627">
        <f>IF(INDEX(L_ID,ROW()-4)="","",IF(SUMPRODUCT((P_ID=INDEX(L_ID,ROW()-4))*(P_StatusN="INACTIVE"))&gt;0,1,0))</f>
        <v/>
      </c>
    </row>
    <row r="4628">
      <c r="A4628">
        <f>IF(INDEX(L_ID,ROW()-4)="","",IF(COUNTIF(P_ID,INDEX(L_ID,ROW()-4))&gt;0,1,0))</f>
        <v/>
      </c>
      <c r="B4628">
        <f>IF(INDEX(P_Type,ROW()-4)="","",TRIM(UPPER(INDEX(P_Type,ROW()-4))))</f>
        <v/>
      </c>
      <c r="D4628">
        <f>IF(INDEX(L_Type,ROW()-4)="","",TRIM(UPPER(INDEX(L_Type,ROW()-4))))</f>
        <v/>
      </c>
      <c r="E4628">
        <f>IF(INDEX(P_Status,ROW()-4)="","",TRIM(UPPER(INDEX(P_Status,ROW()-4))))</f>
        <v/>
      </c>
      <c r="G4628">
        <f>IF(INDEX(L_Status,ROW()-4)="","",TRIM(UPPER(INDEX(L_Status,ROW()-4))))</f>
        <v/>
      </c>
      <c r="J4628">
        <f>IF(INDEX(L_ID,ROW()-4)="","",IF(SUMPRODUCT((P_ID=INDEX(L_ID,ROW()-4))*(P_StatusN="INACTIVE"))&gt;0,1,0))</f>
        <v/>
      </c>
    </row>
    <row r="4629">
      <c r="A4629">
        <f>IF(INDEX(L_ID,ROW()-4)="","",IF(COUNTIF(P_ID,INDEX(L_ID,ROW()-4))&gt;0,1,0))</f>
        <v/>
      </c>
      <c r="B4629">
        <f>IF(INDEX(P_Type,ROW()-4)="","",TRIM(UPPER(INDEX(P_Type,ROW()-4))))</f>
        <v/>
      </c>
      <c r="D4629">
        <f>IF(INDEX(L_Type,ROW()-4)="","",TRIM(UPPER(INDEX(L_Type,ROW()-4))))</f>
        <v/>
      </c>
      <c r="E4629">
        <f>IF(INDEX(P_Status,ROW()-4)="","",TRIM(UPPER(INDEX(P_Status,ROW()-4))))</f>
        <v/>
      </c>
      <c r="G4629">
        <f>IF(INDEX(L_Status,ROW()-4)="","",TRIM(UPPER(INDEX(L_Status,ROW()-4))))</f>
        <v/>
      </c>
      <c r="J4629">
        <f>IF(INDEX(L_ID,ROW()-4)="","",IF(SUMPRODUCT((P_ID=INDEX(L_ID,ROW()-4))*(P_StatusN="INACTIVE"))&gt;0,1,0))</f>
        <v/>
      </c>
    </row>
    <row r="4630">
      <c r="A4630">
        <f>IF(INDEX(L_ID,ROW()-4)="","",IF(COUNTIF(P_ID,INDEX(L_ID,ROW()-4))&gt;0,1,0))</f>
        <v/>
      </c>
      <c r="B4630">
        <f>IF(INDEX(P_Type,ROW()-4)="","",TRIM(UPPER(INDEX(P_Type,ROW()-4))))</f>
        <v/>
      </c>
      <c r="D4630">
        <f>IF(INDEX(L_Type,ROW()-4)="","",TRIM(UPPER(INDEX(L_Type,ROW()-4))))</f>
        <v/>
      </c>
      <c r="E4630">
        <f>IF(INDEX(P_Status,ROW()-4)="","",TRIM(UPPER(INDEX(P_Status,ROW()-4))))</f>
        <v/>
      </c>
      <c r="G4630">
        <f>IF(INDEX(L_Status,ROW()-4)="","",TRIM(UPPER(INDEX(L_Status,ROW()-4))))</f>
        <v/>
      </c>
      <c r="J4630">
        <f>IF(INDEX(L_ID,ROW()-4)="","",IF(SUMPRODUCT((P_ID=INDEX(L_ID,ROW()-4))*(P_StatusN="INACTIVE"))&gt;0,1,0))</f>
        <v/>
      </c>
    </row>
    <row r="4631">
      <c r="A4631">
        <f>IF(INDEX(L_ID,ROW()-4)="","",IF(COUNTIF(P_ID,INDEX(L_ID,ROW()-4))&gt;0,1,0))</f>
        <v/>
      </c>
      <c r="B4631">
        <f>IF(INDEX(P_Type,ROW()-4)="","",TRIM(UPPER(INDEX(P_Type,ROW()-4))))</f>
        <v/>
      </c>
      <c r="D4631">
        <f>IF(INDEX(L_Type,ROW()-4)="","",TRIM(UPPER(INDEX(L_Type,ROW()-4))))</f>
        <v/>
      </c>
      <c r="E4631">
        <f>IF(INDEX(P_Status,ROW()-4)="","",TRIM(UPPER(INDEX(P_Status,ROW()-4))))</f>
        <v/>
      </c>
      <c r="G4631">
        <f>IF(INDEX(L_Status,ROW()-4)="","",TRIM(UPPER(INDEX(L_Status,ROW()-4))))</f>
        <v/>
      </c>
      <c r="J4631">
        <f>IF(INDEX(L_ID,ROW()-4)="","",IF(SUMPRODUCT((P_ID=INDEX(L_ID,ROW()-4))*(P_StatusN="INACTIVE"))&gt;0,1,0))</f>
        <v/>
      </c>
    </row>
    <row r="4632">
      <c r="A4632">
        <f>IF(INDEX(L_ID,ROW()-4)="","",IF(COUNTIF(P_ID,INDEX(L_ID,ROW()-4))&gt;0,1,0))</f>
        <v/>
      </c>
      <c r="B4632">
        <f>IF(INDEX(P_Type,ROW()-4)="","",TRIM(UPPER(INDEX(P_Type,ROW()-4))))</f>
        <v/>
      </c>
      <c r="D4632">
        <f>IF(INDEX(L_Type,ROW()-4)="","",TRIM(UPPER(INDEX(L_Type,ROW()-4))))</f>
        <v/>
      </c>
      <c r="E4632">
        <f>IF(INDEX(P_Status,ROW()-4)="","",TRIM(UPPER(INDEX(P_Status,ROW()-4))))</f>
        <v/>
      </c>
      <c r="G4632">
        <f>IF(INDEX(L_Status,ROW()-4)="","",TRIM(UPPER(INDEX(L_Status,ROW()-4))))</f>
        <v/>
      </c>
      <c r="J4632">
        <f>IF(INDEX(L_ID,ROW()-4)="","",IF(SUMPRODUCT((P_ID=INDEX(L_ID,ROW()-4))*(P_StatusN="INACTIVE"))&gt;0,1,0))</f>
        <v/>
      </c>
    </row>
    <row r="4633">
      <c r="A4633">
        <f>IF(INDEX(L_ID,ROW()-4)="","",IF(COUNTIF(P_ID,INDEX(L_ID,ROW()-4))&gt;0,1,0))</f>
        <v/>
      </c>
      <c r="B4633">
        <f>IF(INDEX(P_Type,ROW()-4)="","",TRIM(UPPER(INDEX(P_Type,ROW()-4))))</f>
        <v/>
      </c>
      <c r="D4633">
        <f>IF(INDEX(L_Type,ROW()-4)="","",TRIM(UPPER(INDEX(L_Type,ROW()-4))))</f>
        <v/>
      </c>
      <c r="E4633">
        <f>IF(INDEX(P_Status,ROW()-4)="","",TRIM(UPPER(INDEX(P_Status,ROW()-4))))</f>
        <v/>
      </c>
      <c r="G4633">
        <f>IF(INDEX(L_Status,ROW()-4)="","",TRIM(UPPER(INDEX(L_Status,ROW()-4))))</f>
        <v/>
      </c>
      <c r="J4633">
        <f>IF(INDEX(L_ID,ROW()-4)="","",IF(SUMPRODUCT((P_ID=INDEX(L_ID,ROW()-4))*(P_StatusN="INACTIVE"))&gt;0,1,0))</f>
        <v/>
      </c>
    </row>
    <row r="4634">
      <c r="A4634">
        <f>IF(INDEX(L_ID,ROW()-4)="","",IF(COUNTIF(P_ID,INDEX(L_ID,ROW()-4))&gt;0,1,0))</f>
        <v/>
      </c>
      <c r="B4634">
        <f>IF(INDEX(P_Type,ROW()-4)="","",TRIM(UPPER(INDEX(P_Type,ROW()-4))))</f>
        <v/>
      </c>
      <c r="D4634">
        <f>IF(INDEX(L_Type,ROW()-4)="","",TRIM(UPPER(INDEX(L_Type,ROW()-4))))</f>
        <v/>
      </c>
      <c r="E4634">
        <f>IF(INDEX(P_Status,ROW()-4)="","",TRIM(UPPER(INDEX(P_Status,ROW()-4))))</f>
        <v/>
      </c>
      <c r="G4634">
        <f>IF(INDEX(L_Status,ROW()-4)="","",TRIM(UPPER(INDEX(L_Status,ROW()-4))))</f>
        <v/>
      </c>
      <c r="J4634">
        <f>IF(INDEX(L_ID,ROW()-4)="","",IF(SUMPRODUCT((P_ID=INDEX(L_ID,ROW()-4))*(P_StatusN="INACTIVE"))&gt;0,1,0))</f>
        <v/>
      </c>
    </row>
    <row r="4635">
      <c r="A4635">
        <f>IF(INDEX(L_ID,ROW()-4)="","",IF(COUNTIF(P_ID,INDEX(L_ID,ROW()-4))&gt;0,1,0))</f>
        <v/>
      </c>
      <c r="B4635">
        <f>IF(INDEX(P_Type,ROW()-4)="","",TRIM(UPPER(INDEX(P_Type,ROW()-4))))</f>
        <v/>
      </c>
      <c r="D4635">
        <f>IF(INDEX(L_Type,ROW()-4)="","",TRIM(UPPER(INDEX(L_Type,ROW()-4))))</f>
        <v/>
      </c>
      <c r="E4635">
        <f>IF(INDEX(P_Status,ROW()-4)="","",TRIM(UPPER(INDEX(P_Status,ROW()-4))))</f>
        <v/>
      </c>
      <c r="G4635">
        <f>IF(INDEX(L_Status,ROW()-4)="","",TRIM(UPPER(INDEX(L_Status,ROW()-4))))</f>
        <v/>
      </c>
      <c r="J4635">
        <f>IF(INDEX(L_ID,ROW()-4)="","",IF(SUMPRODUCT((P_ID=INDEX(L_ID,ROW()-4))*(P_StatusN="INACTIVE"))&gt;0,1,0))</f>
        <v/>
      </c>
    </row>
    <row r="4636">
      <c r="A4636">
        <f>IF(INDEX(L_ID,ROW()-4)="","",IF(COUNTIF(P_ID,INDEX(L_ID,ROW()-4))&gt;0,1,0))</f>
        <v/>
      </c>
      <c r="B4636">
        <f>IF(INDEX(P_Type,ROW()-4)="","",TRIM(UPPER(INDEX(P_Type,ROW()-4))))</f>
        <v/>
      </c>
      <c r="D4636">
        <f>IF(INDEX(L_Type,ROW()-4)="","",TRIM(UPPER(INDEX(L_Type,ROW()-4))))</f>
        <v/>
      </c>
      <c r="E4636">
        <f>IF(INDEX(P_Status,ROW()-4)="","",TRIM(UPPER(INDEX(P_Status,ROW()-4))))</f>
        <v/>
      </c>
      <c r="G4636">
        <f>IF(INDEX(L_Status,ROW()-4)="","",TRIM(UPPER(INDEX(L_Status,ROW()-4))))</f>
        <v/>
      </c>
      <c r="J4636">
        <f>IF(INDEX(L_ID,ROW()-4)="","",IF(SUMPRODUCT((P_ID=INDEX(L_ID,ROW()-4))*(P_StatusN="INACTIVE"))&gt;0,1,0))</f>
        <v/>
      </c>
    </row>
    <row r="4637">
      <c r="A4637">
        <f>IF(INDEX(L_ID,ROW()-4)="","",IF(COUNTIF(P_ID,INDEX(L_ID,ROW()-4))&gt;0,1,0))</f>
        <v/>
      </c>
      <c r="B4637">
        <f>IF(INDEX(P_Type,ROW()-4)="","",TRIM(UPPER(INDEX(P_Type,ROW()-4))))</f>
        <v/>
      </c>
      <c r="D4637">
        <f>IF(INDEX(L_Type,ROW()-4)="","",TRIM(UPPER(INDEX(L_Type,ROW()-4))))</f>
        <v/>
      </c>
      <c r="E4637">
        <f>IF(INDEX(P_Status,ROW()-4)="","",TRIM(UPPER(INDEX(P_Status,ROW()-4))))</f>
        <v/>
      </c>
      <c r="G4637">
        <f>IF(INDEX(L_Status,ROW()-4)="","",TRIM(UPPER(INDEX(L_Status,ROW()-4))))</f>
        <v/>
      </c>
      <c r="J4637">
        <f>IF(INDEX(L_ID,ROW()-4)="","",IF(SUMPRODUCT((P_ID=INDEX(L_ID,ROW()-4))*(P_StatusN="INACTIVE"))&gt;0,1,0))</f>
        <v/>
      </c>
    </row>
    <row r="4638">
      <c r="A4638">
        <f>IF(INDEX(L_ID,ROW()-4)="","",IF(COUNTIF(P_ID,INDEX(L_ID,ROW()-4))&gt;0,1,0))</f>
        <v/>
      </c>
      <c r="B4638">
        <f>IF(INDEX(P_Type,ROW()-4)="","",TRIM(UPPER(INDEX(P_Type,ROW()-4))))</f>
        <v/>
      </c>
      <c r="D4638">
        <f>IF(INDEX(L_Type,ROW()-4)="","",TRIM(UPPER(INDEX(L_Type,ROW()-4))))</f>
        <v/>
      </c>
      <c r="E4638">
        <f>IF(INDEX(P_Status,ROW()-4)="","",TRIM(UPPER(INDEX(P_Status,ROW()-4))))</f>
        <v/>
      </c>
      <c r="G4638">
        <f>IF(INDEX(L_Status,ROW()-4)="","",TRIM(UPPER(INDEX(L_Status,ROW()-4))))</f>
        <v/>
      </c>
      <c r="J4638">
        <f>IF(INDEX(L_ID,ROW()-4)="","",IF(SUMPRODUCT((P_ID=INDEX(L_ID,ROW()-4))*(P_StatusN="INACTIVE"))&gt;0,1,0))</f>
        <v/>
      </c>
    </row>
    <row r="4639">
      <c r="A4639">
        <f>IF(INDEX(L_ID,ROW()-4)="","",IF(COUNTIF(P_ID,INDEX(L_ID,ROW()-4))&gt;0,1,0))</f>
        <v/>
      </c>
      <c r="B4639">
        <f>IF(INDEX(P_Type,ROW()-4)="","",TRIM(UPPER(INDEX(P_Type,ROW()-4))))</f>
        <v/>
      </c>
      <c r="D4639">
        <f>IF(INDEX(L_Type,ROW()-4)="","",TRIM(UPPER(INDEX(L_Type,ROW()-4))))</f>
        <v/>
      </c>
      <c r="E4639">
        <f>IF(INDEX(P_Status,ROW()-4)="","",TRIM(UPPER(INDEX(P_Status,ROW()-4))))</f>
        <v/>
      </c>
      <c r="G4639">
        <f>IF(INDEX(L_Status,ROW()-4)="","",TRIM(UPPER(INDEX(L_Status,ROW()-4))))</f>
        <v/>
      </c>
      <c r="J4639">
        <f>IF(INDEX(L_ID,ROW()-4)="","",IF(SUMPRODUCT((P_ID=INDEX(L_ID,ROW()-4))*(P_StatusN="INACTIVE"))&gt;0,1,0))</f>
        <v/>
      </c>
    </row>
    <row r="4640">
      <c r="A4640">
        <f>IF(INDEX(L_ID,ROW()-4)="","",IF(COUNTIF(P_ID,INDEX(L_ID,ROW()-4))&gt;0,1,0))</f>
        <v/>
      </c>
      <c r="B4640">
        <f>IF(INDEX(P_Type,ROW()-4)="","",TRIM(UPPER(INDEX(P_Type,ROW()-4))))</f>
        <v/>
      </c>
      <c r="D4640">
        <f>IF(INDEX(L_Type,ROW()-4)="","",TRIM(UPPER(INDEX(L_Type,ROW()-4))))</f>
        <v/>
      </c>
      <c r="E4640">
        <f>IF(INDEX(P_Status,ROW()-4)="","",TRIM(UPPER(INDEX(P_Status,ROW()-4))))</f>
        <v/>
      </c>
      <c r="G4640">
        <f>IF(INDEX(L_Status,ROW()-4)="","",TRIM(UPPER(INDEX(L_Status,ROW()-4))))</f>
        <v/>
      </c>
      <c r="J4640">
        <f>IF(INDEX(L_ID,ROW()-4)="","",IF(SUMPRODUCT((P_ID=INDEX(L_ID,ROW()-4))*(P_StatusN="INACTIVE"))&gt;0,1,0))</f>
        <v/>
      </c>
    </row>
    <row r="4641">
      <c r="A4641">
        <f>IF(INDEX(L_ID,ROW()-4)="","",IF(COUNTIF(P_ID,INDEX(L_ID,ROW()-4))&gt;0,1,0))</f>
        <v/>
      </c>
      <c r="B4641">
        <f>IF(INDEX(P_Type,ROW()-4)="","",TRIM(UPPER(INDEX(P_Type,ROW()-4))))</f>
        <v/>
      </c>
      <c r="D4641">
        <f>IF(INDEX(L_Type,ROW()-4)="","",TRIM(UPPER(INDEX(L_Type,ROW()-4))))</f>
        <v/>
      </c>
      <c r="E4641">
        <f>IF(INDEX(P_Status,ROW()-4)="","",TRIM(UPPER(INDEX(P_Status,ROW()-4))))</f>
        <v/>
      </c>
      <c r="G4641">
        <f>IF(INDEX(L_Status,ROW()-4)="","",TRIM(UPPER(INDEX(L_Status,ROW()-4))))</f>
        <v/>
      </c>
      <c r="J4641">
        <f>IF(INDEX(L_ID,ROW()-4)="","",IF(SUMPRODUCT((P_ID=INDEX(L_ID,ROW()-4))*(P_StatusN="INACTIVE"))&gt;0,1,0))</f>
        <v/>
      </c>
    </row>
    <row r="4642">
      <c r="A4642">
        <f>IF(INDEX(L_ID,ROW()-4)="","",IF(COUNTIF(P_ID,INDEX(L_ID,ROW()-4))&gt;0,1,0))</f>
        <v/>
      </c>
      <c r="B4642">
        <f>IF(INDEX(P_Type,ROW()-4)="","",TRIM(UPPER(INDEX(P_Type,ROW()-4))))</f>
        <v/>
      </c>
      <c r="D4642">
        <f>IF(INDEX(L_Type,ROW()-4)="","",TRIM(UPPER(INDEX(L_Type,ROW()-4))))</f>
        <v/>
      </c>
      <c r="E4642">
        <f>IF(INDEX(P_Status,ROW()-4)="","",TRIM(UPPER(INDEX(P_Status,ROW()-4))))</f>
        <v/>
      </c>
      <c r="G4642">
        <f>IF(INDEX(L_Status,ROW()-4)="","",TRIM(UPPER(INDEX(L_Status,ROW()-4))))</f>
        <v/>
      </c>
      <c r="J4642">
        <f>IF(INDEX(L_ID,ROW()-4)="","",IF(SUMPRODUCT((P_ID=INDEX(L_ID,ROW()-4))*(P_StatusN="INACTIVE"))&gt;0,1,0))</f>
        <v/>
      </c>
    </row>
    <row r="4643">
      <c r="A4643">
        <f>IF(INDEX(L_ID,ROW()-4)="","",IF(COUNTIF(P_ID,INDEX(L_ID,ROW()-4))&gt;0,1,0))</f>
        <v/>
      </c>
      <c r="B4643">
        <f>IF(INDEX(P_Type,ROW()-4)="","",TRIM(UPPER(INDEX(P_Type,ROW()-4))))</f>
        <v/>
      </c>
      <c r="D4643">
        <f>IF(INDEX(L_Type,ROW()-4)="","",TRIM(UPPER(INDEX(L_Type,ROW()-4))))</f>
        <v/>
      </c>
      <c r="E4643">
        <f>IF(INDEX(P_Status,ROW()-4)="","",TRIM(UPPER(INDEX(P_Status,ROW()-4))))</f>
        <v/>
      </c>
      <c r="G4643">
        <f>IF(INDEX(L_Status,ROW()-4)="","",TRIM(UPPER(INDEX(L_Status,ROW()-4))))</f>
        <v/>
      </c>
      <c r="J4643">
        <f>IF(INDEX(L_ID,ROW()-4)="","",IF(SUMPRODUCT((P_ID=INDEX(L_ID,ROW()-4))*(P_StatusN="INACTIVE"))&gt;0,1,0))</f>
        <v/>
      </c>
    </row>
    <row r="4644">
      <c r="A4644">
        <f>IF(INDEX(L_ID,ROW()-4)="","",IF(COUNTIF(P_ID,INDEX(L_ID,ROW()-4))&gt;0,1,0))</f>
        <v/>
      </c>
      <c r="B4644">
        <f>IF(INDEX(P_Type,ROW()-4)="","",TRIM(UPPER(INDEX(P_Type,ROW()-4))))</f>
        <v/>
      </c>
      <c r="D4644">
        <f>IF(INDEX(L_Type,ROW()-4)="","",TRIM(UPPER(INDEX(L_Type,ROW()-4))))</f>
        <v/>
      </c>
      <c r="E4644">
        <f>IF(INDEX(P_Status,ROW()-4)="","",TRIM(UPPER(INDEX(P_Status,ROW()-4))))</f>
        <v/>
      </c>
      <c r="G4644">
        <f>IF(INDEX(L_Status,ROW()-4)="","",TRIM(UPPER(INDEX(L_Status,ROW()-4))))</f>
        <v/>
      </c>
      <c r="J4644">
        <f>IF(INDEX(L_ID,ROW()-4)="","",IF(SUMPRODUCT((P_ID=INDEX(L_ID,ROW()-4))*(P_StatusN="INACTIVE"))&gt;0,1,0))</f>
        <v/>
      </c>
    </row>
    <row r="4645">
      <c r="A4645">
        <f>IF(INDEX(L_ID,ROW()-4)="","",IF(COUNTIF(P_ID,INDEX(L_ID,ROW()-4))&gt;0,1,0))</f>
        <v/>
      </c>
      <c r="B4645">
        <f>IF(INDEX(P_Type,ROW()-4)="","",TRIM(UPPER(INDEX(P_Type,ROW()-4))))</f>
        <v/>
      </c>
      <c r="D4645">
        <f>IF(INDEX(L_Type,ROW()-4)="","",TRIM(UPPER(INDEX(L_Type,ROW()-4))))</f>
        <v/>
      </c>
      <c r="E4645">
        <f>IF(INDEX(P_Status,ROW()-4)="","",TRIM(UPPER(INDEX(P_Status,ROW()-4))))</f>
        <v/>
      </c>
      <c r="G4645">
        <f>IF(INDEX(L_Status,ROW()-4)="","",TRIM(UPPER(INDEX(L_Status,ROW()-4))))</f>
        <v/>
      </c>
      <c r="J4645">
        <f>IF(INDEX(L_ID,ROW()-4)="","",IF(SUMPRODUCT((P_ID=INDEX(L_ID,ROW()-4))*(P_StatusN="INACTIVE"))&gt;0,1,0))</f>
        <v/>
      </c>
    </row>
    <row r="4646">
      <c r="A4646">
        <f>IF(INDEX(L_ID,ROW()-4)="","",IF(COUNTIF(P_ID,INDEX(L_ID,ROW()-4))&gt;0,1,0))</f>
        <v/>
      </c>
      <c r="B4646">
        <f>IF(INDEX(P_Type,ROW()-4)="","",TRIM(UPPER(INDEX(P_Type,ROW()-4))))</f>
        <v/>
      </c>
      <c r="D4646">
        <f>IF(INDEX(L_Type,ROW()-4)="","",TRIM(UPPER(INDEX(L_Type,ROW()-4))))</f>
        <v/>
      </c>
      <c r="E4646">
        <f>IF(INDEX(P_Status,ROW()-4)="","",TRIM(UPPER(INDEX(P_Status,ROW()-4))))</f>
        <v/>
      </c>
      <c r="G4646">
        <f>IF(INDEX(L_Status,ROW()-4)="","",TRIM(UPPER(INDEX(L_Status,ROW()-4))))</f>
        <v/>
      </c>
      <c r="J4646">
        <f>IF(INDEX(L_ID,ROW()-4)="","",IF(SUMPRODUCT((P_ID=INDEX(L_ID,ROW()-4))*(P_StatusN="INACTIVE"))&gt;0,1,0))</f>
        <v/>
      </c>
    </row>
    <row r="4647">
      <c r="A4647">
        <f>IF(INDEX(L_ID,ROW()-4)="","",IF(COUNTIF(P_ID,INDEX(L_ID,ROW()-4))&gt;0,1,0))</f>
        <v/>
      </c>
      <c r="B4647">
        <f>IF(INDEX(P_Type,ROW()-4)="","",TRIM(UPPER(INDEX(P_Type,ROW()-4))))</f>
        <v/>
      </c>
      <c r="D4647">
        <f>IF(INDEX(L_Type,ROW()-4)="","",TRIM(UPPER(INDEX(L_Type,ROW()-4))))</f>
        <v/>
      </c>
      <c r="E4647">
        <f>IF(INDEX(P_Status,ROW()-4)="","",TRIM(UPPER(INDEX(P_Status,ROW()-4))))</f>
        <v/>
      </c>
      <c r="G4647">
        <f>IF(INDEX(L_Status,ROW()-4)="","",TRIM(UPPER(INDEX(L_Status,ROW()-4))))</f>
        <v/>
      </c>
      <c r="J4647">
        <f>IF(INDEX(L_ID,ROW()-4)="","",IF(SUMPRODUCT((P_ID=INDEX(L_ID,ROW()-4))*(P_StatusN="INACTIVE"))&gt;0,1,0))</f>
        <v/>
      </c>
    </row>
    <row r="4648">
      <c r="A4648">
        <f>IF(INDEX(L_ID,ROW()-4)="","",IF(COUNTIF(P_ID,INDEX(L_ID,ROW()-4))&gt;0,1,0))</f>
        <v/>
      </c>
      <c r="B4648">
        <f>IF(INDEX(P_Type,ROW()-4)="","",TRIM(UPPER(INDEX(P_Type,ROW()-4))))</f>
        <v/>
      </c>
      <c r="D4648">
        <f>IF(INDEX(L_Type,ROW()-4)="","",TRIM(UPPER(INDEX(L_Type,ROW()-4))))</f>
        <v/>
      </c>
      <c r="E4648">
        <f>IF(INDEX(P_Status,ROW()-4)="","",TRIM(UPPER(INDEX(P_Status,ROW()-4))))</f>
        <v/>
      </c>
      <c r="G4648">
        <f>IF(INDEX(L_Status,ROW()-4)="","",TRIM(UPPER(INDEX(L_Status,ROW()-4))))</f>
        <v/>
      </c>
      <c r="J4648">
        <f>IF(INDEX(L_ID,ROW()-4)="","",IF(SUMPRODUCT((P_ID=INDEX(L_ID,ROW()-4))*(P_StatusN="INACTIVE"))&gt;0,1,0))</f>
        <v/>
      </c>
    </row>
    <row r="4649">
      <c r="A4649">
        <f>IF(INDEX(L_ID,ROW()-4)="","",IF(COUNTIF(P_ID,INDEX(L_ID,ROW()-4))&gt;0,1,0))</f>
        <v/>
      </c>
      <c r="B4649">
        <f>IF(INDEX(P_Type,ROW()-4)="","",TRIM(UPPER(INDEX(P_Type,ROW()-4))))</f>
        <v/>
      </c>
      <c r="D4649">
        <f>IF(INDEX(L_Type,ROW()-4)="","",TRIM(UPPER(INDEX(L_Type,ROW()-4))))</f>
        <v/>
      </c>
      <c r="E4649">
        <f>IF(INDEX(P_Status,ROW()-4)="","",TRIM(UPPER(INDEX(P_Status,ROW()-4))))</f>
        <v/>
      </c>
      <c r="G4649">
        <f>IF(INDEX(L_Status,ROW()-4)="","",TRIM(UPPER(INDEX(L_Status,ROW()-4))))</f>
        <v/>
      </c>
      <c r="J4649">
        <f>IF(INDEX(L_ID,ROW()-4)="","",IF(SUMPRODUCT((P_ID=INDEX(L_ID,ROW()-4))*(P_StatusN="INACTIVE"))&gt;0,1,0))</f>
        <v/>
      </c>
    </row>
    <row r="4650">
      <c r="A4650">
        <f>IF(INDEX(L_ID,ROW()-4)="","",IF(COUNTIF(P_ID,INDEX(L_ID,ROW()-4))&gt;0,1,0))</f>
        <v/>
      </c>
      <c r="B4650">
        <f>IF(INDEX(P_Type,ROW()-4)="","",TRIM(UPPER(INDEX(P_Type,ROW()-4))))</f>
        <v/>
      </c>
      <c r="D4650">
        <f>IF(INDEX(L_Type,ROW()-4)="","",TRIM(UPPER(INDEX(L_Type,ROW()-4))))</f>
        <v/>
      </c>
      <c r="E4650">
        <f>IF(INDEX(P_Status,ROW()-4)="","",TRIM(UPPER(INDEX(P_Status,ROW()-4))))</f>
        <v/>
      </c>
      <c r="G4650">
        <f>IF(INDEX(L_Status,ROW()-4)="","",TRIM(UPPER(INDEX(L_Status,ROW()-4))))</f>
        <v/>
      </c>
      <c r="J4650">
        <f>IF(INDEX(L_ID,ROW()-4)="","",IF(SUMPRODUCT((P_ID=INDEX(L_ID,ROW()-4))*(P_StatusN="INACTIVE"))&gt;0,1,0))</f>
        <v/>
      </c>
    </row>
    <row r="4651">
      <c r="A4651">
        <f>IF(INDEX(L_ID,ROW()-4)="","",IF(COUNTIF(P_ID,INDEX(L_ID,ROW()-4))&gt;0,1,0))</f>
        <v/>
      </c>
      <c r="B4651">
        <f>IF(INDEX(P_Type,ROW()-4)="","",TRIM(UPPER(INDEX(P_Type,ROW()-4))))</f>
        <v/>
      </c>
      <c r="D4651">
        <f>IF(INDEX(L_Type,ROW()-4)="","",TRIM(UPPER(INDEX(L_Type,ROW()-4))))</f>
        <v/>
      </c>
      <c r="E4651">
        <f>IF(INDEX(P_Status,ROW()-4)="","",TRIM(UPPER(INDEX(P_Status,ROW()-4))))</f>
        <v/>
      </c>
      <c r="G4651">
        <f>IF(INDEX(L_Status,ROW()-4)="","",TRIM(UPPER(INDEX(L_Status,ROW()-4))))</f>
        <v/>
      </c>
      <c r="J4651">
        <f>IF(INDEX(L_ID,ROW()-4)="","",IF(SUMPRODUCT((P_ID=INDEX(L_ID,ROW()-4))*(P_StatusN="INACTIVE"))&gt;0,1,0))</f>
        <v/>
      </c>
    </row>
    <row r="4652">
      <c r="A4652">
        <f>IF(INDEX(L_ID,ROW()-4)="","",IF(COUNTIF(P_ID,INDEX(L_ID,ROW()-4))&gt;0,1,0))</f>
        <v/>
      </c>
      <c r="B4652">
        <f>IF(INDEX(P_Type,ROW()-4)="","",TRIM(UPPER(INDEX(P_Type,ROW()-4))))</f>
        <v/>
      </c>
      <c r="D4652">
        <f>IF(INDEX(L_Type,ROW()-4)="","",TRIM(UPPER(INDEX(L_Type,ROW()-4))))</f>
        <v/>
      </c>
      <c r="E4652">
        <f>IF(INDEX(P_Status,ROW()-4)="","",TRIM(UPPER(INDEX(P_Status,ROW()-4))))</f>
        <v/>
      </c>
      <c r="G4652">
        <f>IF(INDEX(L_Status,ROW()-4)="","",TRIM(UPPER(INDEX(L_Status,ROW()-4))))</f>
        <v/>
      </c>
      <c r="J4652">
        <f>IF(INDEX(L_ID,ROW()-4)="","",IF(SUMPRODUCT((P_ID=INDEX(L_ID,ROW()-4))*(P_StatusN="INACTIVE"))&gt;0,1,0))</f>
        <v/>
      </c>
    </row>
    <row r="4653">
      <c r="A4653">
        <f>IF(INDEX(L_ID,ROW()-4)="","",IF(COUNTIF(P_ID,INDEX(L_ID,ROW()-4))&gt;0,1,0))</f>
        <v/>
      </c>
      <c r="B4653">
        <f>IF(INDEX(P_Type,ROW()-4)="","",TRIM(UPPER(INDEX(P_Type,ROW()-4))))</f>
        <v/>
      </c>
      <c r="D4653">
        <f>IF(INDEX(L_Type,ROW()-4)="","",TRIM(UPPER(INDEX(L_Type,ROW()-4))))</f>
        <v/>
      </c>
      <c r="E4653">
        <f>IF(INDEX(P_Status,ROW()-4)="","",TRIM(UPPER(INDEX(P_Status,ROW()-4))))</f>
        <v/>
      </c>
      <c r="G4653">
        <f>IF(INDEX(L_Status,ROW()-4)="","",TRIM(UPPER(INDEX(L_Status,ROW()-4))))</f>
        <v/>
      </c>
      <c r="J4653">
        <f>IF(INDEX(L_ID,ROW()-4)="","",IF(SUMPRODUCT((P_ID=INDEX(L_ID,ROW()-4))*(P_StatusN="INACTIVE"))&gt;0,1,0))</f>
        <v/>
      </c>
    </row>
    <row r="4654">
      <c r="A4654">
        <f>IF(INDEX(L_ID,ROW()-4)="","",IF(COUNTIF(P_ID,INDEX(L_ID,ROW()-4))&gt;0,1,0))</f>
        <v/>
      </c>
      <c r="B4654">
        <f>IF(INDEX(P_Type,ROW()-4)="","",TRIM(UPPER(INDEX(P_Type,ROW()-4))))</f>
        <v/>
      </c>
      <c r="D4654">
        <f>IF(INDEX(L_Type,ROW()-4)="","",TRIM(UPPER(INDEX(L_Type,ROW()-4))))</f>
        <v/>
      </c>
      <c r="E4654">
        <f>IF(INDEX(P_Status,ROW()-4)="","",TRIM(UPPER(INDEX(P_Status,ROW()-4))))</f>
        <v/>
      </c>
      <c r="G4654">
        <f>IF(INDEX(L_Status,ROW()-4)="","",TRIM(UPPER(INDEX(L_Status,ROW()-4))))</f>
        <v/>
      </c>
      <c r="J4654">
        <f>IF(INDEX(L_ID,ROW()-4)="","",IF(SUMPRODUCT((P_ID=INDEX(L_ID,ROW()-4))*(P_StatusN="INACTIVE"))&gt;0,1,0))</f>
        <v/>
      </c>
    </row>
    <row r="4655">
      <c r="A4655">
        <f>IF(INDEX(L_ID,ROW()-4)="","",IF(COUNTIF(P_ID,INDEX(L_ID,ROW()-4))&gt;0,1,0))</f>
        <v/>
      </c>
      <c r="B4655">
        <f>IF(INDEX(P_Type,ROW()-4)="","",TRIM(UPPER(INDEX(P_Type,ROW()-4))))</f>
        <v/>
      </c>
      <c r="D4655">
        <f>IF(INDEX(L_Type,ROW()-4)="","",TRIM(UPPER(INDEX(L_Type,ROW()-4))))</f>
        <v/>
      </c>
      <c r="E4655">
        <f>IF(INDEX(P_Status,ROW()-4)="","",TRIM(UPPER(INDEX(P_Status,ROW()-4))))</f>
        <v/>
      </c>
      <c r="G4655">
        <f>IF(INDEX(L_Status,ROW()-4)="","",TRIM(UPPER(INDEX(L_Status,ROW()-4))))</f>
        <v/>
      </c>
      <c r="J4655">
        <f>IF(INDEX(L_ID,ROW()-4)="","",IF(SUMPRODUCT((P_ID=INDEX(L_ID,ROW()-4))*(P_StatusN="INACTIVE"))&gt;0,1,0))</f>
        <v/>
      </c>
    </row>
    <row r="4656">
      <c r="A4656">
        <f>IF(INDEX(L_ID,ROW()-4)="","",IF(COUNTIF(P_ID,INDEX(L_ID,ROW()-4))&gt;0,1,0))</f>
        <v/>
      </c>
      <c r="B4656">
        <f>IF(INDEX(P_Type,ROW()-4)="","",TRIM(UPPER(INDEX(P_Type,ROW()-4))))</f>
        <v/>
      </c>
      <c r="D4656">
        <f>IF(INDEX(L_Type,ROW()-4)="","",TRIM(UPPER(INDEX(L_Type,ROW()-4))))</f>
        <v/>
      </c>
      <c r="E4656">
        <f>IF(INDEX(P_Status,ROW()-4)="","",TRIM(UPPER(INDEX(P_Status,ROW()-4))))</f>
        <v/>
      </c>
      <c r="G4656">
        <f>IF(INDEX(L_Status,ROW()-4)="","",TRIM(UPPER(INDEX(L_Status,ROW()-4))))</f>
        <v/>
      </c>
      <c r="J4656">
        <f>IF(INDEX(L_ID,ROW()-4)="","",IF(SUMPRODUCT((P_ID=INDEX(L_ID,ROW()-4))*(P_StatusN="INACTIVE"))&gt;0,1,0))</f>
        <v/>
      </c>
    </row>
    <row r="4657">
      <c r="A4657">
        <f>IF(INDEX(L_ID,ROW()-4)="","",IF(COUNTIF(P_ID,INDEX(L_ID,ROW()-4))&gt;0,1,0))</f>
        <v/>
      </c>
      <c r="B4657">
        <f>IF(INDEX(P_Type,ROW()-4)="","",TRIM(UPPER(INDEX(P_Type,ROW()-4))))</f>
        <v/>
      </c>
      <c r="D4657">
        <f>IF(INDEX(L_Type,ROW()-4)="","",TRIM(UPPER(INDEX(L_Type,ROW()-4))))</f>
        <v/>
      </c>
      <c r="E4657">
        <f>IF(INDEX(P_Status,ROW()-4)="","",TRIM(UPPER(INDEX(P_Status,ROW()-4))))</f>
        <v/>
      </c>
      <c r="G4657">
        <f>IF(INDEX(L_Status,ROW()-4)="","",TRIM(UPPER(INDEX(L_Status,ROW()-4))))</f>
        <v/>
      </c>
      <c r="J4657">
        <f>IF(INDEX(L_ID,ROW()-4)="","",IF(SUMPRODUCT((P_ID=INDEX(L_ID,ROW()-4))*(P_StatusN="INACTIVE"))&gt;0,1,0))</f>
        <v/>
      </c>
    </row>
    <row r="4658">
      <c r="A4658">
        <f>IF(INDEX(L_ID,ROW()-4)="","",IF(COUNTIF(P_ID,INDEX(L_ID,ROW()-4))&gt;0,1,0))</f>
        <v/>
      </c>
      <c r="B4658">
        <f>IF(INDEX(P_Type,ROW()-4)="","",TRIM(UPPER(INDEX(P_Type,ROW()-4))))</f>
        <v/>
      </c>
      <c r="D4658">
        <f>IF(INDEX(L_Type,ROW()-4)="","",TRIM(UPPER(INDEX(L_Type,ROW()-4))))</f>
        <v/>
      </c>
      <c r="E4658">
        <f>IF(INDEX(P_Status,ROW()-4)="","",TRIM(UPPER(INDEX(P_Status,ROW()-4))))</f>
        <v/>
      </c>
      <c r="G4658">
        <f>IF(INDEX(L_Status,ROW()-4)="","",TRIM(UPPER(INDEX(L_Status,ROW()-4))))</f>
        <v/>
      </c>
      <c r="J4658">
        <f>IF(INDEX(L_ID,ROW()-4)="","",IF(SUMPRODUCT((P_ID=INDEX(L_ID,ROW()-4))*(P_StatusN="INACTIVE"))&gt;0,1,0))</f>
        <v/>
      </c>
    </row>
    <row r="4659">
      <c r="A4659">
        <f>IF(INDEX(L_ID,ROW()-4)="","",IF(COUNTIF(P_ID,INDEX(L_ID,ROW()-4))&gt;0,1,0))</f>
        <v/>
      </c>
      <c r="B4659">
        <f>IF(INDEX(P_Type,ROW()-4)="","",TRIM(UPPER(INDEX(P_Type,ROW()-4))))</f>
        <v/>
      </c>
      <c r="D4659">
        <f>IF(INDEX(L_Type,ROW()-4)="","",TRIM(UPPER(INDEX(L_Type,ROW()-4))))</f>
        <v/>
      </c>
      <c r="E4659">
        <f>IF(INDEX(P_Status,ROW()-4)="","",TRIM(UPPER(INDEX(P_Status,ROW()-4))))</f>
        <v/>
      </c>
      <c r="G4659">
        <f>IF(INDEX(L_Status,ROW()-4)="","",TRIM(UPPER(INDEX(L_Status,ROW()-4))))</f>
        <v/>
      </c>
      <c r="J4659">
        <f>IF(INDEX(L_ID,ROW()-4)="","",IF(SUMPRODUCT((P_ID=INDEX(L_ID,ROW()-4))*(P_StatusN="INACTIVE"))&gt;0,1,0))</f>
        <v/>
      </c>
    </row>
    <row r="4660">
      <c r="A4660">
        <f>IF(INDEX(L_ID,ROW()-4)="","",IF(COUNTIF(P_ID,INDEX(L_ID,ROW()-4))&gt;0,1,0))</f>
        <v/>
      </c>
      <c r="B4660">
        <f>IF(INDEX(P_Type,ROW()-4)="","",TRIM(UPPER(INDEX(P_Type,ROW()-4))))</f>
        <v/>
      </c>
      <c r="D4660">
        <f>IF(INDEX(L_Type,ROW()-4)="","",TRIM(UPPER(INDEX(L_Type,ROW()-4))))</f>
        <v/>
      </c>
      <c r="E4660">
        <f>IF(INDEX(P_Status,ROW()-4)="","",TRIM(UPPER(INDEX(P_Status,ROW()-4))))</f>
        <v/>
      </c>
      <c r="G4660">
        <f>IF(INDEX(L_Status,ROW()-4)="","",TRIM(UPPER(INDEX(L_Status,ROW()-4))))</f>
        <v/>
      </c>
      <c r="J4660">
        <f>IF(INDEX(L_ID,ROW()-4)="","",IF(SUMPRODUCT((P_ID=INDEX(L_ID,ROW()-4))*(P_StatusN="INACTIVE"))&gt;0,1,0))</f>
        <v/>
      </c>
    </row>
    <row r="4661">
      <c r="A4661">
        <f>IF(INDEX(L_ID,ROW()-4)="","",IF(COUNTIF(P_ID,INDEX(L_ID,ROW()-4))&gt;0,1,0))</f>
        <v/>
      </c>
      <c r="B4661">
        <f>IF(INDEX(P_Type,ROW()-4)="","",TRIM(UPPER(INDEX(P_Type,ROW()-4))))</f>
        <v/>
      </c>
      <c r="D4661">
        <f>IF(INDEX(L_Type,ROW()-4)="","",TRIM(UPPER(INDEX(L_Type,ROW()-4))))</f>
        <v/>
      </c>
      <c r="E4661">
        <f>IF(INDEX(P_Status,ROW()-4)="","",TRIM(UPPER(INDEX(P_Status,ROW()-4))))</f>
        <v/>
      </c>
      <c r="G4661">
        <f>IF(INDEX(L_Status,ROW()-4)="","",TRIM(UPPER(INDEX(L_Status,ROW()-4))))</f>
        <v/>
      </c>
      <c r="J4661">
        <f>IF(INDEX(L_ID,ROW()-4)="","",IF(SUMPRODUCT((P_ID=INDEX(L_ID,ROW()-4))*(P_StatusN="INACTIVE"))&gt;0,1,0))</f>
        <v/>
      </c>
    </row>
    <row r="4662">
      <c r="A4662">
        <f>IF(INDEX(L_ID,ROW()-4)="","",IF(COUNTIF(P_ID,INDEX(L_ID,ROW()-4))&gt;0,1,0))</f>
        <v/>
      </c>
      <c r="B4662">
        <f>IF(INDEX(P_Type,ROW()-4)="","",TRIM(UPPER(INDEX(P_Type,ROW()-4))))</f>
        <v/>
      </c>
      <c r="D4662">
        <f>IF(INDEX(L_Type,ROW()-4)="","",TRIM(UPPER(INDEX(L_Type,ROW()-4))))</f>
        <v/>
      </c>
      <c r="E4662">
        <f>IF(INDEX(P_Status,ROW()-4)="","",TRIM(UPPER(INDEX(P_Status,ROW()-4))))</f>
        <v/>
      </c>
      <c r="G4662">
        <f>IF(INDEX(L_Status,ROW()-4)="","",TRIM(UPPER(INDEX(L_Status,ROW()-4))))</f>
        <v/>
      </c>
      <c r="J4662">
        <f>IF(INDEX(L_ID,ROW()-4)="","",IF(SUMPRODUCT((P_ID=INDEX(L_ID,ROW()-4))*(P_StatusN="INACTIVE"))&gt;0,1,0))</f>
        <v/>
      </c>
    </row>
    <row r="4663">
      <c r="A4663">
        <f>IF(INDEX(L_ID,ROW()-4)="","",IF(COUNTIF(P_ID,INDEX(L_ID,ROW()-4))&gt;0,1,0))</f>
        <v/>
      </c>
      <c r="B4663">
        <f>IF(INDEX(P_Type,ROW()-4)="","",TRIM(UPPER(INDEX(P_Type,ROW()-4))))</f>
        <v/>
      </c>
      <c r="D4663">
        <f>IF(INDEX(L_Type,ROW()-4)="","",TRIM(UPPER(INDEX(L_Type,ROW()-4))))</f>
        <v/>
      </c>
      <c r="E4663">
        <f>IF(INDEX(P_Status,ROW()-4)="","",TRIM(UPPER(INDEX(P_Status,ROW()-4))))</f>
        <v/>
      </c>
      <c r="G4663">
        <f>IF(INDEX(L_Status,ROW()-4)="","",TRIM(UPPER(INDEX(L_Status,ROW()-4))))</f>
        <v/>
      </c>
      <c r="J4663">
        <f>IF(INDEX(L_ID,ROW()-4)="","",IF(SUMPRODUCT((P_ID=INDEX(L_ID,ROW()-4))*(P_StatusN="INACTIVE"))&gt;0,1,0))</f>
        <v/>
      </c>
    </row>
    <row r="4664">
      <c r="A4664">
        <f>IF(INDEX(L_ID,ROW()-4)="","",IF(COUNTIF(P_ID,INDEX(L_ID,ROW()-4))&gt;0,1,0))</f>
        <v/>
      </c>
      <c r="B4664">
        <f>IF(INDEX(P_Type,ROW()-4)="","",TRIM(UPPER(INDEX(P_Type,ROW()-4))))</f>
        <v/>
      </c>
      <c r="D4664">
        <f>IF(INDEX(L_Type,ROW()-4)="","",TRIM(UPPER(INDEX(L_Type,ROW()-4))))</f>
        <v/>
      </c>
      <c r="E4664">
        <f>IF(INDEX(P_Status,ROW()-4)="","",TRIM(UPPER(INDEX(P_Status,ROW()-4))))</f>
        <v/>
      </c>
      <c r="G4664">
        <f>IF(INDEX(L_Status,ROW()-4)="","",TRIM(UPPER(INDEX(L_Status,ROW()-4))))</f>
        <v/>
      </c>
      <c r="J4664">
        <f>IF(INDEX(L_ID,ROW()-4)="","",IF(SUMPRODUCT((P_ID=INDEX(L_ID,ROW()-4))*(P_StatusN="INACTIVE"))&gt;0,1,0))</f>
        <v/>
      </c>
    </row>
    <row r="4665">
      <c r="A4665">
        <f>IF(INDEX(L_ID,ROW()-4)="","",IF(COUNTIF(P_ID,INDEX(L_ID,ROW()-4))&gt;0,1,0))</f>
        <v/>
      </c>
      <c r="B4665">
        <f>IF(INDEX(P_Type,ROW()-4)="","",TRIM(UPPER(INDEX(P_Type,ROW()-4))))</f>
        <v/>
      </c>
      <c r="D4665">
        <f>IF(INDEX(L_Type,ROW()-4)="","",TRIM(UPPER(INDEX(L_Type,ROW()-4))))</f>
        <v/>
      </c>
      <c r="E4665">
        <f>IF(INDEX(P_Status,ROW()-4)="","",TRIM(UPPER(INDEX(P_Status,ROW()-4))))</f>
        <v/>
      </c>
      <c r="G4665">
        <f>IF(INDEX(L_Status,ROW()-4)="","",TRIM(UPPER(INDEX(L_Status,ROW()-4))))</f>
        <v/>
      </c>
      <c r="J4665">
        <f>IF(INDEX(L_ID,ROW()-4)="","",IF(SUMPRODUCT((P_ID=INDEX(L_ID,ROW()-4))*(P_StatusN="INACTIVE"))&gt;0,1,0))</f>
        <v/>
      </c>
    </row>
    <row r="4666">
      <c r="A4666">
        <f>IF(INDEX(L_ID,ROW()-4)="","",IF(COUNTIF(P_ID,INDEX(L_ID,ROW()-4))&gt;0,1,0))</f>
        <v/>
      </c>
      <c r="B4666">
        <f>IF(INDEX(P_Type,ROW()-4)="","",TRIM(UPPER(INDEX(P_Type,ROW()-4))))</f>
        <v/>
      </c>
      <c r="D4666">
        <f>IF(INDEX(L_Type,ROW()-4)="","",TRIM(UPPER(INDEX(L_Type,ROW()-4))))</f>
        <v/>
      </c>
      <c r="E4666">
        <f>IF(INDEX(P_Status,ROW()-4)="","",TRIM(UPPER(INDEX(P_Status,ROW()-4))))</f>
        <v/>
      </c>
      <c r="G4666">
        <f>IF(INDEX(L_Status,ROW()-4)="","",TRIM(UPPER(INDEX(L_Status,ROW()-4))))</f>
        <v/>
      </c>
      <c r="J4666">
        <f>IF(INDEX(L_ID,ROW()-4)="","",IF(SUMPRODUCT((P_ID=INDEX(L_ID,ROW()-4))*(P_StatusN="INACTIVE"))&gt;0,1,0))</f>
        <v/>
      </c>
    </row>
    <row r="4667">
      <c r="A4667">
        <f>IF(INDEX(L_ID,ROW()-4)="","",IF(COUNTIF(P_ID,INDEX(L_ID,ROW()-4))&gt;0,1,0))</f>
        <v/>
      </c>
      <c r="B4667">
        <f>IF(INDEX(P_Type,ROW()-4)="","",TRIM(UPPER(INDEX(P_Type,ROW()-4))))</f>
        <v/>
      </c>
      <c r="D4667">
        <f>IF(INDEX(L_Type,ROW()-4)="","",TRIM(UPPER(INDEX(L_Type,ROW()-4))))</f>
        <v/>
      </c>
      <c r="E4667">
        <f>IF(INDEX(P_Status,ROW()-4)="","",TRIM(UPPER(INDEX(P_Status,ROW()-4))))</f>
        <v/>
      </c>
      <c r="G4667">
        <f>IF(INDEX(L_Status,ROW()-4)="","",TRIM(UPPER(INDEX(L_Status,ROW()-4))))</f>
        <v/>
      </c>
      <c r="J4667">
        <f>IF(INDEX(L_ID,ROW()-4)="","",IF(SUMPRODUCT((P_ID=INDEX(L_ID,ROW()-4))*(P_StatusN="INACTIVE"))&gt;0,1,0))</f>
        <v/>
      </c>
    </row>
    <row r="4668">
      <c r="A4668">
        <f>IF(INDEX(L_ID,ROW()-4)="","",IF(COUNTIF(P_ID,INDEX(L_ID,ROW()-4))&gt;0,1,0))</f>
        <v/>
      </c>
      <c r="B4668">
        <f>IF(INDEX(P_Type,ROW()-4)="","",TRIM(UPPER(INDEX(P_Type,ROW()-4))))</f>
        <v/>
      </c>
      <c r="D4668">
        <f>IF(INDEX(L_Type,ROW()-4)="","",TRIM(UPPER(INDEX(L_Type,ROW()-4))))</f>
        <v/>
      </c>
      <c r="E4668">
        <f>IF(INDEX(P_Status,ROW()-4)="","",TRIM(UPPER(INDEX(P_Status,ROW()-4))))</f>
        <v/>
      </c>
      <c r="G4668">
        <f>IF(INDEX(L_Status,ROW()-4)="","",TRIM(UPPER(INDEX(L_Status,ROW()-4))))</f>
        <v/>
      </c>
      <c r="J4668">
        <f>IF(INDEX(L_ID,ROW()-4)="","",IF(SUMPRODUCT((P_ID=INDEX(L_ID,ROW()-4))*(P_StatusN="INACTIVE"))&gt;0,1,0))</f>
        <v/>
      </c>
    </row>
    <row r="4669">
      <c r="A4669">
        <f>IF(INDEX(L_ID,ROW()-4)="","",IF(COUNTIF(P_ID,INDEX(L_ID,ROW()-4))&gt;0,1,0))</f>
        <v/>
      </c>
      <c r="B4669">
        <f>IF(INDEX(P_Type,ROW()-4)="","",TRIM(UPPER(INDEX(P_Type,ROW()-4))))</f>
        <v/>
      </c>
      <c r="D4669">
        <f>IF(INDEX(L_Type,ROW()-4)="","",TRIM(UPPER(INDEX(L_Type,ROW()-4))))</f>
        <v/>
      </c>
      <c r="E4669">
        <f>IF(INDEX(P_Status,ROW()-4)="","",TRIM(UPPER(INDEX(P_Status,ROW()-4))))</f>
        <v/>
      </c>
      <c r="G4669">
        <f>IF(INDEX(L_Status,ROW()-4)="","",TRIM(UPPER(INDEX(L_Status,ROW()-4))))</f>
        <v/>
      </c>
      <c r="J4669">
        <f>IF(INDEX(L_ID,ROW()-4)="","",IF(SUMPRODUCT((P_ID=INDEX(L_ID,ROW()-4))*(P_StatusN="INACTIVE"))&gt;0,1,0))</f>
        <v/>
      </c>
    </row>
    <row r="4670">
      <c r="A4670">
        <f>IF(INDEX(L_ID,ROW()-4)="","",IF(COUNTIF(P_ID,INDEX(L_ID,ROW()-4))&gt;0,1,0))</f>
        <v/>
      </c>
      <c r="B4670">
        <f>IF(INDEX(P_Type,ROW()-4)="","",TRIM(UPPER(INDEX(P_Type,ROW()-4))))</f>
        <v/>
      </c>
      <c r="D4670">
        <f>IF(INDEX(L_Type,ROW()-4)="","",TRIM(UPPER(INDEX(L_Type,ROW()-4))))</f>
        <v/>
      </c>
      <c r="E4670">
        <f>IF(INDEX(P_Status,ROW()-4)="","",TRIM(UPPER(INDEX(P_Status,ROW()-4))))</f>
        <v/>
      </c>
      <c r="G4670">
        <f>IF(INDEX(L_Status,ROW()-4)="","",TRIM(UPPER(INDEX(L_Status,ROW()-4))))</f>
        <v/>
      </c>
      <c r="J4670">
        <f>IF(INDEX(L_ID,ROW()-4)="","",IF(SUMPRODUCT((P_ID=INDEX(L_ID,ROW()-4))*(P_StatusN="INACTIVE"))&gt;0,1,0))</f>
        <v/>
      </c>
    </row>
    <row r="4671">
      <c r="A4671">
        <f>IF(INDEX(L_ID,ROW()-4)="","",IF(COUNTIF(P_ID,INDEX(L_ID,ROW()-4))&gt;0,1,0))</f>
        <v/>
      </c>
      <c r="B4671">
        <f>IF(INDEX(P_Type,ROW()-4)="","",TRIM(UPPER(INDEX(P_Type,ROW()-4))))</f>
        <v/>
      </c>
      <c r="D4671">
        <f>IF(INDEX(L_Type,ROW()-4)="","",TRIM(UPPER(INDEX(L_Type,ROW()-4))))</f>
        <v/>
      </c>
      <c r="E4671">
        <f>IF(INDEX(P_Status,ROW()-4)="","",TRIM(UPPER(INDEX(P_Status,ROW()-4))))</f>
        <v/>
      </c>
      <c r="G4671">
        <f>IF(INDEX(L_Status,ROW()-4)="","",TRIM(UPPER(INDEX(L_Status,ROW()-4))))</f>
        <v/>
      </c>
      <c r="J4671">
        <f>IF(INDEX(L_ID,ROW()-4)="","",IF(SUMPRODUCT((P_ID=INDEX(L_ID,ROW()-4))*(P_StatusN="INACTIVE"))&gt;0,1,0))</f>
        <v/>
      </c>
    </row>
    <row r="4672">
      <c r="A4672">
        <f>IF(INDEX(L_ID,ROW()-4)="","",IF(COUNTIF(P_ID,INDEX(L_ID,ROW()-4))&gt;0,1,0))</f>
        <v/>
      </c>
      <c r="B4672">
        <f>IF(INDEX(P_Type,ROW()-4)="","",TRIM(UPPER(INDEX(P_Type,ROW()-4))))</f>
        <v/>
      </c>
      <c r="D4672">
        <f>IF(INDEX(L_Type,ROW()-4)="","",TRIM(UPPER(INDEX(L_Type,ROW()-4))))</f>
        <v/>
      </c>
      <c r="E4672">
        <f>IF(INDEX(P_Status,ROW()-4)="","",TRIM(UPPER(INDEX(P_Status,ROW()-4))))</f>
        <v/>
      </c>
      <c r="G4672">
        <f>IF(INDEX(L_Status,ROW()-4)="","",TRIM(UPPER(INDEX(L_Status,ROW()-4))))</f>
        <v/>
      </c>
      <c r="J4672">
        <f>IF(INDEX(L_ID,ROW()-4)="","",IF(SUMPRODUCT((P_ID=INDEX(L_ID,ROW()-4))*(P_StatusN="INACTIVE"))&gt;0,1,0))</f>
        <v/>
      </c>
    </row>
    <row r="4673">
      <c r="A4673">
        <f>IF(INDEX(L_ID,ROW()-4)="","",IF(COUNTIF(P_ID,INDEX(L_ID,ROW()-4))&gt;0,1,0))</f>
        <v/>
      </c>
      <c r="B4673">
        <f>IF(INDEX(P_Type,ROW()-4)="","",TRIM(UPPER(INDEX(P_Type,ROW()-4))))</f>
        <v/>
      </c>
      <c r="D4673">
        <f>IF(INDEX(L_Type,ROW()-4)="","",TRIM(UPPER(INDEX(L_Type,ROW()-4))))</f>
        <v/>
      </c>
      <c r="E4673">
        <f>IF(INDEX(P_Status,ROW()-4)="","",TRIM(UPPER(INDEX(P_Status,ROW()-4))))</f>
        <v/>
      </c>
      <c r="G4673">
        <f>IF(INDEX(L_Status,ROW()-4)="","",TRIM(UPPER(INDEX(L_Status,ROW()-4))))</f>
        <v/>
      </c>
      <c r="J4673">
        <f>IF(INDEX(L_ID,ROW()-4)="","",IF(SUMPRODUCT((P_ID=INDEX(L_ID,ROW()-4))*(P_StatusN="INACTIVE"))&gt;0,1,0))</f>
        <v/>
      </c>
    </row>
    <row r="4674">
      <c r="A4674">
        <f>IF(INDEX(L_ID,ROW()-4)="","",IF(COUNTIF(P_ID,INDEX(L_ID,ROW()-4))&gt;0,1,0))</f>
        <v/>
      </c>
      <c r="B4674">
        <f>IF(INDEX(P_Type,ROW()-4)="","",TRIM(UPPER(INDEX(P_Type,ROW()-4))))</f>
        <v/>
      </c>
      <c r="D4674">
        <f>IF(INDEX(L_Type,ROW()-4)="","",TRIM(UPPER(INDEX(L_Type,ROW()-4))))</f>
        <v/>
      </c>
      <c r="E4674">
        <f>IF(INDEX(P_Status,ROW()-4)="","",TRIM(UPPER(INDEX(P_Status,ROW()-4))))</f>
        <v/>
      </c>
      <c r="G4674">
        <f>IF(INDEX(L_Status,ROW()-4)="","",TRIM(UPPER(INDEX(L_Status,ROW()-4))))</f>
        <v/>
      </c>
      <c r="J4674">
        <f>IF(INDEX(L_ID,ROW()-4)="","",IF(SUMPRODUCT((P_ID=INDEX(L_ID,ROW()-4))*(P_StatusN="INACTIVE"))&gt;0,1,0))</f>
        <v/>
      </c>
    </row>
    <row r="4675">
      <c r="A4675">
        <f>IF(INDEX(L_ID,ROW()-4)="","",IF(COUNTIF(P_ID,INDEX(L_ID,ROW()-4))&gt;0,1,0))</f>
        <v/>
      </c>
      <c r="B4675">
        <f>IF(INDEX(P_Type,ROW()-4)="","",TRIM(UPPER(INDEX(P_Type,ROW()-4))))</f>
        <v/>
      </c>
      <c r="D4675">
        <f>IF(INDEX(L_Type,ROW()-4)="","",TRIM(UPPER(INDEX(L_Type,ROW()-4))))</f>
        <v/>
      </c>
      <c r="E4675">
        <f>IF(INDEX(P_Status,ROW()-4)="","",TRIM(UPPER(INDEX(P_Status,ROW()-4))))</f>
        <v/>
      </c>
      <c r="G4675">
        <f>IF(INDEX(L_Status,ROW()-4)="","",TRIM(UPPER(INDEX(L_Status,ROW()-4))))</f>
        <v/>
      </c>
      <c r="J4675">
        <f>IF(INDEX(L_ID,ROW()-4)="","",IF(SUMPRODUCT((P_ID=INDEX(L_ID,ROW()-4))*(P_StatusN="INACTIVE"))&gt;0,1,0))</f>
        <v/>
      </c>
    </row>
    <row r="4676">
      <c r="A4676">
        <f>IF(INDEX(L_ID,ROW()-4)="","",IF(COUNTIF(P_ID,INDEX(L_ID,ROW()-4))&gt;0,1,0))</f>
        <v/>
      </c>
      <c r="B4676">
        <f>IF(INDEX(P_Type,ROW()-4)="","",TRIM(UPPER(INDEX(P_Type,ROW()-4))))</f>
        <v/>
      </c>
      <c r="D4676">
        <f>IF(INDEX(L_Type,ROW()-4)="","",TRIM(UPPER(INDEX(L_Type,ROW()-4))))</f>
        <v/>
      </c>
      <c r="E4676">
        <f>IF(INDEX(P_Status,ROW()-4)="","",TRIM(UPPER(INDEX(P_Status,ROW()-4))))</f>
        <v/>
      </c>
      <c r="G4676">
        <f>IF(INDEX(L_Status,ROW()-4)="","",TRIM(UPPER(INDEX(L_Status,ROW()-4))))</f>
        <v/>
      </c>
      <c r="J4676">
        <f>IF(INDEX(L_ID,ROW()-4)="","",IF(SUMPRODUCT((P_ID=INDEX(L_ID,ROW()-4))*(P_StatusN="INACTIVE"))&gt;0,1,0))</f>
        <v/>
      </c>
    </row>
    <row r="4677">
      <c r="A4677">
        <f>IF(INDEX(L_ID,ROW()-4)="","",IF(COUNTIF(P_ID,INDEX(L_ID,ROW()-4))&gt;0,1,0))</f>
        <v/>
      </c>
      <c r="B4677">
        <f>IF(INDEX(P_Type,ROW()-4)="","",TRIM(UPPER(INDEX(P_Type,ROW()-4))))</f>
        <v/>
      </c>
      <c r="D4677">
        <f>IF(INDEX(L_Type,ROW()-4)="","",TRIM(UPPER(INDEX(L_Type,ROW()-4))))</f>
        <v/>
      </c>
      <c r="E4677">
        <f>IF(INDEX(P_Status,ROW()-4)="","",TRIM(UPPER(INDEX(P_Status,ROW()-4))))</f>
        <v/>
      </c>
      <c r="G4677">
        <f>IF(INDEX(L_Status,ROW()-4)="","",TRIM(UPPER(INDEX(L_Status,ROW()-4))))</f>
        <v/>
      </c>
      <c r="J4677">
        <f>IF(INDEX(L_ID,ROW()-4)="","",IF(SUMPRODUCT((P_ID=INDEX(L_ID,ROW()-4))*(P_StatusN="INACTIVE"))&gt;0,1,0))</f>
        <v/>
      </c>
    </row>
    <row r="4678">
      <c r="A4678">
        <f>IF(INDEX(L_ID,ROW()-4)="","",IF(COUNTIF(P_ID,INDEX(L_ID,ROW()-4))&gt;0,1,0))</f>
        <v/>
      </c>
      <c r="B4678">
        <f>IF(INDEX(P_Type,ROW()-4)="","",TRIM(UPPER(INDEX(P_Type,ROW()-4))))</f>
        <v/>
      </c>
      <c r="D4678">
        <f>IF(INDEX(L_Type,ROW()-4)="","",TRIM(UPPER(INDEX(L_Type,ROW()-4))))</f>
        <v/>
      </c>
      <c r="E4678">
        <f>IF(INDEX(P_Status,ROW()-4)="","",TRIM(UPPER(INDEX(P_Status,ROW()-4))))</f>
        <v/>
      </c>
      <c r="G4678">
        <f>IF(INDEX(L_Status,ROW()-4)="","",TRIM(UPPER(INDEX(L_Status,ROW()-4))))</f>
        <v/>
      </c>
      <c r="J4678">
        <f>IF(INDEX(L_ID,ROW()-4)="","",IF(SUMPRODUCT((P_ID=INDEX(L_ID,ROW()-4))*(P_StatusN="INACTIVE"))&gt;0,1,0))</f>
        <v/>
      </c>
    </row>
    <row r="4679">
      <c r="A4679">
        <f>IF(INDEX(L_ID,ROW()-4)="","",IF(COUNTIF(P_ID,INDEX(L_ID,ROW()-4))&gt;0,1,0))</f>
        <v/>
      </c>
      <c r="B4679">
        <f>IF(INDEX(P_Type,ROW()-4)="","",TRIM(UPPER(INDEX(P_Type,ROW()-4))))</f>
        <v/>
      </c>
      <c r="D4679">
        <f>IF(INDEX(L_Type,ROW()-4)="","",TRIM(UPPER(INDEX(L_Type,ROW()-4))))</f>
        <v/>
      </c>
      <c r="E4679">
        <f>IF(INDEX(P_Status,ROW()-4)="","",TRIM(UPPER(INDEX(P_Status,ROW()-4))))</f>
        <v/>
      </c>
      <c r="G4679">
        <f>IF(INDEX(L_Status,ROW()-4)="","",TRIM(UPPER(INDEX(L_Status,ROW()-4))))</f>
        <v/>
      </c>
      <c r="J4679">
        <f>IF(INDEX(L_ID,ROW()-4)="","",IF(SUMPRODUCT((P_ID=INDEX(L_ID,ROW()-4))*(P_StatusN="INACTIVE"))&gt;0,1,0))</f>
        <v/>
      </c>
    </row>
    <row r="4680">
      <c r="A4680">
        <f>IF(INDEX(L_ID,ROW()-4)="","",IF(COUNTIF(P_ID,INDEX(L_ID,ROW()-4))&gt;0,1,0))</f>
        <v/>
      </c>
      <c r="B4680">
        <f>IF(INDEX(P_Type,ROW()-4)="","",TRIM(UPPER(INDEX(P_Type,ROW()-4))))</f>
        <v/>
      </c>
      <c r="D4680">
        <f>IF(INDEX(L_Type,ROW()-4)="","",TRIM(UPPER(INDEX(L_Type,ROW()-4))))</f>
        <v/>
      </c>
      <c r="E4680">
        <f>IF(INDEX(P_Status,ROW()-4)="","",TRIM(UPPER(INDEX(P_Status,ROW()-4))))</f>
        <v/>
      </c>
      <c r="G4680">
        <f>IF(INDEX(L_Status,ROW()-4)="","",TRIM(UPPER(INDEX(L_Status,ROW()-4))))</f>
        <v/>
      </c>
      <c r="J4680">
        <f>IF(INDEX(L_ID,ROW()-4)="","",IF(SUMPRODUCT((P_ID=INDEX(L_ID,ROW()-4))*(P_StatusN="INACTIVE"))&gt;0,1,0))</f>
        <v/>
      </c>
    </row>
    <row r="4681">
      <c r="A4681">
        <f>IF(INDEX(L_ID,ROW()-4)="","",IF(COUNTIF(P_ID,INDEX(L_ID,ROW()-4))&gt;0,1,0))</f>
        <v/>
      </c>
      <c r="B4681">
        <f>IF(INDEX(P_Type,ROW()-4)="","",TRIM(UPPER(INDEX(P_Type,ROW()-4))))</f>
        <v/>
      </c>
      <c r="D4681">
        <f>IF(INDEX(L_Type,ROW()-4)="","",TRIM(UPPER(INDEX(L_Type,ROW()-4))))</f>
        <v/>
      </c>
      <c r="E4681">
        <f>IF(INDEX(P_Status,ROW()-4)="","",TRIM(UPPER(INDEX(P_Status,ROW()-4))))</f>
        <v/>
      </c>
      <c r="G4681">
        <f>IF(INDEX(L_Status,ROW()-4)="","",TRIM(UPPER(INDEX(L_Status,ROW()-4))))</f>
        <v/>
      </c>
      <c r="J4681">
        <f>IF(INDEX(L_ID,ROW()-4)="","",IF(SUMPRODUCT((P_ID=INDEX(L_ID,ROW()-4))*(P_StatusN="INACTIVE"))&gt;0,1,0))</f>
        <v/>
      </c>
    </row>
    <row r="4682">
      <c r="A4682">
        <f>IF(INDEX(L_ID,ROW()-4)="","",IF(COUNTIF(P_ID,INDEX(L_ID,ROW()-4))&gt;0,1,0))</f>
        <v/>
      </c>
      <c r="B4682">
        <f>IF(INDEX(P_Type,ROW()-4)="","",TRIM(UPPER(INDEX(P_Type,ROW()-4))))</f>
        <v/>
      </c>
      <c r="D4682">
        <f>IF(INDEX(L_Type,ROW()-4)="","",TRIM(UPPER(INDEX(L_Type,ROW()-4))))</f>
        <v/>
      </c>
      <c r="E4682">
        <f>IF(INDEX(P_Status,ROW()-4)="","",TRIM(UPPER(INDEX(P_Status,ROW()-4))))</f>
        <v/>
      </c>
      <c r="G4682">
        <f>IF(INDEX(L_Status,ROW()-4)="","",TRIM(UPPER(INDEX(L_Status,ROW()-4))))</f>
        <v/>
      </c>
      <c r="J4682">
        <f>IF(INDEX(L_ID,ROW()-4)="","",IF(SUMPRODUCT((P_ID=INDEX(L_ID,ROW()-4))*(P_StatusN="INACTIVE"))&gt;0,1,0))</f>
        <v/>
      </c>
    </row>
    <row r="4683">
      <c r="A4683">
        <f>IF(INDEX(L_ID,ROW()-4)="","",IF(COUNTIF(P_ID,INDEX(L_ID,ROW()-4))&gt;0,1,0))</f>
        <v/>
      </c>
      <c r="B4683">
        <f>IF(INDEX(P_Type,ROW()-4)="","",TRIM(UPPER(INDEX(P_Type,ROW()-4))))</f>
        <v/>
      </c>
      <c r="D4683">
        <f>IF(INDEX(L_Type,ROW()-4)="","",TRIM(UPPER(INDEX(L_Type,ROW()-4))))</f>
        <v/>
      </c>
      <c r="E4683">
        <f>IF(INDEX(P_Status,ROW()-4)="","",TRIM(UPPER(INDEX(P_Status,ROW()-4))))</f>
        <v/>
      </c>
      <c r="G4683">
        <f>IF(INDEX(L_Status,ROW()-4)="","",TRIM(UPPER(INDEX(L_Status,ROW()-4))))</f>
        <v/>
      </c>
      <c r="J4683">
        <f>IF(INDEX(L_ID,ROW()-4)="","",IF(SUMPRODUCT((P_ID=INDEX(L_ID,ROW()-4))*(P_StatusN="INACTIVE"))&gt;0,1,0))</f>
        <v/>
      </c>
    </row>
    <row r="4684">
      <c r="A4684">
        <f>IF(INDEX(L_ID,ROW()-4)="","",IF(COUNTIF(P_ID,INDEX(L_ID,ROW()-4))&gt;0,1,0))</f>
        <v/>
      </c>
      <c r="B4684">
        <f>IF(INDEX(P_Type,ROW()-4)="","",TRIM(UPPER(INDEX(P_Type,ROW()-4))))</f>
        <v/>
      </c>
      <c r="D4684">
        <f>IF(INDEX(L_Type,ROW()-4)="","",TRIM(UPPER(INDEX(L_Type,ROW()-4))))</f>
        <v/>
      </c>
      <c r="E4684">
        <f>IF(INDEX(P_Status,ROW()-4)="","",TRIM(UPPER(INDEX(P_Status,ROW()-4))))</f>
        <v/>
      </c>
      <c r="G4684">
        <f>IF(INDEX(L_Status,ROW()-4)="","",TRIM(UPPER(INDEX(L_Status,ROW()-4))))</f>
        <v/>
      </c>
      <c r="J4684">
        <f>IF(INDEX(L_ID,ROW()-4)="","",IF(SUMPRODUCT((P_ID=INDEX(L_ID,ROW()-4))*(P_StatusN="INACTIVE"))&gt;0,1,0))</f>
        <v/>
      </c>
    </row>
    <row r="4685">
      <c r="A4685">
        <f>IF(INDEX(L_ID,ROW()-4)="","",IF(COUNTIF(P_ID,INDEX(L_ID,ROW()-4))&gt;0,1,0))</f>
        <v/>
      </c>
      <c r="B4685">
        <f>IF(INDEX(P_Type,ROW()-4)="","",TRIM(UPPER(INDEX(P_Type,ROW()-4))))</f>
        <v/>
      </c>
      <c r="D4685">
        <f>IF(INDEX(L_Type,ROW()-4)="","",TRIM(UPPER(INDEX(L_Type,ROW()-4))))</f>
        <v/>
      </c>
      <c r="E4685">
        <f>IF(INDEX(P_Status,ROW()-4)="","",TRIM(UPPER(INDEX(P_Status,ROW()-4))))</f>
        <v/>
      </c>
      <c r="G4685">
        <f>IF(INDEX(L_Status,ROW()-4)="","",TRIM(UPPER(INDEX(L_Status,ROW()-4))))</f>
        <v/>
      </c>
      <c r="J4685">
        <f>IF(INDEX(L_ID,ROW()-4)="","",IF(SUMPRODUCT((P_ID=INDEX(L_ID,ROW()-4))*(P_StatusN="INACTIVE"))&gt;0,1,0))</f>
        <v/>
      </c>
    </row>
    <row r="4686">
      <c r="A4686">
        <f>IF(INDEX(L_ID,ROW()-4)="","",IF(COUNTIF(P_ID,INDEX(L_ID,ROW()-4))&gt;0,1,0))</f>
        <v/>
      </c>
      <c r="B4686">
        <f>IF(INDEX(P_Type,ROW()-4)="","",TRIM(UPPER(INDEX(P_Type,ROW()-4))))</f>
        <v/>
      </c>
      <c r="D4686">
        <f>IF(INDEX(L_Type,ROW()-4)="","",TRIM(UPPER(INDEX(L_Type,ROW()-4))))</f>
        <v/>
      </c>
      <c r="E4686">
        <f>IF(INDEX(P_Status,ROW()-4)="","",TRIM(UPPER(INDEX(P_Status,ROW()-4))))</f>
        <v/>
      </c>
      <c r="G4686">
        <f>IF(INDEX(L_Status,ROW()-4)="","",TRIM(UPPER(INDEX(L_Status,ROW()-4))))</f>
        <v/>
      </c>
      <c r="J4686">
        <f>IF(INDEX(L_ID,ROW()-4)="","",IF(SUMPRODUCT((P_ID=INDEX(L_ID,ROW()-4))*(P_StatusN="INACTIVE"))&gt;0,1,0))</f>
        <v/>
      </c>
    </row>
    <row r="4687">
      <c r="A4687">
        <f>IF(INDEX(L_ID,ROW()-4)="","",IF(COUNTIF(P_ID,INDEX(L_ID,ROW()-4))&gt;0,1,0))</f>
        <v/>
      </c>
      <c r="B4687">
        <f>IF(INDEX(P_Type,ROW()-4)="","",TRIM(UPPER(INDEX(P_Type,ROW()-4))))</f>
        <v/>
      </c>
      <c r="D4687">
        <f>IF(INDEX(L_Type,ROW()-4)="","",TRIM(UPPER(INDEX(L_Type,ROW()-4))))</f>
        <v/>
      </c>
      <c r="E4687">
        <f>IF(INDEX(P_Status,ROW()-4)="","",TRIM(UPPER(INDEX(P_Status,ROW()-4))))</f>
        <v/>
      </c>
      <c r="G4687">
        <f>IF(INDEX(L_Status,ROW()-4)="","",TRIM(UPPER(INDEX(L_Status,ROW()-4))))</f>
        <v/>
      </c>
      <c r="J4687">
        <f>IF(INDEX(L_ID,ROW()-4)="","",IF(SUMPRODUCT((P_ID=INDEX(L_ID,ROW()-4))*(P_StatusN="INACTIVE"))&gt;0,1,0))</f>
        <v/>
      </c>
    </row>
    <row r="4688">
      <c r="A4688">
        <f>IF(INDEX(L_ID,ROW()-4)="","",IF(COUNTIF(P_ID,INDEX(L_ID,ROW()-4))&gt;0,1,0))</f>
        <v/>
      </c>
      <c r="B4688">
        <f>IF(INDEX(P_Type,ROW()-4)="","",TRIM(UPPER(INDEX(P_Type,ROW()-4))))</f>
        <v/>
      </c>
      <c r="D4688">
        <f>IF(INDEX(L_Type,ROW()-4)="","",TRIM(UPPER(INDEX(L_Type,ROW()-4))))</f>
        <v/>
      </c>
      <c r="E4688">
        <f>IF(INDEX(P_Status,ROW()-4)="","",TRIM(UPPER(INDEX(P_Status,ROW()-4))))</f>
        <v/>
      </c>
      <c r="G4688">
        <f>IF(INDEX(L_Status,ROW()-4)="","",TRIM(UPPER(INDEX(L_Status,ROW()-4))))</f>
        <v/>
      </c>
      <c r="J4688">
        <f>IF(INDEX(L_ID,ROW()-4)="","",IF(SUMPRODUCT((P_ID=INDEX(L_ID,ROW()-4))*(P_StatusN="INACTIVE"))&gt;0,1,0))</f>
        <v/>
      </c>
    </row>
    <row r="4689">
      <c r="A4689">
        <f>IF(INDEX(L_ID,ROW()-4)="","",IF(COUNTIF(P_ID,INDEX(L_ID,ROW()-4))&gt;0,1,0))</f>
        <v/>
      </c>
      <c r="B4689">
        <f>IF(INDEX(P_Type,ROW()-4)="","",TRIM(UPPER(INDEX(P_Type,ROW()-4))))</f>
        <v/>
      </c>
      <c r="D4689">
        <f>IF(INDEX(L_Type,ROW()-4)="","",TRIM(UPPER(INDEX(L_Type,ROW()-4))))</f>
        <v/>
      </c>
      <c r="E4689">
        <f>IF(INDEX(P_Status,ROW()-4)="","",TRIM(UPPER(INDEX(P_Status,ROW()-4))))</f>
        <v/>
      </c>
      <c r="G4689">
        <f>IF(INDEX(L_Status,ROW()-4)="","",TRIM(UPPER(INDEX(L_Status,ROW()-4))))</f>
        <v/>
      </c>
      <c r="J4689">
        <f>IF(INDEX(L_ID,ROW()-4)="","",IF(SUMPRODUCT((P_ID=INDEX(L_ID,ROW()-4))*(P_StatusN="INACTIVE"))&gt;0,1,0))</f>
        <v/>
      </c>
    </row>
    <row r="4690">
      <c r="A4690">
        <f>IF(INDEX(L_ID,ROW()-4)="","",IF(COUNTIF(P_ID,INDEX(L_ID,ROW()-4))&gt;0,1,0))</f>
        <v/>
      </c>
      <c r="B4690">
        <f>IF(INDEX(P_Type,ROW()-4)="","",TRIM(UPPER(INDEX(P_Type,ROW()-4))))</f>
        <v/>
      </c>
      <c r="D4690">
        <f>IF(INDEX(L_Type,ROW()-4)="","",TRIM(UPPER(INDEX(L_Type,ROW()-4))))</f>
        <v/>
      </c>
      <c r="E4690">
        <f>IF(INDEX(P_Status,ROW()-4)="","",TRIM(UPPER(INDEX(P_Status,ROW()-4))))</f>
        <v/>
      </c>
      <c r="G4690">
        <f>IF(INDEX(L_Status,ROW()-4)="","",TRIM(UPPER(INDEX(L_Status,ROW()-4))))</f>
        <v/>
      </c>
      <c r="J4690">
        <f>IF(INDEX(L_ID,ROW()-4)="","",IF(SUMPRODUCT((P_ID=INDEX(L_ID,ROW()-4))*(P_StatusN="INACTIVE"))&gt;0,1,0))</f>
        <v/>
      </c>
    </row>
    <row r="4691">
      <c r="A4691">
        <f>IF(INDEX(L_ID,ROW()-4)="","",IF(COUNTIF(P_ID,INDEX(L_ID,ROW()-4))&gt;0,1,0))</f>
        <v/>
      </c>
      <c r="B4691">
        <f>IF(INDEX(P_Type,ROW()-4)="","",TRIM(UPPER(INDEX(P_Type,ROW()-4))))</f>
        <v/>
      </c>
      <c r="D4691">
        <f>IF(INDEX(L_Type,ROW()-4)="","",TRIM(UPPER(INDEX(L_Type,ROW()-4))))</f>
        <v/>
      </c>
      <c r="E4691">
        <f>IF(INDEX(P_Status,ROW()-4)="","",TRIM(UPPER(INDEX(P_Status,ROW()-4))))</f>
        <v/>
      </c>
      <c r="G4691">
        <f>IF(INDEX(L_Status,ROW()-4)="","",TRIM(UPPER(INDEX(L_Status,ROW()-4))))</f>
        <v/>
      </c>
      <c r="J4691">
        <f>IF(INDEX(L_ID,ROW()-4)="","",IF(SUMPRODUCT((P_ID=INDEX(L_ID,ROW()-4))*(P_StatusN="INACTIVE"))&gt;0,1,0))</f>
        <v/>
      </c>
    </row>
    <row r="4692">
      <c r="A4692">
        <f>IF(INDEX(L_ID,ROW()-4)="","",IF(COUNTIF(P_ID,INDEX(L_ID,ROW()-4))&gt;0,1,0))</f>
        <v/>
      </c>
      <c r="B4692">
        <f>IF(INDEX(P_Type,ROW()-4)="","",TRIM(UPPER(INDEX(P_Type,ROW()-4))))</f>
        <v/>
      </c>
      <c r="D4692">
        <f>IF(INDEX(L_Type,ROW()-4)="","",TRIM(UPPER(INDEX(L_Type,ROW()-4))))</f>
        <v/>
      </c>
      <c r="E4692">
        <f>IF(INDEX(P_Status,ROW()-4)="","",TRIM(UPPER(INDEX(P_Status,ROW()-4))))</f>
        <v/>
      </c>
      <c r="G4692">
        <f>IF(INDEX(L_Status,ROW()-4)="","",TRIM(UPPER(INDEX(L_Status,ROW()-4))))</f>
        <v/>
      </c>
      <c r="J4692">
        <f>IF(INDEX(L_ID,ROW()-4)="","",IF(SUMPRODUCT((P_ID=INDEX(L_ID,ROW()-4))*(P_StatusN="INACTIVE"))&gt;0,1,0))</f>
        <v/>
      </c>
    </row>
    <row r="4693">
      <c r="A4693">
        <f>IF(INDEX(L_ID,ROW()-4)="","",IF(COUNTIF(P_ID,INDEX(L_ID,ROW()-4))&gt;0,1,0))</f>
        <v/>
      </c>
      <c r="B4693">
        <f>IF(INDEX(P_Type,ROW()-4)="","",TRIM(UPPER(INDEX(P_Type,ROW()-4))))</f>
        <v/>
      </c>
      <c r="D4693">
        <f>IF(INDEX(L_Type,ROW()-4)="","",TRIM(UPPER(INDEX(L_Type,ROW()-4))))</f>
        <v/>
      </c>
      <c r="E4693">
        <f>IF(INDEX(P_Status,ROW()-4)="","",TRIM(UPPER(INDEX(P_Status,ROW()-4))))</f>
        <v/>
      </c>
      <c r="G4693">
        <f>IF(INDEX(L_Status,ROW()-4)="","",TRIM(UPPER(INDEX(L_Status,ROW()-4))))</f>
        <v/>
      </c>
      <c r="J4693">
        <f>IF(INDEX(L_ID,ROW()-4)="","",IF(SUMPRODUCT((P_ID=INDEX(L_ID,ROW()-4))*(P_StatusN="INACTIVE"))&gt;0,1,0))</f>
        <v/>
      </c>
    </row>
    <row r="4694">
      <c r="A4694">
        <f>IF(INDEX(L_ID,ROW()-4)="","",IF(COUNTIF(P_ID,INDEX(L_ID,ROW()-4))&gt;0,1,0))</f>
        <v/>
      </c>
      <c r="B4694">
        <f>IF(INDEX(P_Type,ROW()-4)="","",TRIM(UPPER(INDEX(P_Type,ROW()-4))))</f>
        <v/>
      </c>
      <c r="D4694">
        <f>IF(INDEX(L_Type,ROW()-4)="","",TRIM(UPPER(INDEX(L_Type,ROW()-4))))</f>
        <v/>
      </c>
      <c r="E4694">
        <f>IF(INDEX(P_Status,ROW()-4)="","",TRIM(UPPER(INDEX(P_Status,ROW()-4))))</f>
        <v/>
      </c>
      <c r="G4694">
        <f>IF(INDEX(L_Status,ROW()-4)="","",TRIM(UPPER(INDEX(L_Status,ROW()-4))))</f>
        <v/>
      </c>
      <c r="J4694">
        <f>IF(INDEX(L_ID,ROW()-4)="","",IF(SUMPRODUCT((P_ID=INDEX(L_ID,ROW()-4))*(P_StatusN="INACTIVE"))&gt;0,1,0))</f>
        <v/>
      </c>
    </row>
    <row r="4695">
      <c r="A4695">
        <f>IF(INDEX(L_ID,ROW()-4)="","",IF(COUNTIF(P_ID,INDEX(L_ID,ROW()-4))&gt;0,1,0))</f>
        <v/>
      </c>
      <c r="B4695">
        <f>IF(INDEX(P_Type,ROW()-4)="","",TRIM(UPPER(INDEX(P_Type,ROW()-4))))</f>
        <v/>
      </c>
      <c r="D4695">
        <f>IF(INDEX(L_Type,ROW()-4)="","",TRIM(UPPER(INDEX(L_Type,ROW()-4))))</f>
        <v/>
      </c>
      <c r="E4695">
        <f>IF(INDEX(P_Status,ROW()-4)="","",TRIM(UPPER(INDEX(P_Status,ROW()-4))))</f>
        <v/>
      </c>
      <c r="G4695">
        <f>IF(INDEX(L_Status,ROW()-4)="","",TRIM(UPPER(INDEX(L_Status,ROW()-4))))</f>
        <v/>
      </c>
      <c r="J4695">
        <f>IF(INDEX(L_ID,ROW()-4)="","",IF(SUMPRODUCT((P_ID=INDEX(L_ID,ROW()-4))*(P_StatusN="INACTIVE"))&gt;0,1,0))</f>
        <v/>
      </c>
    </row>
    <row r="4696">
      <c r="A4696">
        <f>IF(INDEX(L_ID,ROW()-4)="","",IF(COUNTIF(P_ID,INDEX(L_ID,ROW()-4))&gt;0,1,0))</f>
        <v/>
      </c>
      <c r="B4696">
        <f>IF(INDEX(P_Type,ROW()-4)="","",TRIM(UPPER(INDEX(P_Type,ROW()-4))))</f>
        <v/>
      </c>
      <c r="D4696">
        <f>IF(INDEX(L_Type,ROW()-4)="","",TRIM(UPPER(INDEX(L_Type,ROW()-4))))</f>
        <v/>
      </c>
      <c r="E4696">
        <f>IF(INDEX(P_Status,ROW()-4)="","",TRIM(UPPER(INDEX(P_Status,ROW()-4))))</f>
        <v/>
      </c>
      <c r="G4696">
        <f>IF(INDEX(L_Status,ROW()-4)="","",TRIM(UPPER(INDEX(L_Status,ROW()-4))))</f>
        <v/>
      </c>
      <c r="J4696">
        <f>IF(INDEX(L_ID,ROW()-4)="","",IF(SUMPRODUCT((P_ID=INDEX(L_ID,ROW()-4))*(P_StatusN="INACTIVE"))&gt;0,1,0))</f>
        <v/>
      </c>
    </row>
    <row r="4697">
      <c r="A4697">
        <f>IF(INDEX(L_ID,ROW()-4)="","",IF(COUNTIF(P_ID,INDEX(L_ID,ROW()-4))&gt;0,1,0))</f>
        <v/>
      </c>
      <c r="B4697">
        <f>IF(INDEX(P_Type,ROW()-4)="","",TRIM(UPPER(INDEX(P_Type,ROW()-4))))</f>
        <v/>
      </c>
      <c r="D4697">
        <f>IF(INDEX(L_Type,ROW()-4)="","",TRIM(UPPER(INDEX(L_Type,ROW()-4))))</f>
        <v/>
      </c>
      <c r="E4697">
        <f>IF(INDEX(P_Status,ROW()-4)="","",TRIM(UPPER(INDEX(P_Status,ROW()-4))))</f>
        <v/>
      </c>
      <c r="G4697">
        <f>IF(INDEX(L_Status,ROW()-4)="","",TRIM(UPPER(INDEX(L_Status,ROW()-4))))</f>
        <v/>
      </c>
      <c r="J4697">
        <f>IF(INDEX(L_ID,ROW()-4)="","",IF(SUMPRODUCT((P_ID=INDEX(L_ID,ROW()-4))*(P_StatusN="INACTIVE"))&gt;0,1,0))</f>
        <v/>
      </c>
    </row>
    <row r="4698">
      <c r="A4698">
        <f>IF(INDEX(L_ID,ROW()-4)="","",IF(COUNTIF(P_ID,INDEX(L_ID,ROW()-4))&gt;0,1,0))</f>
        <v/>
      </c>
      <c r="B4698">
        <f>IF(INDEX(P_Type,ROW()-4)="","",TRIM(UPPER(INDEX(P_Type,ROW()-4))))</f>
        <v/>
      </c>
      <c r="D4698">
        <f>IF(INDEX(L_Type,ROW()-4)="","",TRIM(UPPER(INDEX(L_Type,ROW()-4))))</f>
        <v/>
      </c>
      <c r="E4698">
        <f>IF(INDEX(P_Status,ROW()-4)="","",TRIM(UPPER(INDEX(P_Status,ROW()-4))))</f>
        <v/>
      </c>
      <c r="G4698">
        <f>IF(INDEX(L_Status,ROW()-4)="","",TRIM(UPPER(INDEX(L_Status,ROW()-4))))</f>
        <v/>
      </c>
      <c r="J4698">
        <f>IF(INDEX(L_ID,ROW()-4)="","",IF(SUMPRODUCT((P_ID=INDEX(L_ID,ROW()-4))*(P_StatusN="INACTIVE"))&gt;0,1,0))</f>
        <v/>
      </c>
    </row>
    <row r="4699">
      <c r="A4699">
        <f>IF(INDEX(L_ID,ROW()-4)="","",IF(COUNTIF(P_ID,INDEX(L_ID,ROW()-4))&gt;0,1,0))</f>
        <v/>
      </c>
      <c r="B4699">
        <f>IF(INDEX(P_Type,ROW()-4)="","",TRIM(UPPER(INDEX(P_Type,ROW()-4))))</f>
        <v/>
      </c>
      <c r="D4699">
        <f>IF(INDEX(L_Type,ROW()-4)="","",TRIM(UPPER(INDEX(L_Type,ROW()-4))))</f>
        <v/>
      </c>
      <c r="E4699">
        <f>IF(INDEX(P_Status,ROW()-4)="","",TRIM(UPPER(INDEX(P_Status,ROW()-4))))</f>
        <v/>
      </c>
      <c r="G4699">
        <f>IF(INDEX(L_Status,ROW()-4)="","",TRIM(UPPER(INDEX(L_Status,ROW()-4))))</f>
        <v/>
      </c>
      <c r="J4699">
        <f>IF(INDEX(L_ID,ROW()-4)="","",IF(SUMPRODUCT((P_ID=INDEX(L_ID,ROW()-4))*(P_StatusN="INACTIVE"))&gt;0,1,0))</f>
        <v/>
      </c>
    </row>
    <row r="4700">
      <c r="A4700">
        <f>IF(INDEX(L_ID,ROW()-4)="","",IF(COUNTIF(P_ID,INDEX(L_ID,ROW()-4))&gt;0,1,0))</f>
        <v/>
      </c>
      <c r="B4700">
        <f>IF(INDEX(P_Type,ROW()-4)="","",TRIM(UPPER(INDEX(P_Type,ROW()-4))))</f>
        <v/>
      </c>
      <c r="D4700">
        <f>IF(INDEX(L_Type,ROW()-4)="","",TRIM(UPPER(INDEX(L_Type,ROW()-4))))</f>
        <v/>
      </c>
      <c r="E4700">
        <f>IF(INDEX(P_Status,ROW()-4)="","",TRIM(UPPER(INDEX(P_Status,ROW()-4))))</f>
        <v/>
      </c>
      <c r="G4700">
        <f>IF(INDEX(L_Status,ROW()-4)="","",TRIM(UPPER(INDEX(L_Status,ROW()-4))))</f>
        <v/>
      </c>
      <c r="J4700">
        <f>IF(INDEX(L_ID,ROW()-4)="","",IF(SUMPRODUCT((P_ID=INDEX(L_ID,ROW()-4))*(P_StatusN="INACTIVE"))&gt;0,1,0))</f>
        <v/>
      </c>
    </row>
    <row r="4701">
      <c r="A4701">
        <f>IF(INDEX(L_ID,ROW()-4)="","",IF(COUNTIF(P_ID,INDEX(L_ID,ROW()-4))&gt;0,1,0))</f>
        <v/>
      </c>
      <c r="B4701">
        <f>IF(INDEX(P_Type,ROW()-4)="","",TRIM(UPPER(INDEX(P_Type,ROW()-4))))</f>
        <v/>
      </c>
      <c r="D4701">
        <f>IF(INDEX(L_Type,ROW()-4)="","",TRIM(UPPER(INDEX(L_Type,ROW()-4))))</f>
        <v/>
      </c>
      <c r="E4701">
        <f>IF(INDEX(P_Status,ROW()-4)="","",TRIM(UPPER(INDEX(P_Status,ROW()-4))))</f>
        <v/>
      </c>
      <c r="G4701">
        <f>IF(INDEX(L_Status,ROW()-4)="","",TRIM(UPPER(INDEX(L_Status,ROW()-4))))</f>
        <v/>
      </c>
      <c r="J4701">
        <f>IF(INDEX(L_ID,ROW()-4)="","",IF(SUMPRODUCT((P_ID=INDEX(L_ID,ROW()-4))*(P_StatusN="INACTIVE"))&gt;0,1,0))</f>
        <v/>
      </c>
    </row>
    <row r="4702">
      <c r="A4702">
        <f>IF(INDEX(L_ID,ROW()-4)="","",IF(COUNTIF(P_ID,INDEX(L_ID,ROW()-4))&gt;0,1,0))</f>
        <v/>
      </c>
      <c r="B4702">
        <f>IF(INDEX(P_Type,ROW()-4)="","",TRIM(UPPER(INDEX(P_Type,ROW()-4))))</f>
        <v/>
      </c>
      <c r="D4702">
        <f>IF(INDEX(L_Type,ROW()-4)="","",TRIM(UPPER(INDEX(L_Type,ROW()-4))))</f>
        <v/>
      </c>
      <c r="E4702">
        <f>IF(INDEX(P_Status,ROW()-4)="","",TRIM(UPPER(INDEX(P_Status,ROW()-4))))</f>
        <v/>
      </c>
      <c r="G4702">
        <f>IF(INDEX(L_Status,ROW()-4)="","",TRIM(UPPER(INDEX(L_Status,ROW()-4))))</f>
        <v/>
      </c>
      <c r="J4702">
        <f>IF(INDEX(L_ID,ROW()-4)="","",IF(SUMPRODUCT((P_ID=INDEX(L_ID,ROW()-4))*(P_StatusN="INACTIVE"))&gt;0,1,0))</f>
        <v/>
      </c>
    </row>
    <row r="4703">
      <c r="A4703">
        <f>IF(INDEX(L_ID,ROW()-4)="","",IF(COUNTIF(P_ID,INDEX(L_ID,ROW()-4))&gt;0,1,0))</f>
        <v/>
      </c>
      <c r="B4703">
        <f>IF(INDEX(P_Type,ROW()-4)="","",TRIM(UPPER(INDEX(P_Type,ROW()-4))))</f>
        <v/>
      </c>
      <c r="D4703">
        <f>IF(INDEX(L_Type,ROW()-4)="","",TRIM(UPPER(INDEX(L_Type,ROW()-4))))</f>
        <v/>
      </c>
      <c r="E4703">
        <f>IF(INDEX(P_Status,ROW()-4)="","",TRIM(UPPER(INDEX(P_Status,ROW()-4))))</f>
        <v/>
      </c>
      <c r="G4703">
        <f>IF(INDEX(L_Status,ROW()-4)="","",TRIM(UPPER(INDEX(L_Status,ROW()-4))))</f>
        <v/>
      </c>
      <c r="J4703">
        <f>IF(INDEX(L_ID,ROW()-4)="","",IF(SUMPRODUCT((P_ID=INDEX(L_ID,ROW()-4))*(P_StatusN="INACTIVE"))&gt;0,1,0))</f>
        <v/>
      </c>
    </row>
    <row r="4704">
      <c r="A4704">
        <f>IF(INDEX(L_ID,ROW()-4)="","",IF(COUNTIF(P_ID,INDEX(L_ID,ROW()-4))&gt;0,1,0))</f>
        <v/>
      </c>
      <c r="B4704">
        <f>IF(INDEX(P_Type,ROW()-4)="","",TRIM(UPPER(INDEX(P_Type,ROW()-4))))</f>
        <v/>
      </c>
      <c r="D4704">
        <f>IF(INDEX(L_Type,ROW()-4)="","",TRIM(UPPER(INDEX(L_Type,ROW()-4))))</f>
        <v/>
      </c>
      <c r="E4704">
        <f>IF(INDEX(P_Status,ROW()-4)="","",TRIM(UPPER(INDEX(P_Status,ROW()-4))))</f>
        <v/>
      </c>
      <c r="G4704">
        <f>IF(INDEX(L_Status,ROW()-4)="","",TRIM(UPPER(INDEX(L_Status,ROW()-4))))</f>
        <v/>
      </c>
      <c r="J4704">
        <f>IF(INDEX(L_ID,ROW()-4)="","",IF(SUMPRODUCT((P_ID=INDEX(L_ID,ROW()-4))*(P_StatusN="INACTIVE"))&gt;0,1,0))</f>
        <v/>
      </c>
    </row>
    <row r="4705">
      <c r="A4705">
        <f>IF(INDEX(L_ID,ROW()-4)="","",IF(COUNTIF(P_ID,INDEX(L_ID,ROW()-4))&gt;0,1,0))</f>
        <v/>
      </c>
      <c r="B4705">
        <f>IF(INDEX(P_Type,ROW()-4)="","",TRIM(UPPER(INDEX(P_Type,ROW()-4))))</f>
        <v/>
      </c>
      <c r="D4705">
        <f>IF(INDEX(L_Type,ROW()-4)="","",TRIM(UPPER(INDEX(L_Type,ROW()-4))))</f>
        <v/>
      </c>
      <c r="E4705">
        <f>IF(INDEX(P_Status,ROW()-4)="","",TRIM(UPPER(INDEX(P_Status,ROW()-4))))</f>
        <v/>
      </c>
      <c r="G4705">
        <f>IF(INDEX(L_Status,ROW()-4)="","",TRIM(UPPER(INDEX(L_Status,ROW()-4))))</f>
        <v/>
      </c>
      <c r="J4705">
        <f>IF(INDEX(L_ID,ROW()-4)="","",IF(SUMPRODUCT((P_ID=INDEX(L_ID,ROW()-4))*(P_StatusN="INACTIVE"))&gt;0,1,0))</f>
        <v/>
      </c>
    </row>
    <row r="4706">
      <c r="A4706">
        <f>IF(INDEX(L_ID,ROW()-4)="","",IF(COUNTIF(P_ID,INDEX(L_ID,ROW()-4))&gt;0,1,0))</f>
        <v/>
      </c>
      <c r="B4706">
        <f>IF(INDEX(P_Type,ROW()-4)="","",TRIM(UPPER(INDEX(P_Type,ROW()-4))))</f>
        <v/>
      </c>
      <c r="D4706">
        <f>IF(INDEX(L_Type,ROW()-4)="","",TRIM(UPPER(INDEX(L_Type,ROW()-4))))</f>
        <v/>
      </c>
      <c r="E4706">
        <f>IF(INDEX(P_Status,ROW()-4)="","",TRIM(UPPER(INDEX(P_Status,ROW()-4))))</f>
        <v/>
      </c>
      <c r="G4706">
        <f>IF(INDEX(L_Status,ROW()-4)="","",TRIM(UPPER(INDEX(L_Status,ROW()-4))))</f>
        <v/>
      </c>
      <c r="J4706">
        <f>IF(INDEX(L_ID,ROW()-4)="","",IF(SUMPRODUCT((P_ID=INDEX(L_ID,ROW()-4))*(P_StatusN="INACTIVE"))&gt;0,1,0))</f>
        <v/>
      </c>
    </row>
    <row r="4707">
      <c r="A4707">
        <f>IF(INDEX(L_ID,ROW()-4)="","",IF(COUNTIF(P_ID,INDEX(L_ID,ROW()-4))&gt;0,1,0))</f>
        <v/>
      </c>
      <c r="B4707">
        <f>IF(INDEX(P_Type,ROW()-4)="","",TRIM(UPPER(INDEX(P_Type,ROW()-4))))</f>
        <v/>
      </c>
      <c r="D4707">
        <f>IF(INDEX(L_Type,ROW()-4)="","",TRIM(UPPER(INDEX(L_Type,ROW()-4))))</f>
        <v/>
      </c>
      <c r="E4707">
        <f>IF(INDEX(P_Status,ROW()-4)="","",TRIM(UPPER(INDEX(P_Status,ROW()-4))))</f>
        <v/>
      </c>
      <c r="G4707">
        <f>IF(INDEX(L_Status,ROW()-4)="","",TRIM(UPPER(INDEX(L_Status,ROW()-4))))</f>
        <v/>
      </c>
      <c r="J4707">
        <f>IF(INDEX(L_ID,ROW()-4)="","",IF(SUMPRODUCT((P_ID=INDEX(L_ID,ROW()-4))*(P_StatusN="INACTIVE"))&gt;0,1,0))</f>
        <v/>
      </c>
    </row>
    <row r="4708">
      <c r="A4708">
        <f>IF(INDEX(L_ID,ROW()-4)="","",IF(COUNTIF(P_ID,INDEX(L_ID,ROW()-4))&gt;0,1,0))</f>
        <v/>
      </c>
      <c r="B4708">
        <f>IF(INDEX(P_Type,ROW()-4)="","",TRIM(UPPER(INDEX(P_Type,ROW()-4))))</f>
        <v/>
      </c>
      <c r="D4708">
        <f>IF(INDEX(L_Type,ROW()-4)="","",TRIM(UPPER(INDEX(L_Type,ROW()-4))))</f>
        <v/>
      </c>
      <c r="E4708">
        <f>IF(INDEX(P_Status,ROW()-4)="","",TRIM(UPPER(INDEX(P_Status,ROW()-4))))</f>
        <v/>
      </c>
      <c r="G4708">
        <f>IF(INDEX(L_Status,ROW()-4)="","",TRIM(UPPER(INDEX(L_Status,ROW()-4))))</f>
        <v/>
      </c>
      <c r="J4708">
        <f>IF(INDEX(L_ID,ROW()-4)="","",IF(SUMPRODUCT((P_ID=INDEX(L_ID,ROW()-4))*(P_StatusN="INACTIVE"))&gt;0,1,0))</f>
        <v/>
      </c>
    </row>
    <row r="4709">
      <c r="A4709">
        <f>IF(INDEX(L_ID,ROW()-4)="","",IF(COUNTIF(P_ID,INDEX(L_ID,ROW()-4))&gt;0,1,0))</f>
        <v/>
      </c>
      <c r="B4709">
        <f>IF(INDEX(P_Type,ROW()-4)="","",TRIM(UPPER(INDEX(P_Type,ROW()-4))))</f>
        <v/>
      </c>
      <c r="D4709">
        <f>IF(INDEX(L_Type,ROW()-4)="","",TRIM(UPPER(INDEX(L_Type,ROW()-4))))</f>
        <v/>
      </c>
      <c r="E4709">
        <f>IF(INDEX(P_Status,ROW()-4)="","",TRIM(UPPER(INDEX(P_Status,ROW()-4))))</f>
        <v/>
      </c>
      <c r="G4709">
        <f>IF(INDEX(L_Status,ROW()-4)="","",TRIM(UPPER(INDEX(L_Status,ROW()-4))))</f>
        <v/>
      </c>
      <c r="J4709">
        <f>IF(INDEX(L_ID,ROW()-4)="","",IF(SUMPRODUCT((P_ID=INDEX(L_ID,ROW()-4))*(P_StatusN="INACTIVE"))&gt;0,1,0))</f>
        <v/>
      </c>
    </row>
    <row r="4710">
      <c r="A4710">
        <f>IF(INDEX(L_ID,ROW()-4)="","",IF(COUNTIF(P_ID,INDEX(L_ID,ROW()-4))&gt;0,1,0))</f>
        <v/>
      </c>
      <c r="B4710">
        <f>IF(INDEX(P_Type,ROW()-4)="","",TRIM(UPPER(INDEX(P_Type,ROW()-4))))</f>
        <v/>
      </c>
      <c r="D4710">
        <f>IF(INDEX(L_Type,ROW()-4)="","",TRIM(UPPER(INDEX(L_Type,ROW()-4))))</f>
        <v/>
      </c>
      <c r="E4710">
        <f>IF(INDEX(P_Status,ROW()-4)="","",TRIM(UPPER(INDEX(P_Status,ROW()-4))))</f>
        <v/>
      </c>
      <c r="G4710">
        <f>IF(INDEX(L_Status,ROW()-4)="","",TRIM(UPPER(INDEX(L_Status,ROW()-4))))</f>
        <v/>
      </c>
      <c r="J4710">
        <f>IF(INDEX(L_ID,ROW()-4)="","",IF(SUMPRODUCT((P_ID=INDEX(L_ID,ROW()-4))*(P_StatusN="INACTIVE"))&gt;0,1,0))</f>
        <v/>
      </c>
    </row>
    <row r="4711">
      <c r="A4711">
        <f>IF(INDEX(L_ID,ROW()-4)="","",IF(COUNTIF(P_ID,INDEX(L_ID,ROW()-4))&gt;0,1,0))</f>
        <v/>
      </c>
      <c r="B4711">
        <f>IF(INDEX(P_Type,ROW()-4)="","",TRIM(UPPER(INDEX(P_Type,ROW()-4))))</f>
        <v/>
      </c>
      <c r="D4711">
        <f>IF(INDEX(L_Type,ROW()-4)="","",TRIM(UPPER(INDEX(L_Type,ROW()-4))))</f>
        <v/>
      </c>
      <c r="E4711">
        <f>IF(INDEX(P_Status,ROW()-4)="","",TRIM(UPPER(INDEX(P_Status,ROW()-4))))</f>
        <v/>
      </c>
      <c r="G4711">
        <f>IF(INDEX(L_Status,ROW()-4)="","",TRIM(UPPER(INDEX(L_Status,ROW()-4))))</f>
        <v/>
      </c>
      <c r="J4711">
        <f>IF(INDEX(L_ID,ROW()-4)="","",IF(SUMPRODUCT((P_ID=INDEX(L_ID,ROW()-4))*(P_StatusN="INACTIVE"))&gt;0,1,0))</f>
        <v/>
      </c>
    </row>
    <row r="4712">
      <c r="A4712">
        <f>IF(INDEX(L_ID,ROW()-4)="","",IF(COUNTIF(P_ID,INDEX(L_ID,ROW()-4))&gt;0,1,0))</f>
        <v/>
      </c>
      <c r="B4712">
        <f>IF(INDEX(P_Type,ROW()-4)="","",TRIM(UPPER(INDEX(P_Type,ROW()-4))))</f>
        <v/>
      </c>
      <c r="D4712">
        <f>IF(INDEX(L_Type,ROW()-4)="","",TRIM(UPPER(INDEX(L_Type,ROW()-4))))</f>
        <v/>
      </c>
      <c r="E4712">
        <f>IF(INDEX(P_Status,ROW()-4)="","",TRIM(UPPER(INDEX(P_Status,ROW()-4))))</f>
        <v/>
      </c>
      <c r="G4712">
        <f>IF(INDEX(L_Status,ROW()-4)="","",TRIM(UPPER(INDEX(L_Status,ROW()-4))))</f>
        <v/>
      </c>
      <c r="J4712">
        <f>IF(INDEX(L_ID,ROW()-4)="","",IF(SUMPRODUCT((P_ID=INDEX(L_ID,ROW()-4))*(P_StatusN="INACTIVE"))&gt;0,1,0))</f>
        <v/>
      </c>
    </row>
    <row r="4713">
      <c r="A4713">
        <f>IF(INDEX(L_ID,ROW()-4)="","",IF(COUNTIF(P_ID,INDEX(L_ID,ROW()-4))&gt;0,1,0))</f>
        <v/>
      </c>
      <c r="B4713">
        <f>IF(INDEX(P_Type,ROW()-4)="","",TRIM(UPPER(INDEX(P_Type,ROW()-4))))</f>
        <v/>
      </c>
      <c r="D4713">
        <f>IF(INDEX(L_Type,ROW()-4)="","",TRIM(UPPER(INDEX(L_Type,ROW()-4))))</f>
        <v/>
      </c>
      <c r="E4713">
        <f>IF(INDEX(P_Status,ROW()-4)="","",TRIM(UPPER(INDEX(P_Status,ROW()-4))))</f>
        <v/>
      </c>
      <c r="G4713">
        <f>IF(INDEX(L_Status,ROW()-4)="","",TRIM(UPPER(INDEX(L_Status,ROW()-4))))</f>
        <v/>
      </c>
      <c r="J4713">
        <f>IF(INDEX(L_ID,ROW()-4)="","",IF(SUMPRODUCT((P_ID=INDEX(L_ID,ROW()-4))*(P_StatusN="INACTIVE"))&gt;0,1,0))</f>
        <v/>
      </c>
    </row>
    <row r="4714">
      <c r="A4714">
        <f>IF(INDEX(L_ID,ROW()-4)="","",IF(COUNTIF(P_ID,INDEX(L_ID,ROW()-4))&gt;0,1,0))</f>
        <v/>
      </c>
      <c r="B4714">
        <f>IF(INDEX(P_Type,ROW()-4)="","",TRIM(UPPER(INDEX(P_Type,ROW()-4))))</f>
        <v/>
      </c>
      <c r="D4714">
        <f>IF(INDEX(L_Type,ROW()-4)="","",TRIM(UPPER(INDEX(L_Type,ROW()-4))))</f>
        <v/>
      </c>
      <c r="E4714">
        <f>IF(INDEX(P_Status,ROW()-4)="","",TRIM(UPPER(INDEX(P_Status,ROW()-4))))</f>
        <v/>
      </c>
      <c r="G4714">
        <f>IF(INDEX(L_Status,ROW()-4)="","",TRIM(UPPER(INDEX(L_Status,ROW()-4))))</f>
        <v/>
      </c>
      <c r="J4714">
        <f>IF(INDEX(L_ID,ROW()-4)="","",IF(SUMPRODUCT((P_ID=INDEX(L_ID,ROW()-4))*(P_StatusN="INACTIVE"))&gt;0,1,0))</f>
        <v/>
      </c>
    </row>
    <row r="4715">
      <c r="A4715">
        <f>IF(INDEX(L_ID,ROW()-4)="","",IF(COUNTIF(P_ID,INDEX(L_ID,ROW()-4))&gt;0,1,0))</f>
        <v/>
      </c>
      <c r="B4715">
        <f>IF(INDEX(P_Type,ROW()-4)="","",TRIM(UPPER(INDEX(P_Type,ROW()-4))))</f>
        <v/>
      </c>
      <c r="D4715">
        <f>IF(INDEX(L_Type,ROW()-4)="","",TRIM(UPPER(INDEX(L_Type,ROW()-4))))</f>
        <v/>
      </c>
      <c r="E4715">
        <f>IF(INDEX(P_Status,ROW()-4)="","",TRIM(UPPER(INDEX(P_Status,ROW()-4))))</f>
        <v/>
      </c>
      <c r="G4715">
        <f>IF(INDEX(L_Status,ROW()-4)="","",TRIM(UPPER(INDEX(L_Status,ROW()-4))))</f>
        <v/>
      </c>
      <c r="J4715">
        <f>IF(INDEX(L_ID,ROW()-4)="","",IF(SUMPRODUCT((P_ID=INDEX(L_ID,ROW()-4))*(P_StatusN="INACTIVE"))&gt;0,1,0))</f>
        <v/>
      </c>
    </row>
    <row r="4716">
      <c r="A4716">
        <f>IF(INDEX(L_ID,ROW()-4)="","",IF(COUNTIF(P_ID,INDEX(L_ID,ROW()-4))&gt;0,1,0))</f>
        <v/>
      </c>
      <c r="B4716">
        <f>IF(INDEX(P_Type,ROW()-4)="","",TRIM(UPPER(INDEX(P_Type,ROW()-4))))</f>
        <v/>
      </c>
      <c r="D4716">
        <f>IF(INDEX(L_Type,ROW()-4)="","",TRIM(UPPER(INDEX(L_Type,ROW()-4))))</f>
        <v/>
      </c>
      <c r="E4716">
        <f>IF(INDEX(P_Status,ROW()-4)="","",TRIM(UPPER(INDEX(P_Status,ROW()-4))))</f>
        <v/>
      </c>
      <c r="G4716">
        <f>IF(INDEX(L_Status,ROW()-4)="","",TRIM(UPPER(INDEX(L_Status,ROW()-4))))</f>
        <v/>
      </c>
      <c r="J4716">
        <f>IF(INDEX(L_ID,ROW()-4)="","",IF(SUMPRODUCT((P_ID=INDEX(L_ID,ROW()-4))*(P_StatusN="INACTIVE"))&gt;0,1,0))</f>
        <v/>
      </c>
    </row>
    <row r="4717">
      <c r="A4717">
        <f>IF(INDEX(L_ID,ROW()-4)="","",IF(COUNTIF(P_ID,INDEX(L_ID,ROW()-4))&gt;0,1,0))</f>
        <v/>
      </c>
      <c r="B4717">
        <f>IF(INDEX(P_Type,ROW()-4)="","",TRIM(UPPER(INDEX(P_Type,ROW()-4))))</f>
        <v/>
      </c>
      <c r="D4717">
        <f>IF(INDEX(L_Type,ROW()-4)="","",TRIM(UPPER(INDEX(L_Type,ROW()-4))))</f>
        <v/>
      </c>
      <c r="E4717">
        <f>IF(INDEX(P_Status,ROW()-4)="","",TRIM(UPPER(INDEX(P_Status,ROW()-4))))</f>
        <v/>
      </c>
      <c r="G4717">
        <f>IF(INDEX(L_Status,ROW()-4)="","",TRIM(UPPER(INDEX(L_Status,ROW()-4))))</f>
        <v/>
      </c>
      <c r="J4717">
        <f>IF(INDEX(L_ID,ROW()-4)="","",IF(SUMPRODUCT((P_ID=INDEX(L_ID,ROW()-4))*(P_StatusN="INACTIVE"))&gt;0,1,0))</f>
        <v/>
      </c>
    </row>
    <row r="4718">
      <c r="A4718">
        <f>IF(INDEX(L_ID,ROW()-4)="","",IF(COUNTIF(P_ID,INDEX(L_ID,ROW()-4))&gt;0,1,0))</f>
        <v/>
      </c>
      <c r="B4718">
        <f>IF(INDEX(P_Type,ROW()-4)="","",TRIM(UPPER(INDEX(P_Type,ROW()-4))))</f>
        <v/>
      </c>
      <c r="D4718">
        <f>IF(INDEX(L_Type,ROW()-4)="","",TRIM(UPPER(INDEX(L_Type,ROW()-4))))</f>
        <v/>
      </c>
      <c r="E4718">
        <f>IF(INDEX(P_Status,ROW()-4)="","",TRIM(UPPER(INDEX(P_Status,ROW()-4))))</f>
        <v/>
      </c>
      <c r="G4718">
        <f>IF(INDEX(L_Status,ROW()-4)="","",TRIM(UPPER(INDEX(L_Status,ROW()-4))))</f>
        <v/>
      </c>
      <c r="J4718">
        <f>IF(INDEX(L_ID,ROW()-4)="","",IF(SUMPRODUCT((P_ID=INDEX(L_ID,ROW()-4))*(P_StatusN="INACTIVE"))&gt;0,1,0))</f>
        <v/>
      </c>
    </row>
    <row r="4719">
      <c r="A4719">
        <f>IF(INDEX(L_ID,ROW()-4)="","",IF(COUNTIF(P_ID,INDEX(L_ID,ROW()-4))&gt;0,1,0))</f>
        <v/>
      </c>
      <c r="B4719">
        <f>IF(INDEX(P_Type,ROW()-4)="","",TRIM(UPPER(INDEX(P_Type,ROW()-4))))</f>
        <v/>
      </c>
      <c r="D4719">
        <f>IF(INDEX(L_Type,ROW()-4)="","",TRIM(UPPER(INDEX(L_Type,ROW()-4))))</f>
        <v/>
      </c>
      <c r="E4719">
        <f>IF(INDEX(P_Status,ROW()-4)="","",TRIM(UPPER(INDEX(P_Status,ROW()-4))))</f>
        <v/>
      </c>
      <c r="G4719">
        <f>IF(INDEX(L_Status,ROW()-4)="","",TRIM(UPPER(INDEX(L_Status,ROW()-4))))</f>
        <v/>
      </c>
      <c r="J4719">
        <f>IF(INDEX(L_ID,ROW()-4)="","",IF(SUMPRODUCT((P_ID=INDEX(L_ID,ROW()-4))*(P_StatusN="INACTIVE"))&gt;0,1,0))</f>
        <v/>
      </c>
    </row>
    <row r="4720">
      <c r="A4720">
        <f>IF(INDEX(L_ID,ROW()-4)="","",IF(COUNTIF(P_ID,INDEX(L_ID,ROW()-4))&gt;0,1,0))</f>
        <v/>
      </c>
      <c r="B4720">
        <f>IF(INDEX(P_Type,ROW()-4)="","",TRIM(UPPER(INDEX(P_Type,ROW()-4))))</f>
        <v/>
      </c>
      <c r="D4720">
        <f>IF(INDEX(L_Type,ROW()-4)="","",TRIM(UPPER(INDEX(L_Type,ROW()-4))))</f>
        <v/>
      </c>
      <c r="E4720">
        <f>IF(INDEX(P_Status,ROW()-4)="","",TRIM(UPPER(INDEX(P_Status,ROW()-4))))</f>
        <v/>
      </c>
      <c r="G4720">
        <f>IF(INDEX(L_Status,ROW()-4)="","",TRIM(UPPER(INDEX(L_Status,ROW()-4))))</f>
        <v/>
      </c>
      <c r="J4720">
        <f>IF(INDEX(L_ID,ROW()-4)="","",IF(SUMPRODUCT((P_ID=INDEX(L_ID,ROW()-4))*(P_StatusN="INACTIVE"))&gt;0,1,0))</f>
        <v/>
      </c>
    </row>
    <row r="4721">
      <c r="A4721">
        <f>IF(INDEX(L_ID,ROW()-4)="","",IF(COUNTIF(P_ID,INDEX(L_ID,ROW()-4))&gt;0,1,0))</f>
        <v/>
      </c>
      <c r="B4721">
        <f>IF(INDEX(P_Type,ROW()-4)="","",TRIM(UPPER(INDEX(P_Type,ROW()-4))))</f>
        <v/>
      </c>
      <c r="D4721">
        <f>IF(INDEX(L_Type,ROW()-4)="","",TRIM(UPPER(INDEX(L_Type,ROW()-4))))</f>
        <v/>
      </c>
      <c r="E4721">
        <f>IF(INDEX(P_Status,ROW()-4)="","",TRIM(UPPER(INDEX(P_Status,ROW()-4))))</f>
        <v/>
      </c>
      <c r="G4721">
        <f>IF(INDEX(L_Status,ROW()-4)="","",TRIM(UPPER(INDEX(L_Status,ROW()-4))))</f>
        <v/>
      </c>
      <c r="J4721">
        <f>IF(INDEX(L_ID,ROW()-4)="","",IF(SUMPRODUCT((P_ID=INDEX(L_ID,ROW()-4))*(P_StatusN="INACTIVE"))&gt;0,1,0))</f>
        <v/>
      </c>
    </row>
    <row r="4722">
      <c r="A4722">
        <f>IF(INDEX(L_ID,ROW()-4)="","",IF(COUNTIF(P_ID,INDEX(L_ID,ROW()-4))&gt;0,1,0))</f>
        <v/>
      </c>
      <c r="B4722">
        <f>IF(INDEX(P_Type,ROW()-4)="","",TRIM(UPPER(INDEX(P_Type,ROW()-4))))</f>
        <v/>
      </c>
      <c r="D4722">
        <f>IF(INDEX(L_Type,ROW()-4)="","",TRIM(UPPER(INDEX(L_Type,ROW()-4))))</f>
        <v/>
      </c>
      <c r="E4722">
        <f>IF(INDEX(P_Status,ROW()-4)="","",TRIM(UPPER(INDEX(P_Status,ROW()-4))))</f>
        <v/>
      </c>
      <c r="G4722">
        <f>IF(INDEX(L_Status,ROW()-4)="","",TRIM(UPPER(INDEX(L_Status,ROW()-4))))</f>
        <v/>
      </c>
      <c r="J4722">
        <f>IF(INDEX(L_ID,ROW()-4)="","",IF(SUMPRODUCT((P_ID=INDEX(L_ID,ROW()-4))*(P_StatusN="INACTIVE"))&gt;0,1,0))</f>
        <v/>
      </c>
    </row>
    <row r="4723">
      <c r="A4723">
        <f>IF(INDEX(L_ID,ROW()-4)="","",IF(COUNTIF(P_ID,INDEX(L_ID,ROW()-4))&gt;0,1,0))</f>
        <v/>
      </c>
      <c r="B4723">
        <f>IF(INDEX(P_Type,ROW()-4)="","",TRIM(UPPER(INDEX(P_Type,ROW()-4))))</f>
        <v/>
      </c>
      <c r="D4723">
        <f>IF(INDEX(L_Type,ROW()-4)="","",TRIM(UPPER(INDEX(L_Type,ROW()-4))))</f>
        <v/>
      </c>
      <c r="E4723">
        <f>IF(INDEX(P_Status,ROW()-4)="","",TRIM(UPPER(INDEX(P_Status,ROW()-4))))</f>
        <v/>
      </c>
      <c r="G4723">
        <f>IF(INDEX(L_Status,ROW()-4)="","",TRIM(UPPER(INDEX(L_Status,ROW()-4))))</f>
        <v/>
      </c>
      <c r="J4723">
        <f>IF(INDEX(L_ID,ROW()-4)="","",IF(SUMPRODUCT((P_ID=INDEX(L_ID,ROW()-4))*(P_StatusN="INACTIVE"))&gt;0,1,0))</f>
        <v/>
      </c>
    </row>
    <row r="4724">
      <c r="A4724">
        <f>IF(INDEX(L_ID,ROW()-4)="","",IF(COUNTIF(P_ID,INDEX(L_ID,ROW()-4))&gt;0,1,0))</f>
        <v/>
      </c>
      <c r="B4724">
        <f>IF(INDEX(P_Type,ROW()-4)="","",TRIM(UPPER(INDEX(P_Type,ROW()-4))))</f>
        <v/>
      </c>
      <c r="D4724">
        <f>IF(INDEX(L_Type,ROW()-4)="","",TRIM(UPPER(INDEX(L_Type,ROW()-4))))</f>
        <v/>
      </c>
      <c r="E4724">
        <f>IF(INDEX(P_Status,ROW()-4)="","",TRIM(UPPER(INDEX(P_Status,ROW()-4))))</f>
        <v/>
      </c>
      <c r="G4724">
        <f>IF(INDEX(L_Status,ROW()-4)="","",TRIM(UPPER(INDEX(L_Status,ROW()-4))))</f>
        <v/>
      </c>
      <c r="J4724">
        <f>IF(INDEX(L_ID,ROW()-4)="","",IF(SUMPRODUCT((P_ID=INDEX(L_ID,ROW()-4))*(P_StatusN="INACTIVE"))&gt;0,1,0))</f>
        <v/>
      </c>
    </row>
    <row r="4725">
      <c r="A4725">
        <f>IF(INDEX(L_ID,ROW()-4)="","",IF(COUNTIF(P_ID,INDEX(L_ID,ROW()-4))&gt;0,1,0))</f>
        <v/>
      </c>
      <c r="B4725">
        <f>IF(INDEX(P_Type,ROW()-4)="","",TRIM(UPPER(INDEX(P_Type,ROW()-4))))</f>
        <v/>
      </c>
      <c r="D4725">
        <f>IF(INDEX(L_Type,ROW()-4)="","",TRIM(UPPER(INDEX(L_Type,ROW()-4))))</f>
        <v/>
      </c>
      <c r="E4725">
        <f>IF(INDEX(P_Status,ROW()-4)="","",TRIM(UPPER(INDEX(P_Status,ROW()-4))))</f>
        <v/>
      </c>
      <c r="G4725">
        <f>IF(INDEX(L_Status,ROW()-4)="","",TRIM(UPPER(INDEX(L_Status,ROW()-4))))</f>
        <v/>
      </c>
      <c r="J4725">
        <f>IF(INDEX(L_ID,ROW()-4)="","",IF(SUMPRODUCT((P_ID=INDEX(L_ID,ROW()-4))*(P_StatusN="INACTIVE"))&gt;0,1,0))</f>
        <v/>
      </c>
    </row>
    <row r="4726">
      <c r="A4726">
        <f>IF(INDEX(L_ID,ROW()-4)="","",IF(COUNTIF(P_ID,INDEX(L_ID,ROW()-4))&gt;0,1,0))</f>
        <v/>
      </c>
      <c r="B4726">
        <f>IF(INDEX(P_Type,ROW()-4)="","",TRIM(UPPER(INDEX(P_Type,ROW()-4))))</f>
        <v/>
      </c>
      <c r="D4726">
        <f>IF(INDEX(L_Type,ROW()-4)="","",TRIM(UPPER(INDEX(L_Type,ROW()-4))))</f>
        <v/>
      </c>
      <c r="E4726">
        <f>IF(INDEX(P_Status,ROW()-4)="","",TRIM(UPPER(INDEX(P_Status,ROW()-4))))</f>
        <v/>
      </c>
      <c r="G4726">
        <f>IF(INDEX(L_Status,ROW()-4)="","",TRIM(UPPER(INDEX(L_Status,ROW()-4))))</f>
        <v/>
      </c>
      <c r="J4726">
        <f>IF(INDEX(L_ID,ROW()-4)="","",IF(SUMPRODUCT((P_ID=INDEX(L_ID,ROW()-4))*(P_StatusN="INACTIVE"))&gt;0,1,0))</f>
        <v/>
      </c>
    </row>
    <row r="4727">
      <c r="A4727">
        <f>IF(INDEX(L_ID,ROW()-4)="","",IF(COUNTIF(P_ID,INDEX(L_ID,ROW()-4))&gt;0,1,0))</f>
        <v/>
      </c>
      <c r="B4727">
        <f>IF(INDEX(P_Type,ROW()-4)="","",TRIM(UPPER(INDEX(P_Type,ROW()-4))))</f>
        <v/>
      </c>
      <c r="D4727">
        <f>IF(INDEX(L_Type,ROW()-4)="","",TRIM(UPPER(INDEX(L_Type,ROW()-4))))</f>
        <v/>
      </c>
      <c r="E4727">
        <f>IF(INDEX(P_Status,ROW()-4)="","",TRIM(UPPER(INDEX(P_Status,ROW()-4))))</f>
        <v/>
      </c>
      <c r="G4727">
        <f>IF(INDEX(L_Status,ROW()-4)="","",TRIM(UPPER(INDEX(L_Status,ROW()-4))))</f>
        <v/>
      </c>
      <c r="J4727">
        <f>IF(INDEX(L_ID,ROW()-4)="","",IF(SUMPRODUCT((P_ID=INDEX(L_ID,ROW()-4))*(P_StatusN="INACTIVE"))&gt;0,1,0))</f>
        <v/>
      </c>
    </row>
    <row r="4728">
      <c r="A4728">
        <f>IF(INDEX(L_ID,ROW()-4)="","",IF(COUNTIF(P_ID,INDEX(L_ID,ROW()-4))&gt;0,1,0))</f>
        <v/>
      </c>
      <c r="B4728">
        <f>IF(INDEX(P_Type,ROW()-4)="","",TRIM(UPPER(INDEX(P_Type,ROW()-4))))</f>
        <v/>
      </c>
      <c r="D4728">
        <f>IF(INDEX(L_Type,ROW()-4)="","",TRIM(UPPER(INDEX(L_Type,ROW()-4))))</f>
        <v/>
      </c>
      <c r="E4728">
        <f>IF(INDEX(P_Status,ROW()-4)="","",TRIM(UPPER(INDEX(P_Status,ROW()-4))))</f>
        <v/>
      </c>
      <c r="G4728">
        <f>IF(INDEX(L_Status,ROW()-4)="","",TRIM(UPPER(INDEX(L_Status,ROW()-4))))</f>
        <v/>
      </c>
      <c r="J4728">
        <f>IF(INDEX(L_ID,ROW()-4)="","",IF(SUMPRODUCT((P_ID=INDEX(L_ID,ROW()-4))*(P_StatusN="INACTIVE"))&gt;0,1,0))</f>
        <v/>
      </c>
    </row>
    <row r="4729">
      <c r="A4729">
        <f>IF(INDEX(L_ID,ROW()-4)="","",IF(COUNTIF(P_ID,INDEX(L_ID,ROW()-4))&gt;0,1,0))</f>
        <v/>
      </c>
      <c r="B4729">
        <f>IF(INDEX(P_Type,ROW()-4)="","",TRIM(UPPER(INDEX(P_Type,ROW()-4))))</f>
        <v/>
      </c>
      <c r="D4729">
        <f>IF(INDEX(L_Type,ROW()-4)="","",TRIM(UPPER(INDEX(L_Type,ROW()-4))))</f>
        <v/>
      </c>
      <c r="E4729">
        <f>IF(INDEX(P_Status,ROW()-4)="","",TRIM(UPPER(INDEX(P_Status,ROW()-4))))</f>
        <v/>
      </c>
      <c r="G4729">
        <f>IF(INDEX(L_Status,ROW()-4)="","",TRIM(UPPER(INDEX(L_Status,ROW()-4))))</f>
        <v/>
      </c>
      <c r="J4729">
        <f>IF(INDEX(L_ID,ROW()-4)="","",IF(SUMPRODUCT((P_ID=INDEX(L_ID,ROW()-4))*(P_StatusN="INACTIVE"))&gt;0,1,0))</f>
        <v/>
      </c>
    </row>
    <row r="4730">
      <c r="A4730">
        <f>IF(INDEX(L_ID,ROW()-4)="","",IF(COUNTIF(P_ID,INDEX(L_ID,ROW()-4))&gt;0,1,0))</f>
        <v/>
      </c>
      <c r="B4730">
        <f>IF(INDEX(P_Type,ROW()-4)="","",TRIM(UPPER(INDEX(P_Type,ROW()-4))))</f>
        <v/>
      </c>
      <c r="D4730">
        <f>IF(INDEX(L_Type,ROW()-4)="","",TRIM(UPPER(INDEX(L_Type,ROW()-4))))</f>
        <v/>
      </c>
      <c r="E4730">
        <f>IF(INDEX(P_Status,ROW()-4)="","",TRIM(UPPER(INDEX(P_Status,ROW()-4))))</f>
        <v/>
      </c>
      <c r="G4730">
        <f>IF(INDEX(L_Status,ROW()-4)="","",TRIM(UPPER(INDEX(L_Status,ROW()-4))))</f>
        <v/>
      </c>
      <c r="J4730">
        <f>IF(INDEX(L_ID,ROW()-4)="","",IF(SUMPRODUCT((P_ID=INDEX(L_ID,ROW()-4))*(P_StatusN="INACTIVE"))&gt;0,1,0))</f>
        <v/>
      </c>
    </row>
    <row r="4731">
      <c r="A4731">
        <f>IF(INDEX(L_ID,ROW()-4)="","",IF(COUNTIF(P_ID,INDEX(L_ID,ROW()-4))&gt;0,1,0))</f>
        <v/>
      </c>
      <c r="B4731">
        <f>IF(INDEX(P_Type,ROW()-4)="","",TRIM(UPPER(INDEX(P_Type,ROW()-4))))</f>
        <v/>
      </c>
      <c r="D4731">
        <f>IF(INDEX(L_Type,ROW()-4)="","",TRIM(UPPER(INDEX(L_Type,ROW()-4))))</f>
        <v/>
      </c>
      <c r="E4731">
        <f>IF(INDEX(P_Status,ROW()-4)="","",TRIM(UPPER(INDEX(P_Status,ROW()-4))))</f>
        <v/>
      </c>
      <c r="G4731">
        <f>IF(INDEX(L_Status,ROW()-4)="","",TRIM(UPPER(INDEX(L_Status,ROW()-4))))</f>
        <v/>
      </c>
      <c r="J4731">
        <f>IF(INDEX(L_ID,ROW()-4)="","",IF(SUMPRODUCT((P_ID=INDEX(L_ID,ROW()-4))*(P_StatusN="INACTIVE"))&gt;0,1,0))</f>
        <v/>
      </c>
    </row>
    <row r="4732">
      <c r="A4732">
        <f>IF(INDEX(L_ID,ROW()-4)="","",IF(COUNTIF(P_ID,INDEX(L_ID,ROW()-4))&gt;0,1,0))</f>
        <v/>
      </c>
      <c r="B4732">
        <f>IF(INDEX(P_Type,ROW()-4)="","",TRIM(UPPER(INDEX(P_Type,ROW()-4))))</f>
        <v/>
      </c>
      <c r="D4732">
        <f>IF(INDEX(L_Type,ROW()-4)="","",TRIM(UPPER(INDEX(L_Type,ROW()-4))))</f>
        <v/>
      </c>
      <c r="E4732">
        <f>IF(INDEX(P_Status,ROW()-4)="","",TRIM(UPPER(INDEX(P_Status,ROW()-4))))</f>
        <v/>
      </c>
      <c r="G4732">
        <f>IF(INDEX(L_Status,ROW()-4)="","",TRIM(UPPER(INDEX(L_Status,ROW()-4))))</f>
        <v/>
      </c>
      <c r="J4732">
        <f>IF(INDEX(L_ID,ROW()-4)="","",IF(SUMPRODUCT((P_ID=INDEX(L_ID,ROW()-4))*(P_StatusN="INACTIVE"))&gt;0,1,0))</f>
        <v/>
      </c>
    </row>
    <row r="4733">
      <c r="A4733">
        <f>IF(INDEX(L_ID,ROW()-4)="","",IF(COUNTIF(P_ID,INDEX(L_ID,ROW()-4))&gt;0,1,0))</f>
        <v/>
      </c>
      <c r="B4733">
        <f>IF(INDEX(P_Type,ROW()-4)="","",TRIM(UPPER(INDEX(P_Type,ROW()-4))))</f>
        <v/>
      </c>
      <c r="D4733">
        <f>IF(INDEX(L_Type,ROW()-4)="","",TRIM(UPPER(INDEX(L_Type,ROW()-4))))</f>
        <v/>
      </c>
      <c r="E4733">
        <f>IF(INDEX(P_Status,ROW()-4)="","",TRIM(UPPER(INDEX(P_Status,ROW()-4))))</f>
        <v/>
      </c>
      <c r="G4733">
        <f>IF(INDEX(L_Status,ROW()-4)="","",TRIM(UPPER(INDEX(L_Status,ROW()-4))))</f>
        <v/>
      </c>
      <c r="J4733">
        <f>IF(INDEX(L_ID,ROW()-4)="","",IF(SUMPRODUCT((P_ID=INDEX(L_ID,ROW()-4))*(P_StatusN="INACTIVE"))&gt;0,1,0))</f>
        <v/>
      </c>
    </row>
    <row r="4734">
      <c r="A4734">
        <f>IF(INDEX(L_ID,ROW()-4)="","",IF(COUNTIF(P_ID,INDEX(L_ID,ROW()-4))&gt;0,1,0))</f>
        <v/>
      </c>
      <c r="B4734">
        <f>IF(INDEX(P_Type,ROW()-4)="","",TRIM(UPPER(INDEX(P_Type,ROW()-4))))</f>
        <v/>
      </c>
      <c r="D4734">
        <f>IF(INDEX(L_Type,ROW()-4)="","",TRIM(UPPER(INDEX(L_Type,ROW()-4))))</f>
        <v/>
      </c>
      <c r="E4734">
        <f>IF(INDEX(P_Status,ROW()-4)="","",TRIM(UPPER(INDEX(P_Status,ROW()-4))))</f>
        <v/>
      </c>
      <c r="G4734">
        <f>IF(INDEX(L_Status,ROW()-4)="","",TRIM(UPPER(INDEX(L_Status,ROW()-4))))</f>
        <v/>
      </c>
      <c r="J4734">
        <f>IF(INDEX(L_ID,ROW()-4)="","",IF(SUMPRODUCT((P_ID=INDEX(L_ID,ROW()-4))*(P_StatusN="INACTIVE"))&gt;0,1,0))</f>
        <v/>
      </c>
    </row>
    <row r="4735">
      <c r="A4735">
        <f>IF(INDEX(L_ID,ROW()-4)="","",IF(COUNTIF(P_ID,INDEX(L_ID,ROW()-4))&gt;0,1,0))</f>
        <v/>
      </c>
      <c r="B4735">
        <f>IF(INDEX(P_Type,ROW()-4)="","",TRIM(UPPER(INDEX(P_Type,ROW()-4))))</f>
        <v/>
      </c>
      <c r="D4735">
        <f>IF(INDEX(L_Type,ROW()-4)="","",TRIM(UPPER(INDEX(L_Type,ROW()-4))))</f>
        <v/>
      </c>
      <c r="E4735">
        <f>IF(INDEX(P_Status,ROW()-4)="","",TRIM(UPPER(INDEX(P_Status,ROW()-4))))</f>
        <v/>
      </c>
      <c r="G4735">
        <f>IF(INDEX(L_Status,ROW()-4)="","",TRIM(UPPER(INDEX(L_Status,ROW()-4))))</f>
        <v/>
      </c>
      <c r="J4735">
        <f>IF(INDEX(L_ID,ROW()-4)="","",IF(SUMPRODUCT((P_ID=INDEX(L_ID,ROW()-4))*(P_StatusN="INACTIVE"))&gt;0,1,0))</f>
        <v/>
      </c>
    </row>
    <row r="4736">
      <c r="A4736">
        <f>IF(INDEX(L_ID,ROW()-4)="","",IF(COUNTIF(P_ID,INDEX(L_ID,ROW()-4))&gt;0,1,0))</f>
        <v/>
      </c>
      <c r="B4736">
        <f>IF(INDEX(P_Type,ROW()-4)="","",TRIM(UPPER(INDEX(P_Type,ROW()-4))))</f>
        <v/>
      </c>
      <c r="D4736">
        <f>IF(INDEX(L_Type,ROW()-4)="","",TRIM(UPPER(INDEX(L_Type,ROW()-4))))</f>
        <v/>
      </c>
      <c r="E4736">
        <f>IF(INDEX(P_Status,ROW()-4)="","",TRIM(UPPER(INDEX(P_Status,ROW()-4))))</f>
        <v/>
      </c>
      <c r="G4736">
        <f>IF(INDEX(L_Status,ROW()-4)="","",TRIM(UPPER(INDEX(L_Status,ROW()-4))))</f>
        <v/>
      </c>
      <c r="J4736">
        <f>IF(INDEX(L_ID,ROW()-4)="","",IF(SUMPRODUCT((P_ID=INDEX(L_ID,ROW()-4))*(P_StatusN="INACTIVE"))&gt;0,1,0))</f>
        <v/>
      </c>
    </row>
    <row r="4737">
      <c r="A4737">
        <f>IF(INDEX(L_ID,ROW()-4)="","",IF(COUNTIF(P_ID,INDEX(L_ID,ROW()-4))&gt;0,1,0))</f>
        <v/>
      </c>
      <c r="B4737">
        <f>IF(INDEX(P_Type,ROW()-4)="","",TRIM(UPPER(INDEX(P_Type,ROW()-4))))</f>
        <v/>
      </c>
      <c r="D4737">
        <f>IF(INDEX(L_Type,ROW()-4)="","",TRIM(UPPER(INDEX(L_Type,ROW()-4))))</f>
        <v/>
      </c>
      <c r="E4737">
        <f>IF(INDEX(P_Status,ROW()-4)="","",TRIM(UPPER(INDEX(P_Status,ROW()-4))))</f>
        <v/>
      </c>
      <c r="G4737">
        <f>IF(INDEX(L_Status,ROW()-4)="","",TRIM(UPPER(INDEX(L_Status,ROW()-4))))</f>
        <v/>
      </c>
      <c r="J4737">
        <f>IF(INDEX(L_ID,ROW()-4)="","",IF(SUMPRODUCT((P_ID=INDEX(L_ID,ROW()-4))*(P_StatusN="INACTIVE"))&gt;0,1,0))</f>
        <v/>
      </c>
    </row>
    <row r="4738">
      <c r="A4738">
        <f>IF(INDEX(L_ID,ROW()-4)="","",IF(COUNTIF(P_ID,INDEX(L_ID,ROW()-4))&gt;0,1,0))</f>
        <v/>
      </c>
      <c r="B4738">
        <f>IF(INDEX(P_Type,ROW()-4)="","",TRIM(UPPER(INDEX(P_Type,ROW()-4))))</f>
        <v/>
      </c>
      <c r="D4738">
        <f>IF(INDEX(L_Type,ROW()-4)="","",TRIM(UPPER(INDEX(L_Type,ROW()-4))))</f>
        <v/>
      </c>
      <c r="E4738">
        <f>IF(INDEX(P_Status,ROW()-4)="","",TRIM(UPPER(INDEX(P_Status,ROW()-4))))</f>
        <v/>
      </c>
      <c r="G4738">
        <f>IF(INDEX(L_Status,ROW()-4)="","",TRIM(UPPER(INDEX(L_Status,ROW()-4))))</f>
        <v/>
      </c>
      <c r="J4738">
        <f>IF(INDEX(L_ID,ROW()-4)="","",IF(SUMPRODUCT((P_ID=INDEX(L_ID,ROW()-4))*(P_StatusN="INACTIVE"))&gt;0,1,0))</f>
        <v/>
      </c>
    </row>
    <row r="4739">
      <c r="A4739">
        <f>IF(INDEX(L_ID,ROW()-4)="","",IF(COUNTIF(P_ID,INDEX(L_ID,ROW()-4))&gt;0,1,0))</f>
        <v/>
      </c>
      <c r="B4739">
        <f>IF(INDEX(P_Type,ROW()-4)="","",TRIM(UPPER(INDEX(P_Type,ROW()-4))))</f>
        <v/>
      </c>
      <c r="D4739">
        <f>IF(INDEX(L_Type,ROW()-4)="","",TRIM(UPPER(INDEX(L_Type,ROW()-4))))</f>
        <v/>
      </c>
      <c r="E4739">
        <f>IF(INDEX(P_Status,ROW()-4)="","",TRIM(UPPER(INDEX(P_Status,ROW()-4))))</f>
        <v/>
      </c>
      <c r="G4739">
        <f>IF(INDEX(L_Status,ROW()-4)="","",TRIM(UPPER(INDEX(L_Status,ROW()-4))))</f>
        <v/>
      </c>
      <c r="J4739">
        <f>IF(INDEX(L_ID,ROW()-4)="","",IF(SUMPRODUCT((P_ID=INDEX(L_ID,ROW()-4))*(P_StatusN="INACTIVE"))&gt;0,1,0))</f>
        <v/>
      </c>
    </row>
    <row r="4740">
      <c r="A4740">
        <f>IF(INDEX(L_ID,ROW()-4)="","",IF(COUNTIF(P_ID,INDEX(L_ID,ROW()-4))&gt;0,1,0))</f>
        <v/>
      </c>
      <c r="B4740">
        <f>IF(INDEX(P_Type,ROW()-4)="","",TRIM(UPPER(INDEX(P_Type,ROW()-4))))</f>
        <v/>
      </c>
      <c r="D4740">
        <f>IF(INDEX(L_Type,ROW()-4)="","",TRIM(UPPER(INDEX(L_Type,ROW()-4))))</f>
        <v/>
      </c>
      <c r="E4740">
        <f>IF(INDEX(P_Status,ROW()-4)="","",TRIM(UPPER(INDEX(P_Status,ROW()-4))))</f>
        <v/>
      </c>
      <c r="G4740">
        <f>IF(INDEX(L_Status,ROW()-4)="","",TRIM(UPPER(INDEX(L_Status,ROW()-4))))</f>
        <v/>
      </c>
      <c r="J4740">
        <f>IF(INDEX(L_ID,ROW()-4)="","",IF(SUMPRODUCT((P_ID=INDEX(L_ID,ROW()-4))*(P_StatusN="INACTIVE"))&gt;0,1,0))</f>
        <v/>
      </c>
    </row>
    <row r="4741">
      <c r="A4741">
        <f>IF(INDEX(L_ID,ROW()-4)="","",IF(COUNTIF(P_ID,INDEX(L_ID,ROW()-4))&gt;0,1,0))</f>
        <v/>
      </c>
      <c r="B4741">
        <f>IF(INDEX(P_Type,ROW()-4)="","",TRIM(UPPER(INDEX(P_Type,ROW()-4))))</f>
        <v/>
      </c>
      <c r="D4741">
        <f>IF(INDEX(L_Type,ROW()-4)="","",TRIM(UPPER(INDEX(L_Type,ROW()-4))))</f>
        <v/>
      </c>
      <c r="E4741">
        <f>IF(INDEX(P_Status,ROW()-4)="","",TRIM(UPPER(INDEX(P_Status,ROW()-4))))</f>
        <v/>
      </c>
      <c r="G4741">
        <f>IF(INDEX(L_Status,ROW()-4)="","",TRIM(UPPER(INDEX(L_Status,ROW()-4))))</f>
        <v/>
      </c>
      <c r="J4741">
        <f>IF(INDEX(L_ID,ROW()-4)="","",IF(SUMPRODUCT((P_ID=INDEX(L_ID,ROW()-4))*(P_StatusN="INACTIVE"))&gt;0,1,0))</f>
        <v/>
      </c>
    </row>
    <row r="4742">
      <c r="A4742">
        <f>IF(INDEX(L_ID,ROW()-4)="","",IF(COUNTIF(P_ID,INDEX(L_ID,ROW()-4))&gt;0,1,0))</f>
        <v/>
      </c>
      <c r="B4742">
        <f>IF(INDEX(P_Type,ROW()-4)="","",TRIM(UPPER(INDEX(P_Type,ROW()-4))))</f>
        <v/>
      </c>
      <c r="D4742">
        <f>IF(INDEX(L_Type,ROW()-4)="","",TRIM(UPPER(INDEX(L_Type,ROW()-4))))</f>
        <v/>
      </c>
      <c r="E4742">
        <f>IF(INDEX(P_Status,ROW()-4)="","",TRIM(UPPER(INDEX(P_Status,ROW()-4))))</f>
        <v/>
      </c>
      <c r="G4742">
        <f>IF(INDEX(L_Status,ROW()-4)="","",TRIM(UPPER(INDEX(L_Status,ROW()-4))))</f>
        <v/>
      </c>
      <c r="J4742">
        <f>IF(INDEX(L_ID,ROW()-4)="","",IF(SUMPRODUCT((P_ID=INDEX(L_ID,ROW()-4))*(P_StatusN="INACTIVE"))&gt;0,1,0))</f>
        <v/>
      </c>
    </row>
    <row r="4743">
      <c r="A4743">
        <f>IF(INDEX(L_ID,ROW()-4)="","",IF(COUNTIF(P_ID,INDEX(L_ID,ROW()-4))&gt;0,1,0))</f>
        <v/>
      </c>
      <c r="B4743">
        <f>IF(INDEX(P_Type,ROW()-4)="","",TRIM(UPPER(INDEX(P_Type,ROW()-4))))</f>
        <v/>
      </c>
      <c r="D4743">
        <f>IF(INDEX(L_Type,ROW()-4)="","",TRIM(UPPER(INDEX(L_Type,ROW()-4))))</f>
        <v/>
      </c>
      <c r="E4743">
        <f>IF(INDEX(P_Status,ROW()-4)="","",TRIM(UPPER(INDEX(P_Status,ROW()-4))))</f>
        <v/>
      </c>
      <c r="G4743">
        <f>IF(INDEX(L_Status,ROW()-4)="","",TRIM(UPPER(INDEX(L_Status,ROW()-4))))</f>
        <v/>
      </c>
      <c r="J4743">
        <f>IF(INDEX(L_ID,ROW()-4)="","",IF(SUMPRODUCT((P_ID=INDEX(L_ID,ROW()-4))*(P_StatusN="INACTIVE"))&gt;0,1,0))</f>
        <v/>
      </c>
    </row>
    <row r="4744">
      <c r="A4744">
        <f>IF(INDEX(L_ID,ROW()-4)="","",IF(COUNTIF(P_ID,INDEX(L_ID,ROW()-4))&gt;0,1,0))</f>
        <v/>
      </c>
      <c r="B4744">
        <f>IF(INDEX(P_Type,ROW()-4)="","",TRIM(UPPER(INDEX(P_Type,ROW()-4))))</f>
        <v/>
      </c>
      <c r="D4744">
        <f>IF(INDEX(L_Type,ROW()-4)="","",TRIM(UPPER(INDEX(L_Type,ROW()-4))))</f>
        <v/>
      </c>
      <c r="E4744">
        <f>IF(INDEX(P_Status,ROW()-4)="","",TRIM(UPPER(INDEX(P_Status,ROW()-4))))</f>
        <v/>
      </c>
      <c r="G4744">
        <f>IF(INDEX(L_Status,ROW()-4)="","",TRIM(UPPER(INDEX(L_Status,ROW()-4))))</f>
        <v/>
      </c>
      <c r="J4744">
        <f>IF(INDEX(L_ID,ROW()-4)="","",IF(SUMPRODUCT((P_ID=INDEX(L_ID,ROW()-4))*(P_StatusN="INACTIVE"))&gt;0,1,0))</f>
        <v/>
      </c>
    </row>
    <row r="4745">
      <c r="A4745">
        <f>IF(INDEX(L_ID,ROW()-4)="","",IF(COUNTIF(P_ID,INDEX(L_ID,ROW()-4))&gt;0,1,0))</f>
        <v/>
      </c>
      <c r="B4745">
        <f>IF(INDEX(P_Type,ROW()-4)="","",TRIM(UPPER(INDEX(P_Type,ROW()-4))))</f>
        <v/>
      </c>
      <c r="D4745">
        <f>IF(INDEX(L_Type,ROW()-4)="","",TRIM(UPPER(INDEX(L_Type,ROW()-4))))</f>
        <v/>
      </c>
      <c r="E4745">
        <f>IF(INDEX(P_Status,ROW()-4)="","",TRIM(UPPER(INDEX(P_Status,ROW()-4))))</f>
        <v/>
      </c>
      <c r="G4745">
        <f>IF(INDEX(L_Status,ROW()-4)="","",TRIM(UPPER(INDEX(L_Status,ROW()-4))))</f>
        <v/>
      </c>
      <c r="J4745">
        <f>IF(INDEX(L_ID,ROW()-4)="","",IF(SUMPRODUCT((P_ID=INDEX(L_ID,ROW()-4))*(P_StatusN="INACTIVE"))&gt;0,1,0))</f>
        <v/>
      </c>
    </row>
    <row r="4746">
      <c r="A4746">
        <f>IF(INDEX(L_ID,ROW()-4)="","",IF(COUNTIF(P_ID,INDEX(L_ID,ROW()-4))&gt;0,1,0))</f>
        <v/>
      </c>
      <c r="B4746">
        <f>IF(INDEX(P_Type,ROW()-4)="","",TRIM(UPPER(INDEX(P_Type,ROW()-4))))</f>
        <v/>
      </c>
      <c r="D4746">
        <f>IF(INDEX(L_Type,ROW()-4)="","",TRIM(UPPER(INDEX(L_Type,ROW()-4))))</f>
        <v/>
      </c>
      <c r="E4746">
        <f>IF(INDEX(P_Status,ROW()-4)="","",TRIM(UPPER(INDEX(P_Status,ROW()-4))))</f>
        <v/>
      </c>
      <c r="G4746">
        <f>IF(INDEX(L_Status,ROW()-4)="","",TRIM(UPPER(INDEX(L_Status,ROW()-4))))</f>
        <v/>
      </c>
      <c r="J4746">
        <f>IF(INDEX(L_ID,ROW()-4)="","",IF(SUMPRODUCT((P_ID=INDEX(L_ID,ROW()-4))*(P_StatusN="INACTIVE"))&gt;0,1,0))</f>
        <v/>
      </c>
    </row>
    <row r="4747">
      <c r="A4747">
        <f>IF(INDEX(L_ID,ROW()-4)="","",IF(COUNTIF(P_ID,INDEX(L_ID,ROW()-4))&gt;0,1,0))</f>
        <v/>
      </c>
      <c r="B4747">
        <f>IF(INDEX(P_Type,ROW()-4)="","",TRIM(UPPER(INDEX(P_Type,ROW()-4))))</f>
        <v/>
      </c>
      <c r="D4747">
        <f>IF(INDEX(L_Type,ROW()-4)="","",TRIM(UPPER(INDEX(L_Type,ROW()-4))))</f>
        <v/>
      </c>
      <c r="E4747">
        <f>IF(INDEX(P_Status,ROW()-4)="","",TRIM(UPPER(INDEX(P_Status,ROW()-4))))</f>
        <v/>
      </c>
      <c r="G4747">
        <f>IF(INDEX(L_Status,ROW()-4)="","",TRIM(UPPER(INDEX(L_Status,ROW()-4))))</f>
        <v/>
      </c>
      <c r="J4747">
        <f>IF(INDEX(L_ID,ROW()-4)="","",IF(SUMPRODUCT((P_ID=INDEX(L_ID,ROW()-4))*(P_StatusN="INACTIVE"))&gt;0,1,0))</f>
        <v/>
      </c>
    </row>
    <row r="4748">
      <c r="A4748">
        <f>IF(INDEX(L_ID,ROW()-4)="","",IF(COUNTIF(P_ID,INDEX(L_ID,ROW()-4))&gt;0,1,0))</f>
        <v/>
      </c>
      <c r="B4748">
        <f>IF(INDEX(P_Type,ROW()-4)="","",TRIM(UPPER(INDEX(P_Type,ROW()-4))))</f>
        <v/>
      </c>
      <c r="D4748">
        <f>IF(INDEX(L_Type,ROW()-4)="","",TRIM(UPPER(INDEX(L_Type,ROW()-4))))</f>
        <v/>
      </c>
      <c r="E4748">
        <f>IF(INDEX(P_Status,ROW()-4)="","",TRIM(UPPER(INDEX(P_Status,ROW()-4))))</f>
        <v/>
      </c>
      <c r="G4748">
        <f>IF(INDEX(L_Status,ROW()-4)="","",TRIM(UPPER(INDEX(L_Status,ROW()-4))))</f>
        <v/>
      </c>
      <c r="J4748">
        <f>IF(INDEX(L_ID,ROW()-4)="","",IF(SUMPRODUCT((P_ID=INDEX(L_ID,ROW()-4))*(P_StatusN="INACTIVE"))&gt;0,1,0))</f>
        <v/>
      </c>
    </row>
    <row r="4749">
      <c r="A4749">
        <f>IF(INDEX(L_ID,ROW()-4)="","",IF(COUNTIF(P_ID,INDEX(L_ID,ROW()-4))&gt;0,1,0))</f>
        <v/>
      </c>
      <c r="B4749">
        <f>IF(INDEX(P_Type,ROW()-4)="","",TRIM(UPPER(INDEX(P_Type,ROW()-4))))</f>
        <v/>
      </c>
      <c r="D4749">
        <f>IF(INDEX(L_Type,ROW()-4)="","",TRIM(UPPER(INDEX(L_Type,ROW()-4))))</f>
        <v/>
      </c>
      <c r="E4749">
        <f>IF(INDEX(P_Status,ROW()-4)="","",TRIM(UPPER(INDEX(P_Status,ROW()-4))))</f>
        <v/>
      </c>
      <c r="G4749">
        <f>IF(INDEX(L_Status,ROW()-4)="","",TRIM(UPPER(INDEX(L_Status,ROW()-4))))</f>
        <v/>
      </c>
      <c r="J4749">
        <f>IF(INDEX(L_ID,ROW()-4)="","",IF(SUMPRODUCT((P_ID=INDEX(L_ID,ROW()-4))*(P_StatusN="INACTIVE"))&gt;0,1,0))</f>
        <v/>
      </c>
    </row>
    <row r="4750">
      <c r="A4750">
        <f>IF(INDEX(L_ID,ROW()-4)="","",IF(COUNTIF(P_ID,INDEX(L_ID,ROW()-4))&gt;0,1,0))</f>
        <v/>
      </c>
      <c r="B4750">
        <f>IF(INDEX(P_Type,ROW()-4)="","",TRIM(UPPER(INDEX(P_Type,ROW()-4))))</f>
        <v/>
      </c>
      <c r="D4750">
        <f>IF(INDEX(L_Type,ROW()-4)="","",TRIM(UPPER(INDEX(L_Type,ROW()-4))))</f>
        <v/>
      </c>
      <c r="E4750">
        <f>IF(INDEX(P_Status,ROW()-4)="","",TRIM(UPPER(INDEX(P_Status,ROW()-4))))</f>
        <v/>
      </c>
      <c r="G4750">
        <f>IF(INDEX(L_Status,ROW()-4)="","",TRIM(UPPER(INDEX(L_Status,ROW()-4))))</f>
        <v/>
      </c>
      <c r="J4750">
        <f>IF(INDEX(L_ID,ROW()-4)="","",IF(SUMPRODUCT((P_ID=INDEX(L_ID,ROW()-4))*(P_StatusN="INACTIVE"))&gt;0,1,0))</f>
        <v/>
      </c>
    </row>
    <row r="4751">
      <c r="A4751">
        <f>IF(INDEX(L_ID,ROW()-4)="","",IF(COUNTIF(P_ID,INDEX(L_ID,ROW()-4))&gt;0,1,0))</f>
        <v/>
      </c>
      <c r="B4751">
        <f>IF(INDEX(P_Type,ROW()-4)="","",TRIM(UPPER(INDEX(P_Type,ROW()-4))))</f>
        <v/>
      </c>
      <c r="D4751">
        <f>IF(INDEX(L_Type,ROW()-4)="","",TRIM(UPPER(INDEX(L_Type,ROW()-4))))</f>
        <v/>
      </c>
      <c r="E4751">
        <f>IF(INDEX(P_Status,ROW()-4)="","",TRIM(UPPER(INDEX(P_Status,ROW()-4))))</f>
        <v/>
      </c>
      <c r="G4751">
        <f>IF(INDEX(L_Status,ROW()-4)="","",TRIM(UPPER(INDEX(L_Status,ROW()-4))))</f>
        <v/>
      </c>
      <c r="J4751">
        <f>IF(INDEX(L_ID,ROW()-4)="","",IF(SUMPRODUCT((P_ID=INDEX(L_ID,ROW()-4))*(P_StatusN="INACTIVE"))&gt;0,1,0))</f>
        <v/>
      </c>
    </row>
    <row r="4752">
      <c r="A4752">
        <f>IF(INDEX(L_ID,ROW()-4)="","",IF(COUNTIF(P_ID,INDEX(L_ID,ROW()-4))&gt;0,1,0))</f>
        <v/>
      </c>
      <c r="B4752">
        <f>IF(INDEX(P_Type,ROW()-4)="","",TRIM(UPPER(INDEX(P_Type,ROW()-4))))</f>
        <v/>
      </c>
      <c r="D4752">
        <f>IF(INDEX(L_Type,ROW()-4)="","",TRIM(UPPER(INDEX(L_Type,ROW()-4))))</f>
        <v/>
      </c>
      <c r="E4752">
        <f>IF(INDEX(P_Status,ROW()-4)="","",TRIM(UPPER(INDEX(P_Status,ROW()-4))))</f>
        <v/>
      </c>
      <c r="G4752">
        <f>IF(INDEX(L_Status,ROW()-4)="","",TRIM(UPPER(INDEX(L_Status,ROW()-4))))</f>
        <v/>
      </c>
      <c r="J4752">
        <f>IF(INDEX(L_ID,ROW()-4)="","",IF(SUMPRODUCT((P_ID=INDEX(L_ID,ROW()-4))*(P_StatusN="INACTIVE"))&gt;0,1,0))</f>
        <v/>
      </c>
    </row>
    <row r="4753">
      <c r="A4753">
        <f>IF(INDEX(L_ID,ROW()-4)="","",IF(COUNTIF(P_ID,INDEX(L_ID,ROW()-4))&gt;0,1,0))</f>
        <v/>
      </c>
      <c r="B4753">
        <f>IF(INDEX(P_Type,ROW()-4)="","",TRIM(UPPER(INDEX(P_Type,ROW()-4))))</f>
        <v/>
      </c>
      <c r="D4753">
        <f>IF(INDEX(L_Type,ROW()-4)="","",TRIM(UPPER(INDEX(L_Type,ROW()-4))))</f>
        <v/>
      </c>
      <c r="E4753">
        <f>IF(INDEX(P_Status,ROW()-4)="","",TRIM(UPPER(INDEX(P_Status,ROW()-4))))</f>
        <v/>
      </c>
      <c r="G4753">
        <f>IF(INDEX(L_Status,ROW()-4)="","",TRIM(UPPER(INDEX(L_Status,ROW()-4))))</f>
        <v/>
      </c>
      <c r="J4753">
        <f>IF(INDEX(L_ID,ROW()-4)="","",IF(SUMPRODUCT((P_ID=INDEX(L_ID,ROW()-4))*(P_StatusN="INACTIVE"))&gt;0,1,0))</f>
        <v/>
      </c>
    </row>
    <row r="4754">
      <c r="A4754">
        <f>IF(INDEX(L_ID,ROW()-4)="","",IF(COUNTIF(P_ID,INDEX(L_ID,ROW()-4))&gt;0,1,0))</f>
        <v/>
      </c>
      <c r="B4754">
        <f>IF(INDEX(P_Type,ROW()-4)="","",TRIM(UPPER(INDEX(P_Type,ROW()-4))))</f>
        <v/>
      </c>
      <c r="D4754">
        <f>IF(INDEX(L_Type,ROW()-4)="","",TRIM(UPPER(INDEX(L_Type,ROW()-4))))</f>
        <v/>
      </c>
      <c r="E4754">
        <f>IF(INDEX(P_Status,ROW()-4)="","",TRIM(UPPER(INDEX(P_Status,ROW()-4))))</f>
        <v/>
      </c>
      <c r="G4754">
        <f>IF(INDEX(L_Status,ROW()-4)="","",TRIM(UPPER(INDEX(L_Status,ROW()-4))))</f>
        <v/>
      </c>
      <c r="J4754">
        <f>IF(INDEX(L_ID,ROW()-4)="","",IF(SUMPRODUCT((P_ID=INDEX(L_ID,ROW()-4))*(P_StatusN="INACTIVE"))&gt;0,1,0))</f>
        <v/>
      </c>
    </row>
    <row r="4755">
      <c r="A4755">
        <f>IF(INDEX(L_ID,ROW()-4)="","",IF(COUNTIF(P_ID,INDEX(L_ID,ROW()-4))&gt;0,1,0))</f>
        <v/>
      </c>
      <c r="B4755">
        <f>IF(INDEX(P_Type,ROW()-4)="","",TRIM(UPPER(INDEX(P_Type,ROW()-4))))</f>
        <v/>
      </c>
      <c r="D4755">
        <f>IF(INDEX(L_Type,ROW()-4)="","",TRIM(UPPER(INDEX(L_Type,ROW()-4))))</f>
        <v/>
      </c>
      <c r="E4755">
        <f>IF(INDEX(P_Status,ROW()-4)="","",TRIM(UPPER(INDEX(P_Status,ROW()-4))))</f>
        <v/>
      </c>
      <c r="G4755">
        <f>IF(INDEX(L_Status,ROW()-4)="","",TRIM(UPPER(INDEX(L_Status,ROW()-4))))</f>
        <v/>
      </c>
      <c r="J4755">
        <f>IF(INDEX(L_ID,ROW()-4)="","",IF(SUMPRODUCT((P_ID=INDEX(L_ID,ROW()-4))*(P_StatusN="INACTIVE"))&gt;0,1,0))</f>
        <v/>
      </c>
    </row>
    <row r="4756">
      <c r="A4756">
        <f>IF(INDEX(L_ID,ROW()-4)="","",IF(COUNTIF(P_ID,INDEX(L_ID,ROW()-4))&gt;0,1,0))</f>
        <v/>
      </c>
      <c r="B4756">
        <f>IF(INDEX(P_Type,ROW()-4)="","",TRIM(UPPER(INDEX(P_Type,ROW()-4))))</f>
        <v/>
      </c>
      <c r="D4756">
        <f>IF(INDEX(L_Type,ROW()-4)="","",TRIM(UPPER(INDEX(L_Type,ROW()-4))))</f>
        <v/>
      </c>
      <c r="E4756">
        <f>IF(INDEX(P_Status,ROW()-4)="","",TRIM(UPPER(INDEX(P_Status,ROW()-4))))</f>
        <v/>
      </c>
      <c r="G4756">
        <f>IF(INDEX(L_Status,ROW()-4)="","",TRIM(UPPER(INDEX(L_Status,ROW()-4))))</f>
        <v/>
      </c>
      <c r="J4756">
        <f>IF(INDEX(L_ID,ROW()-4)="","",IF(SUMPRODUCT((P_ID=INDEX(L_ID,ROW()-4))*(P_StatusN="INACTIVE"))&gt;0,1,0))</f>
        <v/>
      </c>
    </row>
    <row r="4757">
      <c r="A4757">
        <f>IF(INDEX(L_ID,ROW()-4)="","",IF(COUNTIF(P_ID,INDEX(L_ID,ROW()-4))&gt;0,1,0))</f>
        <v/>
      </c>
      <c r="B4757">
        <f>IF(INDEX(P_Type,ROW()-4)="","",TRIM(UPPER(INDEX(P_Type,ROW()-4))))</f>
        <v/>
      </c>
      <c r="D4757">
        <f>IF(INDEX(L_Type,ROW()-4)="","",TRIM(UPPER(INDEX(L_Type,ROW()-4))))</f>
        <v/>
      </c>
      <c r="E4757">
        <f>IF(INDEX(P_Status,ROW()-4)="","",TRIM(UPPER(INDEX(P_Status,ROW()-4))))</f>
        <v/>
      </c>
      <c r="G4757">
        <f>IF(INDEX(L_Status,ROW()-4)="","",TRIM(UPPER(INDEX(L_Status,ROW()-4))))</f>
        <v/>
      </c>
      <c r="J4757">
        <f>IF(INDEX(L_ID,ROW()-4)="","",IF(SUMPRODUCT((P_ID=INDEX(L_ID,ROW()-4))*(P_StatusN="INACTIVE"))&gt;0,1,0))</f>
        <v/>
      </c>
    </row>
    <row r="4758">
      <c r="A4758">
        <f>IF(INDEX(L_ID,ROW()-4)="","",IF(COUNTIF(P_ID,INDEX(L_ID,ROW()-4))&gt;0,1,0))</f>
        <v/>
      </c>
      <c r="B4758">
        <f>IF(INDEX(P_Type,ROW()-4)="","",TRIM(UPPER(INDEX(P_Type,ROW()-4))))</f>
        <v/>
      </c>
      <c r="D4758">
        <f>IF(INDEX(L_Type,ROW()-4)="","",TRIM(UPPER(INDEX(L_Type,ROW()-4))))</f>
        <v/>
      </c>
      <c r="E4758">
        <f>IF(INDEX(P_Status,ROW()-4)="","",TRIM(UPPER(INDEX(P_Status,ROW()-4))))</f>
        <v/>
      </c>
      <c r="G4758">
        <f>IF(INDEX(L_Status,ROW()-4)="","",TRIM(UPPER(INDEX(L_Status,ROW()-4))))</f>
        <v/>
      </c>
      <c r="J4758">
        <f>IF(INDEX(L_ID,ROW()-4)="","",IF(SUMPRODUCT((P_ID=INDEX(L_ID,ROW()-4))*(P_StatusN="INACTIVE"))&gt;0,1,0))</f>
        <v/>
      </c>
    </row>
    <row r="4759">
      <c r="A4759">
        <f>IF(INDEX(L_ID,ROW()-4)="","",IF(COUNTIF(P_ID,INDEX(L_ID,ROW()-4))&gt;0,1,0))</f>
        <v/>
      </c>
      <c r="B4759">
        <f>IF(INDEX(P_Type,ROW()-4)="","",TRIM(UPPER(INDEX(P_Type,ROW()-4))))</f>
        <v/>
      </c>
      <c r="D4759">
        <f>IF(INDEX(L_Type,ROW()-4)="","",TRIM(UPPER(INDEX(L_Type,ROW()-4))))</f>
        <v/>
      </c>
      <c r="E4759">
        <f>IF(INDEX(P_Status,ROW()-4)="","",TRIM(UPPER(INDEX(P_Status,ROW()-4))))</f>
        <v/>
      </c>
      <c r="G4759">
        <f>IF(INDEX(L_Status,ROW()-4)="","",TRIM(UPPER(INDEX(L_Status,ROW()-4))))</f>
        <v/>
      </c>
      <c r="J4759">
        <f>IF(INDEX(L_ID,ROW()-4)="","",IF(SUMPRODUCT((P_ID=INDEX(L_ID,ROW()-4))*(P_StatusN="INACTIVE"))&gt;0,1,0))</f>
        <v/>
      </c>
    </row>
    <row r="4760">
      <c r="A4760">
        <f>IF(INDEX(L_ID,ROW()-4)="","",IF(COUNTIF(P_ID,INDEX(L_ID,ROW()-4))&gt;0,1,0))</f>
        <v/>
      </c>
      <c r="B4760">
        <f>IF(INDEX(P_Type,ROW()-4)="","",TRIM(UPPER(INDEX(P_Type,ROW()-4))))</f>
        <v/>
      </c>
      <c r="D4760">
        <f>IF(INDEX(L_Type,ROW()-4)="","",TRIM(UPPER(INDEX(L_Type,ROW()-4))))</f>
        <v/>
      </c>
      <c r="E4760">
        <f>IF(INDEX(P_Status,ROW()-4)="","",TRIM(UPPER(INDEX(P_Status,ROW()-4))))</f>
        <v/>
      </c>
      <c r="G4760">
        <f>IF(INDEX(L_Status,ROW()-4)="","",TRIM(UPPER(INDEX(L_Status,ROW()-4))))</f>
        <v/>
      </c>
      <c r="J4760">
        <f>IF(INDEX(L_ID,ROW()-4)="","",IF(SUMPRODUCT((P_ID=INDEX(L_ID,ROW()-4))*(P_StatusN="INACTIVE"))&gt;0,1,0))</f>
        <v/>
      </c>
    </row>
    <row r="4761">
      <c r="A4761">
        <f>IF(INDEX(L_ID,ROW()-4)="","",IF(COUNTIF(P_ID,INDEX(L_ID,ROW()-4))&gt;0,1,0))</f>
        <v/>
      </c>
      <c r="B4761">
        <f>IF(INDEX(P_Type,ROW()-4)="","",TRIM(UPPER(INDEX(P_Type,ROW()-4))))</f>
        <v/>
      </c>
      <c r="D4761">
        <f>IF(INDEX(L_Type,ROW()-4)="","",TRIM(UPPER(INDEX(L_Type,ROW()-4))))</f>
        <v/>
      </c>
      <c r="E4761">
        <f>IF(INDEX(P_Status,ROW()-4)="","",TRIM(UPPER(INDEX(P_Status,ROW()-4))))</f>
        <v/>
      </c>
      <c r="G4761">
        <f>IF(INDEX(L_Status,ROW()-4)="","",TRIM(UPPER(INDEX(L_Status,ROW()-4))))</f>
        <v/>
      </c>
      <c r="J4761">
        <f>IF(INDEX(L_ID,ROW()-4)="","",IF(SUMPRODUCT((P_ID=INDEX(L_ID,ROW()-4))*(P_StatusN="INACTIVE"))&gt;0,1,0))</f>
        <v/>
      </c>
    </row>
    <row r="4762">
      <c r="A4762">
        <f>IF(INDEX(L_ID,ROW()-4)="","",IF(COUNTIF(P_ID,INDEX(L_ID,ROW()-4))&gt;0,1,0))</f>
        <v/>
      </c>
      <c r="B4762">
        <f>IF(INDEX(P_Type,ROW()-4)="","",TRIM(UPPER(INDEX(P_Type,ROW()-4))))</f>
        <v/>
      </c>
      <c r="D4762">
        <f>IF(INDEX(L_Type,ROW()-4)="","",TRIM(UPPER(INDEX(L_Type,ROW()-4))))</f>
        <v/>
      </c>
      <c r="E4762">
        <f>IF(INDEX(P_Status,ROW()-4)="","",TRIM(UPPER(INDEX(P_Status,ROW()-4))))</f>
        <v/>
      </c>
      <c r="G4762">
        <f>IF(INDEX(L_Status,ROW()-4)="","",TRIM(UPPER(INDEX(L_Status,ROW()-4))))</f>
        <v/>
      </c>
      <c r="J4762">
        <f>IF(INDEX(L_ID,ROW()-4)="","",IF(SUMPRODUCT((P_ID=INDEX(L_ID,ROW()-4))*(P_StatusN="INACTIVE"))&gt;0,1,0))</f>
        <v/>
      </c>
    </row>
    <row r="4763">
      <c r="A4763">
        <f>IF(INDEX(L_ID,ROW()-4)="","",IF(COUNTIF(P_ID,INDEX(L_ID,ROW()-4))&gt;0,1,0))</f>
        <v/>
      </c>
      <c r="B4763">
        <f>IF(INDEX(P_Type,ROW()-4)="","",TRIM(UPPER(INDEX(P_Type,ROW()-4))))</f>
        <v/>
      </c>
      <c r="D4763">
        <f>IF(INDEX(L_Type,ROW()-4)="","",TRIM(UPPER(INDEX(L_Type,ROW()-4))))</f>
        <v/>
      </c>
      <c r="E4763">
        <f>IF(INDEX(P_Status,ROW()-4)="","",TRIM(UPPER(INDEX(P_Status,ROW()-4))))</f>
        <v/>
      </c>
      <c r="G4763">
        <f>IF(INDEX(L_Status,ROW()-4)="","",TRIM(UPPER(INDEX(L_Status,ROW()-4))))</f>
        <v/>
      </c>
      <c r="J4763">
        <f>IF(INDEX(L_ID,ROW()-4)="","",IF(SUMPRODUCT((P_ID=INDEX(L_ID,ROW()-4))*(P_StatusN="INACTIVE"))&gt;0,1,0))</f>
        <v/>
      </c>
    </row>
    <row r="4764">
      <c r="A4764">
        <f>IF(INDEX(L_ID,ROW()-4)="","",IF(COUNTIF(P_ID,INDEX(L_ID,ROW()-4))&gt;0,1,0))</f>
        <v/>
      </c>
      <c r="B4764">
        <f>IF(INDEX(P_Type,ROW()-4)="","",TRIM(UPPER(INDEX(P_Type,ROW()-4))))</f>
        <v/>
      </c>
      <c r="D4764">
        <f>IF(INDEX(L_Type,ROW()-4)="","",TRIM(UPPER(INDEX(L_Type,ROW()-4))))</f>
        <v/>
      </c>
      <c r="E4764">
        <f>IF(INDEX(P_Status,ROW()-4)="","",TRIM(UPPER(INDEX(P_Status,ROW()-4))))</f>
        <v/>
      </c>
      <c r="G4764">
        <f>IF(INDEX(L_Status,ROW()-4)="","",TRIM(UPPER(INDEX(L_Status,ROW()-4))))</f>
        <v/>
      </c>
      <c r="J4764">
        <f>IF(INDEX(L_ID,ROW()-4)="","",IF(SUMPRODUCT((P_ID=INDEX(L_ID,ROW()-4))*(P_StatusN="INACTIVE"))&gt;0,1,0))</f>
        <v/>
      </c>
    </row>
    <row r="4765">
      <c r="A4765">
        <f>IF(INDEX(L_ID,ROW()-4)="","",IF(COUNTIF(P_ID,INDEX(L_ID,ROW()-4))&gt;0,1,0))</f>
        <v/>
      </c>
      <c r="B4765">
        <f>IF(INDEX(P_Type,ROW()-4)="","",TRIM(UPPER(INDEX(P_Type,ROW()-4))))</f>
        <v/>
      </c>
      <c r="D4765">
        <f>IF(INDEX(L_Type,ROW()-4)="","",TRIM(UPPER(INDEX(L_Type,ROW()-4))))</f>
        <v/>
      </c>
      <c r="E4765">
        <f>IF(INDEX(P_Status,ROW()-4)="","",TRIM(UPPER(INDEX(P_Status,ROW()-4))))</f>
        <v/>
      </c>
      <c r="G4765">
        <f>IF(INDEX(L_Status,ROW()-4)="","",TRIM(UPPER(INDEX(L_Status,ROW()-4))))</f>
        <v/>
      </c>
      <c r="J4765">
        <f>IF(INDEX(L_ID,ROW()-4)="","",IF(SUMPRODUCT((P_ID=INDEX(L_ID,ROW()-4))*(P_StatusN="INACTIVE"))&gt;0,1,0))</f>
        <v/>
      </c>
    </row>
    <row r="4766">
      <c r="A4766">
        <f>IF(INDEX(L_ID,ROW()-4)="","",IF(COUNTIF(P_ID,INDEX(L_ID,ROW()-4))&gt;0,1,0))</f>
        <v/>
      </c>
      <c r="B4766">
        <f>IF(INDEX(P_Type,ROW()-4)="","",TRIM(UPPER(INDEX(P_Type,ROW()-4))))</f>
        <v/>
      </c>
      <c r="D4766">
        <f>IF(INDEX(L_Type,ROW()-4)="","",TRIM(UPPER(INDEX(L_Type,ROW()-4))))</f>
        <v/>
      </c>
      <c r="E4766">
        <f>IF(INDEX(P_Status,ROW()-4)="","",TRIM(UPPER(INDEX(P_Status,ROW()-4))))</f>
        <v/>
      </c>
      <c r="G4766">
        <f>IF(INDEX(L_Status,ROW()-4)="","",TRIM(UPPER(INDEX(L_Status,ROW()-4))))</f>
        <v/>
      </c>
      <c r="J4766">
        <f>IF(INDEX(L_ID,ROW()-4)="","",IF(SUMPRODUCT((P_ID=INDEX(L_ID,ROW()-4))*(P_StatusN="INACTIVE"))&gt;0,1,0))</f>
        <v/>
      </c>
    </row>
    <row r="4767">
      <c r="A4767">
        <f>IF(INDEX(L_ID,ROW()-4)="","",IF(COUNTIF(P_ID,INDEX(L_ID,ROW()-4))&gt;0,1,0))</f>
        <v/>
      </c>
      <c r="B4767">
        <f>IF(INDEX(P_Type,ROW()-4)="","",TRIM(UPPER(INDEX(P_Type,ROW()-4))))</f>
        <v/>
      </c>
      <c r="D4767">
        <f>IF(INDEX(L_Type,ROW()-4)="","",TRIM(UPPER(INDEX(L_Type,ROW()-4))))</f>
        <v/>
      </c>
      <c r="E4767">
        <f>IF(INDEX(P_Status,ROW()-4)="","",TRIM(UPPER(INDEX(P_Status,ROW()-4))))</f>
        <v/>
      </c>
      <c r="G4767">
        <f>IF(INDEX(L_Status,ROW()-4)="","",TRIM(UPPER(INDEX(L_Status,ROW()-4))))</f>
        <v/>
      </c>
      <c r="J4767">
        <f>IF(INDEX(L_ID,ROW()-4)="","",IF(SUMPRODUCT((P_ID=INDEX(L_ID,ROW()-4))*(P_StatusN="INACTIVE"))&gt;0,1,0))</f>
        <v/>
      </c>
    </row>
    <row r="4768">
      <c r="A4768">
        <f>IF(INDEX(L_ID,ROW()-4)="","",IF(COUNTIF(P_ID,INDEX(L_ID,ROW()-4))&gt;0,1,0))</f>
        <v/>
      </c>
      <c r="B4768">
        <f>IF(INDEX(P_Type,ROW()-4)="","",TRIM(UPPER(INDEX(P_Type,ROW()-4))))</f>
        <v/>
      </c>
      <c r="D4768">
        <f>IF(INDEX(L_Type,ROW()-4)="","",TRIM(UPPER(INDEX(L_Type,ROW()-4))))</f>
        <v/>
      </c>
      <c r="E4768">
        <f>IF(INDEX(P_Status,ROW()-4)="","",TRIM(UPPER(INDEX(P_Status,ROW()-4))))</f>
        <v/>
      </c>
      <c r="G4768">
        <f>IF(INDEX(L_Status,ROW()-4)="","",TRIM(UPPER(INDEX(L_Status,ROW()-4))))</f>
        <v/>
      </c>
      <c r="J4768">
        <f>IF(INDEX(L_ID,ROW()-4)="","",IF(SUMPRODUCT((P_ID=INDEX(L_ID,ROW()-4))*(P_StatusN="INACTIVE"))&gt;0,1,0))</f>
        <v/>
      </c>
    </row>
    <row r="4769">
      <c r="A4769">
        <f>IF(INDEX(L_ID,ROW()-4)="","",IF(COUNTIF(P_ID,INDEX(L_ID,ROW()-4))&gt;0,1,0))</f>
        <v/>
      </c>
      <c r="B4769">
        <f>IF(INDEX(P_Type,ROW()-4)="","",TRIM(UPPER(INDEX(P_Type,ROW()-4))))</f>
        <v/>
      </c>
      <c r="D4769">
        <f>IF(INDEX(L_Type,ROW()-4)="","",TRIM(UPPER(INDEX(L_Type,ROW()-4))))</f>
        <v/>
      </c>
      <c r="E4769">
        <f>IF(INDEX(P_Status,ROW()-4)="","",TRIM(UPPER(INDEX(P_Status,ROW()-4))))</f>
        <v/>
      </c>
      <c r="G4769">
        <f>IF(INDEX(L_Status,ROW()-4)="","",TRIM(UPPER(INDEX(L_Status,ROW()-4))))</f>
        <v/>
      </c>
      <c r="J4769">
        <f>IF(INDEX(L_ID,ROW()-4)="","",IF(SUMPRODUCT((P_ID=INDEX(L_ID,ROW()-4))*(P_StatusN="INACTIVE"))&gt;0,1,0))</f>
        <v/>
      </c>
    </row>
    <row r="4770">
      <c r="A4770">
        <f>IF(INDEX(L_ID,ROW()-4)="","",IF(COUNTIF(P_ID,INDEX(L_ID,ROW()-4))&gt;0,1,0))</f>
        <v/>
      </c>
      <c r="B4770">
        <f>IF(INDEX(P_Type,ROW()-4)="","",TRIM(UPPER(INDEX(P_Type,ROW()-4))))</f>
        <v/>
      </c>
      <c r="D4770">
        <f>IF(INDEX(L_Type,ROW()-4)="","",TRIM(UPPER(INDEX(L_Type,ROW()-4))))</f>
        <v/>
      </c>
      <c r="E4770">
        <f>IF(INDEX(P_Status,ROW()-4)="","",TRIM(UPPER(INDEX(P_Status,ROW()-4))))</f>
        <v/>
      </c>
      <c r="G4770">
        <f>IF(INDEX(L_Status,ROW()-4)="","",TRIM(UPPER(INDEX(L_Status,ROW()-4))))</f>
        <v/>
      </c>
      <c r="J4770">
        <f>IF(INDEX(L_ID,ROW()-4)="","",IF(SUMPRODUCT((P_ID=INDEX(L_ID,ROW()-4))*(P_StatusN="INACTIVE"))&gt;0,1,0))</f>
        <v/>
      </c>
    </row>
    <row r="4771">
      <c r="A4771">
        <f>IF(INDEX(L_ID,ROW()-4)="","",IF(COUNTIF(P_ID,INDEX(L_ID,ROW()-4))&gt;0,1,0))</f>
        <v/>
      </c>
      <c r="B4771">
        <f>IF(INDEX(P_Type,ROW()-4)="","",TRIM(UPPER(INDEX(P_Type,ROW()-4))))</f>
        <v/>
      </c>
      <c r="D4771">
        <f>IF(INDEX(L_Type,ROW()-4)="","",TRIM(UPPER(INDEX(L_Type,ROW()-4))))</f>
        <v/>
      </c>
      <c r="E4771">
        <f>IF(INDEX(P_Status,ROW()-4)="","",TRIM(UPPER(INDEX(P_Status,ROW()-4))))</f>
        <v/>
      </c>
      <c r="G4771">
        <f>IF(INDEX(L_Status,ROW()-4)="","",TRIM(UPPER(INDEX(L_Status,ROW()-4))))</f>
        <v/>
      </c>
      <c r="J4771">
        <f>IF(INDEX(L_ID,ROW()-4)="","",IF(SUMPRODUCT((P_ID=INDEX(L_ID,ROW()-4))*(P_StatusN="INACTIVE"))&gt;0,1,0))</f>
        <v/>
      </c>
    </row>
    <row r="4772">
      <c r="A4772">
        <f>IF(INDEX(L_ID,ROW()-4)="","",IF(COUNTIF(P_ID,INDEX(L_ID,ROW()-4))&gt;0,1,0))</f>
        <v/>
      </c>
      <c r="B4772">
        <f>IF(INDEX(P_Type,ROW()-4)="","",TRIM(UPPER(INDEX(P_Type,ROW()-4))))</f>
        <v/>
      </c>
      <c r="D4772">
        <f>IF(INDEX(L_Type,ROW()-4)="","",TRIM(UPPER(INDEX(L_Type,ROW()-4))))</f>
        <v/>
      </c>
      <c r="E4772">
        <f>IF(INDEX(P_Status,ROW()-4)="","",TRIM(UPPER(INDEX(P_Status,ROW()-4))))</f>
        <v/>
      </c>
      <c r="G4772">
        <f>IF(INDEX(L_Status,ROW()-4)="","",TRIM(UPPER(INDEX(L_Status,ROW()-4))))</f>
        <v/>
      </c>
      <c r="J4772">
        <f>IF(INDEX(L_ID,ROW()-4)="","",IF(SUMPRODUCT((P_ID=INDEX(L_ID,ROW()-4))*(P_StatusN="INACTIVE"))&gt;0,1,0))</f>
        <v/>
      </c>
    </row>
    <row r="4773">
      <c r="A4773">
        <f>IF(INDEX(L_ID,ROW()-4)="","",IF(COUNTIF(P_ID,INDEX(L_ID,ROW()-4))&gt;0,1,0))</f>
        <v/>
      </c>
      <c r="B4773">
        <f>IF(INDEX(P_Type,ROW()-4)="","",TRIM(UPPER(INDEX(P_Type,ROW()-4))))</f>
        <v/>
      </c>
      <c r="D4773">
        <f>IF(INDEX(L_Type,ROW()-4)="","",TRIM(UPPER(INDEX(L_Type,ROW()-4))))</f>
        <v/>
      </c>
      <c r="E4773">
        <f>IF(INDEX(P_Status,ROW()-4)="","",TRIM(UPPER(INDEX(P_Status,ROW()-4))))</f>
        <v/>
      </c>
      <c r="G4773">
        <f>IF(INDEX(L_Status,ROW()-4)="","",TRIM(UPPER(INDEX(L_Status,ROW()-4))))</f>
        <v/>
      </c>
      <c r="J4773">
        <f>IF(INDEX(L_ID,ROW()-4)="","",IF(SUMPRODUCT((P_ID=INDEX(L_ID,ROW()-4))*(P_StatusN="INACTIVE"))&gt;0,1,0))</f>
        <v/>
      </c>
    </row>
    <row r="4774">
      <c r="A4774">
        <f>IF(INDEX(L_ID,ROW()-4)="","",IF(COUNTIF(P_ID,INDEX(L_ID,ROW()-4))&gt;0,1,0))</f>
        <v/>
      </c>
      <c r="B4774">
        <f>IF(INDEX(P_Type,ROW()-4)="","",TRIM(UPPER(INDEX(P_Type,ROW()-4))))</f>
        <v/>
      </c>
      <c r="D4774">
        <f>IF(INDEX(L_Type,ROW()-4)="","",TRIM(UPPER(INDEX(L_Type,ROW()-4))))</f>
        <v/>
      </c>
      <c r="E4774">
        <f>IF(INDEX(P_Status,ROW()-4)="","",TRIM(UPPER(INDEX(P_Status,ROW()-4))))</f>
        <v/>
      </c>
      <c r="G4774">
        <f>IF(INDEX(L_Status,ROW()-4)="","",TRIM(UPPER(INDEX(L_Status,ROW()-4))))</f>
        <v/>
      </c>
      <c r="J4774">
        <f>IF(INDEX(L_ID,ROW()-4)="","",IF(SUMPRODUCT((P_ID=INDEX(L_ID,ROW()-4))*(P_StatusN="INACTIVE"))&gt;0,1,0))</f>
        <v/>
      </c>
    </row>
    <row r="4775">
      <c r="A4775">
        <f>IF(INDEX(L_ID,ROW()-4)="","",IF(COUNTIF(P_ID,INDEX(L_ID,ROW()-4))&gt;0,1,0))</f>
        <v/>
      </c>
      <c r="B4775">
        <f>IF(INDEX(P_Type,ROW()-4)="","",TRIM(UPPER(INDEX(P_Type,ROW()-4))))</f>
        <v/>
      </c>
      <c r="D4775">
        <f>IF(INDEX(L_Type,ROW()-4)="","",TRIM(UPPER(INDEX(L_Type,ROW()-4))))</f>
        <v/>
      </c>
      <c r="E4775">
        <f>IF(INDEX(P_Status,ROW()-4)="","",TRIM(UPPER(INDEX(P_Status,ROW()-4))))</f>
        <v/>
      </c>
      <c r="G4775">
        <f>IF(INDEX(L_Status,ROW()-4)="","",TRIM(UPPER(INDEX(L_Status,ROW()-4))))</f>
        <v/>
      </c>
      <c r="J4775">
        <f>IF(INDEX(L_ID,ROW()-4)="","",IF(SUMPRODUCT((P_ID=INDEX(L_ID,ROW()-4))*(P_StatusN="INACTIVE"))&gt;0,1,0))</f>
        <v/>
      </c>
    </row>
    <row r="4776">
      <c r="A4776">
        <f>IF(INDEX(L_ID,ROW()-4)="","",IF(COUNTIF(P_ID,INDEX(L_ID,ROW()-4))&gt;0,1,0))</f>
        <v/>
      </c>
      <c r="B4776">
        <f>IF(INDEX(P_Type,ROW()-4)="","",TRIM(UPPER(INDEX(P_Type,ROW()-4))))</f>
        <v/>
      </c>
      <c r="D4776">
        <f>IF(INDEX(L_Type,ROW()-4)="","",TRIM(UPPER(INDEX(L_Type,ROW()-4))))</f>
        <v/>
      </c>
      <c r="E4776">
        <f>IF(INDEX(P_Status,ROW()-4)="","",TRIM(UPPER(INDEX(P_Status,ROW()-4))))</f>
        <v/>
      </c>
      <c r="G4776">
        <f>IF(INDEX(L_Status,ROW()-4)="","",TRIM(UPPER(INDEX(L_Status,ROW()-4))))</f>
        <v/>
      </c>
      <c r="J4776">
        <f>IF(INDEX(L_ID,ROW()-4)="","",IF(SUMPRODUCT((P_ID=INDEX(L_ID,ROW()-4))*(P_StatusN="INACTIVE"))&gt;0,1,0))</f>
        <v/>
      </c>
    </row>
    <row r="4777">
      <c r="A4777">
        <f>IF(INDEX(L_ID,ROW()-4)="","",IF(COUNTIF(P_ID,INDEX(L_ID,ROW()-4))&gt;0,1,0))</f>
        <v/>
      </c>
      <c r="B4777">
        <f>IF(INDEX(P_Type,ROW()-4)="","",TRIM(UPPER(INDEX(P_Type,ROW()-4))))</f>
        <v/>
      </c>
      <c r="D4777">
        <f>IF(INDEX(L_Type,ROW()-4)="","",TRIM(UPPER(INDEX(L_Type,ROW()-4))))</f>
        <v/>
      </c>
      <c r="E4777">
        <f>IF(INDEX(P_Status,ROW()-4)="","",TRIM(UPPER(INDEX(P_Status,ROW()-4))))</f>
        <v/>
      </c>
      <c r="G4777">
        <f>IF(INDEX(L_Status,ROW()-4)="","",TRIM(UPPER(INDEX(L_Status,ROW()-4))))</f>
        <v/>
      </c>
      <c r="J4777">
        <f>IF(INDEX(L_ID,ROW()-4)="","",IF(SUMPRODUCT((P_ID=INDEX(L_ID,ROW()-4))*(P_StatusN="INACTIVE"))&gt;0,1,0))</f>
        <v/>
      </c>
    </row>
    <row r="4778">
      <c r="A4778">
        <f>IF(INDEX(L_ID,ROW()-4)="","",IF(COUNTIF(P_ID,INDEX(L_ID,ROW()-4))&gt;0,1,0))</f>
        <v/>
      </c>
      <c r="B4778">
        <f>IF(INDEX(P_Type,ROW()-4)="","",TRIM(UPPER(INDEX(P_Type,ROW()-4))))</f>
        <v/>
      </c>
      <c r="D4778">
        <f>IF(INDEX(L_Type,ROW()-4)="","",TRIM(UPPER(INDEX(L_Type,ROW()-4))))</f>
        <v/>
      </c>
      <c r="E4778">
        <f>IF(INDEX(P_Status,ROW()-4)="","",TRIM(UPPER(INDEX(P_Status,ROW()-4))))</f>
        <v/>
      </c>
      <c r="G4778">
        <f>IF(INDEX(L_Status,ROW()-4)="","",TRIM(UPPER(INDEX(L_Status,ROW()-4))))</f>
        <v/>
      </c>
      <c r="J4778">
        <f>IF(INDEX(L_ID,ROW()-4)="","",IF(SUMPRODUCT((P_ID=INDEX(L_ID,ROW()-4))*(P_StatusN="INACTIVE"))&gt;0,1,0))</f>
        <v/>
      </c>
    </row>
    <row r="4779">
      <c r="A4779">
        <f>IF(INDEX(L_ID,ROW()-4)="","",IF(COUNTIF(P_ID,INDEX(L_ID,ROW()-4))&gt;0,1,0))</f>
        <v/>
      </c>
      <c r="B4779">
        <f>IF(INDEX(P_Type,ROW()-4)="","",TRIM(UPPER(INDEX(P_Type,ROW()-4))))</f>
        <v/>
      </c>
      <c r="D4779">
        <f>IF(INDEX(L_Type,ROW()-4)="","",TRIM(UPPER(INDEX(L_Type,ROW()-4))))</f>
        <v/>
      </c>
      <c r="E4779">
        <f>IF(INDEX(P_Status,ROW()-4)="","",TRIM(UPPER(INDEX(P_Status,ROW()-4))))</f>
        <v/>
      </c>
      <c r="G4779">
        <f>IF(INDEX(L_Status,ROW()-4)="","",TRIM(UPPER(INDEX(L_Status,ROW()-4))))</f>
        <v/>
      </c>
      <c r="J4779">
        <f>IF(INDEX(L_ID,ROW()-4)="","",IF(SUMPRODUCT((P_ID=INDEX(L_ID,ROW()-4))*(P_StatusN="INACTIVE"))&gt;0,1,0))</f>
        <v/>
      </c>
    </row>
    <row r="4780">
      <c r="A4780">
        <f>IF(INDEX(L_ID,ROW()-4)="","",IF(COUNTIF(P_ID,INDEX(L_ID,ROW()-4))&gt;0,1,0))</f>
        <v/>
      </c>
      <c r="B4780">
        <f>IF(INDEX(P_Type,ROW()-4)="","",TRIM(UPPER(INDEX(P_Type,ROW()-4))))</f>
        <v/>
      </c>
      <c r="D4780">
        <f>IF(INDEX(L_Type,ROW()-4)="","",TRIM(UPPER(INDEX(L_Type,ROW()-4))))</f>
        <v/>
      </c>
      <c r="E4780">
        <f>IF(INDEX(P_Status,ROW()-4)="","",TRIM(UPPER(INDEX(P_Status,ROW()-4))))</f>
        <v/>
      </c>
      <c r="G4780">
        <f>IF(INDEX(L_Status,ROW()-4)="","",TRIM(UPPER(INDEX(L_Status,ROW()-4))))</f>
        <v/>
      </c>
      <c r="J4780">
        <f>IF(INDEX(L_ID,ROW()-4)="","",IF(SUMPRODUCT((P_ID=INDEX(L_ID,ROW()-4))*(P_StatusN="INACTIVE"))&gt;0,1,0))</f>
        <v/>
      </c>
    </row>
    <row r="4781">
      <c r="A4781">
        <f>IF(INDEX(L_ID,ROW()-4)="","",IF(COUNTIF(P_ID,INDEX(L_ID,ROW()-4))&gt;0,1,0))</f>
        <v/>
      </c>
      <c r="B4781">
        <f>IF(INDEX(P_Type,ROW()-4)="","",TRIM(UPPER(INDEX(P_Type,ROW()-4))))</f>
        <v/>
      </c>
      <c r="D4781">
        <f>IF(INDEX(L_Type,ROW()-4)="","",TRIM(UPPER(INDEX(L_Type,ROW()-4))))</f>
        <v/>
      </c>
      <c r="E4781">
        <f>IF(INDEX(P_Status,ROW()-4)="","",TRIM(UPPER(INDEX(P_Status,ROW()-4))))</f>
        <v/>
      </c>
      <c r="G4781">
        <f>IF(INDEX(L_Status,ROW()-4)="","",TRIM(UPPER(INDEX(L_Status,ROW()-4))))</f>
        <v/>
      </c>
      <c r="J4781">
        <f>IF(INDEX(L_ID,ROW()-4)="","",IF(SUMPRODUCT((P_ID=INDEX(L_ID,ROW()-4))*(P_StatusN="INACTIVE"))&gt;0,1,0))</f>
        <v/>
      </c>
    </row>
    <row r="4782">
      <c r="A4782">
        <f>IF(INDEX(L_ID,ROW()-4)="","",IF(COUNTIF(P_ID,INDEX(L_ID,ROW()-4))&gt;0,1,0))</f>
        <v/>
      </c>
      <c r="B4782">
        <f>IF(INDEX(P_Type,ROW()-4)="","",TRIM(UPPER(INDEX(P_Type,ROW()-4))))</f>
        <v/>
      </c>
      <c r="D4782">
        <f>IF(INDEX(L_Type,ROW()-4)="","",TRIM(UPPER(INDEX(L_Type,ROW()-4))))</f>
        <v/>
      </c>
      <c r="E4782">
        <f>IF(INDEX(P_Status,ROW()-4)="","",TRIM(UPPER(INDEX(P_Status,ROW()-4))))</f>
        <v/>
      </c>
      <c r="G4782">
        <f>IF(INDEX(L_Status,ROW()-4)="","",TRIM(UPPER(INDEX(L_Status,ROW()-4))))</f>
        <v/>
      </c>
      <c r="J4782">
        <f>IF(INDEX(L_ID,ROW()-4)="","",IF(SUMPRODUCT((P_ID=INDEX(L_ID,ROW()-4))*(P_StatusN="INACTIVE"))&gt;0,1,0))</f>
        <v/>
      </c>
    </row>
    <row r="4783">
      <c r="A4783">
        <f>IF(INDEX(L_ID,ROW()-4)="","",IF(COUNTIF(P_ID,INDEX(L_ID,ROW()-4))&gt;0,1,0))</f>
        <v/>
      </c>
      <c r="B4783">
        <f>IF(INDEX(P_Type,ROW()-4)="","",TRIM(UPPER(INDEX(P_Type,ROW()-4))))</f>
        <v/>
      </c>
      <c r="D4783">
        <f>IF(INDEX(L_Type,ROW()-4)="","",TRIM(UPPER(INDEX(L_Type,ROW()-4))))</f>
        <v/>
      </c>
      <c r="E4783">
        <f>IF(INDEX(P_Status,ROW()-4)="","",TRIM(UPPER(INDEX(P_Status,ROW()-4))))</f>
        <v/>
      </c>
      <c r="G4783">
        <f>IF(INDEX(L_Status,ROW()-4)="","",TRIM(UPPER(INDEX(L_Status,ROW()-4))))</f>
        <v/>
      </c>
      <c r="J4783">
        <f>IF(INDEX(L_ID,ROW()-4)="","",IF(SUMPRODUCT((P_ID=INDEX(L_ID,ROW()-4))*(P_StatusN="INACTIVE"))&gt;0,1,0))</f>
        <v/>
      </c>
    </row>
    <row r="4784">
      <c r="A4784">
        <f>IF(INDEX(L_ID,ROW()-4)="","",IF(COUNTIF(P_ID,INDEX(L_ID,ROW()-4))&gt;0,1,0))</f>
        <v/>
      </c>
      <c r="B4784">
        <f>IF(INDEX(P_Type,ROW()-4)="","",TRIM(UPPER(INDEX(P_Type,ROW()-4))))</f>
        <v/>
      </c>
      <c r="D4784">
        <f>IF(INDEX(L_Type,ROW()-4)="","",TRIM(UPPER(INDEX(L_Type,ROW()-4))))</f>
        <v/>
      </c>
      <c r="E4784">
        <f>IF(INDEX(P_Status,ROW()-4)="","",TRIM(UPPER(INDEX(P_Status,ROW()-4))))</f>
        <v/>
      </c>
      <c r="G4784">
        <f>IF(INDEX(L_Status,ROW()-4)="","",TRIM(UPPER(INDEX(L_Status,ROW()-4))))</f>
        <v/>
      </c>
      <c r="J4784">
        <f>IF(INDEX(L_ID,ROW()-4)="","",IF(SUMPRODUCT((P_ID=INDEX(L_ID,ROW()-4))*(P_StatusN="INACTIVE"))&gt;0,1,0))</f>
        <v/>
      </c>
    </row>
    <row r="4785">
      <c r="A4785">
        <f>IF(INDEX(L_ID,ROW()-4)="","",IF(COUNTIF(P_ID,INDEX(L_ID,ROW()-4))&gt;0,1,0))</f>
        <v/>
      </c>
      <c r="B4785">
        <f>IF(INDEX(P_Type,ROW()-4)="","",TRIM(UPPER(INDEX(P_Type,ROW()-4))))</f>
        <v/>
      </c>
      <c r="D4785">
        <f>IF(INDEX(L_Type,ROW()-4)="","",TRIM(UPPER(INDEX(L_Type,ROW()-4))))</f>
        <v/>
      </c>
      <c r="E4785">
        <f>IF(INDEX(P_Status,ROW()-4)="","",TRIM(UPPER(INDEX(P_Status,ROW()-4))))</f>
        <v/>
      </c>
      <c r="G4785">
        <f>IF(INDEX(L_Status,ROW()-4)="","",TRIM(UPPER(INDEX(L_Status,ROW()-4))))</f>
        <v/>
      </c>
      <c r="J4785">
        <f>IF(INDEX(L_ID,ROW()-4)="","",IF(SUMPRODUCT((P_ID=INDEX(L_ID,ROW()-4))*(P_StatusN="INACTIVE"))&gt;0,1,0))</f>
        <v/>
      </c>
    </row>
    <row r="4786">
      <c r="A4786">
        <f>IF(INDEX(L_ID,ROW()-4)="","",IF(COUNTIF(P_ID,INDEX(L_ID,ROW()-4))&gt;0,1,0))</f>
        <v/>
      </c>
      <c r="B4786">
        <f>IF(INDEX(P_Type,ROW()-4)="","",TRIM(UPPER(INDEX(P_Type,ROW()-4))))</f>
        <v/>
      </c>
      <c r="D4786">
        <f>IF(INDEX(L_Type,ROW()-4)="","",TRIM(UPPER(INDEX(L_Type,ROW()-4))))</f>
        <v/>
      </c>
      <c r="E4786">
        <f>IF(INDEX(P_Status,ROW()-4)="","",TRIM(UPPER(INDEX(P_Status,ROW()-4))))</f>
        <v/>
      </c>
      <c r="G4786">
        <f>IF(INDEX(L_Status,ROW()-4)="","",TRIM(UPPER(INDEX(L_Status,ROW()-4))))</f>
        <v/>
      </c>
      <c r="J4786">
        <f>IF(INDEX(L_ID,ROW()-4)="","",IF(SUMPRODUCT((P_ID=INDEX(L_ID,ROW()-4))*(P_StatusN="INACTIVE"))&gt;0,1,0))</f>
        <v/>
      </c>
    </row>
    <row r="4787">
      <c r="A4787">
        <f>IF(INDEX(L_ID,ROW()-4)="","",IF(COUNTIF(P_ID,INDEX(L_ID,ROW()-4))&gt;0,1,0))</f>
        <v/>
      </c>
      <c r="B4787">
        <f>IF(INDEX(P_Type,ROW()-4)="","",TRIM(UPPER(INDEX(P_Type,ROW()-4))))</f>
        <v/>
      </c>
      <c r="D4787">
        <f>IF(INDEX(L_Type,ROW()-4)="","",TRIM(UPPER(INDEX(L_Type,ROW()-4))))</f>
        <v/>
      </c>
      <c r="E4787">
        <f>IF(INDEX(P_Status,ROW()-4)="","",TRIM(UPPER(INDEX(P_Status,ROW()-4))))</f>
        <v/>
      </c>
      <c r="G4787">
        <f>IF(INDEX(L_Status,ROW()-4)="","",TRIM(UPPER(INDEX(L_Status,ROW()-4))))</f>
        <v/>
      </c>
      <c r="J4787">
        <f>IF(INDEX(L_ID,ROW()-4)="","",IF(SUMPRODUCT((P_ID=INDEX(L_ID,ROW()-4))*(P_StatusN="INACTIVE"))&gt;0,1,0))</f>
        <v/>
      </c>
    </row>
    <row r="4788">
      <c r="A4788">
        <f>IF(INDEX(L_ID,ROW()-4)="","",IF(COUNTIF(P_ID,INDEX(L_ID,ROW()-4))&gt;0,1,0))</f>
        <v/>
      </c>
      <c r="B4788">
        <f>IF(INDEX(P_Type,ROW()-4)="","",TRIM(UPPER(INDEX(P_Type,ROW()-4))))</f>
        <v/>
      </c>
      <c r="D4788">
        <f>IF(INDEX(L_Type,ROW()-4)="","",TRIM(UPPER(INDEX(L_Type,ROW()-4))))</f>
        <v/>
      </c>
      <c r="E4788">
        <f>IF(INDEX(P_Status,ROW()-4)="","",TRIM(UPPER(INDEX(P_Status,ROW()-4))))</f>
        <v/>
      </c>
      <c r="G4788">
        <f>IF(INDEX(L_Status,ROW()-4)="","",TRIM(UPPER(INDEX(L_Status,ROW()-4))))</f>
        <v/>
      </c>
      <c r="J4788">
        <f>IF(INDEX(L_ID,ROW()-4)="","",IF(SUMPRODUCT((P_ID=INDEX(L_ID,ROW()-4))*(P_StatusN="INACTIVE"))&gt;0,1,0))</f>
        <v/>
      </c>
    </row>
    <row r="4789">
      <c r="A4789">
        <f>IF(INDEX(L_ID,ROW()-4)="","",IF(COUNTIF(P_ID,INDEX(L_ID,ROW()-4))&gt;0,1,0))</f>
        <v/>
      </c>
      <c r="B4789">
        <f>IF(INDEX(P_Type,ROW()-4)="","",TRIM(UPPER(INDEX(P_Type,ROW()-4))))</f>
        <v/>
      </c>
      <c r="D4789">
        <f>IF(INDEX(L_Type,ROW()-4)="","",TRIM(UPPER(INDEX(L_Type,ROW()-4))))</f>
        <v/>
      </c>
      <c r="E4789">
        <f>IF(INDEX(P_Status,ROW()-4)="","",TRIM(UPPER(INDEX(P_Status,ROW()-4))))</f>
        <v/>
      </c>
      <c r="G4789">
        <f>IF(INDEX(L_Status,ROW()-4)="","",TRIM(UPPER(INDEX(L_Status,ROW()-4))))</f>
        <v/>
      </c>
      <c r="J4789">
        <f>IF(INDEX(L_ID,ROW()-4)="","",IF(SUMPRODUCT((P_ID=INDEX(L_ID,ROW()-4))*(P_StatusN="INACTIVE"))&gt;0,1,0))</f>
        <v/>
      </c>
    </row>
    <row r="4790">
      <c r="A4790">
        <f>IF(INDEX(L_ID,ROW()-4)="","",IF(COUNTIF(P_ID,INDEX(L_ID,ROW()-4))&gt;0,1,0))</f>
        <v/>
      </c>
      <c r="B4790">
        <f>IF(INDEX(P_Type,ROW()-4)="","",TRIM(UPPER(INDEX(P_Type,ROW()-4))))</f>
        <v/>
      </c>
      <c r="D4790">
        <f>IF(INDEX(L_Type,ROW()-4)="","",TRIM(UPPER(INDEX(L_Type,ROW()-4))))</f>
        <v/>
      </c>
      <c r="E4790">
        <f>IF(INDEX(P_Status,ROW()-4)="","",TRIM(UPPER(INDEX(P_Status,ROW()-4))))</f>
        <v/>
      </c>
      <c r="G4790">
        <f>IF(INDEX(L_Status,ROW()-4)="","",TRIM(UPPER(INDEX(L_Status,ROW()-4))))</f>
        <v/>
      </c>
      <c r="J4790">
        <f>IF(INDEX(L_ID,ROW()-4)="","",IF(SUMPRODUCT((P_ID=INDEX(L_ID,ROW()-4))*(P_StatusN="INACTIVE"))&gt;0,1,0))</f>
        <v/>
      </c>
    </row>
    <row r="4791">
      <c r="A4791">
        <f>IF(INDEX(L_ID,ROW()-4)="","",IF(COUNTIF(P_ID,INDEX(L_ID,ROW()-4))&gt;0,1,0))</f>
        <v/>
      </c>
      <c r="B4791">
        <f>IF(INDEX(P_Type,ROW()-4)="","",TRIM(UPPER(INDEX(P_Type,ROW()-4))))</f>
        <v/>
      </c>
      <c r="D4791">
        <f>IF(INDEX(L_Type,ROW()-4)="","",TRIM(UPPER(INDEX(L_Type,ROW()-4))))</f>
        <v/>
      </c>
      <c r="E4791">
        <f>IF(INDEX(P_Status,ROW()-4)="","",TRIM(UPPER(INDEX(P_Status,ROW()-4))))</f>
        <v/>
      </c>
      <c r="G4791">
        <f>IF(INDEX(L_Status,ROW()-4)="","",TRIM(UPPER(INDEX(L_Status,ROW()-4))))</f>
        <v/>
      </c>
      <c r="J4791">
        <f>IF(INDEX(L_ID,ROW()-4)="","",IF(SUMPRODUCT((P_ID=INDEX(L_ID,ROW()-4))*(P_StatusN="INACTIVE"))&gt;0,1,0))</f>
        <v/>
      </c>
    </row>
    <row r="4792">
      <c r="A4792">
        <f>IF(INDEX(L_ID,ROW()-4)="","",IF(COUNTIF(P_ID,INDEX(L_ID,ROW()-4))&gt;0,1,0))</f>
        <v/>
      </c>
      <c r="B4792">
        <f>IF(INDEX(P_Type,ROW()-4)="","",TRIM(UPPER(INDEX(P_Type,ROW()-4))))</f>
        <v/>
      </c>
      <c r="D4792">
        <f>IF(INDEX(L_Type,ROW()-4)="","",TRIM(UPPER(INDEX(L_Type,ROW()-4))))</f>
        <v/>
      </c>
      <c r="E4792">
        <f>IF(INDEX(P_Status,ROW()-4)="","",TRIM(UPPER(INDEX(P_Status,ROW()-4))))</f>
        <v/>
      </c>
      <c r="G4792">
        <f>IF(INDEX(L_Status,ROW()-4)="","",TRIM(UPPER(INDEX(L_Status,ROW()-4))))</f>
        <v/>
      </c>
      <c r="J4792">
        <f>IF(INDEX(L_ID,ROW()-4)="","",IF(SUMPRODUCT((P_ID=INDEX(L_ID,ROW()-4))*(P_StatusN="INACTIVE"))&gt;0,1,0))</f>
        <v/>
      </c>
    </row>
    <row r="4793">
      <c r="A4793">
        <f>IF(INDEX(L_ID,ROW()-4)="","",IF(COUNTIF(P_ID,INDEX(L_ID,ROW()-4))&gt;0,1,0))</f>
        <v/>
      </c>
      <c r="B4793">
        <f>IF(INDEX(P_Type,ROW()-4)="","",TRIM(UPPER(INDEX(P_Type,ROW()-4))))</f>
        <v/>
      </c>
      <c r="D4793">
        <f>IF(INDEX(L_Type,ROW()-4)="","",TRIM(UPPER(INDEX(L_Type,ROW()-4))))</f>
        <v/>
      </c>
      <c r="E4793">
        <f>IF(INDEX(P_Status,ROW()-4)="","",TRIM(UPPER(INDEX(P_Status,ROW()-4))))</f>
        <v/>
      </c>
      <c r="G4793">
        <f>IF(INDEX(L_Status,ROW()-4)="","",TRIM(UPPER(INDEX(L_Status,ROW()-4))))</f>
        <v/>
      </c>
      <c r="J4793">
        <f>IF(INDEX(L_ID,ROW()-4)="","",IF(SUMPRODUCT((P_ID=INDEX(L_ID,ROW()-4))*(P_StatusN="INACTIVE"))&gt;0,1,0))</f>
        <v/>
      </c>
    </row>
    <row r="4794">
      <c r="A4794">
        <f>IF(INDEX(L_ID,ROW()-4)="","",IF(COUNTIF(P_ID,INDEX(L_ID,ROW()-4))&gt;0,1,0))</f>
        <v/>
      </c>
      <c r="B4794">
        <f>IF(INDEX(P_Type,ROW()-4)="","",TRIM(UPPER(INDEX(P_Type,ROW()-4))))</f>
        <v/>
      </c>
      <c r="D4794">
        <f>IF(INDEX(L_Type,ROW()-4)="","",TRIM(UPPER(INDEX(L_Type,ROW()-4))))</f>
        <v/>
      </c>
      <c r="E4794">
        <f>IF(INDEX(P_Status,ROW()-4)="","",TRIM(UPPER(INDEX(P_Status,ROW()-4))))</f>
        <v/>
      </c>
      <c r="G4794">
        <f>IF(INDEX(L_Status,ROW()-4)="","",TRIM(UPPER(INDEX(L_Status,ROW()-4))))</f>
        <v/>
      </c>
      <c r="J4794">
        <f>IF(INDEX(L_ID,ROW()-4)="","",IF(SUMPRODUCT((P_ID=INDEX(L_ID,ROW()-4))*(P_StatusN="INACTIVE"))&gt;0,1,0))</f>
        <v/>
      </c>
    </row>
    <row r="4795">
      <c r="A4795">
        <f>IF(INDEX(L_ID,ROW()-4)="","",IF(COUNTIF(P_ID,INDEX(L_ID,ROW()-4))&gt;0,1,0))</f>
        <v/>
      </c>
      <c r="B4795">
        <f>IF(INDEX(P_Type,ROW()-4)="","",TRIM(UPPER(INDEX(P_Type,ROW()-4))))</f>
        <v/>
      </c>
      <c r="D4795">
        <f>IF(INDEX(L_Type,ROW()-4)="","",TRIM(UPPER(INDEX(L_Type,ROW()-4))))</f>
        <v/>
      </c>
      <c r="E4795">
        <f>IF(INDEX(P_Status,ROW()-4)="","",TRIM(UPPER(INDEX(P_Status,ROW()-4))))</f>
        <v/>
      </c>
      <c r="G4795">
        <f>IF(INDEX(L_Status,ROW()-4)="","",TRIM(UPPER(INDEX(L_Status,ROW()-4))))</f>
        <v/>
      </c>
      <c r="J4795">
        <f>IF(INDEX(L_ID,ROW()-4)="","",IF(SUMPRODUCT((P_ID=INDEX(L_ID,ROW()-4))*(P_StatusN="INACTIVE"))&gt;0,1,0))</f>
        <v/>
      </c>
    </row>
    <row r="4796">
      <c r="A4796">
        <f>IF(INDEX(L_ID,ROW()-4)="","",IF(COUNTIF(P_ID,INDEX(L_ID,ROW()-4))&gt;0,1,0))</f>
        <v/>
      </c>
      <c r="B4796">
        <f>IF(INDEX(P_Type,ROW()-4)="","",TRIM(UPPER(INDEX(P_Type,ROW()-4))))</f>
        <v/>
      </c>
      <c r="D4796">
        <f>IF(INDEX(L_Type,ROW()-4)="","",TRIM(UPPER(INDEX(L_Type,ROW()-4))))</f>
        <v/>
      </c>
      <c r="E4796">
        <f>IF(INDEX(P_Status,ROW()-4)="","",TRIM(UPPER(INDEX(P_Status,ROW()-4))))</f>
        <v/>
      </c>
      <c r="G4796">
        <f>IF(INDEX(L_Status,ROW()-4)="","",TRIM(UPPER(INDEX(L_Status,ROW()-4))))</f>
        <v/>
      </c>
      <c r="J4796">
        <f>IF(INDEX(L_ID,ROW()-4)="","",IF(SUMPRODUCT((P_ID=INDEX(L_ID,ROW()-4))*(P_StatusN="INACTIVE"))&gt;0,1,0))</f>
        <v/>
      </c>
    </row>
    <row r="4797">
      <c r="A4797">
        <f>IF(INDEX(L_ID,ROW()-4)="","",IF(COUNTIF(P_ID,INDEX(L_ID,ROW()-4))&gt;0,1,0))</f>
        <v/>
      </c>
      <c r="B4797">
        <f>IF(INDEX(P_Type,ROW()-4)="","",TRIM(UPPER(INDEX(P_Type,ROW()-4))))</f>
        <v/>
      </c>
      <c r="D4797">
        <f>IF(INDEX(L_Type,ROW()-4)="","",TRIM(UPPER(INDEX(L_Type,ROW()-4))))</f>
        <v/>
      </c>
      <c r="E4797">
        <f>IF(INDEX(P_Status,ROW()-4)="","",TRIM(UPPER(INDEX(P_Status,ROW()-4))))</f>
        <v/>
      </c>
      <c r="G4797">
        <f>IF(INDEX(L_Status,ROW()-4)="","",TRIM(UPPER(INDEX(L_Status,ROW()-4))))</f>
        <v/>
      </c>
      <c r="J4797">
        <f>IF(INDEX(L_ID,ROW()-4)="","",IF(SUMPRODUCT((P_ID=INDEX(L_ID,ROW()-4))*(P_StatusN="INACTIVE"))&gt;0,1,0))</f>
        <v/>
      </c>
    </row>
    <row r="4798">
      <c r="A4798">
        <f>IF(INDEX(L_ID,ROW()-4)="","",IF(COUNTIF(P_ID,INDEX(L_ID,ROW()-4))&gt;0,1,0))</f>
        <v/>
      </c>
      <c r="B4798">
        <f>IF(INDEX(P_Type,ROW()-4)="","",TRIM(UPPER(INDEX(P_Type,ROW()-4))))</f>
        <v/>
      </c>
      <c r="D4798">
        <f>IF(INDEX(L_Type,ROW()-4)="","",TRIM(UPPER(INDEX(L_Type,ROW()-4))))</f>
        <v/>
      </c>
      <c r="E4798">
        <f>IF(INDEX(P_Status,ROW()-4)="","",TRIM(UPPER(INDEX(P_Status,ROW()-4))))</f>
        <v/>
      </c>
      <c r="G4798">
        <f>IF(INDEX(L_Status,ROW()-4)="","",TRIM(UPPER(INDEX(L_Status,ROW()-4))))</f>
        <v/>
      </c>
      <c r="J4798">
        <f>IF(INDEX(L_ID,ROW()-4)="","",IF(SUMPRODUCT((P_ID=INDEX(L_ID,ROW()-4))*(P_StatusN="INACTIVE"))&gt;0,1,0))</f>
        <v/>
      </c>
    </row>
    <row r="4799">
      <c r="A4799">
        <f>IF(INDEX(L_ID,ROW()-4)="","",IF(COUNTIF(P_ID,INDEX(L_ID,ROW()-4))&gt;0,1,0))</f>
        <v/>
      </c>
      <c r="B4799">
        <f>IF(INDEX(P_Type,ROW()-4)="","",TRIM(UPPER(INDEX(P_Type,ROW()-4))))</f>
        <v/>
      </c>
      <c r="D4799">
        <f>IF(INDEX(L_Type,ROW()-4)="","",TRIM(UPPER(INDEX(L_Type,ROW()-4))))</f>
        <v/>
      </c>
      <c r="E4799">
        <f>IF(INDEX(P_Status,ROW()-4)="","",TRIM(UPPER(INDEX(P_Status,ROW()-4))))</f>
        <v/>
      </c>
      <c r="G4799">
        <f>IF(INDEX(L_Status,ROW()-4)="","",TRIM(UPPER(INDEX(L_Status,ROW()-4))))</f>
        <v/>
      </c>
      <c r="J4799">
        <f>IF(INDEX(L_ID,ROW()-4)="","",IF(SUMPRODUCT((P_ID=INDEX(L_ID,ROW()-4))*(P_StatusN="INACTIVE"))&gt;0,1,0))</f>
        <v/>
      </c>
    </row>
    <row r="4800">
      <c r="A4800">
        <f>IF(INDEX(L_ID,ROW()-4)="","",IF(COUNTIF(P_ID,INDEX(L_ID,ROW()-4))&gt;0,1,0))</f>
        <v/>
      </c>
      <c r="B4800">
        <f>IF(INDEX(P_Type,ROW()-4)="","",TRIM(UPPER(INDEX(P_Type,ROW()-4))))</f>
        <v/>
      </c>
      <c r="D4800">
        <f>IF(INDEX(L_Type,ROW()-4)="","",TRIM(UPPER(INDEX(L_Type,ROW()-4))))</f>
        <v/>
      </c>
      <c r="E4800">
        <f>IF(INDEX(P_Status,ROW()-4)="","",TRIM(UPPER(INDEX(P_Status,ROW()-4))))</f>
        <v/>
      </c>
      <c r="G4800">
        <f>IF(INDEX(L_Status,ROW()-4)="","",TRIM(UPPER(INDEX(L_Status,ROW()-4))))</f>
        <v/>
      </c>
      <c r="J4800">
        <f>IF(INDEX(L_ID,ROW()-4)="","",IF(SUMPRODUCT((P_ID=INDEX(L_ID,ROW()-4))*(P_StatusN="INACTIVE"))&gt;0,1,0))</f>
        <v/>
      </c>
    </row>
    <row r="4801">
      <c r="A4801">
        <f>IF(INDEX(L_ID,ROW()-4)="","",IF(COUNTIF(P_ID,INDEX(L_ID,ROW()-4))&gt;0,1,0))</f>
        <v/>
      </c>
      <c r="B4801">
        <f>IF(INDEX(P_Type,ROW()-4)="","",TRIM(UPPER(INDEX(P_Type,ROW()-4))))</f>
        <v/>
      </c>
      <c r="D4801">
        <f>IF(INDEX(L_Type,ROW()-4)="","",TRIM(UPPER(INDEX(L_Type,ROW()-4))))</f>
        <v/>
      </c>
      <c r="E4801">
        <f>IF(INDEX(P_Status,ROW()-4)="","",TRIM(UPPER(INDEX(P_Status,ROW()-4))))</f>
        <v/>
      </c>
      <c r="G4801">
        <f>IF(INDEX(L_Status,ROW()-4)="","",TRIM(UPPER(INDEX(L_Status,ROW()-4))))</f>
        <v/>
      </c>
      <c r="J4801">
        <f>IF(INDEX(L_ID,ROW()-4)="","",IF(SUMPRODUCT((P_ID=INDEX(L_ID,ROW()-4))*(P_StatusN="INACTIVE"))&gt;0,1,0))</f>
        <v/>
      </c>
    </row>
    <row r="4802">
      <c r="A4802">
        <f>IF(INDEX(L_ID,ROW()-4)="","",IF(COUNTIF(P_ID,INDEX(L_ID,ROW()-4))&gt;0,1,0))</f>
        <v/>
      </c>
      <c r="B4802">
        <f>IF(INDEX(P_Type,ROW()-4)="","",TRIM(UPPER(INDEX(P_Type,ROW()-4))))</f>
        <v/>
      </c>
      <c r="D4802">
        <f>IF(INDEX(L_Type,ROW()-4)="","",TRIM(UPPER(INDEX(L_Type,ROW()-4))))</f>
        <v/>
      </c>
      <c r="E4802">
        <f>IF(INDEX(P_Status,ROW()-4)="","",TRIM(UPPER(INDEX(P_Status,ROW()-4))))</f>
        <v/>
      </c>
      <c r="G4802">
        <f>IF(INDEX(L_Status,ROW()-4)="","",TRIM(UPPER(INDEX(L_Status,ROW()-4))))</f>
        <v/>
      </c>
      <c r="J4802">
        <f>IF(INDEX(L_ID,ROW()-4)="","",IF(SUMPRODUCT((P_ID=INDEX(L_ID,ROW()-4))*(P_StatusN="INACTIVE"))&gt;0,1,0))</f>
        <v/>
      </c>
    </row>
    <row r="4803">
      <c r="A4803">
        <f>IF(INDEX(L_ID,ROW()-4)="","",IF(COUNTIF(P_ID,INDEX(L_ID,ROW()-4))&gt;0,1,0))</f>
        <v/>
      </c>
      <c r="B4803">
        <f>IF(INDEX(P_Type,ROW()-4)="","",TRIM(UPPER(INDEX(P_Type,ROW()-4))))</f>
        <v/>
      </c>
      <c r="D4803">
        <f>IF(INDEX(L_Type,ROW()-4)="","",TRIM(UPPER(INDEX(L_Type,ROW()-4))))</f>
        <v/>
      </c>
      <c r="E4803">
        <f>IF(INDEX(P_Status,ROW()-4)="","",TRIM(UPPER(INDEX(P_Status,ROW()-4))))</f>
        <v/>
      </c>
      <c r="G4803">
        <f>IF(INDEX(L_Status,ROW()-4)="","",TRIM(UPPER(INDEX(L_Status,ROW()-4))))</f>
        <v/>
      </c>
      <c r="J4803">
        <f>IF(INDEX(L_ID,ROW()-4)="","",IF(SUMPRODUCT((P_ID=INDEX(L_ID,ROW()-4))*(P_StatusN="INACTIVE"))&gt;0,1,0))</f>
        <v/>
      </c>
    </row>
    <row r="4804">
      <c r="A4804">
        <f>IF(INDEX(L_ID,ROW()-4)="","",IF(COUNTIF(P_ID,INDEX(L_ID,ROW()-4))&gt;0,1,0))</f>
        <v/>
      </c>
      <c r="B4804">
        <f>IF(INDEX(P_Type,ROW()-4)="","",TRIM(UPPER(INDEX(P_Type,ROW()-4))))</f>
        <v/>
      </c>
      <c r="D4804">
        <f>IF(INDEX(L_Type,ROW()-4)="","",TRIM(UPPER(INDEX(L_Type,ROW()-4))))</f>
        <v/>
      </c>
      <c r="E4804">
        <f>IF(INDEX(P_Status,ROW()-4)="","",TRIM(UPPER(INDEX(P_Status,ROW()-4))))</f>
        <v/>
      </c>
      <c r="G4804">
        <f>IF(INDEX(L_Status,ROW()-4)="","",TRIM(UPPER(INDEX(L_Status,ROW()-4))))</f>
        <v/>
      </c>
      <c r="J4804">
        <f>IF(INDEX(L_ID,ROW()-4)="","",IF(SUMPRODUCT((P_ID=INDEX(L_ID,ROW()-4))*(P_StatusN="INACTIVE"))&gt;0,1,0))</f>
        <v/>
      </c>
    </row>
    <row r="4805">
      <c r="A4805">
        <f>IF(INDEX(L_ID,ROW()-4)="","",IF(COUNTIF(P_ID,INDEX(L_ID,ROW()-4))&gt;0,1,0))</f>
        <v/>
      </c>
      <c r="B4805">
        <f>IF(INDEX(P_Type,ROW()-4)="","",TRIM(UPPER(INDEX(P_Type,ROW()-4))))</f>
        <v/>
      </c>
      <c r="D4805">
        <f>IF(INDEX(L_Type,ROW()-4)="","",TRIM(UPPER(INDEX(L_Type,ROW()-4))))</f>
        <v/>
      </c>
      <c r="E4805">
        <f>IF(INDEX(P_Status,ROW()-4)="","",TRIM(UPPER(INDEX(P_Status,ROW()-4))))</f>
        <v/>
      </c>
      <c r="G4805">
        <f>IF(INDEX(L_Status,ROW()-4)="","",TRIM(UPPER(INDEX(L_Status,ROW()-4))))</f>
        <v/>
      </c>
      <c r="J4805">
        <f>IF(INDEX(L_ID,ROW()-4)="","",IF(SUMPRODUCT((P_ID=INDEX(L_ID,ROW()-4))*(P_StatusN="INACTIVE"))&gt;0,1,0))</f>
        <v/>
      </c>
    </row>
    <row r="4806">
      <c r="A4806">
        <f>IF(INDEX(L_ID,ROW()-4)="","",IF(COUNTIF(P_ID,INDEX(L_ID,ROW()-4))&gt;0,1,0))</f>
        <v/>
      </c>
      <c r="B4806">
        <f>IF(INDEX(P_Type,ROW()-4)="","",TRIM(UPPER(INDEX(P_Type,ROW()-4))))</f>
        <v/>
      </c>
      <c r="D4806">
        <f>IF(INDEX(L_Type,ROW()-4)="","",TRIM(UPPER(INDEX(L_Type,ROW()-4))))</f>
        <v/>
      </c>
      <c r="E4806">
        <f>IF(INDEX(P_Status,ROW()-4)="","",TRIM(UPPER(INDEX(P_Status,ROW()-4))))</f>
        <v/>
      </c>
      <c r="G4806">
        <f>IF(INDEX(L_Status,ROW()-4)="","",TRIM(UPPER(INDEX(L_Status,ROW()-4))))</f>
        <v/>
      </c>
      <c r="J4806">
        <f>IF(INDEX(L_ID,ROW()-4)="","",IF(SUMPRODUCT((P_ID=INDEX(L_ID,ROW()-4))*(P_StatusN="INACTIVE"))&gt;0,1,0))</f>
        <v/>
      </c>
    </row>
    <row r="4807">
      <c r="A4807">
        <f>IF(INDEX(L_ID,ROW()-4)="","",IF(COUNTIF(P_ID,INDEX(L_ID,ROW()-4))&gt;0,1,0))</f>
        <v/>
      </c>
      <c r="B4807">
        <f>IF(INDEX(P_Type,ROW()-4)="","",TRIM(UPPER(INDEX(P_Type,ROW()-4))))</f>
        <v/>
      </c>
      <c r="D4807">
        <f>IF(INDEX(L_Type,ROW()-4)="","",TRIM(UPPER(INDEX(L_Type,ROW()-4))))</f>
        <v/>
      </c>
      <c r="E4807">
        <f>IF(INDEX(P_Status,ROW()-4)="","",TRIM(UPPER(INDEX(P_Status,ROW()-4))))</f>
        <v/>
      </c>
      <c r="G4807">
        <f>IF(INDEX(L_Status,ROW()-4)="","",TRIM(UPPER(INDEX(L_Status,ROW()-4))))</f>
        <v/>
      </c>
      <c r="J4807">
        <f>IF(INDEX(L_ID,ROW()-4)="","",IF(SUMPRODUCT((P_ID=INDEX(L_ID,ROW()-4))*(P_StatusN="INACTIVE"))&gt;0,1,0))</f>
        <v/>
      </c>
    </row>
    <row r="4808">
      <c r="A4808">
        <f>IF(INDEX(L_ID,ROW()-4)="","",IF(COUNTIF(P_ID,INDEX(L_ID,ROW()-4))&gt;0,1,0))</f>
        <v/>
      </c>
      <c r="B4808">
        <f>IF(INDEX(P_Type,ROW()-4)="","",TRIM(UPPER(INDEX(P_Type,ROW()-4))))</f>
        <v/>
      </c>
      <c r="D4808">
        <f>IF(INDEX(L_Type,ROW()-4)="","",TRIM(UPPER(INDEX(L_Type,ROW()-4))))</f>
        <v/>
      </c>
      <c r="E4808">
        <f>IF(INDEX(P_Status,ROW()-4)="","",TRIM(UPPER(INDEX(P_Status,ROW()-4))))</f>
        <v/>
      </c>
      <c r="G4808">
        <f>IF(INDEX(L_Status,ROW()-4)="","",TRIM(UPPER(INDEX(L_Status,ROW()-4))))</f>
        <v/>
      </c>
      <c r="J4808">
        <f>IF(INDEX(L_ID,ROW()-4)="","",IF(SUMPRODUCT((P_ID=INDEX(L_ID,ROW()-4))*(P_StatusN="INACTIVE"))&gt;0,1,0))</f>
        <v/>
      </c>
    </row>
    <row r="4809">
      <c r="A4809">
        <f>IF(INDEX(L_ID,ROW()-4)="","",IF(COUNTIF(P_ID,INDEX(L_ID,ROW()-4))&gt;0,1,0))</f>
        <v/>
      </c>
      <c r="B4809">
        <f>IF(INDEX(P_Type,ROW()-4)="","",TRIM(UPPER(INDEX(P_Type,ROW()-4))))</f>
        <v/>
      </c>
      <c r="D4809">
        <f>IF(INDEX(L_Type,ROW()-4)="","",TRIM(UPPER(INDEX(L_Type,ROW()-4))))</f>
        <v/>
      </c>
      <c r="E4809">
        <f>IF(INDEX(P_Status,ROW()-4)="","",TRIM(UPPER(INDEX(P_Status,ROW()-4))))</f>
        <v/>
      </c>
      <c r="G4809">
        <f>IF(INDEX(L_Status,ROW()-4)="","",TRIM(UPPER(INDEX(L_Status,ROW()-4))))</f>
        <v/>
      </c>
      <c r="J4809">
        <f>IF(INDEX(L_ID,ROW()-4)="","",IF(SUMPRODUCT((P_ID=INDEX(L_ID,ROW()-4))*(P_StatusN="INACTIVE"))&gt;0,1,0))</f>
        <v/>
      </c>
    </row>
    <row r="4810">
      <c r="A4810">
        <f>IF(INDEX(L_ID,ROW()-4)="","",IF(COUNTIF(P_ID,INDEX(L_ID,ROW()-4))&gt;0,1,0))</f>
        <v/>
      </c>
      <c r="B4810">
        <f>IF(INDEX(P_Type,ROW()-4)="","",TRIM(UPPER(INDEX(P_Type,ROW()-4))))</f>
        <v/>
      </c>
      <c r="D4810">
        <f>IF(INDEX(L_Type,ROW()-4)="","",TRIM(UPPER(INDEX(L_Type,ROW()-4))))</f>
        <v/>
      </c>
      <c r="E4810">
        <f>IF(INDEX(P_Status,ROW()-4)="","",TRIM(UPPER(INDEX(P_Status,ROW()-4))))</f>
        <v/>
      </c>
      <c r="G4810">
        <f>IF(INDEX(L_Status,ROW()-4)="","",TRIM(UPPER(INDEX(L_Status,ROW()-4))))</f>
        <v/>
      </c>
      <c r="J4810">
        <f>IF(INDEX(L_ID,ROW()-4)="","",IF(SUMPRODUCT((P_ID=INDEX(L_ID,ROW()-4))*(P_StatusN="INACTIVE"))&gt;0,1,0))</f>
        <v/>
      </c>
    </row>
    <row r="4811">
      <c r="A4811">
        <f>IF(INDEX(L_ID,ROW()-4)="","",IF(COUNTIF(P_ID,INDEX(L_ID,ROW()-4))&gt;0,1,0))</f>
        <v/>
      </c>
      <c r="B4811">
        <f>IF(INDEX(P_Type,ROW()-4)="","",TRIM(UPPER(INDEX(P_Type,ROW()-4))))</f>
        <v/>
      </c>
      <c r="D4811">
        <f>IF(INDEX(L_Type,ROW()-4)="","",TRIM(UPPER(INDEX(L_Type,ROW()-4))))</f>
        <v/>
      </c>
      <c r="E4811">
        <f>IF(INDEX(P_Status,ROW()-4)="","",TRIM(UPPER(INDEX(P_Status,ROW()-4))))</f>
        <v/>
      </c>
      <c r="G4811">
        <f>IF(INDEX(L_Status,ROW()-4)="","",TRIM(UPPER(INDEX(L_Status,ROW()-4))))</f>
        <v/>
      </c>
      <c r="J4811">
        <f>IF(INDEX(L_ID,ROW()-4)="","",IF(SUMPRODUCT((P_ID=INDEX(L_ID,ROW()-4))*(P_StatusN="INACTIVE"))&gt;0,1,0))</f>
        <v/>
      </c>
    </row>
    <row r="4812">
      <c r="A4812">
        <f>IF(INDEX(L_ID,ROW()-4)="","",IF(COUNTIF(P_ID,INDEX(L_ID,ROW()-4))&gt;0,1,0))</f>
        <v/>
      </c>
      <c r="B4812">
        <f>IF(INDEX(P_Type,ROW()-4)="","",TRIM(UPPER(INDEX(P_Type,ROW()-4))))</f>
        <v/>
      </c>
      <c r="D4812">
        <f>IF(INDEX(L_Type,ROW()-4)="","",TRIM(UPPER(INDEX(L_Type,ROW()-4))))</f>
        <v/>
      </c>
      <c r="E4812">
        <f>IF(INDEX(P_Status,ROW()-4)="","",TRIM(UPPER(INDEX(P_Status,ROW()-4))))</f>
        <v/>
      </c>
      <c r="G4812">
        <f>IF(INDEX(L_Status,ROW()-4)="","",TRIM(UPPER(INDEX(L_Status,ROW()-4))))</f>
        <v/>
      </c>
      <c r="J4812">
        <f>IF(INDEX(L_ID,ROW()-4)="","",IF(SUMPRODUCT((P_ID=INDEX(L_ID,ROW()-4))*(P_StatusN="INACTIVE"))&gt;0,1,0))</f>
        <v/>
      </c>
    </row>
    <row r="4813">
      <c r="A4813">
        <f>IF(INDEX(L_ID,ROW()-4)="","",IF(COUNTIF(P_ID,INDEX(L_ID,ROW()-4))&gt;0,1,0))</f>
        <v/>
      </c>
      <c r="B4813">
        <f>IF(INDEX(P_Type,ROW()-4)="","",TRIM(UPPER(INDEX(P_Type,ROW()-4))))</f>
        <v/>
      </c>
      <c r="D4813">
        <f>IF(INDEX(L_Type,ROW()-4)="","",TRIM(UPPER(INDEX(L_Type,ROW()-4))))</f>
        <v/>
      </c>
      <c r="E4813">
        <f>IF(INDEX(P_Status,ROW()-4)="","",TRIM(UPPER(INDEX(P_Status,ROW()-4))))</f>
        <v/>
      </c>
      <c r="G4813">
        <f>IF(INDEX(L_Status,ROW()-4)="","",TRIM(UPPER(INDEX(L_Status,ROW()-4))))</f>
        <v/>
      </c>
      <c r="J4813">
        <f>IF(INDEX(L_ID,ROW()-4)="","",IF(SUMPRODUCT((P_ID=INDEX(L_ID,ROW()-4))*(P_StatusN="INACTIVE"))&gt;0,1,0))</f>
        <v/>
      </c>
    </row>
    <row r="4814">
      <c r="A4814">
        <f>IF(INDEX(L_ID,ROW()-4)="","",IF(COUNTIF(P_ID,INDEX(L_ID,ROW()-4))&gt;0,1,0))</f>
        <v/>
      </c>
      <c r="B4814">
        <f>IF(INDEX(P_Type,ROW()-4)="","",TRIM(UPPER(INDEX(P_Type,ROW()-4))))</f>
        <v/>
      </c>
      <c r="D4814">
        <f>IF(INDEX(L_Type,ROW()-4)="","",TRIM(UPPER(INDEX(L_Type,ROW()-4))))</f>
        <v/>
      </c>
      <c r="E4814">
        <f>IF(INDEX(P_Status,ROW()-4)="","",TRIM(UPPER(INDEX(P_Status,ROW()-4))))</f>
        <v/>
      </c>
      <c r="G4814">
        <f>IF(INDEX(L_Status,ROW()-4)="","",TRIM(UPPER(INDEX(L_Status,ROW()-4))))</f>
        <v/>
      </c>
      <c r="J4814">
        <f>IF(INDEX(L_ID,ROW()-4)="","",IF(SUMPRODUCT((P_ID=INDEX(L_ID,ROW()-4))*(P_StatusN="INACTIVE"))&gt;0,1,0))</f>
        <v/>
      </c>
    </row>
    <row r="4815">
      <c r="A4815">
        <f>IF(INDEX(L_ID,ROW()-4)="","",IF(COUNTIF(P_ID,INDEX(L_ID,ROW()-4))&gt;0,1,0))</f>
        <v/>
      </c>
      <c r="B4815">
        <f>IF(INDEX(P_Type,ROW()-4)="","",TRIM(UPPER(INDEX(P_Type,ROW()-4))))</f>
        <v/>
      </c>
      <c r="D4815">
        <f>IF(INDEX(L_Type,ROW()-4)="","",TRIM(UPPER(INDEX(L_Type,ROW()-4))))</f>
        <v/>
      </c>
      <c r="E4815">
        <f>IF(INDEX(P_Status,ROW()-4)="","",TRIM(UPPER(INDEX(P_Status,ROW()-4))))</f>
        <v/>
      </c>
      <c r="G4815">
        <f>IF(INDEX(L_Status,ROW()-4)="","",TRIM(UPPER(INDEX(L_Status,ROW()-4))))</f>
        <v/>
      </c>
      <c r="J4815">
        <f>IF(INDEX(L_ID,ROW()-4)="","",IF(SUMPRODUCT((P_ID=INDEX(L_ID,ROW()-4))*(P_StatusN="INACTIVE"))&gt;0,1,0))</f>
        <v/>
      </c>
    </row>
    <row r="4816">
      <c r="A4816">
        <f>IF(INDEX(L_ID,ROW()-4)="","",IF(COUNTIF(P_ID,INDEX(L_ID,ROW()-4))&gt;0,1,0))</f>
        <v/>
      </c>
      <c r="B4816">
        <f>IF(INDEX(P_Type,ROW()-4)="","",TRIM(UPPER(INDEX(P_Type,ROW()-4))))</f>
        <v/>
      </c>
      <c r="D4816">
        <f>IF(INDEX(L_Type,ROW()-4)="","",TRIM(UPPER(INDEX(L_Type,ROW()-4))))</f>
        <v/>
      </c>
      <c r="E4816">
        <f>IF(INDEX(P_Status,ROW()-4)="","",TRIM(UPPER(INDEX(P_Status,ROW()-4))))</f>
        <v/>
      </c>
      <c r="G4816">
        <f>IF(INDEX(L_Status,ROW()-4)="","",TRIM(UPPER(INDEX(L_Status,ROW()-4))))</f>
        <v/>
      </c>
      <c r="J4816">
        <f>IF(INDEX(L_ID,ROW()-4)="","",IF(SUMPRODUCT((P_ID=INDEX(L_ID,ROW()-4))*(P_StatusN="INACTIVE"))&gt;0,1,0))</f>
        <v/>
      </c>
    </row>
    <row r="4817">
      <c r="A4817">
        <f>IF(INDEX(L_ID,ROW()-4)="","",IF(COUNTIF(P_ID,INDEX(L_ID,ROW()-4))&gt;0,1,0))</f>
        <v/>
      </c>
      <c r="B4817">
        <f>IF(INDEX(P_Type,ROW()-4)="","",TRIM(UPPER(INDEX(P_Type,ROW()-4))))</f>
        <v/>
      </c>
      <c r="D4817">
        <f>IF(INDEX(L_Type,ROW()-4)="","",TRIM(UPPER(INDEX(L_Type,ROW()-4))))</f>
        <v/>
      </c>
      <c r="E4817">
        <f>IF(INDEX(P_Status,ROW()-4)="","",TRIM(UPPER(INDEX(P_Status,ROW()-4))))</f>
        <v/>
      </c>
      <c r="G4817">
        <f>IF(INDEX(L_Status,ROW()-4)="","",TRIM(UPPER(INDEX(L_Status,ROW()-4))))</f>
        <v/>
      </c>
      <c r="J4817">
        <f>IF(INDEX(L_ID,ROW()-4)="","",IF(SUMPRODUCT((P_ID=INDEX(L_ID,ROW()-4))*(P_StatusN="INACTIVE"))&gt;0,1,0))</f>
        <v/>
      </c>
    </row>
    <row r="4818">
      <c r="A4818">
        <f>IF(INDEX(L_ID,ROW()-4)="","",IF(COUNTIF(P_ID,INDEX(L_ID,ROW()-4))&gt;0,1,0))</f>
        <v/>
      </c>
      <c r="B4818">
        <f>IF(INDEX(P_Type,ROW()-4)="","",TRIM(UPPER(INDEX(P_Type,ROW()-4))))</f>
        <v/>
      </c>
      <c r="D4818">
        <f>IF(INDEX(L_Type,ROW()-4)="","",TRIM(UPPER(INDEX(L_Type,ROW()-4))))</f>
        <v/>
      </c>
      <c r="E4818">
        <f>IF(INDEX(P_Status,ROW()-4)="","",TRIM(UPPER(INDEX(P_Status,ROW()-4))))</f>
        <v/>
      </c>
      <c r="G4818">
        <f>IF(INDEX(L_Status,ROW()-4)="","",TRIM(UPPER(INDEX(L_Status,ROW()-4))))</f>
        <v/>
      </c>
      <c r="J4818">
        <f>IF(INDEX(L_ID,ROW()-4)="","",IF(SUMPRODUCT((P_ID=INDEX(L_ID,ROW()-4))*(P_StatusN="INACTIVE"))&gt;0,1,0))</f>
        <v/>
      </c>
    </row>
    <row r="4819">
      <c r="A4819">
        <f>IF(INDEX(L_ID,ROW()-4)="","",IF(COUNTIF(P_ID,INDEX(L_ID,ROW()-4))&gt;0,1,0))</f>
        <v/>
      </c>
      <c r="B4819">
        <f>IF(INDEX(P_Type,ROW()-4)="","",TRIM(UPPER(INDEX(P_Type,ROW()-4))))</f>
        <v/>
      </c>
      <c r="D4819">
        <f>IF(INDEX(L_Type,ROW()-4)="","",TRIM(UPPER(INDEX(L_Type,ROW()-4))))</f>
        <v/>
      </c>
      <c r="E4819">
        <f>IF(INDEX(P_Status,ROW()-4)="","",TRIM(UPPER(INDEX(P_Status,ROW()-4))))</f>
        <v/>
      </c>
      <c r="G4819">
        <f>IF(INDEX(L_Status,ROW()-4)="","",TRIM(UPPER(INDEX(L_Status,ROW()-4))))</f>
        <v/>
      </c>
      <c r="J4819">
        <f>IF(INDEX(L_ID,ROW()-4)="","",IF(SUMPRODUCT((P_ID=INDEX(L_ID,ROW()-4))*(P_StatusN="INACTIVE"))&gt;0,1,0))</f>
        <v/>
      </c>
    </row>
    <row r="4820">
      <c r="A4820">
        <f>IF(INDEX(L_ID,ROW()-4)="","",IF(COUNTIF(P_ID,INDEX(L_ID,ROW()-4))&gt;0,1,0))</f>
        <v/>
      </c>
      <c r="B4820">
        <f>IF(INDEX(P_Type,ROW()-4)="","",TRIM(UPPER(INDEX(P_Type,ROW()-4))))</f>
        <v/>
      </c>
      <c r="D4820">
        <f>IF(INDEX(L_Type,ROW()-4)="","",TRIM(UPPER(INDEX(L_Type,ROW()-4))))</f>
        <v/>
      </c>
      <c r="E4820">
        <f>IF(INDEX(P_Status,ROW()-4)="","",TRIM(UPPER(INDEX(P_Status,ROW()-4))))</f>
        <v/>
      </c>
      <c r="G4820">
        <f>IF(INDEX(L_Status,ROW()-4)="","",TRIM(UPPER(INDEX(L_Status,ROW()-4))))</f>
        <v/>
      </c>
      <c r="J4820">
        <f>IF(INDEX(L_ID,ROW()-4)="","",IF(SUMPRODUCT((P_ID=INDEX(L_ID,ROW()-4))*(P_StatusN="INACTIVE"))&gt;0,1,0))</f>
        <v/>
      </c>
    </row>
    <row r="4821">
      <c r="A4821">
        <f>IF(INDEX(L_ID,ROW()-4)="","",IF(COUNTIF(P_ID,INDEX(L_ID,ROW()-4))&gt;0,1,0))</f>
        <v/>
      </c>
      <c r="B4821">
        <f>IF(INDEX(P_Type,ROW()-4)="","",TRIM(UPPER(INDEX(P_Type,ROW()-4))))</f>
        <v/>
      </c>
      <c r="D4821">
        <f>IF(INDEX(L_Type,ROW()-4)="","",TRIM(UPPER(INDEX(L_Type,ROW()-4))))</f>
        <v/>
      </c>
      <c r="E4821">
        <f>IF(INDEX(P_Status,ROW()-4)="","",TRIM(UPPER(INDEX(P_Status,ROW()-4))))</f>
        <v/>
      </c>
      <c r="G4821">
        <f>IF(INDEX(L_Status,ROW()-4)="","",TRIM(UPPER(INDEX(L_Status,ROW()-4))))</f>
        <v/>
      </c>
      <c r="J4821">
        <f>IF(INDEX(L_ID,ROW()-4)="","",IF(SUMPRODUCT((P_ID=INDEX(L_ID,ROW()-4))*(P_StatusN="INACTIVE"))&gt;0,1,0))</f>
        <v/>
      </c>
    </row>
    <row r="4822">
      <c r="A4822">
        <f>IF(INDEX(L_ID,ROW()-4)="","",IF(COUNTIF(P_ID,INDEX(L_ID,ROW()-4))&gt;0,1,0))</f>
        <v/>
      </c>
      <c r="B4822">
        <f>IF(INDEX(P_Type,ROW()-4)="","",TRIM(UPPER(INDEX(P_Type,ROW()-4))))</f>
        <v/>
      </c>
      <c r="D4822">
        <f>IF(INDEX(L_Type,ROW()-4)="","",TRIM(UPPER(INDEX(L_Type,ROW()-4))))</f>
        <v/>
      </c>
      <c r="E4822">
        <f>IF(INDEX(P_Status,ROW()-4)="","",TRIM(UPPER(INDEX(P_Status,ROW()-4))))</f>
        <v/>
      </c>
      <c r="G4822">
        <f>IF(INDEX(L_Status,ROW()-4)="","",TRIM(UPPER(INDEX(L_Status,ROW()-4))))</f>
        <v/>
      </c>
      <c r="J4822">
        <f>IF(INDEX(L_ID,ROW()-4)="","",IF(SUMPRODUCT((P_ID=INDEX(L_ID,ROW()-4))*(P_StatusN="INACTIVE"))&gt;0,1,0))</f>
        <v/>
      </c>
    </row>
    <row r="4823">
      <c r="A4823">
        <f>IF(INDEX(L_ID,ROW()-4)="","",IF(COUNTIF(P_ID,INDEX(L_ID,ROW()-4))&gt;0,1,0))</f>
        <v/>
      </c>
      <c r="B4823">
        <f>IF(INDEX(P_Type,ROW()-4)="","",TRIM(UPPER(INDEX(P_Type,ROW()-4))))</f>
        <v/>
      </c>
      <c r="D4823">
        <f>IF(INDEX(L_Type,ROW()-4)="","",TRIM(UPPER(INDEX(L_Type,ROW()-4))))</f>
        <v/>
      </c>
      <c r="E4823">
        <f>IF(INDEX(P_Status,ROW()-4)="","",TRIM(UPPER(INDEX(P_Status,ROW()-4))))</f>
        <v/>
      </c>
      <c r="G4823">
        <f>IF(INDEX(L_Status,ROW()-4)="","",TRIM(UPPER(INDEX(L_Status,ROW()-4))))</f>
        <v/>
      </c>
      <c r="J4823">
        <f>IF(INDEX(L_ID,ROW()-4)="","",IF(SUMPRODUCT((P_ID=INDEX(L_ID,ROW()-4))*(P_StatusN="INACTIVE"))&gt;0,1,0))</f>
        <v/>
      </c>
    </row>
    <row r="4824">
      <c r="A4824">
        <f>IF(INDEX(L_ID,ROW()-4)="","",IF(COUNTIF(P_ID,INDEX(L_ID,ROW()-4))&gt;0,1,0))</f>
        <v/>
      </c>
      <c r="B4824">
        <f>IF(INDEX(P_Type,ROW()-4)="","",TRIM(UPPER(INDEX(P_Type,ROW()-4))))</f>
        <v/>
      </c>
      <c r="D4824">
        <f>IF(INDEX(L_Type,ROW()-4)="","",TRIM(UPPER(INDEX(L_Type,ROW()-4))))</f>
        <v/>
      </c>
      <c r="E4824">
        <f>IF(INDEX(P_Status,ROW()-4)="","",TRIM(UPPER(INDEX(P_Status,ROW()-4))))</f>
        <v/>
      </c>
      <c r="G4824">
        <f>IF(INDEX(L_Status,ROW()-4)="","",TRIM(UPPER(INDEX(L_Status,ROW()-4))))</f>
        <v/>
      </c>
      <c r="J4824">
        <f>IF(INDEX(L_ID,ROW()-4)="","",IF(SUMPRODUCT((P_ID=INDEX(L_ID,ROW()-4))*(P_StatusN="INACTIVE"))&gt;0,1,0))</f>
        <v/>
      </c>
    </row>
    <row r="4825">
      <c r="A4825">
        <f>IF(INDEX(L_ID,ROW()-4)="","",IF(COUNTIF(P_ID,INDEX(L_ID,ROW()-4))&gt;0,1,0))</f>
        <v/>
      </c>
      <c r="B4825">
        <f>IF(INDEX(P_Type,ROW()-4)="","",TRIM(UPPER(INDEX(P_Type,ROW()-4))))</f>
        <v/>
      </c>
      <c r="D4825">
        <f>IF(INDEX(L_Type,ROW()-4)="","",TRIM(UPPER(INDEX(L_Type,ROW()-4))))</f>
        <v/>
      </c>
      <c r="E4825">
        <f>IF(INDEX(P_Status,ROW()-4)="","",TRIM(UPPER(INDEX(P_Status,ROW()-4))))</f>
        <v/>
      </c>
      <c r="G4825">
        <f>IF(INDEX(L_Status,ROW()-4)="","",TRIM(UPPER(INDEX(L_Status,ROW()-4))))</f>
        <v/>
      </c>
      <c r="J4825">
        <f>IF(INDEX(L_ID,ROW()-4)="","",IF(SUMPRODUCT((P_ID=INDEX(L_ID,ROW()-4))*(P_StatusN="INACTIVE"))&gt;0,1,0))</f>
        <v/>
      </c>
    </row>
    <row r="4826">
      <c r="A4826">
        <f>IF(INDEX(L_ID,ROW()-4)="","",IF(COUNTIF(P_ID,INDEX(L_ID,ROW()-4))&gt;0,1,0))</f>
        <v/>
      </c>
      <c r="B4826">
        <f>IF(INDEX(P_Type,ROW()-4)="","",TRIM(UPPER(INDEX(P_Type,ROW()-4))))</f>
        <v/>
      </c>
      <c r="D4826">
        <f>IF(INDEX(L_Type,ROW()-4)="","",TRIM(UPPER(INDEX(L_Type,ROW()-4))))</f>
        <v/>
      </c>
      <c r="E4826">
        <f>IF(INDEX(P_Status,ROW()-4)="","",TRIM(UPPER(INDEX(P_Status,ROW()-4))))</f>
        <v/>
      </c>
      <c r="G4826">
        <f>IF(INDEX(L_Status,ROW()-4)="","",TRIM(UPPER(INDEX(L_Status,ROW()-4))))</f>
        <v/>
      </c>
      <c r="J4826">
        <f>IF(INDEX(L_ID,ROW()-4)="","",IF(SUMPRODUCT((P_ID=INDEX(L_ID,ROW()-4))*(P_StatusN="INACTIVE"))&gt;0,1,0))</f>
        <v/>
      </c>
    </row>
    <row r="4827">
      <c r="A4827">
        <f>IF(INDEX(L_ID,ROW()-4)="","",IF(COUNTIF(P_ID,INDEX(L_ID,ROW()-4))&gt;0,1,0))</f>
        <v/>
      </c>
      <c r="B4827">
        <f>IF(INDEX(P_Type,ROW()-4)="","",TRIM(UPPER(INDEX(P_Type,ROW()-4))))</f>
        <v/>
      </c>
      <c r="D4827">
        <f>IF(INDEX(L_Type,ROW()-4)="","",TRIM(UPPER(INDEX(L_Type,ROW()-4))))</f>
        <v/>
      </c>
      <c r="E4827">
        <f>IF(INDEX(P_Status,ROW()-4)="","",TRIM(UPPER(INDEX(P_Status,ROW()-4))))</f>
        <v/>
      </c>
      <c r="G4827">
        <f>IF(INDEX(L_Status,ROW()-4)="","",TRIM(UPPER(INDEX(L_Status,ROW()-4))))</f>
        <v/>
      </c>
      <c r="J4827">
        <f>IF(INDEX(L_ID,ROW()-4)="","",IF(SUMPRODUCT((P_ID=INDEX(L_ID,ROW()-4))*(P_StatusN="INACTIVE"))&gt;0,1,0))</f>
        <v/>
      </c>
    </row>
    <row r="4828">
      <c r="A4828">
        <f>IF(INDEX(L_ID,ROW()-4)="","",IF(COUNTIF(P_ID,INDEX(L_ID,ROW()-4))&gt;0,1,0))</f>
        <v/>
      </c>
      <c r="B4828">
        <f>IF(INDEX(P_Type,ROW()-4)="","",TRIM(UPPER(INDEX(P_Type,ROW()-4))))</f>
        <v/>
      </c>
      <c r="D4828">
        <f>IF(INDEX(L_Type,ROW()-4)="","",TRIM(UPPER(INDEX(L_Type,ROW()-4))))</f>
        <v/>
      </c>
      <c r="E4828">
        <f>IF(INDEX(P_Status,ROW()-4)="","",TRIM(UPPER(INDEX(P_Status,ROW()-4))))</f>
        <v/>
      </c>
      <c r="G4828">
        <f>IF(INDEX(L_Status,ROW()-4)="","",TRIM(UPPER(INDEX(L_Status,ROW()-4))))</f>
        <v/>
      </c>
      <c r="J4828">
        <f>IF(INDEX(L_ID,ROW()-4)="","",IF(SUMPRODUCT((P_ID=INDEX(L_ID,ROW()-4))*(P_StatusN="INACTIVE"))&gt;0,1,0))</f>
        <v/>
      </c>
    </row>
    <row r="4829">
      <c r="A4829">
        <f>IF(INDEX(L_ID,ROW()-4)="","",IF(COUNTIF(P_ID,INDEX(L_ID,ROW()-4))&gt;0,1,0))</f>
        <v/>
      </c>
      <c r="B4829">
        <f>IF(INDEX(P_Type,ROW()-4)="","",TRIM(UPPER(INDEX(P_Type,ROW()-4))))</f>
        <v/>
      </c>
      <c r="D4829">
        <f>IF(INDEX(L_Type,ROW()-4)="","",TRIM(UPPER(INDEX(L_Type,ROW()-4))))</f>
        <v/>
      </c>
      <c r="E4829">
        <f>IF(INDEX(P_Status,ROW()-4)="","",TRIM(UPPER(INDEX(P_Status,ROW()-4))))</f>
        <v/>
      </c>
      <c r="G4829">
        <f>IF(INDEX(L_Status,ROW()-4)="","",TRIM(UPPER(INDEX(L_Status,ROW()-4))))</f>
        <v/>
      </c>
      <c r="J4829">
        <f>IF(INDEX(L_ID,ROW()-4)="","",IF(SUMPRODUCT((P_ID=INDEX(L_ID,ROW()-4))*(P_StatusN="INACTIVE"))&gt;0,1,0))</f>
        <v/>
      </c>
    </row>
    <row r="4830">
      <c r="A4830">
        <f>IF(INDEX(L_ID,ROW()-4)="","",IF(COUNTIF(P_ID,INDEX(L_ID,ROW()-4))&gt;0,1,0))</f>
        <v/>
      </c>
      <c r="B4830">
        <f>IF(INDEX(P_Type,ROW()-4)="","",TRIM(UPPER(INDEX(P_Type,ROW()-4))))</f>
        <v/>
      </c>
      <c r="D4830">
        <f>IF(INDEX(L_Type,ROW()-4)="","",TRIM(UPPER(INDEX(L_Type,ROW()-4))))</f>
        <v/>
      </c>
      <c r="E4830">
        <f>IF(INDEX(P_Status,ROW()-4)="","",TRIM(UPPER(INDEX(P_Status,ROW()-4))))</f>
        <v/>
      </c>
      <c r="G4830">
        <f>IF(INDEX(L_Status,ROW()-4)="","",TRIM(UPPER(INDEX(L_Status,ROW()-4))))</f>
        <v/>
      </c>
      <c r="J4830">
        <f>IF(INDEX(L_ID,ROW()-4)="","",IF(SUMPRODUCT((P_ID=INDEX(L_ID,ROW()-4))*(P_StatusN="INACTIVE"))&gt;0,1,0))</f>
        <v/>
      </c>
    </row>
    <row r="4831">
      <c r="A4831">
        <f>IF(INDEX(L_ID,ROW()-4)="","",IF(COUNTIF(P_ID,INDEX(L_ID,ROW()-4))&gt;0,1,0))</f>
        <v/>
      </c>
      <c r="B4831">
        <f>IF(INDEX(P_Type,ROW()-4)="","",TRIM(UPPER(INDEX(P_Type,ROW()-4))))</f>
        <v/>
      </c>
      <c r="D4831">
        <f>IF(INDEX(L_Type,ROW()-4)="","",TRIM(UPPER(INDEX(L_Type,ROW()-4))))</f>
        <v/>
      </c>
      <c r="E4831">
        <f>IF(INDEX(P_Status,ROW()-4)="","",TRIM(UPPER(INDEX(P_Status,ROW()-4))))</f>
        <v/>
      </c>
      <c r="G4831">
        <f>IF(INDEX(L_Status,ROW()-4)="","",TRIM(UPPER(INDEX(L_Status,ROW()-4))))</f>
        <v/>
      </c>
      <c r="J4831">
        <f>IF(INDEX(L_ID,ROW()-4)="","",IF(SUMPRODUCT((P_ID=INDEX(L_ID,ROW()-4))*(P_StatusN="INACTIVE"))&gt;0,1,0))</f>
        <v/>
      </c>
    </row>
    <row r="4832">
      <c r="A4832">
        <f>IF(INDEX(L_ID,ROW()-4)="","",IF(COUNTIF(P_ID,INDEX(L_ID,ROW()-4))&gt;0,1,0))</f>
        <v/>
      </c>
      <c r="B4832">
        <f>IF(INDEX(P_Type,ROW()-4)="","",TRIM(UPPER(INDEX(P_Type,ROW()-4))))</f>
        <v/>
      </c>
      <c r="D4832">
        <f>IF(INDEX(L_Type,ROW()-4)="","",TRIM(UPPER(INDEX(L_Type,ROW()-4))))</f>
        <v/>
      </c>
      <c r="E4832">
        <f>IF(INDEX(P_Status,ROW()-4)="","",TRIM(UPPER(INDEX(P_Status,ROW()-4))))</f>
        <v/>
      </c>
      <c r="G4832">
        <f>IF(INDEX(L_Status,ROW()-4)="","",TRIM(UPPER(INDEX(L_Status,ROW()-4))))</f>
        <v/>
      </c>
      <c r="J4832">
        <f>IF(INDEX(L_ID,ROW()-4)="","",IF(SUMPRODUCT((P_ID=INDEX(L_ID,ROW()-4))*(P_StatusN="INACTIVE"))&gt;0,1,0))</f>
        <v/>
      </c>
    </row>
    <row r="4833">
      <c r="A4833">
        <f>IF(INDEX(L_ID,ROW()-4)="","",IF(COUNTIF(P_ID,INDEX(L_ID,ROW()-4))&gt;0,1,0))</f>
        <v/>
      </c>
      <c r="B4833">
        <f>IF(INDEX(P_Type,ROW()-4)="","",TRIM(UPPER(INDEX(P_Type,ROW()-4))))</f>
        <v/>
      </c>
      <c r="D4833">
        <f>IF(INDEX(L_Type,ROW()-4)="","",TRIM(UPPER(INDEX(L_Type,ROW()-4))))</f>
        <v/>
      </c>
      <c r="E4833">
        <f>IF(INDEX(P_Status,ROW()-4)="","",TRIM(UPPER(INDEX(P_Status,ROW()-4))))</f>
        <v/>
      </c>
      <c r="G4833">
        <f>IF(INDEX(L_Status,ROW()-4)="","",TRIM(UPPER(INDEX(L_Status,ROW()-4))))</f>
        <v/>
      </c>
      <c r="J4833">
        <f>IF(INDEX(L_ID,ROW()-4)="","",IF(SUMPRODUCT((P_ID=INDEX(L_ID,ROW()-4))*(P_StatusN="INACTIVE"))&gt;0,1,0))</f>
        <v/>
      </c>
    </row>
    <row r="4834">
      <c r="A4834">
        <f>IF(INDEX(L_ID,ROW()-4)="","",IF(COUNTIF(P_ID,INDEX(L_ID,ROW()-4))&gt;0,1,0))</f>
        <v/>
      </c>
      <c r="B4834">
        <f>IF(INDEX(P_Type,ROW()-4)="","",TRIM(UPPER(INDEX(P_Type,ROW()-4))))</f>
        <v/>
      </c>
      <c r="D4834">
        <f>IF(INDEX(L_Type,ROW()-4)="","",TRIM(UPPER(INDEX(L_Type,ROW()-4))))</f>
        <v/>
      </c>
      <c r="E4834">
        <f>IF(INDEX(P_Status,ROW()-4)="","",TRIM(UPPER(INDEX(P_Status,ROW()-4))))</f>
        <v/>
      </c>
      <c r="G4834">
        <f>IF(INDEX(L_Status,ROW()-4)="","",TRIM(UPPER(INDEX(L_Status,ROW()-4))))</f>
        <v/>
      </c>
      <c r="J4834">
        <f>IF(INDEX(L_ID,ROW()-4)="","",IF(SUMPRODUCT((P_ID=INDEX(L_ID,ROW()-4))*(P_StatusN="INACTIVE"))&gt;0,1,0))</f>
        <v/>
      </c>
    </row>
    <row r="4835">
      <c r="A4835">
        <f>IF(INDEX(L_ID,ROW()-4)="","",IF(COUNTIF(P_ID,INDEX(L_ID,ROW()-4))&gt;0,1,0))</f>
        <v/>
      </c>
      <c r="B4835">
        <f>IF(INDEX(P_Type,ROW()-4)="","",TRIM(UPPER(INDEX(P_Type,ROW()-4))))</f>
        <v/>
      </c>
      <c r="D4835">
        <f>IF(INDEX(L_Type,ROW()-4)="","",TRIM(UPPER(INDEX(L_Type,ROW()-4))))</f>
        <v/>
      </c>
      <c r="E4835">
        <f>IF(INDEX(P_Status,ROW()-4)="","",TRIM(UPPER(INDEX(P_Status,ROW()-4))))</f>
        <v/>
      </c>
      <c r="G4835">
        <f>IF(INDEX(L_Status,ROW()-4)="","",TRIM(UPPER(INDEX(L_Status,ROW()-4))))</f>
        <v/>
      </c>
      <c r="J4835">
        <f>IF(INDEX(L_ID,ROW()-4)="","",IF(SUMPRODUCT((P_ID=INDEX(L_ID,ROW()-4))*(P_StatusN="INACTIVE"))&gt;0,1,0))</f>
        <v/>
      </c>
    </row>
    <row r="4836">
      <c r="A4836">
        <f>IF(INDEX(L_ID,ROW()-4)="","",IF(COUNTIF(P_ID,INDEX(L_ID,ROW()-4))&gt;0,1,0))</f>
        <v/>
      </c>
      <c r="B4836">
        <f>IF(INDEX(P_Type,ROW()-4)="","",TRIM(UPPER(INDEX(P_Type,ROW()-4))))</f>
        <v/>
      </c>
      <c r="D4836">
        <f>IF(INDEX(L_Type,ROW()-4)="","",TRIM(UPPER(INDEX(L_Type,ROW()-4))))</f>
        <v/>
      </c>
      <c r="E4836">
        <f>IF(INDEX(P_Status,ROW()-4)="","",TRIM(UPPER(INDEX(P_Status,ROW()-4))))</f>
        <v/>
      </c>
      <c r="G4836">
        <f>IF(INDEX(L_Status,ROW()-4)="","",TRIM(UPPER(INDEX(L_Status,ROW()-4))))</f>
        <v/>
      </c>
      <c r="J4836">
        <f>IF(INDEX(L_ID,ROW()-4)="","",IF(SUMPRODUCT((P_ID=INDEX(L_ID,ROW()-4))*(P_StatusN="INACTIVE"))&gt;0,1,0))</f>
        <v/>
      </c>
    </row>
    <row r="4837">
      <c r="A4837">
        <f>IF(INDEX(L_ID,ROW()-4)="","",IF(COUNTIF(P_ID,INDEX(L_ID,ROW()-4))&gt;0,1,0))</f>
        <v/>
      </c>
      <c r="B4837">
        <f>IF(INDEX(P_Type,ROW()-4)="","",TRIM(UPPER(INDEX(P_Type,ROW()-4))))</f>
        <v/>
      </c>
      <c r="D4837">
        <f>IF(INDEX(L_Type,ROW()-4)="","",TRIM(UPPER(INDEX(L_Type,ROW()-4))))</f>
        <v/>
      </c>
      <c r="E4837">
        <f>IF(INDEX(P_Status,ROW()-4)="","",TRIM(UPPER(INDEX(P_Status,ROW()-4))))</f>
        <v/>
      </c>
      <c r="G4837">
        <f>IF(INDEX(L_Status,ROW()-4)="","",TRIM(UPPER(INDEX(L_Status,ROW()-4))))</f>
        <v/>
      </c>
      <c r="J4837">
        <f>IF(INDEX(L_ID,ROW()-4)="","",IF(SUMPRODUCT((P_ID=INDEX(L_ID,ROW()-4))*(P_StatusN="INACTIVE"))&gt;0,1,0))</f>
        <v/>
      </c>
    </row>
    <row r="4838">
      <c r="A4838">
        <f>IF(INDEX(L_ID,ROW()-4)="","",IF(COUNTIF(P_ID,INDEX(L_ID,ROW()-4))&gt;0,1,0))</f>
        <v/>
      </c>
      <c r="B4838">
        <f>IF(INDEX(P_Type,ROW()-4)="","",TRIM(UPPER(INDEX(P_Type,ROW()-4))))</f>
        <v/>
      </c>
      <c r="D4838">
        <f>IF(INDEX(L_Type,ROW()-4)="","",TRIM(UPPER(INDEX(L_Type,ROW()-4))))</f>
        <v/>
      </c>
      <c r="E4838">
        <f>IF(INDEX(P_Status,ROW()-4)="","",TRIM(UPPER(INDEX(P_Status,ROW()-4))))</f>
        <v/>
      </c>
      <c r="G4838">
        <f>IF(INDEX(L_Status,ROW()-4)="","",TRIM(UPPER(INDEX(L_Status,ROW()-4))))</f>
        <v/>
      </c>
      <c r="J4838">
        <f>IF(INDEX(L_ID,ROW()-4)="","",IF(SUMPRODUCT((P_ID=INDEX(L_ID,ROW()-4))*(P_StatusN="INACTIVE"))&gt;0,1,0))</f>
        <v/>
      </c>
    </row>
    <row r="4839">
      <c r="A4839">
        <f>IF(INDEX(L_ID,ROW()-4)="","",IF(COUNTIF(P_ID,INDEX(L_ID,ROW()-4))&gt;0,1,0))</f>
        <v/>
      </c>
      <c r="B4839">
        <f>IF(INDEX(P_Type,ROW()-4)="","",TRIM(UPPER(INDEX(P_Type,ROW()-4))))</f>
        <v/>
      </c>
      <c r="D4839">
        <f>IF(INDEX(L_Type,ROW()-4)="","",TRIM(UPPER(INDEX(L_Type,ROW()-4))))</f>
        <v/>
      </c>
      <c r="E4839">
        <f>IF(INDEX(P_Status,ROW()-4)="","",TRIM(UPPER(INDEX(P_Status,ROW()-4))))</f>
        <v/>
      </c>
      <c r="G4839">
        <f>IF(INDEX(L_Status,ROW()-4)="","",TRIM(UPPER(INDEX(L_Status,ROW()-4))))</f>
        <v/>
      </c>
      <c r="J4839">
        <f>IF(INDEX(L_ID,ROW()-4)="","",IF(SUMPRODUCT((P_ID=INDEX(L_ID,ROW()-4))*(P_StatusN="INACTIVE"))&gt;0,1,0))</f>
        <v/>
      </c>
    </row>
    <row r="4840">
      <c r="A4840">
        <f>IF(INDEX(L_ID,ROW()-4)="","",IF(COUNTIF(P_ID,INDEX(L_ID,ROW()-4))&gt;0,1,0))</f>
        <v/>
      </c>
      <c r="B4840">
        <f>IF(INDEX(P_Type,ROW()-4)="","",TRIM(UPPER(INDEX(P_Type,ROW()-4))))</f>
        <v/>
      </c>
      <c r="D4840">
        <f>IF(INDEX(L_Type,ROW()-4)="","",TRIM(UPPER(INDEX(L_Type,ROW()-4))))</f>
        <v/>
      </c>
      <c r="E4840">
        <f>IF(INDEX(P_Status,ROW()-4)="","",TRIM(UPPER(INDEX(P_Status,ROW()-4))))</f>
        <v/>
      </c>
      <c r="G4840">
        <f>IF(INDEX(L_Status,ROW()-4)="","",TRIM(UPPER(INDEX(L_Status,ROW()-4))))</f>
        <v/>
      </c>
      <c r="J4840">
        <f>IF(INDEX(L_ID,ROW()-4)="","",IF(SUMPRODUCT((P_ID=INDEX(L_ID,ROW()-4))*(P_StatusN="INACTIVE"))&gt;0,1,0))</f>
        <v/>
      </c>
    </row>
    <row r="4841">
      <c r="A4841">
        <f>IF(INDEX(L_ID,ROW()-4)="","",IF(COUNTIF(P_ID,INDEX(L_ID,ROW()-4))&gt;0,1,0))</f>
        <v/>
      </c>
      <c r="B4841">
        <f>IF(INDEX(P_Type,ROW()-4)="","",TRIM(UPPER(INDEX(P_Type,ROW()-4))))</f>
        <v/>
      </c>
      <c r="D4841">
        <f>IF(INDEX(L_Type,ROW()-4)="","",TRIM(UPPER(INDEX(L_Type,ROW()-4))))</f>
        <v/>
      </c>
      <c r="E4841">
        <f>IF(INDEX(P_Status,ROW()-4)="","",TRIM(UPPER(INDEX(P_Status,ROW()-4))))</f>
        <v/>
      </c>
      <c r="G4841">
        <f>IF(INDEX(L_Status,ROW()-4)="","",TRIM(UPPER(INDEX(L_Status,ROW()-4))))</f>
        <v/>
      </c>
      <c r="J4841">
        <f>IF(INDEX(L_ID,ROW()-4)="","",IF(SUMPRODUCT((P_ID=INDEX(L_ID,ROW()-4))*(P_StatusN="INACTIVE"))&gt;0,1,0))</f>
        <v/>
      </c>
    </row>
    <row r="4842">
      <c r="A4842">
        <f>IF(INDEX(L_ID,ROW()-4)="","",IF(COUNTIF(P_ID,INDEX(L_ID,ROW()-4))&gt;0,1,0))</f>
        <v/>
      </c>
      <c r="B4842">
        <f>IF(INDEX(P_Type,ROW()-4)="","",TRIM(UPPER(INDEX(P_Type,ROW()-4))))</f>
        <v/>
      </c>
      <c r="D4842">
        <f>IF(INDEX(L_Type,ROW()-4)="","",TRIM(UPPER(INDEX(L_Type,ROW()-4))))</f>
        <v/>
      </c>
      <c r="E4842">
        <f>IF(INDEX(P_Status,ROW()-4)="","",TRIM(UPPER(INDEX(P_Status,ROW()-4))))</f>
        <v/>
      </c>
      <c r="G4842">
        <f>IF(INDEX(L_Status,ROW()-4)="","",TRIM(UPPER(INDEX(L_Status,ROW()-4))))</f>
        <v/>
      </c>
      <c r="J4842">
        <f>IF(INDEX(L_ID,ROW()-4)="","",IF(SUMPRODUCT((P_ID=INDEX(L_ID,ROW()-4))*(P_StatusN="INACTIVE"))&gt;0,1,0))</f>
        <v/>
      </c>
    </row>
    <row r="4843">
      <c r="A4843">
        <f>IF(INDEX(L_ID,ROW()-4)="","",IF(COUNTIF(P_ID,INDEX(L_ID,ROW()-4))&gt;0,1,0))</f>
        <v/>
      </c>
      <c r="B4843">
        <f>IF(INDEX(P_Type,ROW()-4)="","",TRIM(UPPER(INDEX(P_Type,ROW()-4))))</f>
        <v/>
      </c>
      <c r="D4843">
        <f>IF(INDEX(L_Type,ROW()-4)="","",TRIM(UPPER(INDEX(L_Type,ROW()-4))))</f>
        <v/>
      </c>
      <c r="E4843">
        <f>IF(INDEX(P_Status,ROW()-4)="","",TRIM(UPPER(INDEX(P_Status,ROW()-4))))</f>
        <v/>
      </c>
      <c r="G4843">
        <f>IF(INDEX(L_Status,ROW()-4)="","",TRIM(UPPER(INDEX(L_Status,ROW()-4))))</f>
        <v/>
      </c>
      <c r="J4843">
        <f>IF(INDEX(L_ID,ROW()-4)="","",IF(SUMPRODUCT((P_ID=INDEX(L_ID,ROW()-4))*(P_StatusN="INACTIVE"))&gt;0,1,0))</f>
        <v/>
      </c>
    </row>
    <row r="4844">
      <c r="A4844">
        <f>IF(INDEX(L_ID,ROW()-4)="","",IF(COUNTIF(P_ID,INDEX(L_ID,ROW()-4))&gt;0,1,0))</f>
        <v/>
      </c>
      <c r="B4844">
        <f>IF(INDEX(P_Type,ROW()-4)="","",TRIM(UPPER(INDEX(P_Type,ROW()-4))))</f>
        <v/>
      </c>
      <c r="D4844">
        <f>IF(INDEX(L_Type,ROW()-4)="","",TRIM(UPPER(INDEX(L_Type,ROW()-4))))</f>
        <v/>
      </c>
      <c r="E4844">
        <f>IF(INDEX(P_Status,ROW()-4)="","",TRIM(UPPER(INDEX(P_Status,ROW()-4))))</f>
        <v/>
      </c>
      <c r="G4844">
        <f>IF(INDEX(L_Status,ROW()-4)="","",TRIM(UPPER(INDEX(L_Status,ROW()-4))))</f>
        <v/>
      </c>
      <c r="J4844">
        <f>IF(INDEX(L_ID,ROW()-4)="","",IF(SUMPRODUCT((P_ID=INDEX(L_ID,ROW()-4))*(P_StatusN="INACTIVE"))&gt;0,1,0))</f>
        <v/>
      </c>
    </row>
    <row r="4845">
      <c r="A4845">
        <f>IF(INDEX(L_ID,ROW()-4)="","",IF(COUNTIF(P_ID,INDEX(L_ID,ROW()-4))&gt;0,1,0))</f>
        <v/>
      </c>
      <c r="B4845">
        <f>IF(INDEX(P_Type,ROW()-4)="","",TRIM(UPPER(INDEX(P_Type,ROW()-4))))</f>
        <v/>
      </c>
      <c r="D4845">
        <f>IF(INDEX(L_Type,ROW()-4)="","",TRIM(UPPER(INDEX(L_Type,ROW()-4))))</f>
        <v/>
      </c>
      <c r="E4845">
        <f>IF(INDEX(P_Status,ROW()-4)="","",TRIM(UPPER(INDEX(P_Status,ROW()-4))))</f>
        <v/>
      </c>
      <c r="G4845">
        <f>IF(INDEX(L_Status,ROW()-4)="","",TRIM(UPPER(INDEX(L_Status,ROW()-4))))</f>
        <v/>
      </c>
      <c r="J4845">
        <f>IF(INDEX(L_ID,ROW()-4)="","",IF(SUMPRODUCT((P_ID=INDEX(L_ID,ROW()-4))*(P_StatusN="INACTIVE"))&gt;0,1,0))</f>
        <v/>
      </c>
    </row>
    <row r="4846">
      <c r="A4846">
        <f>IF(INDEX(L_ID,ROW()-4)="","",IF(COUNTIF(P_ID,INDEX(L_ID,ROW()-4))&gt;0,1,0))</f>
        <v/>
      </c>
      <c r="B4846">
        <f>IF(INDEX(P_Type,ROW()-4)="","",TRIM(UPPER(INDEX(P_Type,ROW()-4))))</f>
        <v/>
      </c>
      <c r="D4846">
        <f>IF(INDEX(L_Type,ROW()-4)="","",TRIM(UPPER(INDEX(L_Type,ROW()-4))))</f>
        <v/>
      </c>
      <c r="E4846">
        <f>IF(INDEX(P_Status,ROW()-4)="","",TRIM(UPPER(INDEX(P_Status,ROW()-4))))</f>
        <v/>
      </c>
      <c r="G4846">
        <f>IF(INDEX(L_Status,ROW()-4)="","",TRIM(UPPER(INDEX(L_Status,ROW()-4))))</f>
        <v/>
      </c>
      <c r="J4846">
        <f>IF(INDEX(L_ID,ROW()-4)="","",IF(SUMPRODUCT((P_ID=INDEX(L_ID,ROW()-4))*(P_StatusN="INACTIVE"))&gt;0,1,0))</f>
        <v/>
      </c>
    </row>
    <row r="4847">
      <c r="A4847">
        <f>IF(INDEX(L_ID,ROW()-4)="","",IF(COUNTIF(P_ID,INDEX(L_ID,ROW()-4))&gt;0,1,0))</f>
        <v/>
      </c>
      <c r="B4847">
        <f>IF(INDEX(P_Type,ROW()-4)="","",TRIM(UPPER(INDEX(P_Type,ROW()-4))))</f>
        <v/>
      </c>
      <c r="D4847">
        <f>IF(INDEX(L_Type,ROW()-4)="","",TRIM(UPPER(INDEX(L_Type,ROW()-4))))</f>
        <v/>
      </c>
      <c r="E4847">
        <f>IF(INDEX(P_Status,ROW()-4)="","",TRIM(UPPER(INDEX(P_Status,ROW()-4))))</f>
        <v/>
      </c>
      <c r="G4847">
        <f>IF(INDEX(L_Status,ROW()-4)="","",TRIM(UPPER(INDEX(L_Status,ROW()-4))))</f>
        <v/>
      </c>
      <c r="J4847">
        <f>IF(INDEX(L_ID,ROW()-4)="","",IF(SUMPRODUCT((P_ID=INDEX(L_ID,ROW()-4))*(P_StatusN="INACTIVE"))&gt;0,1,0))</f>
        <v/>
      </c>
    </row>
    <row r="4848">
      <c r="A4848">
        <f>IF(INDEX(L_ID,ROW()-4)="","",IF(COUNTIF(P_ID,INDEX(L_ID,ROW()-4))&gt;0,1,0))</f>
        <v/>
      </c>
      <c r="B4848">
        <f>IF(INDEX(P_Type,ROW()-4)="","",TRIM(UPPER(INDEX(P_Type,ROW()-4))))</f>
        <v/>
      </c>
      <c r="D4848">
        <f>IF(INDEX(L_Type,ROW()-4)="","",TRIM(UPPER(INDEX(L_Type,ROW()-4))))</f>
        <v/>
      </c>
      <c r="E4848">
        <f>IF(INDEX(P_Status,ROW()-4)="","",TRIM(UPPER(INDEX(P_Status,ROW()-4))))</f>
        <v/>
      </c>
      <c r="G4848">
        <f>IF(INDEX(L_Status,ROW()-4)="","",TRIM(UPPER(INDEX(L_Status,ROW()-4))))</f>
        <v/>
      </c>
      <c r="J4848">
        <f>IF(INDEX(L_ID,ROW()-4)="","",IF(SUMPRODUCT((P_ID=INDEX(L_ID,ROW()-4))*(P_StatusN="INACTIVE"))&gt;0,1,0))</f>
        <v/>
      </c>
    </row>
    <row r="4849">
      <c r="A4849">
        <f>IF(INDEX(L_ID,ROW()-4)="","",IF(COUNTIF(P_ID,INDEX(L_ID,ROW()-4))&gt;0,1,0))</f>
        <v/>
      </c>
      <c r="B4849">
        <f>IF(INDEX(P_Type,ROW()-4)="","",TRIM(UPPER(INDEX(P_Type,ROW()-4))))</f>
        <v/>
      </c>
      <c r="D4849">
        <f>IF(INDEX(L_Type,ROW()-4)="","",TRIM(UPPER(INDEX(L_Type,ROW()-4))))</f>
        <v/>
      </c>
      <c r="E4849">
        <f>IF(INDEX(P_Status,ROW()-4)="","",TRIM(UPPER(INDEX(P_Status,ROW()-4))))</f>
        <v/>
      </c>
      <c r="G4849">
        <f>IF(INDEX(L_Status,ROW()-4)="","",TRIM(UPPER(INDEX(L_Status,ROW()-4))))</f>
        <v/>
      </c>
      <c r="J4849">
        <f>IF(INDEX(L_ID,ROW()-4)="","",IF(SUMPRODUCT((P_ID=INDEX(L_ID,ROW()-4))*(P_StatusN="INACTIVE"))&gt;0,1,0))</f>
        <v/>
      </c>
    </row>
    <row r="4850">
      <c r="A4850">
        <f>IF(INDEX(L_ID,ROW()-4)="","",IF(COUNTIF(P_ID,INDEX(L_ID,ROW()-4))&gt;0,1,0))</f>
        <v/>
      </c>
      <c r="B4850">
        <f>IF(INDEX(P_Type,ROW()-4)="","",TRIM(UPPER(INDEX(P_Type,ROW()-4))))</f>
        <v/>
      </c>
      <c r="D4850">
        <f>IF(INDEX(L_Type,ROW()-4)="","",TRIM(UPPER(INDEX(L_Type,ROW()-4))))</f>
        <v/>
      </c>
      <c r="E4850">
        <f>IF(INDEX(P_Status,ROW()-4)="","",TRIM(UPPER(INDEX(P_Status,ROW()-4))))</f>
        <v/>
      </c>
      <c r="G4850">
        <f>IF(INDEX(L_Status,ROW()-4)="","",TRIM(UPPER(INDEX(L_Status,ROW()-4))))</f>
        <v/>
      </c>
      <c r="J4850">
        <f>IF(INDEX(L_ID,ROW()-4)="","",IF(SUMPRODUCT((P_ID=INDEX(L_ID,ROW()-4))*(P_StatusN="INACTIVE"))&gt;0,1,0))</f>
        <v/>
      </c>
    </row>
    <row r="4851">
      <c r="A4851">
        <f>IF(INDEX(L_ID,ROW()-4)="","",IF(COUNTIF(P_ID,INDEX(L_ID,ROW()-4))&gt;0,1,0))</f>
        <v/>
      </c>
      <c r="B4851">
        <f>IF(INDEX(P_Type,ROW()-4)="","",TRIM(UPPER(INDEX(P_Type,ROW()-4))))</f>
        <v/>
      </c>
      <c r="D4851">
        <f>IF(INDEX(L_Type,ROW()-4)="","",TRIM(UPPER(INDEX(L_Type,ROW()-4))))</f>
        <v/>
      </c>
      <c r="E4851">
        <f>IF(INDEX(P_Status,ROW()-4)="","",TRIM(UPPER(INDEX(P_Status,ROW()-4))))</f>
        <v/>
      </c>
      <c r="G4851">
        <f>IF(INDEX(L_Status,ROW()-4)="","",TRIM(UPPER(INDEX(L_Status,ROW()-4))))</f>
        <v/>
      </c>
      <c r="J4851">
        <f>IF(INDEX(L_ID,ROW()-4)="","",IF(SUMPRODUCT((P_ID=INDEX(L_ID,ROW()-4))*(P_StatusN="INACTIVE"))&gt;0,1,0))</f>
        <v/>
      </c>
    </row>
    <row r="4852">
      <c r="A4852">
        <f>IF(INDEX(L_ID,ROW()-4)="","",IF(COUNTIF(P_ID,INDEX(L_ID,ROW()-4))&gt;0,1,0))</f>
        <v/>
      </c>
      <c r="B4852">
        <f>IF(INDEX(P_Type,ROW()-4)="","",TRIM(UPPER(INDEX(P_Type,ROW()-4))))</f>
        <v/>
      </c>
      <c r="D4852">
        <f>IF(INDEX(L_Type,ROW()-4)="","",TRIM(UPPER(INDEX(L_Type,ROW()-4))))</f>
        <v/>
      </c>
      <c r="E4852">
        <f>IF(INDEX(P_Status,ROW()-4)="","",TRIM(UPPER(INDEX(P_Status,ROW()-4))))</f>
        <v/>
      </c>
      <c r="G4852">
        <f>IF(INDEX(L_Status,ROW()-4)="","",TRIM(UPPER(INDEX(L_Status,ROW()-4))))</f>
        <v/>
      </c>
      <c r="J4852">
        <f>IF(INDEX(L_ID,ROW()-4)="","",IF(SUMPRODUCT((P_ID=INDEX(L_ID,ROW()-4))*(P_StatusN="INACTIVE"))&gt;0,1,0))</f>
        <v/>
      </c>
    </row>
    <row r="4853">
      <c r="A4853">
        <f>IF(INDEX(L_ID,ROW()-4)="","",IF(COUNTIF(P_ID,INDEX(L_ID,ROW()-4))&gt;0,1,0))</f>
        <v/>
      </c>
      <c r="B4853">
        <f>IF(INDEX(P_Type,ROW()-4)="","",TRIM(UPPER(INDEX(P_Type,ROW()-4))))</f>
        <v/>
      </c>
      <c r="D4853">
        <f>IF(INDEX(L_Type,ROW()-4)="","",TRIM(UPPER(INDEX(L_Type,ROW()-4))))</f>
        <v/>
      </c>
      <c r="E4853">
        <f>IF(INDEX(P_Status,ROW()-4)="","",TRIM(UPPER(INDEX(P_Status,ROW()-4))))</f>
        <v/>
      </c>
      <c r="G4853">
        <f>IF(INDEX(L_Status,ROW()-4)="","",TRIM(UPPER(INDEX(L_Status,ROW()-4))))</f>
        <v/>
      </c>
      <c r="J4853">
        <f>IF(INDEX(L_ID,ROW()-4)="","",IF(SUMPRODUCT((P_ID=INDEX(L_ID,ROW()-4))*(P_StatusN="INACTIVE"))&gt;0,1,0))</f>
        <v/>
      </c>
    </row>
    <row r="4854">
      <c r="A4854">
        <f>IF(INDEX(L_ID,ROW()-4)="","",IF(COUNTIF(P_ID,INDEX(L_ID,ROW()-4))&gt;0,1,0))</f>
        <v/>
      </c>
      <c r="B4854">
        <f>IF(INDEX(P_Type,ROW()-4)="","",TRIM(UPPER(INDEX(P_Type,ROW()-4))))</f>
        <v/>
      </c>
      <c r="D4854">
        <f>IF(INDEX(L_Type,ROW()-4)="","",TRIM(UPPER(INDEX(L_Type,ROW()-4))))</f>
        <v/>
      </c>
      <c r="E4854">
        <f>IF(INDEX(P_Status,ROW()-4)="","",TRIM(UPPER(INDEX(P_Status,ROW()-4))))</f>
        <v/>
      </c>
      <c r="G4854">
        <f>IF(INDEX(L_Status,ROW()-4)="","",TRIM(UPPER(INDEX(L_Status,ROW()-4))))</f>
        <v/>
      </c>
      <c r="J4854">
        <f>IF(INDEX(L_ID,ROW()-4)="","",IF(SUMPRODUCT((P_ID=INDEX(L_ID,ROW()-4))*(P_StatusN="INACTIVE"))&gt;0,1,0))</f>
        <v/>
      </c>
    </row>
    <row r="4855">
      <c r="A4855">
        <f>IF(INDEX(L_ID,ROW()-4)="","",IF(COUNTIF(P_ID,INDEX(L_ID,ROW()-4))&gt;0,1,0))</f>
        <v/>
      </c>
      <c r="B4855">
        <f>IF(INDEX(P_Type,ROW()-4)="","",TRIM(UPPER(INDEX(P_Type,ROW()-4))))</f>
        <v/>
      </c>
      <c r="D4855">
        <f>IF(INDEX(L_Type,ROW()-4)="","",TRIM(UPPER(INDEX(L_Type,ROW()-4))))</f>
        <v/>
      </c>
      <c r="E4855">
        <f>IF(INDEX(P_Status,ROW()-4)="","",TRIM(UPPER(INDEX(P_Status,ROW()-4))))</f>
        <v/>
      </c>
      <c r="G4855">
        <f>IF(INDEX(L_Status,ROW()-4)="","",TRIM(UPPER(INDEX(L_Status,ROW()-4))))</f>
        <v/>
      </c>
      <c r="J4855">
        <f>IF(INDEX(L_ID,ROW()-4)="","",IF(SUMPRODUCT((P_ID=INDEX(L_ID,ROW()-4))*(P_StatusN="INACTIVE"))&gt;0,1,0))</f>
        <v/>
      </c>
    </row>
    <row r="4856">
      <c r="A4856">
        <f>IF(INDEX(L_ID,ROW()-4)="","",IF(COUNTIF(P_ID,INDEX(L_ID,ROW()-4))&gt;0,1,0))</f>
        <v/>
      </c>
      <c r="B4856">
        <f>IF(INDEX(P_Type,ROW()-4)="","",TRIM(UPPER(INDEX(P_Type,ROW()-4))))</f>
        <v/>
      </c>
      <c r="D4856">
        <f>IF(INDEX(L_Type,ROW()-4)="","",TRIM(UPPER(INDEX(L_Type,ROW()-4))))</f>
        <v/>
      </c>
      <c r="E4856">
        <f>IF(INDEX(P_Status,ROW()-4)="","",TRIM(UPPER(INDEX(P_Status,ROW()-4))))</f>
        <v/>
      </c>
      <c r="G4856">
        <f>IF(INDEX(L_Status,ROW()-4)="","",TRIM(UPPER(INDEX(L_Status,ROW()-4))))</f>
        <v/>
      </c>
      <c r="J4856">
        <f>IF(INDEX(L_ID,ROW()-4)="","",IF(SUMPRODUCT((P_ID=INDEX(L_ID,ROW()-4))*(P_StatusN="INACTIVE"))&gt;0,1,0))</f>
        <v/>
      </c>
    </row>
    <row r="4857">
      <c r="A4857">
        <f>IF(INDEX(L_ID,ROW()-4)="","",IF(COUNTIF(P_ID,INDEX(L_ID,ROW()-4))&gt;0,1,0))</f>
        <v/>
      </c>
      <c r="B4857">
        <f>IF(INDEX(P_Type,ROW()-4)="","",TRIM(UPPER(INDEX(P_Type,ROW()-4))))</f>
        <v/>
      </c>
      <c r="D4857">
        <f>IF(INDEX(L_Type,ROW()-4)="","",TRIM(UPPER(INDEX(L_Type,ROW()-4))))</f>
        <v/>
      </c>
      <c r="E4857">
        <f>IF(INDEX(P_Status,ROW()-4)="","",TRIM(UPPER(INDEX(P_Status,ROW()-4))))</f>
        <v/>
      </c>
      <c r="G4857">
        <f>IF(INDEX(L_Status,ROW()-4)="","",TRIM(UPPER(INDEX(L_Status,ROW()-4))))</f>
        <v/>
      </c>
      <c r="J4857">
        <f>IF(INDEX(L_ID,ROW()-4)="","",IF(SUMPRODUCT((P_ID=INDEX(L_ID,ROW()-4))*(P_StatusN="INACTIVE"))&gt;0,1,0))</f>
        <v/>
      </c>
    </row>
    <row r="4858">
      <c r="A4858">
        <f>IF(INDEX(L_ID,ROW()-4)="","",IF(COUNTIF(P_ID,INDEX(L_ID,ROW()-4))&gt;0,1,0))</f>
        <v/>
      </c>
      <c r="B4858">
        <f>IF(INDEX(P_Type,ROW()-4)="","",TRIM(UPPER(INDEX(P_Type,ROW()-4))))</f>
        <v/>
      </c>
      <c r="D4858">
        <f>IF(INDEX(L_Type,ROW()-4)="","",TRIM(UPPER(INDEX(L_Type,ROW()-4))))</f>
        <v/>
      </c>
      <c r="E4858">
        <f>IF(INDEX(P_Status,ROW()-4)="","",TRIM(UPPER(INDEX(P_Status,ROW()-4))))</f>
        <v/>
      </c>
      <c r="G4858">
        <f>IF(INDEX(L_Status,ROW()-4)="","",TRIM(UPPER(INDEX(L_Status,ROW()-4))))</f>
        <v/>
      </c>
      <c r="J4858">
        <f>IF(INDEX(L_ID,ROW()-4)="","",IF(SUMPRODUCT((P_ID=INDEX(L_ID,ROW()-4))*(P_StatusN="INACTIVE"))&gt;0,1,0))</f>
        <v/>
      </c>
    </row>
    <row r="4859">
      <c r="A4859">
        <f>IF(INDEX(L_ID,ROW()-4)="","",IF(COUNTIF(P_ID,INDEX(L_ID,ROW()-4))&gt;0,1,0))</f>
        <v/>
      </c>
      <c r="B4859">
        <f>IF(INDEX(P_Type,ROW()-4)="","",TRIM(UPPER(INDEX(P_Type,ROW()-4))))</f>
        <v/>
      </c>
      <c r="D4859">
        <f>IF(INDEX(L_Type,ROW()-4)="","",TRIM(UPPER(INDEX(L_Type,ROW()-4))))</f>
        <v/>
      </c>
      <c r="E4859">
        <f>IF(INDEX(P_Status,ROW()-4)="","",TRIM(UPPER(INDEX(P_Status,ROW()-4))))</f>
        <v/>
      </c>
      <c r="G4859">
        <f>IF(INDEX(L_Status,ROW()-4)="","",TRIM(UPPER(INDEX(L_Status,ROW()-4))))</f>
        <v/>
      </c>
      <c r="J4859">
        <f>IF(INDEX(L_ID,ROW()-4)="","",IF(SUMPRODUCT((P_ID=INDEX(L_ID,ROW()-4))*(P_StatusN="INACTIVE"))&gt;0,1,0))</f>
        <v/>
      </c>
    </row>
    <row r="4860">
      <c r="A4860">
        <f>IF(INDEX(L_ID,ROW()-4)="","",IF(COUNTIF(P_ID,INDEX(L_ID,ROW()-4))&gt;0,1,0))</f>
        <v/>
      </c>
      <c r="B4860">
        <f>IF(INDEX(P_Type,ROW()-4)="","",TRIM(UPPER(INDEX(P_Type,ROW()-4))))</f>
        <v/>
      </c>
      <c r="D4860">
        <f>IF(INDEX(L_Type,ROW()-4)="","",TRIM(UPPER(INDEX(L_Type,ROW()-4))))</f>
        <v/>
      </c>
      <c r="E4860">
        <f>IF(INDEX(P_Status,ROW()-4)="","",TRIM(UPPER(INDEX(P_Status,ROW()-4))))</f>
        <v/>
      </c>
      <c r="G4860">
        <f>IF(INDEX(L_Status,ROW()-4)="","",TRIM(UPPER(INDEX(L_Status,ROW()-4))))</f>
        <v/>
      </c>
      <c r="J4860">
        <f>IF(INDEX(L_ID,ROW()-4)="","",IF(SUMPRODUCT((P_ID=INDEX(L_ID,ROW()-4))*(P_StatusN="INACTIVE"))&gt;0,1,0))</f>
        <v/>
      </c>
    </row>
    <row r="4861">
      <c r="A4861">
        <f>IF(INDEX(L_ID,ROW()-4)="","",IF(COUNTIF(P_ID,INDEX(L_ID,ROW()-4))&gt;0,1,0))</f>
        <v/>
      </c>
      <c r="B4861">
        <f>IF(INDEX(P_Type,ROW()-4)="","",TRIM(UPPER(INDEX(P_Type,ROW()-4))))</f>
        <v/>
      </c>
      <c r="D4861">
        <f>IF(INDEX(L_Type,ROW()-4)="","",TRIM(UPPER(INDEX(L_Type,ROW()-4))))</f>
        <v/>
      </c>
      <c r="E4861">
        <f>IF(INDEX(P_Status,ROW()-4)="","",TRIM(UPPER(INDEX(P_Status,ROW()-4))))</f>
        <v/>
      </c>
      <c r="G4861">
        <f>IF(INDEX(L_Status,ROW()-4)="","",TRIM(UPPER(INDEX(L_Status,ROW()-4))))</f>
        <v/>
      </c>
      <c r="J4861">
        <f>IF(INDEX(L_ID,ROW()-4)="","",IF(SUMPRODUCT((P_ID=INDEX(L_ID,ROW()-4))*(P_StatusN="INACTIVE"))&gt;0,1,0))</f>
        <v/>
      </c>
    </row>
    <row r="4862">
      <c r="A4862">
        <f>IF(INDEX(L_ID,ROW()-4)="","",IF(COUNTIF(P_ID,INDEX(L_ID,ROW()-4))&gt;0,1,0))</f>
        <v/>
      </c>
      <c r="B4862">
        <f>IF(INDEX(P_Type,ROW()-4)="","",TRIM(UPPER(INDEX(P_Type,ROW()-4))))</f>
        <v/>
      </c>
      <c r="D4862">
        <f>IF(INDEX(L_Type,ROW()-4)="","",TRIM(UPPER(INDEX(L_Type,ROW()-4))))</f>
        <v/>
      </c>
      <c r="E4862">
        <f>IF(INDEX(P_Status,ROW()-4)="","",TRIM(UPPER(INDEX(P_Status,ROW()-4))))</f>
        <v/>
      </c>
      <c r="G4862">
        <f>IF(INDEX(L_Status,ROW()-4)="","",TRIM(UPPER(INDEX(L_Status,ROW()-4))))</f>
        <v/>
      </c>
      <c r="J4862">
        <f>IF(INDEX(L_ID,ROW()-4)="","",IF(SUMPRODUCT((P_ID=INDEX(L_ID,ROW()-4))*(P_StatusN="INACTIVE"))&gt;0,1,0))</f>
        <v/>
      </c>
    </row>
    <row r="4863">
      <c r="A4863">
        <f>IF(INDEX(L_ID,ROW()-4)="","",IF(COUNTIF(P_ID,INDEX(L_ID,ROW()-4))&gt;0,1,0))</f>
        <v/>
      </c>
      <c r="B4863">
        <f>IF(INDEX(P_Type,ROW()-4)="","",TRIM(UPPER(INDEX(P_Type,ROW()-4))))</f>
        <v/>
      </c>
      <c r="D4863">
        <f>IF(INDEX(L_Type,ROW()-4)="","",TRIM(UPPER(INDEX(L_Type,ROW()-4))))</f>
        <v/>
      </c>
      <c r="E4863">
        <f>IF(INDEX(P_Status,ROW()-4)="","",TRIM(UPPER(INDEX(P_Status,ROW()-4))))</f>
        <v/>
      </c>
      <c r="G4863">
        <f>IF(INDEX(L_Status,ROW()-4)="","",TRIM(UPPER(INDEX(L_Status,ROW()-4))))</f>
        <v/>
      </c>
      <c r="J4863">
        <f>IF(INDEX(L_ID,ROW()-4)="","",IF(SUMPRODUCT((P_ID=INDEX(L_ID,ROW()-4))*(P_StatusN="INACTIVE"))&gt;0,1,0))</f>
        <v/>
      </c>
    </row>
    <row r="4864">
      <c r="A4864">
        <f>IF(INDEX(L_ID,ROW()-4)="","",IF(COUNTIF(P_ID,INDEX(L_ID,ROW()-4))&gt;0,1,0))</f>
        <v/>
      </c>
      <c r="B4864">
        <f>IF(INDEX(P_Type,ROW()-4)="","",TRIM(UPPER(INDEX(P_Type,ROW()-4))))</f>
        <v/>
      </c>
      <c r="D4864">
        <f>IF(INDEX(L_Type,ROW()-4)="","",TRIM(UPPER(INDEX(L_Type,ROW()-4))))</f>
        <v/>
      </c>
      <c r="E4864">
        <f>IF(INDEX(P_Status,ROW()-4)="","",TRIM(UPPER(INDEX(P_Status,ROW()-4))))</f>
        <v/>
      </c>
      <c r="G4864">
        <f>IF(INDEX(L_Status,ROW()-4)="","",TRIM(UPPER(INDEX(L_Status,ROW()-4))))</f>
        <v/>
      </c>
      <c r="J4864">
        <f>IF(INDEX(L_ID,ROW()-4)="","",IF(SUMPRODUCT((P_ID=INDEX(L_ID,ROW()-4))*(P_StatusN="INACTIVE"))&gt;0,1,0))</f>
        <v/>
      </c>
    </row>
    <row r="4865">
      <c r="A4865">
        <f>IF(INDEX(L_ID,ROW()-4)="","",IF(COUNTIF(P_ID,INDEX(L_ID,ROW()-4))&gt;0,1,0))</f>
        <v/>
      </c>
      <c r="B4865">
        <f>IF(INDEX(P_Type,ROW()-4)="","",TRIM(UPPER(INDEX(P_Type,ROW()-4))))</f>
        <v/>
      </c>
      <c r="D4865">
        <f>IF(INDEX(L_Type,ROW()-4)="","",TRIM(UPPER(INDEX(L_Type,ROW()-4))))</f>
        <v/>
      </c>
      <c r="E4865">
        <f>IF(INDEX(P_Status,ROW()-4)="","",TRIM(UPPER(INDEX(P_Status,ROW()-4))))</f>
        <v/>
      </c>
      <c r="G4865">
        <f>IF(INDEX(L_Status,ROW()-4)="","",TRIM(UPPER(INDEX(L_Status,ROW()-4))))</f>
        <v/>
      </c>
      <c r="J4865">
        <f>IF(INDEX(L_ID,ROW()-4)="","",IF(SUMPRODUCT((P_ID=INDEX(L_ID,ROW()-4))*(P_StatusN="INACTIVE"))&gt;0,1,0))</f>
        <v/>
      </c>
    </row>
    <row r="4866">
      <c r="A4866">
        <f>IF(INDEX(L_ID,ROW()-4)="","",IF(COUNTIF(P_ID,INDEX(L_ID,ROW()-4))&gt;0,1,0))</f>
        <v/>
      </c>
      <c r="B4866">
        <f>IF(INDEX(P_Type,ROW()-4)="","",TRIM(UPPER(INDEX(P_Type,ROW()-4))))</f>
        <v/>
      </c>
      <c r="D4866">
        <f>IF(INDEX(L_Type,ROW()-4)="","",TRIM(UPPER(INDEX(L_Type,ROW()-4))))</f>
        <v/>
      </c>
      <c r="E4866">
        <f>IF(INDEX(P_Status,ROW()-4)="","",TRIM(UPPER(INDEX(P_Status,ROW()-4))))</f>
        <v/>
      </c>
      <c r="G4866">
        <f>IF(INDEX(L_Status,ROW()-4)="","",TRIM(UPPER(INDEX(L_Status,ROW()-4))))</f>
        <v/>
      </c>
      <c r="J4866">
        <f>IF(INDEX(L_ID,ROW()-4)="","",IF(SUMPRODUCT((P_ID=INDEX(L_ID,ROW()-4))*(P_StatusN="INACTIVE"))&gt;0,1,0))</f>
        <v/>
      </c>
    </row>
    <row r="4867">
      <c r="A4867">
        <f>IF(INDEX(L_ID,ROW()-4)="","",IF(COUNTIF(P_ID,INDEX(L_ID,ROW()-4))&gt;0,1,0))</f>
        <v/>
      </c>
      <c r="B4867">
        <f>IF(INDEX(P_Type,ROW()-4)="","",TRIM(UPPER(INDEX(P_Type,ROW()-4))))</f>
        <v/>
      </c>
      <c r="D4867">
        <f>IF(INDEX(L_Type,ROW()-4)="","",TRIM(UPPER(INDEX(L_Type,ROW()-4))))</f>
        <v/>
      </c>
      <c r="E4867">
        <f>IF(INDEX(P_Status,ROW()-4)="","",TRIM(UPPER(INDEX(P_Status,ROW()-4))))</f>
        <v/>
      </c>
      <c r="G4867">
        <f>IF(INDEX(L_Status,ROW()-4)="","",TRIM(UPPER(INDEX(L_Status,ROW()-4))))</f>
        <v/>
      </c>
      <c r="J4867">
        <f>IF(INDEX(L_ID,ROW()-4)="","",IF(SUMPRODUCT((P_ID=INDEX(L_ID,ROW()-4))*(P_StatusN="INACTIVE"))&gt;0,1,0))</f>
        <v/>
      </c>
    </row>
    <row r="4868">
      <c r="A4868">
        <f>IF(INDEX(L_ID,ROW()-4)="","",IF(COUNTIF(P_ID,INDEX(L_ID,ROW()-4))&gt;0,1,0))</f>
        <v/>
      </c>
      <c r="B4868">
        <f>IF(INDEX(P_Type,ROW()-4)="","",TRIM(UPPER(INDEX(P_Type,ROW()-4))))</f>
        <v/>
      </c>
      <c r="D4868">
        <f>IF(INDEX(L_Type,ROW()-4)="","",TRIM(UPPER(INDEX(L_Type,ROW()-4))))</f>
        <v/>
      </c>
      <c r="E4868">
        <f>IF(INDEX(P_Status,ROW()-4)="","",TRIM(UPPER(INDEX(P_Status,ROW()-4))))</f>
        <v/>
      </c>
      <c r="G4868">
        <f>IF(INDEX(L_Status,ROW()-4)="","",TRIM(UPPER(INDEX(L_Status,ROW()-4))))</f>
        <v/>
      </c>
      <c r="J4868">
        <f>IF(INDEX(L_ID,ROW()-4)="","",IF(SUMPRODUCT((P_ID=INDEX(L_ID,ROW()-4))*(P_StatusN="INACTIVE"))&gt;0,1,0))</f>
        <v/>
      </c>
    </row>
    <row r="4869">
      <c r="A4869">
        <f>IF(INDEX(L_ID,ROW()-4)="","",IF(COUNTIF(P_ID,INDEX(L_ID,ROW()-4))&gt;0,1,0))</f>
        <v/>
      </c>
      <c r="B4869">
        <f>IF(INDEX(P_Type,ROW()-4)="","",TRIM(UPPER(INDEX(P_Type,ROW()-4))))</f>
        <v/>
      </c>
      <c r="D4869">
        <f>IF(INDEX(L_Type,ROW()-4)="","",TRIM(UPPER(INDEX(L_Type,ROW()-4))))</f>
        <v/>
      </c>
      <c r="E4869">
        <f>IF(INDEX(P_Status,ROW()-4)="","",TRIM(UPPER(INDEX(P_Status,ROW()-4))))</f>
        <v/>
      </c>
      <c r="G4869">
        <f>IF(INDEX(L_Status,ROW()-4)="","",TRIM(UPPER(INDEX(L_Status,ROW()-4))))</f>
        <v/>
      </c>
      <c r="J4869">
        <f>IF(INDEX(L_ID,ROW()-4)="","",IF(SUMPRODUCT((P_ID=INDEX(L_ID,ROW()-4))*(P_StatusN="INACTIVE"))&gt;0,1,0))</f>
        <v/>
      </c>
    </row>
    <row r="4870">
      <c r="A4870">
        <f>IF(INDEX(L_ID,ROW()-4)="","",IF(COUNTIF(P_ID,INDEX(L_ID,ROW()-4))&gt;0,1,0))</f>
        <v/>
      </c>
      <c r="B4870">
        <f>IF(INDEX(P_Type,ROW()-4)="","",TRIM(UPPER(INDEX(P_Type,ROW()-4))))</f>
        <v/>
      </c>
      <c r="D4870">
        <f>IF(INDEX(L_Type,ROW()-4)="","",TRIM(UPPER(INDEX(L_Type,ROW()-4))))</f>
        <v/>
      </c>
      <c r="E4870">
        <f>IF(INDEX(P_Status,ROW()-4)="","",TRIM(UPPER(INDEX(P_Status,ROW()-4))))</f>
        <v/>
      </c>
      <c r="G4870">
        <f>IF(INDEX(L_Status,ROW()-4)="","",TRIM(UPPER(INDEX(L_Status,ROW()-4))))</f>
        <v/>
      </c>
      <c r="J4870">
        <f>IF(INDEX(L_ID,ROW()-4)="","",IF(SUMPRODUCT((P_ID=INDEX(L_ID,ROW()-4))*(P_StatusN="INACTIVE"))&gt;0,1,0))</f>
        <v/>
      </c>
    </row>
    <row r="4871">
      <c r="A4871">
        <f>IF(INDEX(L_ID,ROW()-4)="","",IF(COUNTIF(P_ID,INDEX(L_ID,ROW()-4))&gt;0,1,0))</f>
        <v/>
      </c>
      <c r="B4871">
        <f>IF(INDEX(P_Type,ROW()-4)="","",TRIM(UPPER(INDEX(P_Type,ROW()-4))))</f>
        <v/>
      </c>
      <c r="D4871">
        <f>IF(INDEX(L_Type,ROW()-4)="","",TRIM(UPPER(INDEX(L_Type,ROW()-4))))</f>
        <v/>
      </c>
      <c r="E4871">
        <f>IF(INDEX(P_Status,ROW()-4)="","",TRIM(UPPER(INDEX(P_Status,ROW()-4))))</f>
        <v/>
      </c>
      <c r="G4871">
        <f>IF(INDEX(L_Status,ROW()-4)="","",TRIM(UPPER(INDEX(L_Status,ROW()-4))))</f>
        <v/>
      </c>
      <c r="J4871">
        <f>IF(INDEX(L_ID,ROW()-4)="","",IF(SUMPRODUCT((P_ID=INDEX(L_ID,ROW()-4))*(P_StatusN="INACTIVE"))&gt;0,1,0))</f>
        <v/>
      </c>
    </row>
    <row r="4872">
      <c r="A4872">
        <f>IF(INDEX(L_ID,ROW()-4)="","",IF(COUNTIF(P_ID,INDEX(L_ID,ROW()-4))&gt;0,1,0))</f>
        <v/>
      </c>
      <c r="B4872">
        <f>IF(INDEX(P_Type,ROW()-4)="","",TRIM(UPPER(INDEX(P_Type,ROW()-4))))</f>
        <v/>
      </c>
      <c r="D4872">
        <f>IF(INDEX(L_Type,ROW()-4)="","",TRIM(UPPER(INDEX(L_Type,ROW()-4))))</f>
        <v/>
      </c>
      <c r="E4872">
        <f>IF(INDEX(P_Status,ROW()-4)="","",TRIM(UPPER(INDEX(P_Status,ROW()-4))))</f>
        <v/>
      </c>
      <c r="G4872">
        <f>IF(INDEX(L_Status,ROW()-4)="","",TRIM(UPPER(INDEX(L_Status,ROW()-4))))</f>
        <v/>
      </c>
      <c r="J4872">
        <f>IF(INDEX(L_ID,ROW()-4)="","",IF(SUMPRODUCT((P_ID=INDEX(L_ID,ROW()-4))*(P_StatusN="INACTIVE"))&gt;0,1,0))</f>
        <v/>
      </c>
    </row>
    <row r="4873">
      <c r="A4873">
        <f>IF(INDEX(L_ID,ROW()-4)="","",IF(COUNTIF(P_ID,INDEX(L_ID,ROW()-4))&gt;0,1,0))</f>
        <v/>
      </c>
      <c r="B4873">
        <f>IF(INDEX(P_Type,ROW()-4)="","",TRIM(UPPER(INDEX(P_Type,ROW()-4))))</f>
        <v/>
      </c>
      <c r="D4873">
        <f>IF(INDEX(L_Type,ROW()-4)="","",TRIM(UPPER(INDEX(L_Type,ROW()-4))))</f>
        <v/>
      </c>
      <c r="E4873">
        <f>IF(INDEX(P_Status,ROW()-4)="","",TRIM(UPPER(INDEX(P_Status,ROW()-4))))</f>
        <v/>
      </c>
      <c r="G4873">
        <f>IF(INDEX(L_Status,ROW()-4)="","",TRIM(UPPER(INDEX(L_Status,ROW()-4))))</f>
        <v/>
      </c>
      <c r="J4873">
        <f>IF(INDEX(L_ID,ROW()-4)="","",IF(SUMPRODUCT((P_ID=INDEX(L_ID,ROW()-4))*(P_StatusN="INACTIVE"))&gt;0,1,0))</f>
        <v/>
      </c>
    </row>
    <row r="4874">
      <c r="A4874">
        <f>IF(INDEX(L_ID,ROW()-4)="","",IF(COUNTIF(P_ID,INDEX(L_ID,ROW()-4))&gt;0,1,0))</f>
        <v/>
      </c>
      <c r="B4874">
        <f>IF(INDEX(P_Type,ROW()-4)="","",TRIM(UPPER(INDEX(P_Type,ROW()-4))))</f>
        <v/>
      </c>
      <c r="D4874">
        <f>IF(INDEX(L_Type,ROW()-4)="","",TRIM(UPPER(INDEX(L_Type,ROW()-4))))</f>
        <v/>
      </c>
      <c r="E4874">
        <f>IF(INDEX(P_Status,ROW()-4)="","",TRIM(UPPER(INDEX(P_Status,ROW()-4))))</f>
        <v/>
      </c>
      <c r="G4874">
        <f>IF(INDEX(L_Status,ROW()-4)="","",TRIM(UPPER(INDEX(L_Status,ROW()-4))))</f>
        <v/>
      </c>
      <c r="J4874">
        <f>IF(INDEX(L_ID,ROW()-4)="","",IF(SUMPRODUCT((P_ID=INDEX(L_ID,ROW()-4))*(P_StatusN="INACTIVE"))&gt;0,1,0))</f>
        <v/>
      </c>
    </row>
    <row r="4875">
      <c r="A4875">
        <f>IF(INDEX(L_ID,ROW()-4)="","",IF(COUNTIF(P_ID,INDEX(L_ID,ROW()-4))&gt;0,1,0))</f>
        <v/>
      </c>
      <c r="B4875">
        <f>IF(INDEX(P_Type,ROW()-4)="","",TRIM(UPPER(INDEX(P_Type,ROW()-4))))</f>
        <v/>
      </c>
      <c r="D4875">
        <f>IF(INDEX(L_Type,ROW()-4)="","",TRIM(UPPER(INDEX(L_Type,ROW()-4))))</f>
        <v/>
      </c>
      <c r="E4875">
        <f>IF(INDEX(P_Status,ROW()-4)="","",TRIM(UPPER(INDEX(P_Status,ROW()-4))))</f>
        <v/>
      </c>
      <c r="G4875">
        <f>IF(INDEX(L_Status,ROW()-4)="","",TRIM(UPPER(INDEX(L_Status,ROW()-4))))</f>
        <v/>
      </c>
      <c r="J4875">
        <f>IF(INDEX(L_ID,ROW()-4)="","",IF(SUMPRODUCT((P_ID=INDEX(L_ID,ROW()-4))*(P_StatusN="INACTIVE"))&gt;0,1,0))</f>
        <v/>
      </c>
    </row>
    <row r="4876">
      <c r="A4876">
        <f>IF(INDEX(L_ID,ROW()-4)="","",IF(COUNTIF(P_ID,INDEX(L_ID,ROW()-4))&gt;0,1,0))</f>
        <v/>
      </c>
      <c r="B4876">
        <f>IF(INDEX(P_Type,ROW()-4)="","",TRIM(UPPER(INDEX(P_Type,ROW()-4))))</f>
        <v/>
      </c>
      <c r="D4876">
        <f>IF(INDEX(L_Type,ROW()-4)="","",TRIM(UPPER(INDEX(L_Type,ROW()-4))))</f>
        <v/>
      </c>
      <c r="E4876">
        <f>IF(INDEX(P_Status,ROW()-4)="","",TRIM(UPPER(INDEX(P_Status,ROW()-4))))</f>
        <v/>
      </c>
      <c r="G4876">
        <f>IF(INDEX(L_Status,ROW()-4)="","",TRIM(UPPER(INDEX(L_Status,ROW()-4))))</f>
        <v/>
      </c>
      <c r="J4876">
        <f>IF(INDEX(L_ID,ROW()-4)="","",IF(SUMPRODUCT((P_ID=INDEX(L_ID,ROW()-4))*(P_StatusN="INACTIVE"))&gt;0,1,0))</f>
        <v/>
      </c>
    </row>
    <row r="4877">
      <c r="A4877">
        <f>IF(INDEX(L_ID,ROW()-4)="","",IF(COUNTIF(P_ID,INDEX(L_ID,ROW()-4))&gt;0,1,0))</f>
        <v/>
      </c>
      <c r="B4877">
        <f>IF(INDEX(P_Type,ROW()-4)="","",TRIM(UPPER(INDEX(P_Type,ROW()-4))))</f>
        <v/>
      </c>
      <c r="D4877">
        <f>IF(INDEX(L_Type,ROW()-4)="","",TRIM(UPPER(INDEX(L_Type,ROW()-4))))</f>
        <v/>
      </c>
      <c r="E4877">
        <f>IF(INDEX(P_Status,ROW()-4)="","",TRIM(UPPER(INDEX(P_Status,ROW()-4))))</f>
        <v/>
      </c>
      <c r="G4877">
        <f>IF(INDEX(L_Status,ROW()-4)="","",TRIM(UPPER(INDEX(L_Status,ROW()-4))))</f>
        <v/>
      </c>
      <c r="J4877">
        <f>IF(INDEX(L_ID,ROW()-4)="","",IF(SUMPRODUCT((P_ID=INDEX(L_ID,ROW()-4))*(P_StatusN="INACTIVE"))&gt;0,1,0))</f>
        <v/>
      </c>
    </row>
    <row r="4878">
      <c r="A4878">
        <f>IF(INDEX(L_ID,ROW()-4)="","",IF(COUNTIF(P_ID,INDEX(L_ID,ROW()-4))&gt;0,1,0))</f>
        <v/>
      </c>
      <c r="B4878">
        <f>IF(INDEX(P_Type,ROW()-4)="","",TRIM(UPPER(INDEX(P_Type,ROW()-4))))</f>
        <v/>
      </c>
      <c r="D4878">
        <f>IF(INDEX(L_Type,ROW()-4)="","",TRIM(UPPER(INDEX(L_Type,ROW()-4))))</f>
        <v/>
      </c>
      <c r="E4878">
        <f>IF(INDEX(P_Status,ROW()-4)="","",TRIM(UPPER(INDEX(P_Status,ROW()-4))))</f>
        <v/>
      </c>
      <c r="G4878">
        <f>IF(INDEX(L_Status,ROW()-4)="","",TRIM(UPPER(INDEX(L_Status,ROW()-4))))</f>
        <v/>
      </c>
      <c r="J4878">
        <f>IF(INDEX(L_ID,ROW()-4)="","",IF(SUMPRODUCT((P_ID=INDEX(L_ID,ROW()-4))*(P_StatusN="INACTIVE"))&gt;0,1,0))</f>
        <v/>
      </c>
    </row>
    <row r="4879">
      <c r="A4879">
        <f>IF(INDEX(L_ID,ROW()-4)="","",IF(COUNTIF(P_ID,INDEX(L_ID,ROW()-4))&gt;0,1,0))</f>
        <v/>
      </c>
      <c r="B4879">
        <f>IF(INDEX(P_Type,ROW()-4)="","",TRIM(UPPER(INDEX(P_Type,ROW()-4))))</f>
        <v/>
      </c>
      <c r="D4879">
        <f>IF(INDEX(L_Type,ROW()-4)="","",TRIM(UPPER(INDEX(L_Type,ROW()-4))))</f>
        <v/>
      </c>
      <c r="E4879">
        <f>IF(INDEX(P_Status,ROW()-4)="","",TRIM(UPPER(INDEX(P_Status,ROW()-4))))</f>
        <v/>
      </c>
      <c r="G4879">
        <f>IF(INDEX(L_Status,ROW()-4)="","",TRIM(UPPER(INDEX(L_Status,ROW()-4))))</f>
        <v/>
      </c>
      <c r="J4879">
        <f>IF(INDEX(L_ID,ROW()-4)="","",IF(SUMPRODUCT((P_ID=INDEX(L_ID,ROW()-4))*(P_StatusN="INACTIVE"))&gt;0,1,0))</f>
        <v/>
      </c>
    </row>
    <row r="4880">
      <c r="A4880">
        <f>IF(INDEX(L_ID,ROW()-4)="","",IF(COUNTIF(P_ID,INDEX(L_ID,ROW()-4))&gt;0,1,0))</f>
        <v/>
      </c>
      <c r="B4880">
        <f>IF(INDEX(P_Type,ROW()-4)="","",TRIM(UPPER(INDEX(P_Type,ROW()-4))))</f>
        <v/>
      </c>
      <c r="D4880">
        <f>IF(INDEX(L_Type,ROW()-4)="","",TRIM(UPPER(INDEX(L_Type,ROW()-4))))</f>
        <v/>
      </c>
      <c r="E4880">
        <f>IF(INDEX(P_Status,ROW()-4)="","",TRIM(UPPER(INDEX(P_Status,ROW()-4))))</f>
        <v/>
      </c>
      <c r="G4880">
        <f>IF(INDEX(L_Status,ROW()-4)="","",TRIM(UPPER(INDEX(L_Status,ROW()-4))))</f>
        <v/>
      </c>
      <c r="J4880">
        <f>IF(INDEX(L_ID,ROW()-4)="","",IF(SUMPRODUCT((P_ID=INDEX(L_ID,ROW()-4))*(P_StatusN="INACTIVE"))&gt;0,1,0))</f>
        <v/>
      </c>
    </row>
    <row r="4881">
      <c r="A4881">
        <f>IF(INDEX(L_ID,ROW()-4)="","",IF(COUNTIF(P_ID,INDEX(L_ID,ROW()-4))&gt;0,1,0))</f>
        <v/>
      </c>
      <c r="B4881">
        <f>IF(INDEX(P_Type,ROW()-4)="","",TRIM(UPPER(INDEX(P_Type,ROW()-4))))</f>
        <v/>
      </c>
      <c r="D4881">
        <f>IF(INDEX(L_Type,ROW()-4)="","",TRIM(UPPER(INDEX(L_Type,ROW()-4))))</f>
        <v/>
      </c>
      <c r="E4881">
        <f>IF(INDEX(P_Status,ROW()-4)="","",TRIM(UPPER(INDEX(P_Status,ROW()-4))))</f>
        <v/>
      </c>
      <c r="G4881">
        <f>IF(INDEX(L_Status,ROW()-4)="","",TRIM(UPPER(INDEX(L_Status,ROW()-4))))</f>
        <v/>
      </c>
      <c r="J4881">
        <f>IF(INDEX(L_ID,ROW()-4)="","",IF(SUMPRODUCT((P_ID=INDEX(L_ID,ROW()-4))*(P_StatusN="INACTIVE"))&gt;0,1,0))</f>
        <v/>
      </c>
    </row>
    <row r="4882">
      <c r="A4882">
        <f>IF(INDEX(L_ID,ROW()-4)="","",IF(COUNTIF(P_ID,INDEX(L_ID,ROW()-4))&gt;0,1,0))</f>
        <v/>
      </c>
      <c r="B4882">
        <f>IF(INDEX(P_Type,ROW()-4)="","",TRIM(UPPER(INDEX(P_Type,ROW()-4))))</f>
        <v/>
      </c>
      <c r="D4882">
        <f>IF(INDEX(L_Type,ROW()-4)="","",TRIM(UPPER(INDEX(L_Type,ROW()-4))))</f>
        <v/>
      </c>
      <c r="E4882">
        <f>IF(INDEX(P_Status,ROW()-4)="","",TRIM(UPPER(INDEX(P_Status,ROW()-4))))</f>
        <v/>
      </c>
      <c r="G4882">
        <f>IF(INDEX(L_Status,ROW()-4)="","",TRIM(UPPER(INDEX(L_Status,ROW()-4))))</f>
        <v/>
      </c>
      <c r="J4882">
        <f>IF(INDEX(L_ID,ROW()-4)="","",IF(SUMPRODUCT((P_ID=INDEX(L_ID,ROW()-4))*(P_StatusN="INACTIVE"))&gt;0,1,0))</f>
        <v/>
      </c>
    </row>
    <row r="4883">
      <c r="A4883">
        <f>IF(INDEX(L_ID,ROW()-4)="","",IF(COUNTIF(P_ID,INDEX(L_ID,ROW()-4))&gt;0,1,0))</f>
        <v/>
      </c>
      <c r="B4883">
        <f>IF(INDEX(P_Type,ROW()-4)="","",TRIM(UPPER(INDEX(P_Type,ROW()-4))))</f>
        <v/>
      </c>
      <c r="D4883">
        <f>IF(INDEX(L_Type,ROW()-4)="","",TRIM(UPPER(INDEX(L_Type,ROW()-4))))</f>
        <v/>
      </c>
      <c r="E4883">
        <f>IF(INDEX(P_Status,ROW()-4)="","",TRIM(UPPER(INDEX(P_Status,ROW()-4))))</f>
        <v/>
      </c>
      <c r="G4883">
        <f>IF(INDEX(L_Status,ROW()-4)="","",TRIM(UPPER(INDEX(L_Status,ROW()-4))))</f>
        <v/>
      </c>
      <c r="J4883">
        <f>IF(INDEX(L_ID,ROW()-4)="","",IF(SUMPRODUCT((P_ID=INDEX(L_ID,ROW()-4))*(P_StatusN="INACTIVE"))&gt;0,1,0))</f>
        <v/>
      </c>
    </row>
    <row r="4884">
      <c r="A4884">
        <f>IF(INDEX(L_ID,ROW()-4)="","",IF(COUNTIF(P_ID,INDEX(L_ID,ROW()-4))&gt;0,1,0))</f>
        <v/>
      </c>
      <c r="B4884">
        <f>IF(INDEX(P_Type,ROW()-4)="","",TRIM(UPPER(INDEX(P_Type,ROW()-4))))</f>
        <v/>
      </c>
      <c r="D4884">
        <f>IF(INDEX(L_Type,ROW()-4)="","",TRIM(UPPER(INDEX(L_Type,ROW()-4))))</f>
        <v/>
      </c>
      <c r="E4884">
        <f>IF(INDEX(P_Status,ROW()-4)="","",TRIM(UPPER(INDEX(P_Status,ROW()-4))))</f>
        <v/>
      </c>
      <c r="G4884">
        <f>IF(INDEX(L_Status,ROW()-4)="","",TRIM(UPPER(INDEX(L_Status,ROW()-4))))</f>
        <v/>
      </c>
      <c r="J4884">
        <f>IF(INDEX(L_ID,ROW()-4)="","",IF(SUMPRODUCT((P_ID=INDEX(L_ID,ROW()-4))*(P_StatusN="INACTIVE"))&gt;0,1,0))</f>
        <v/>
      </c>
    </row>
    <row r="4885">
      <c r="A4885">
        <f>IF(INDEX(L_ID,ROW()-4)="","",IF(COUNTIF(P_ID,INDEX(L_ID,ROW()-4))&gt;0,1,0))</f>
        <v/>
      </c>
      <c r="B4885">
        <f>IF(INDEX(P_Type,ROW()-4)="","",TRIM(UPPER(INDEX(P_Type,ROW()-4))))</f>
        <v/>
      </c>
      <c r="D4885">
        <f>IF(INDEX(L_Type,ROW()-4)="","",TRIM(UPPER(INDEX(L_Type,ROW()-4))))</f>
        <v/>
      </c>
      <c r="E4885">
        <f>IF(INDEX(P_Status,ROW()-4)="","",TRIM(UPPER(INDEX(P_Status,ROW()-4))))</f>
        <v/>
      </c>
      <c r="G4885">
        <f>IF(INDEX(L_Status,ROW()-4)="","",TRIM(UPPER(INDEX(L_Status,ROW()-4))))</f>
        <v/>
      </c>
      <c r="J4885">
        <f>IF(INDEX(L_ID,ROW()-4)="","",IF(SUMPRODUCT((P_ID=INDEX(L_ID,ROW()-4))*(P_StatusN="INACTIVE"))&gt;0,1,0))</f>
        <v/>
      </c>
    </row>
    <row r="4886">
      <c r="A4886">
        <f>IF(INDEX(L_ID,ROW()-4)="","",IF(COUNTIF(P_ID,INDEX(L_ID,ROW()-4))&gt;0,1,0))</f>
        <v/>
      </c>
      <c r="B4886">
        <f>IF(INDEX(P_Type,ROW()-4)="","",TRIM(UPPER(INDEX(P_Type,ROW()-4))))</f>
        <v/>
      </c>
      <c r="D4886">
        <f>IF(INDEX(L_Type,ROW()-4)="","",TRIM(UPPER(INDEX(L_Type,ROW()-4))))</f>
        <v/>
      </c>
      <c r="E4886">
        <f>IF(INDEX(P_Status,ROW()-4)="","",TRIM(UPPER(INDEX(P_Status,ROW()-4))))</f>
        <v/>
      </c>
      <c r="G4886">
        <f>IF(INDEX(L_Status,ROW()-4)="","",TRIM(UPPER(INDEX(L_Status,ROW()-4))))</f>
        <v/>
      </c>
      <c r="J4886">
        <f>IF(INDEX(L_ID,ROW()-4)="","",IF(SUMPRODUCT((P_ID=INDEX(L_ID,ROW()-4))*(P_StatusN="INACTIVE"))&gt;0,1,0))</f>
        <v/>
      </c>
    </row>
    <row r="4887">
      <c r="A4887">
        <f>IF(INDEX(L_ID,ROW()-4)="","",IF(COUNTIF(P_ID,INDEX(L_ID,ROW()-4))&gt;0,1,0))</f>
        <v/>
      </c>
      <c r="B4887">
        <f>IF(INDEX(P_Type,ROW()-4)="","",TRIM(UPPER(INDEX(P_Type,ROW()-4))))</f>
        <v/>
      </c>
      <c r="D4887">
        <f>IF(INDEX(L_Type,ROW()-4)="","",TRIM(UPPER(INDEX(L_Type,ROW()-4))))</f>
        <v/>
      </c>
      <c r="E4887">
        <f>IF(INDEX(P_Status,ROW()-4)="","",TRIM(UPPER(INDEX(P_Status,ROW()-4))))</f>
        <v/>
      </c>
      <c r="G4887">
        <f>IF(INDEX(L_Status,ROW()-4)="","",TRIM(UPPER(INDEX(L_Status,ROW()-4))))</f>
        <v/>
      </c>
      <c r="J4887">
        <f>IF(INDEX(L_ID,ROW()-4)="","",IF(SUMPRODUCT((P_ID=INDEX(L_ID,ROW()-4))*(P_StatusN="INACTIVE"))&gt;0,1,0))</f>
        <v/>
      </c>
    </row>
    <row r="4888">
      <c r="A4888">
        <f>IF(INDEX(L_ID,ROW()-4)="","",IF(COUNTIF(P_ID,INDEX(L_ID,ROW()-4))&gt;0,1,0))</f>
        <v/>
      </c>
      <c r="B4888">
        <f>IF(INDEX(P_Type,ROW()-4)="","",TRIM(UPPER(INDEX(P_Type,ROW()-4))))</f>
        <v/>
      </c>
      <c r="D4888">
        <f>IF(INDEX(L_Type,ROW()-4)="","",TRIM(UPPER(INDEX(L_Type,ROW()-4))))</f>
        <v/>
      </c>
      <c r="E4888">
        <f>IF(INDEX(P_Status,ROW()-4)="","",TRIM(UPPER(INDEX(P_Status,ROW()-4))))</f>
        <v/>
      </c>
      <c r="G4888">
        <f>IF(INDEX(L_Status,ROW()-4)="","",TRIM(UPPER(INDEX(L_Status,ROW()-4))))</f>
        <v/>
      </c>
      <c r="J4888">
        <f>IF(INDEX(L_ID,ROW()-4)="","",IF(SUMPRODUCT((P_ID=INDEX(L_ID,ROW()-4))*(P_StatusN="INACTIVE"))&gt;0,1,0))</f>
        <v/>
      </c>
    </row>
    <row r="4889">
      <c r="A4889">
        <f>IF(INDEX(L_ID,ROW()-4)="","",IF(COUNTIF(P_ID,INDEX(L_ID,ROW()-4))&gt;0,1,0))</f>
        <v/>
      </c>
      <c r="B4889">
        <f>IF(INDEX(P_Type,ROW()-4)="","",TRIM(UPPER(INDEX(P_Type,ROW()-4))))</f>
        <v/>
      </c>
      <c r="D4889">
        <f>IF(INDEX(L_Type,ROW()-4)="","",TRIM(UPPER(INDEX(L_Type,ROW()-4))))</f>
        <v/>
      </c>
      <c r="E4889">
        <f>IF(INDEX(P_Status,ROW()-4)="","",TRIM(UPPER(INDEX(P_Status,ROW()-4))))</f>
        <v/>
      </c>
      <c r="G4889">
        <f>IF(INDEX(L_Status,ROW()-4)="","",TRIM(UPPER(INDEX(L_Status,ROW()-4))))</f>
        <v/>
      </c>
      <c r="J4889">
        <f>IF(INDEX(L_ID,ROW()-4)="","",IF(SUMPRODUCT((P_ID=INDEX(L_ID,ROW()-4))*(P_StatusN="INACTIVE"))&gt;0,1,0))</f>
        <v/>
      </c>
    </row>
    <row r="4890">
      <c r="A4890">
        <f>IF(INDEX(L_ID,ROW()-4)="","",IF(COUNTIF(P_ID,INDEX(L_ID,ROW()-4))&gt;0,1,0))</f>
        <v/>
      </c>
      <c r="B4890">
        <f>IF(INDEX(P_Type,ROW()-4)="","",TRIM(UPPER(INDEX(P_Type,ROW()-4))))</f>
        <v/>
      </c>
      <c r="D4890">
        <f>IF(INDEX(L_Type,ROW()-4)="","",TRIM(UPPER(INDEX(L_Type,ROW()-4))))</f>
        <v/>
      </c>
      <c r="E4890">
        <f>IF(INDEX(P_Status,ROW()-4)="","",TRIM(UPPER(INDEX(P_Status,ROW()-4))))</f>
        <v/>
      </c>
      <c r="G4890">
        <f>IF(INDEX(L_Status,ROW()-4)="","",TRIM(UPPER(INDEX(L_Status,ROW()-4))))</f>
        <v/>
      </c>
      <c r="J4890">
        <f>IF(INDEX(L_ID,ROW()-4)="","",IF(SUMPRODUCT((P_ID=INDEX(L_ID,ROW()-4))*(P_StatusN="INACTIVE"))&gt;0,1,0))</f>
        <v/>
      </c>
    </row>
    <row r="4891">
      <c r="A4891">
        <f>IF(INDEX(L_ID,ROW()-4)="","",IF(COUNTIF(P_ID,INDEX(L_ID,ROW()-4))&gt;0,1,0))</f>
        <v/>
      </c>
      <c r="B4891">
        <f>IF(INDEX(P_Type,ROW()-4)="","",TRIM(UPPER(INDEX(P_Type,ROW()-4))))</f>
        <v/>
      </c>
      <c r="D4891">
        <f>IF(INDEX(L_Type,ROW()-4)="","",TRIM(UPPER(INDEX(L_Type,ROW()-4))))</f>
        <v/>
      </c>
      <c r="E4891">
        <f>IF(INDEX(P_Status,ROW()-4)="","",TRIM(UPPER(INDEX(P_Status,ROW()-4))))</f>
        <v/>
      </c>
      <c r="G4891">
        <f>IF(INDEX(L_Status,ROW()-4)="","",TRIM(UPPER(INDEX(L_Status,ROW()-4))))</f>
        <v/>
      </c>
      <c r="J4891">
        <f>IF(INDEX(L_ID,ROW()-4)="","",IF(SUMPRODUCT((P_ID=INDEX(L_ID,ROW()-4))*(P_StatusN="INACTIVE"))&gt;0,1,0))</f>
        <v/>
      </c>
    </row>
    <row r="4892">
      <c r="A4892">
        <f>IF(INDEX(L_ID,ROW()-4)="","",IF(COUNTIF(P_ID,INDEX(L_ID,ROW()-4))&gt;0,1,0))</f>
        <v/>
      </c>
      <c r="B4892">
        <f>IF(INDEX(P_Type,ROW()-4)="","",TRIM(UPPER(INDEX(P_Type,ROW()-4))))</f>
        <v/>
      </c>
      <c r="D4892">
        <f>IF(INDEX(L_Type,ROW()-4)="","",TRIM(UPPER(INDEX(L_Type,ROW()-4))))</f>
        <v/>
      </c>
      <c r="E4892">
        <f>IF(INDEX(P_Status,ROW()-4)="","",TRIM(UPPER(INDEX(P_Status,ROW()-4))))</f>
        <v/>
      </c>
      <c r="G4892">
        <f>IF(INDEX(L_Status,ROW()-4)="","",TRIM(UPPER(INDEX(L_Status,ROW()-4))))</f>
        <v/>
      </c>
      <c r="J4892">
        <f>IF(INDEX(L_ID,ROW()-4)="","",IF(SUMPRODUCT((P_ID=INDEX(L_ID,ROW()-4))*(P_StatusN="INACTIVE"))&gt;0,1,0))</f>
        <v/>
      </c>
    </row>
    <row r="4893">
      <c r="A4893">
        <f>IF(INDEX(L_ID,ROW()-4)="","",IF(COUNTIF(P_ID,INDEX(L_ID,ROW()-4))&gt;0,1,0))</f>
        <v/>
      </c>
      <c r="B4893">
        <f>IF(INDEX(P_Type,ROW()-4)="","",TRIM(UPPER(INDEX(P_Type,ROW()-4))))</f>
        <v/>
      </c>
      <c r="D4893">
        <f>IF(INDEX(L_Type,ROW()-4)="","",TRIM(UPPER(INDEX(L_Type,ROW()-4))))</f>
        <v/>
      </c>
      <c r="E4893">
        <f>IF(INDEX(P_Status,ROW()-4)="","",TRIM(UPPER(INDEX(P_Status,ROW()-4))))</f>
        <v/>
      </c>
      <c r="G4893">
        <f>IF(INDEX(L_Status,ROW()-4)="","",TRIM(UPPER(INDEX(L_Status,ROW()-4))))</f>
        <v/>
      </c>
      <c r="J4893">
        <f>IF(INDEX(L_ID,ROW()-4)="","",IF(SUMPRODUCT((P_ID=INDEX(L_ID,ROW()-4))*(P_StatusN="INACTIVE"))&gt;0,1,0))</f>
        <v/>
      </c>
    </row>
    <row r="4894">
      <c r="A4894">
        <f>IF(INDEX(L_ID,ROW()-4)="","",IF(COUNTIF(P_ID,INDEX(L_ID,ROW()-4))&gt;0,1,0))</f>
        <v/>
      </c>
      <c r="B4894">
        <f>IF(INDEX(P_Type,ROW()-4)="","",TRIM(UPPER(INDEX(P_Type,ROW()-4))))</f>
        <v/>
      </c>
      <c r="D4894">
        <f>IF(INDEX(L_Type,ROW()-4)="","",TRIM(UPPER(INDEX(L_Type,ROW()-4))))</f>
        <v/>
      </c>
      <c r="E4894">
        <f>IF(INDEX(P_Status,ROW()-4)="","",TRIM(UPPER(INDEX(P_Status,ROW()-4))))</f>
        <v/>
      </c>
      <c r="G4894">
        <f>IF(INDEX(L_Status,ROW()-4)="","",TRIM(UPPER(INDEX(L_Status,ROW()-4))))</f>
        <v/>
      </c>
      <c r="J4894">
        <f>IF(INDEX(L_ID,ROW()-4)="","",IF(SUMPRODUCT((P_ID=INDEX(L_ID,ROW()-4))*(P_StatusN="INACTIVE"))&gt;0,1,0))</f>
        <v/>
      </c>
    </row>
    <row r="4895">
      <c r="A4895">
        <f>IF(INDEX(L_ID,ROW()-4)="","",IF(COUNTIF(P_ID,INDEX(L_ID,ROW()-4))&gt;0,1,0))</f>
        <v/>
      </c>
      <c r="B4895">
        <f>IF(INDEX(P_Type,ROW()-4)="","",TRIM(UPPER(INDEX(P_Type,ROW()-4))))</f>
        <v/>
      </c>
      <c r="D4895">
        <f>IF(INDEX(L_Type,ROW()-4)="","",TRIM(UPPER(INDEX(L_Type,ROW()-4))))</f>
        <v/>
      </c>
      <c r="E4895">
        <f>IF(INDEX(P_Status,ROW()-4)="","",TRIM(UPPER(INDEX(P_Status,ROW()-4))))</f>
        <v/>
      </c>
      <c r="G4895">
        <f>IF(INDEX(L_Status,ROW()-4)="","",TRIM(UPPER(INDEX(L_Status,ROW()-4))))</f>
        <v/>
      </c>
      <c r="J4895">
        <f>IF(INDEX(L_ID,ROW()-4)="","",IF(SUMPRODUCT((P_ID=INDEX(L_ID,ROW()-4))*(P_StatusN="INACTIVE"))&gt;0,1,0))</f>
        <v/>
      </c>
    </row>
    <row r="4896">
      <c r="A4896">
        <f>IF(INDEX(L_ID,ROW()-4)="","",IF(COUNTIF(P_ID,INDEX(L_ID,ROW()-4))&gt;0,1,0))</f>
        <v/>
      </c>
      <c r="B4896">
        <f>IF(INDEX(P_Type,ROW()-4)="","",TRIM(UPPER(INDEX(P_Type,ROW()-4))))</f>
        <v/>
      </c>
      <c r="D4896">
        <f>IF(INDEX(L_Type,ROW()-4)="","",TRIM(UPPER(INDEX(L_Type,ROW()-4))))</f>
        <v/>
      </c>
      <c r="E4896">
        <f>IF(INDEX(P_Status,ROW()-4)="","",TRIM(UPPER(INDEX(P_Status,ROW()-4))))</f>
        <v/>
      </c>
      <c r="G4896">
        <f>IF(INDEX(L_Status,ROW()-4)="","",TRIM(UPPER(INDEX(L_Status,ROW()-4))))</f>
        <v/>
      </c>
      <c r="J4896">
        <f>IF(INDEX(L_ID,ROW()-4)="","",IF(SUMPRODUCT((P_ID=INDEX(L_ID,ROW()-4))*(P_StatusN="INACTIVE"))&gt;0,1,0))</f>
        <v/>
      </c>
    </row>
    <row r="4897">
      <c r="A4897">
        <f>IF(INDEX(L_ID,ROW()-4)="","",IF(COUNTIF(P_ID,INDEX(L_ID,ROW()-4))&gt;0,1,0))</f>
        <v/>
      </c>
      <c r="B4897">
        <f>IF(INDEX(P_Type,ROW()-4)="","",TRIM(UPPER(INDEX(P_Type,ROW()-4))))</f>
        <v/>
      </c>
      <c r="D4897">
        <f>IF(INDEX(L_Type,ROW()-4)="","",TRIM(UPPER(INDEX(L_Type,ROW()-4))))</f>
        <v/>
      </c>
      <c r="E4897">
        <f>IF(INDEX(P_Status,ROW()-4)="","",TRIM(UPPER(INDEX(P_Status,ROW()-4))))</f>
        <v/>
      </c>
      <c r="G4897">
        <f>IF(INDEX(L_Status,ROW()-4)="","",TRIM(UPPER(INDEX(L_Status,ROW()-4))))</f>
        <v/>
      </c>
      <c r="J4897">
        <f>IF(INDEX(L_ID,ROW()-4)="","",IF(SUMPRODUCT((P_ID=INDEX(L_ID,ROW()-4))*(P_StatusN="INACTIVE"))&gt;0,1,0))</f>
        <v/>
      </c>
    </row>
    <row r="4898">
      <c r="A4898">
        <f>IF(INDEX(L_ID,ROW()-4)="","",IF(COUNTIF(P_ID,INDEX(L_ID,ROW()-4))&gt;0,1,0))</f>
        <v/>
      </c>
      <c r="B4898">
        <f>IF(INDEX(P_Type,ROW()-4)="","",TRIM(UPPER(INDEX(P_Type,ROW()-4))))</f>
        <v/>
      </c>
      <c r="D4898">
        <f>IF(INDEX(L_Type,ROW()-4)="","",TRIM(UPPER(INDEX(L_Type,ROW()-4))))</f>
        <v/>
      </c>
      <c r="E4898">
        <f>IF(INDEX(P_Status,ROW()-4)="","",TRIM(UPPER(INDEX(P_Status,ROW()-4))))</f>
        <v/>
      </c>
      <c r="G4898">
        <f>IF(INDEX(L_Status,ROW()-4)="","",TRIM(UPPER(INDEX(L_Status,ROW()-4))))</f>
        <v/>
      </c>
      <c r="J4898">
        <f>IF(INDEX(L_ID,ROW()-4)="","",IF(SUMPRODUCT((P_ID=INDEX(L_ID,ROW()-4))*(P_StatusN="INACTIVE"))&gt;0,1,0))</f>
        <v/>
      </c>
    </row>
    <row r="4899">
      <c r="A4899">
        <f>IF(INDEX(L_ID,ROW()-4)="","",IF(COUNTIF(P_ID,INDEX(L_ID,ROW()-4))&gt;0,1,0))</f>
        <v/>
      </c>
      <c r="B4899">
        <f>IF(INDEX(P_Type,ROW()-4)="","",TRIM(UPPER(INDEX(P_Type,ROW()-4))))</f>
        <v/>
      </c>
      <c r="D4899">
        <f>IF(INDEX(L_Type,ROW()-4)="","",TRIM(UPPER(INDEX(L_Type,ROW()-4))))</f>
        <v/>
      </c>
      <c r="E4899">
        <f>IF(INDEX(P_Status,ROW()-4)="","",TRIM(UPPER(INDEX(P_Status,ROW()-4))))</f>
        <v/>
      </c>
      <c r="G4899">
        <f>IF(INDEX(L_Status,ROW()-4)="","",TRIM(UPPER(INDEX(L_Status,ROW()-4))))</f>
        <v/>
      </c>
      <c r="J4899">
        <f>IF(INDEX(L_ID,ROW()-4)="","",IF(SUMPRODUCT((P_ID=INDEX(L_ID,ROW()-4))*(P_StatusN="INACTIVE"))&gt;0,1,0))</f>
        <v/>
      </c>
    </row>
    <row r="4900">
      <c r="A4900">
        <f>IF(INDEX(L_ID,ROW()-4)="","",IF(COUNTIF(P_ID,INDEX(L_ID,ROW()-4))&gt;0,1,0))</f>
        <v/>
      </c>
      <c r="B4900">
        <f>IF(INDEX(P_Type,ROW()-4)="","",TRIM(UPPER(INDEX(P_Type,ROW()-4))))</f>
        <v/>
      </c>
      <c r="D4900">
        <f>IF(INDEX(L_Type,ROW()-4)="","",TRIM(UPPER(INDEX(L_Type,ROW()-4))))</f>
        <v/>
      </c>
      <c r="E4900">
        <f>IF(INDEX(P_Status,ROW()-4)="","",TRIM(UPPER(INDEX(P_Status,ROW()-4))))</f>
        <v/>
      </c>
      <c r="G4900">
        <f>IF(INDEX(L_Status,ROW()-4)="","",TRIM(UPPER(INDEX(L_Status,ROW()-4))))</f>
        <v/>
      </c>
      <c r="J4900">
        <f>IF(INDEX(L_ID,ROW()-4)="","",IF(SUMPRODUCT((P_ID=INDEX(L_ID,ROW()-4))*(P_StatusN="INACTIVE"))&gt;0,1,0))</f>
        <v/>
      </c>
    </row>
    <row r="4901">
      <c r="A4901">
        <f>IF(INDEX(L_ID,ROW()-4)="","",IF(COUNTIF(P_ID,INDEX(L_ID,ROW()-4))&gt;0,1,0))</f>
        <v/>
      </c>
      <c r="B4901">
        <f>IF(INDEX(P_Type,ROW()-4)="","",TRIM(UPPER(INDEX(P_Type,ROW()-4))))</f>
        <v/>
      </c>
      <c r="D4901">
        <f>IF(INDEX(L_Type,ROW()-4)="","",TRIM(UPPER(INDEX(L_Type,ROW()-4))))</f>
        <v/>
      </c>
      <c r="E4901">
        <f>IF(INDEX(P_Status,ROW()-4)="","",TRIM(UPPER(INDEX(P_Status,ROW()-4))))</f>
        <v/>
      </c>
      <c r="G4901">
        <f>IF(INDEX(L_Status,ROW()-4)="","",TRIM(UPPER(INDEX(L_Status,ROW()-4))))</f>
        <v/>
      </c>
      <c r="J4901">
        <f>IF(INDEX(L_ID,ROW()-4)="","",IF(SUMPRODUCT((P_ID=INDEX(L_ID,ROW()-4))*(P_StatusN="INACTIVE"))&gt;0,1,0))</f>
        <v/>
      </c>
    </row>
    <row r="4902">
      <c r="A4902">
        <f>IF(INDEX(L_ID,ROW()-4)="","",IF(COUNTIF(P_ID,INDEX(L_ID,ROW()-4))&gt;0,1,0))</f>
        <v/>
      </c>
      <c r="B4902">
        <f>IF(INDEX(P_Type,ROW()-4)="","",TRIM(UPPER(INDEX(P_Type,ROW()-4))))</f>
        <v/>
      </c>
      <c r="D4902">
        <f>IF(INDEX(L_Type,ROW()-4)="","",TRIM(UPPER(INDEX(L_Type,ROW()-4))))</f>
        <v/>
      </c>
      <c r="E4902">
        <f>IF(INDEX(P_Status,ROW()-4)="","",TRIM(UPPER(INDEX(P_Status,ROW()-4))))</f>
        <v/>
      </c>
      <c r="G4902">
        <f>IF(INDEX(L_Status,ROW()-4)="","",TRIM(UPPER(INDEX(L_Status,ROW()-4))))</f>
        <v/>
      </c>
      <c r="J4902">
        <f>IF(INDEX(L_ID,ROW()-4)="","",IF(SUMPRODUCT((P_ID=INDEX(L_ID,ROW()-4))*(P_StatusN="INACTIVE"))&gt;0,1,0))</f>
        <v/>
      </c>
    </row>
    <row r="4903">
      <c r="A4903">
        <f>IF(INDEX(L_ID,ROW()-4)="","",IF(COUNTIF(P_ID,INDEX(L_ID,ROW()-4))&gt;0,1,0))</f>
        <v/>
      </c>
      <c r="B4903">
        <f>IF(INDEX(P_Type,ROW()-4)="","",TRIM(UPPER(INDEX(P_Type,ROW()-4))))</f>
        <v/>
      </c>
      <c r="D4903">
        <f>IF(INDEX(L_Type,ROW()-4)="","",TRIM(UPPER(INDEX(L_Type,ROW()-4))))</f>
        <v/>
      </c>
      <c r="E4903">
        <f>IF(INDEX(P_Status,ROW()-4)="","",TRIM(UPPER(INDEX(P_Status,ROW()-4))))</f>
        <v/>
      </c>
      <c r="G4903">
        <f>IF(INDEX(L_Status,ROW()-4)="","",TRIM(UPPER(INDEX(L_Status,ROW()-4))))</f>
        <v/>
      </c>
      <c r="J4903">
        <f>IF(INDEX(L_ID,ROW()-4)="","",IF(SUMPRODUCT((P_ID=INDEX(L_ID,ROW()-4))*(P_StatusN="INACTIVE"))&gt;0,1,0))</f>
        <v/>
      </c>
    </row>
    <row r="4904">
      <c r="A4904">
        <f>IF(INDEX(L_ID,ROW()-4)="","",IF(COUNTIF(P_ID,INDEX(L_ID,ROW()-4))&gt;0,1,0))</f>
        <v/>
      </c>
      <c r="B4904">
        <f>IF(INDEX(P_Type,ROW()-4)="","",TRIM(UPPER(INDEX(P_Type,ROW()-4))))</f>
        <v/>
      </c>
      <c r="D4904">
        <f>IF(INDEX(L_Type,ROW()-4)="","",TRIM(UPPER(INDEX(L_Type,ROW()-4))))</f>
        <v/>
      </c>
      <c r="E4904">
        <f>IF(INDEX(P_Status,ROW()-4)="","",TRIM(UPPER(INDEX(P_Status,ROW()-4))))</f>
        <v/>
      </c>
      <c r="G4904">
        <f>IF(INDEX(L_Status,ROW()-4)="","",TRIM(UPPER(INDEX(L_Status,ROW()-4))))</f>
        <v/>
      </c>
      <c r="J4904">
        <f>IF(INDEX(L_ID,ROW()-4)="","",IF(SUMPRODUCT((P_ID=INDEX(L_ID,ROW()-4))*(P_StatusN="INACTIVE"))&gt;0,1,0))</f>
        <v/>
      </c>
    </row>
    <row r="4905">
      <c r="A4905">
        <f>IF(INDEX(L_ID,ROW()-4)="","",IF(COUNTIF(P_ID,INDEX(L_ID,ROW()-4))&gt;0,1,0))</f>
        <v/>
      </c>
      <c r="B4905">
        <f>IF(INDEX(P_Type,ROW()-4)="","",TRIM(UPPER(INDEX(P_Type,ROW()-4))))</f>
        <v/>
      </c>
      <c r="D4905">
        <f>IF(INDEX(L_Type,ROW()-4)="","",TRIM(UPPER(INDEX(L_Type,ROW()-4))))</f>
        <v/>
      </c>
      <c r="E4905">
        <f>IF(INDEX(P_Status,ROW()-4)="","",TRIM(UPPER(INDEX(P_Status,ROW()-4))))</f>
        <v/>
      </c>
      <c r="G4905">
        <f>IF(INDEX(L_Status,ROW()-4)="","",TRIM(UPPER(INDEX(L_Status,ROW()-4))))</f>
        <v/>
      </c>
      <c r="J4905">
        <f>IF(INDEX(L_ID,ROW()-4)="","",IF(SUMPRODUCT((P_ID=INDEX(L_ID,ROW()-4))*(P_StatusN="INACTIVE"))&gt;0,1,0))</f>
        <v/>
      </c>
    </row>
    <row r="4906">
      <c r="A4906">
        <f>IF(INDEX(L_ID,ROW()-4)="","",IF(COUNTIF(P_ID,INDEX(L_ID,ROW()-4))&gt;0,1,0))</f>
        <v/>
      </c>
      <c r="B4906">
        <f>IF(INDEX(P_Type,ROW()-4)="","",TRIM(UPPER(INDEX(P_Type,ROW()-4))))</f>
        <v/>
      </c>
      <c r="D4906">
        <f>IF(INDEX(L_Type,ROW()-4)="","",TRIM(UPPER(INDEX(L_Type,ROW()-4))))</f>
        <v/>
      </c>
      <c r="E4906">
        <f>IF(INDEX(P_Status,ROW()-4)="","",TRIM(UPPER(INDEX(P_Status,ROW()-4))))</f>
        <v/>
      </c>
      <c r="G4906">
        <f>IF(INDEX(L_Status,ROW()-4)="","",TRIM(UPPER(INDEX(L_Status,ROW()-4))))</f>
        <v/>
      </c>
      <c r="J4906">
        <f>IF(INDEX(L_ID,ROW()-4)="","",IF(SUMPRODUCT((P_ID=INDEX(L_ID,ROW()-4))*(P_StatusN="INACTIVE"))&gt;0,1,0))</f>
        <v/>
      </c>
    </row>
    <row r="4907">
      <c r="A4907">
        <f>IF(INDEX(L_ID,ROW()-4)="","",IF(COUNTIF(P_ID,INDEX(L_ID,ROW()-4))&gt;0,1,0))</f>
        <v/>
      </c>
      <c r="B4907">
        <f>IF(INDEX(P_Type,ROW()-4)="","",TRIM(UPPER(INDEX(P_Type,ROW()-4))))</f>
        <v/>
      </c>
      <c r="D4907">
        <f>IF(INDEX(L_Type,ROW()-4)="","",TRIM(UPPER(INDEX(L_Type,ROW()-4))))</f>
        <v/>
      </c>
      <c r="E4907">
        <f>IF(INDEX(P_Status,ROW()-4)="","",TRIM(UPPER(INDEX(P_Status,ROW()-4))))</f>
        <v/>
      </c>
      <c r="G4907">
        <f>IF(INDEX(L_Status,ROW()-4)="","",TRIM(UPPER(INDEX(L_Status,ROW()-4))))</f>
        <v/>
      </c>
      <c r="J4907">
        <f>IF(INDEX(L_ID,ROW()-4)="","",IF(SUMPRODUCT((P_ID=INDEX(L_ID,ROW()-4))*(P_StatusN="INACTIVE"))&gt;0,1,0))</f>
        <v/>
      </c>
    </row>
    <row r="4908">
      <c r="A4908">
        <f>IF(INDEX(L_ID,ROW()-4)="","",IF(COUNTIF(P_ID,INDEX(L_ID,ROW()-4))&gt;0,1,0))</f>
        <v/>
      </c>
      <c r="B4908">
        <f>IF(INDEX(P_Type,ROW()-4)="","",TRIM(UPPER(INDEX(P_Type,ROW()-4))))</f>
        <v/>
      </c>
      <c r="D4908">
        <f>IF(INDEX(L_Type,ROW()-4)="","",TRIM(UPPER(INDEX(L_Type,ROW()-4))))</f>
        <v/>
      </c>
      <c r="E4908">
        <f>IF(INDEX(P_Status,ROW()-4)="","",TRIM(UPPER(INDEX(P_Status,ROW()-4))))</f>
        <v/>
      </c>
      <c r="G4908">
        <f>IF(INDEX(L_Status,ROW()-4)="","",TRIM(UPPER(INDEX(L_Status,ROW()-4))))</f>
        <v/>
      </c>
      <c r="J4908">
        <f>IF(INDEX(L_ID,ROW()-4)="","",IF(SUMPRODUCT((P_ID=INDEX(L_ID,ROW()-4))*(P_StatusN="INACTIVE"))&gt;0,1,0))</f>
        <v/>
      </c>
    </row>
    <row r="4909">
      <c r="A4909">
        <f>IF(INDEX(L_ID,ROW()-4)="","",IF(COUNTIF(P_ID,INDEX(L_ID,ROW()-4))&gt;0,1,0))</f>
        <v/>
      </c>
      <c r="B4909">
        <f>IF(INDEX(P_Type,ROW()-4)="","",TRIM(UPPER(INDEX(P_Type,ROW()-4))))</f>
        <v/>
      </c>
      <c r="D4909">
        <f>IF(INDEX(L_Type,ROW()-4)="","",TRIM(UPPER(INDEX(L_Type,ROW()-4))))</f>
        <v/>
      </c>
      <c r="E4909">
        <f>IF(INDEX(P_Status,ROW()-4)="","",TRIM(UPPER(INDEX(P_Status,ROW()-4))))</f>
        <v/>
      </c>
      <c r="G4909">
        <f>IF(INDEX(L_Status,ROW()-4)="","",TRIM(UPPER(INDEX(L_Status,ROW()-4))))</f>
        <v/>
      </c>
      <c r="J4909">
        <f>IF(INDEX(L_ID,ROW()-4)="","",IF(SUMPRODUCT((P_ID=INDEX(L_ID,ROW()-4))*(P_StatusN="INACTIVE"))&gt;0,1,0))</f>
        <v/>
      </c>
    </row>
    <row r="4910">
      <c r="A4910">
        <f>IF(INDEX(L_ID,ROW()-4)="","",IF(COUNTIF(P_ID,INDEX(L_ID,ROW()-4))&gt;0,1,0))</f>
        <v/>
      </c>
      <c r="B4910">
        <f>IF(INDEX(P_Type,ROW()-4)="","",TRIM(UPPER(INDEX(P_Type,ROW()-4))))</f>
        <v/>
      </c>
      <c r="D4910">
        <f>IF(INDEX(L_Type,ROW()-4)="","",TRIM(UPPER(INDEX(L_Type,ROW()-4))))</f>
        <v/>
      </c>
      <c r="E4910">
        <f>IF(INDEX(P_Status,ROW()-4)="","",TRIM(UPPER(INDEX(P_Status,ROW()-4))))</f>
        <v/>
      </c>
      <c r="G4910">
        <f>IF(INDEX(L_Status,ROW()-4)="","",TRIM(UPPER(INDEX(L_Status,ROW()-4))))</f>
        <v/>
      </c>
      <c r="J4910">
        <f>IF(INDEX(L_ID,ROW()-4)="","",IF(SUMPRODUCT((P_ID=INDEX(L_ID,ROW()-4))*(P_StatusN="INACTIVE"))&gt;0,1,0))</f>
        <v/>
      </c>
    </row>
    <row r="4911">
      <c r="A4911">
        <f>IF(INDEX(L_ID,ROW()-4)="","",IF(COUNTIF(P_ID,INDEX(L_ID,ROW()-4))&gt;0,1,0))</f>
        <v/>
      </c>
      <c r="B4911">
        <f>IF(INDEX(P_Type,ROW()-4)="","",TRIM(UPPER(INDEX(P_Type,ROW()-4))))</f>
        <v/>
      </c>
      <c r="D4911">
        <f>IF(INDEX(L_Type,ROW()-4)="","",TRIM(UPPER(INDEX(L_Type,ROW()-4))))</f>
        <v/>
      </c>
      <c r="E4911">
        <f>IF(INDEX(P_Status,ROW()-4)="","",TRIM(UPPER(INDEX(P_Status,ROW()-4))))</f>
        <v/>
      </c>
      <c r="G4911">
        <f>IF(INDEX(L_Status,ROW()-4)="","",TRIM(UPPER(INDEX(L_Status,ROW()-4))))</f>
        <v/>
      </c>
      <c r="J4911">
        <f>IF(INDEX(L_ID,ROW()-4)="","",IF(SUMPRODUCT((P_ID=INDEX(L_ID,ROW()-4))*(P_StatusN="INACTIVE"))&gt;0,1,0))</f>
        <v/>
      </c>
    </row>
    <row r="4912">
      <c r="A4912">
        <f>IF(INDEX(L_ID,ROW()-4)="","",IF(COUNTIF(P_ID,INDEX(L_ID,ROW()-4))&gt;0,1,0))</f>
        <v/>
      </c>
      <c r="B4912">
        <f>IF(INDEX(P_Type,ROW()-4)="","",TRIM(UPPER(INDEX(P_Type,ROW()-4))))</f>
        <v/>
      </c>
      <c r="D4912">
        <f>IF(INDEX(L_Type,ROW()-4)="","",TRIM(UPPER(INDEX(L_Type,ROW()-4))))</f>
        <v/>
      </c>
      <c r="E4912">
        <f>IF(INDEX(P_Status,ROW()-4)="","",TRIM(UPPER(INDEX(P_Status,ROW()-4))))</f>
        <v/>
      </c>
      <c r="G4912">
        <f>IF(INDEX(L_Status,ROW()-4)="","",TRIM(UPPER(INDEX(L_Status,ROW()-4))))</f>
        <v/>
      </c>
      <c r="J4912">
        <f>IF(INDEX(L_ID,ROW()-4)="","",IF(SUMPRODUCT((P_ID=INDEX(L_ID,ROW()-4))*(P_StatusN="INACTIVE"))&gt;0,1,0))</f>
        <v/>
      </c>
    </row>
    <row r="4913">
      <c r="A4913">
        <f>IF(INDEX(L_ID,ROW()-4)="","",IF(COUNTIF(P_ID,INDEX(L_ID,ROW()-4))&gt;0,1,0))</f>
        <v/>
      </c>
      <c r="B4913">
        <f>IF(INDEX(P_Type,ROW()-4)="","",TRIM(UPPER(INDEX(P_Type,ROW()-4))))</f>
        <v/>
      </c>
      <c r="D4913">
        <f>IF(INDEX(L_Type,ROW()-4)="","",TRIM(UPPER(INDEX(L_Type,ROW()-4))))</f>
        <v/>
      </c>
      <c r="E4913">
        <f>IF(INDEX(P_Status,ROW()-4)="","",TRIM(UPPER(INDEX(P_Status,ROW()-4))))</f>
        <v/>
      </c>
      <c r="G4913">
        <f>IF(INDEX(L_Status,ROW()-4)="","",TRIM(UPPER(INDEX(L_Status,ROW()-4))))</f>
        <v/>
      </c>
      <c r="J4913">
        <f>IF(INDEX(L_ID,ROW()-4)="","",IF(SUMPRODUCT((P_ID=INDEX(L_ID,ROW()-4))*(P_StatusN="INACTIVE"))&gt;0,1,0))</f>
        <v/>
      </c>
    </row>
    <row r="4914">
      <c r="A4914">
        <f>IF(INDEX(L_ID,ROW()-4)="","",IF(COUNTIF(P_ID,INDEX(L_ID,ROW()-4))&gt;0,1,0))</f>
        <v/>
      </c>
      <c r="B4914">
        <f>IF(INDEX(P_Type,ROW()-4)="","",TRIM(UPPER(INDEX(P_Type,ROW()-4))))</f>
        <v/>
      </c>
      <c r="D4914">
        <f>IF(INDEX(L_Type,ROW()-4)="","",TRIM(UPPER(INDEX(L_Type,ROW()-4))))</f>
        <v/>
      </c>
      <c r="E4914">
        <f>IF(INDEX(P_Status,ROW()-4)="","",TRIM(UPPER(INDEX(P_Status,ROW()-4))))</f>
        <v/>
      </c>
      <c r="G4914">
        <f>IF(INDEX(L_Status,ROW()-4)="","",TRIM(UPPER(INDEX(L_Status,ROW()-4))))</f>
        <v/>
      </c>
      <c r="J4914">
        <f>IF(INDEX(L_ID,ROW()-4)="","",IF(SUMPRODUCT((P_ID=INDEX(L_ID,ROW()-4))*(P_StatusN="INACTIVE"))&gt;0,1,0))</f>
        <v/>
      </c>
    </row>
    <row r="4915">
      <c r="A4915">
        <f>IF(INDEX(L_ID,ROW()-4)="","",IF(COUNTIF(P_ID,INDEX(L_ID,ROW()-4))&gt;0,1,0))</f>
        <v/>
      </c>
      <c r="B4915">
        <f>IF(INDEX(P_Type,ROW()-4)="","",TRIM(UPPER(INDEX(P_Type,ROW()-4))))</f>
        <v/>
      </c>
      <c r="D4915">
        <f>IF(INDEX(L_Type,ROW()-4)="","",TRIM(UPPER(INDEX(L_Type,ROW()-4))))</f>
        <v/>
      </c>
      <c r="E4915">
        <f>IF(INDEX(P_Status,ROW()-4)="","",TRIM(UPPER(INDEX(P_Status,ROW()-4))))</f>
        <v/>
      </c>
      <c r="G4915">
        <f>IF(INDEX(L_Status,ROW()-4)="","",TRIM(UPPER(INDEX(L_Status,ROW()-4))))</f>
        <v/>
      </c>
      <c r="J4915">
        <f>IF(INDEX(L_ID,ROW()-4)="","",IF(SUMPRODUCT((P_ID=INDEX(L_ID,ROW()-4))*(P_StatusN="INACTIVE"))&gt;0,1,0))</f>
        <v/>
      </c>
    </row>
    <row r="4916">
      <c r="A4916">
        <f>IF(INDEX(L_ID,ROW()-4)="","",IF(COUNTIF(P_ID,INDEX(L_ID,ROW()-4))&gt;0,1,0))</f>
        <v/>
      </c>
      <c r="B4916">
        <f>IF(INDEX(P_Type,ROW()-4)="","",TRIM(UPPER(INDEX(P_Type,ROW()-4))))</f>
        <v/>
      </c>
      <c r="D4916">
        <f>IF(INDEX(L_Type,ROW()-4)="","",TRIM(UPPER(INDEX(L_Type,ROW()-4))))</f>
        <v/>
      </c>
      <c r="E4916">
        <f>IF(INDEX(P_Status,ROW()-4)="","",TRIM(UPPER(INDEX(P_Status,ROW()-4))))</f>
        <v/>
      </c>
      <c r="G4916">
        <f>IF(INDEX(L_Status,ROW()-4)="","",TRIM(UPPER(INDEX(L_Status,ROW()-4))))</f>
        <v/>
      </c>
      <c r="J4916">
        <f>IF(INDEX(L_ID,ROW()-4)="","",IF(SUMPRODUCT((P_ID=INDEX(L_ID,ROW()-4))*(P_StatusN="INACTIVE"))&gt;0,1,0))</f>
        <v/>
      </c>
    </row>
    <row r="4917">
      <c r="A4917">
        <f>IF(INDEX(L_ID,ROW()-4)="","",IF(COUNTIF(P_ID,INDEX(L_ID,ROW()-4))&gt;0,1,0))</f>
        <v/>
      </c>
      <c r="B4917">
        <f>IF(INDEX(P_Type,ROW()-4)="","",TRIM(UPPER(INDEX(P_Type,ROW()-4))))</f>
        <v/>
      </c>
      <c r="D4917">
        <f>IF(INDEX(L_Type,ROW()-4)="","",TRIM(UPPER(INDEX(L_Type,ROW()-4))))</f>
        <v/>
      </c>
      <c r="E4917">
        <f>IF(INDEX(P_Status,ROW()-4)="","",TRIM(UPPER(INDEX(P_Status,ROW()-4))))</f>
        <v/>
      </c>
      <c r="G4917">
        <f>IF(INDEX(L_Status,ROW()-4)="","",TRIM(UPPER(INDEX(L_Status,ROW()-4))))</f>
        <v/>
      </c>
      <c r="J4917">
        <f>IF(INDEX(L_ID,ROW()-4)="","",IF(SUMPRODUCT((P_ID=INDEX(L_ID,ROW()-4))*(P_StatusN="INACTIVE"))&gt;0,1,0))</f>
        <v/>
      </c>
    </row>
    <row r="4918">
      <c r="A4918">
        <f>IF(INDEX(L_ID,ROW()-4)="","",IF(COUNTIF(P_ID,INDEX(L_ID,ROW()-4))&gt;0,1,0))</f>
        <v/>
      </c>
      <c r="B4918">
        <f>IF(INDEX(P_Type,ROW()-4)="","",TRIM(UPPER(INDEX(P_Type,ROW()-4))))</f>
        <v/>
      </c>
      <c r="D4918">
        <f>IF(INDEX(L_Type,ROW()-4)="","",TRIM(UPPER(INDEX(L_Type,ROW()-4))))</f>
        <v/>
      </c>
      <c r="E4918">
        <f>IF(INDEX(P_Status,ROW()-4)="","",TRIM(UPPER(INDEX(P_Status,ROW()-4))))</f>
        <v/>
      </c>
      <c r="G4918">
        <f>IF(INDEX(L_Status,ROW()-4)="","",TRIM(UPPER(INDEX(L_Status,ROW()-4))))</f>
        <v/>
      </c>
      <c r="J4918">
        <f>IF(INDEX(L_ID,ROW()-4)="","",IF(SUMPRODUCT((P_ID=INDEX(L_ID,ROW()-4))*(P_StatusN="INACTIVE"))&gt;0,1,0))</f>
        <v/>
      </c>
    </row>
    <row r="4919">
      <c r="A4919">
        <f>IF(INDEX(L_ID,ROW()-4)="","",IF(COUNTIF(P_ID,INDEX(L_ID,ROW()-4))&gt;0,1,0))</f>
        <v/>
      </c>
      <c r="B4919">
        <f>IF(INDEX(P_Type,ROW()-4)="","",TRIM(UPPER(INDEX(P_Type,ROW()-4))))</f>
        <v/>
      </c>
      <c r="D4919">
        <f>IF(INDEX(L_Type,ROW()-4)="","",TRIM(UPPER(INDEX(L_Type,ROW()-4))))</f>
        <v/>
      </c>
      <c r="E4919">
        <f>IF(INDEX(P_Status,ROW()-4)="","",TRIM(UPPER(INDEX(P_Status,ROW()-4))))</f>
        <v/>
      </c>
      <c r="G4919">
        <f>IF(INDEX(L_Status,ROW()-4)="","",TRIM(UPPER(INDEX(L_Status,ROW()-4))))</f>
        <v/>
      </c>
      <c r="J4919">
        <f>IF(INDEX(L_ID,ROW()-4)="","",IF(SUMPRODUCT((P_ID=INDEX(L_ID,ROW()-4))*(P_StatusN="INACTIVE"))&gt;0,1,0))</f>
        <v/>
      </c>
    </row>
    <row r="4920">
      <c r="A4920">
        <f>IF(INDEX(L_ID,ROW()-4)="","",IF(COUNTIF(P_ID,INDEX(L_ID,ROW()-4))&gt;0,1,0))</f>
        <v/>
      </c>
      <c r="B4920">
        <f>IF(INDEX(P_Type,ROW()-4)="","",TRIM(UPPER(INDEX(P_Type,ROW()-4))))</f>
        <v/>
      </c>
      <c r="D4920">
        <f>IF(INDEX(L_Type,ROW()-4)="","",TRIM(UPPER(INDEX(L_Type,ROW()-4))))</f>
        <v/>
      </c>
      <c r="E4920">
        <f>IF(INDEX(P_Status,ROW()-4)="","",TRIM(UPPER(INDEX(P_Status,ROW()-4))))</f>
        <v/>
      </c>
      <c r="G4920">
        <f>IF(INDEX(L_Status,ROW()-4)="","",TRIM(UPPER(INDEX(L_Status,ROW()-4))))</f>
        <v/>
      </c>
      <c r="J4920">
        <f>IF(INDEX(L_ID,ROW()-4)="","",IF(SUMPRODUCT((P_ID=INDEX(L_ID,ROW()-4))*(P_StatusN="INACTIVE"))&gt;0,1,0))</f>
        <v/>
      </c>
    </row>
    <row r="4921">
      <c r="A4921">
        <f>IF(INDEX(L_ID,ROW()-4)="","",IF(COUNTIF(P_ID,INDEX(L_ID,ROW()-4))&gt;0,1,0))</f>
        <v/>
      </c>
      <c r="B4921">
        <f>IF(INDEX(P_Type,ROW()-4)="","",TRIM(UPPER(INDEX(P_Type,ROW()-4))))</f>
        <v/>
      </c>
      <c r="D4921">
        <f>IF(INDEX(L_Type,ROW()-4)="","",TRIM(UPPER(INDEX(L_Type,ROW()-4))))</f>
        <v/>
      </c>
      <c r="E4921">
        <f>IF(INDEX(P_Status,ROW()-4)="","",TRIM(UPPER(INDEX(P_Status,ROW()-4))))</f>
        <v/>
      </c>
      <c r="G4921">
        <f>IF(INDEX(L_Status,ROW()-4)="","",TRIM(UPPER(INDEX(L_Status,ROW()-4))))</f>
        <v/>
      </c>
      <c r="J4921">
        <f>IF(INDEX(L_ID,ROW()-4)="","",IF(SUMPRODUCT((P_ID=INDEX(L_ID,ROW()-4))*(P_StatusN="INACTIVE"))&gt;0,1,0))</f>
        <v/>
      </c>
    </row>
    <row r="4922">
      <c r="A4922">
        <f>IF(INDEX(L_ID,ROW()-4)="","",IF(COUNTIF(P_ID,INDEX(L_ID,ROW()-4))&gt;0,1,0))</f>
        <v/>
      </c>
      <c r="B4922">
        <f>IF(INDEX(P_Type,ROW()-4)="","",TRIM(UPPER(INDEX(P_Type,ROW()-4))))</f>
        <v/>
      </c>
      <c r="D4922">
        <f>IF(INDEX(L_Type,ROW()-4)="","",TRIM(UPPER(INDEX(L_Type,ROW()-4))))</f>
        <v/>
      </c>
      <c r="E4922">
        <f>IF(INDEX(P_Status,ROW()-4)="","",TRIM(UPPER(INDEX(P_Status,ROW()-4))))</f>
        <v/>
      </c>
      <c r="G4922">
        <f>IF(INDEX(L_Status,ROW()-4)="","",TRIM(UPPER(INDEX(L_Status,ROW()-4))))</f>
        <v/>
      </c>
      <c r="J4922">
        <f>IF(INDEX(L_ID,ROW()-4)="","",IF(SUMPRODUCT((P_ID=INDEX(L_ID,ROW()-4))*(P_StatusN="INACTIVE"))&gt;0,1,0))</f>
        <v/>
      </c>
    </row>
    <row r="4923">
      <c r="A4923">
        <f>IF(INDEX(L_ID,ROW()-4)="","",IF(COUNTIF(P_ID,INDEX(L_ID,ROW()-4))&gt;0,1,0))</f>
        <v/>
      </c>
      <c r="B4923">
        <f>IF(INDEX(P_Type,ROW()-4)="","",TRIM(UPPER(INDEX(P_Type,ROW()-4))))</f>
        <v/>
      </c>
      <c r="D4923">
        <f>IF(INDEX(L_Type,ROW()-4)="","",TRIM(UPPER(INDEX(L_Type,ROW()-4))))</f>
        <v/>
      </c>
      <c r="E4923">
        <f>IF(INDEX(P_Status,ROW()-4)="","",TRIM(UPPER(INDEX(P_Status,ROW()-4))))</f>
        <v/>
      </c>
      <c r="G4923">
        <f>IF(INDEX(L_Status,ROW()-4)="","",TRIM(UPPER(INDEX(L_Status,ROW()-4))))</f>
        <v/>
      </c>
      <c r="J4923">
        <f>IF(INDEX(L_ID,ROW()-4)="","",IF(SUMPRODUCT((P_ID=INDEX(L_ID,ROW()-4))*(P_StatusN="INACTIVE"))&gt;0,1,0))</f>
        <v/>
      </c>
    </row>
    <row r="4924">
      <c r="A4924">
        <f>IF(INDEX(L_ID,ROW()-4)="","",IF(COUNTIF(P_ID,INDEX(L_ID,ROW()-4))&gt;0,1,0))</f>
        <v/>
      </c>
      <c r="B4924">
        <f>IF(INDEX(P_Type,ROW()-4)="","",TRIM(UPPER(INDEX(P_Type,ROW()-4))))</f>
        <v/>
      </c>
      <c r="D4924">
        <f>IF(INDEX(L_Type,ROW()-4)="","",TRIM(UPPER(INDEX(L_Type,ROW()-4))))</f>
        <v/>
      </c>
      <c r="E4924">
        <f>IF(INDEX(P_Status,ROW()-4)="","",TRIM(UPPER(INDEX(P_Status,ROW()-4))))</f>
        <v/>
      </c>
      <c r="G4924">
        <f>IF(INDEX(L_Status,ROW()-4)="","",TRIM(UPPER(INDEX(L_Status,ROW()-4))))</f>
        <v/>
      </c>
      <c r="J4924">
        <f>IF(INDEX(L_ID,ROW()-4)="","",IF(SUMPRODUCT((P_ID=INDEX(L_ID,ROW()-4))*(P_StatusN="INACTIVE"))&gt;0,1,0))</f>
        <v/>
      </c>
    </row>
    <row r="4925">
      <c r="A4925">
        <f>IF(INDEX(L_ID,ROW()-4)="","",IF(COUNTIF(P_ID,INDEX(L_ID,ROW()-4))&gt;0,1,0))</f>
        <v/>
      </c>
      <c r="B4925">
        <f>IF(INDEX(P_Type,ROW()-4)="","",TRIM(UPPER(INDEX(P_Type,ROW()-4))))</f>
        <v/>
      </c>
      <c r="D4925">
        <f>IF(INDEX(L_Type,ROW()-4)="","",TRIM(UPPER(INDEX(L_Type,ROW()-4))))</f>
        <v/>
      </c>
      <c r="E4925">
        <f>IF(INDEX(P_Status,ROW()-4)="","",TRIM(UPPER(INDEX(P_Status,ROW()-4))))</f>
        <v/>
      </c>
      <c r="G4925">
        <f>IF(INDEX(L_Status,ROW()-4)="","",TRIM(UPPER(INDEX(L_Status,ROW()-4))))</f>
        <v/>
      </c>
      <c r="J4925">
        <f>IF(INDEX(L_ID,ROW()-4)="","",IF(SUMPRODUCT((P_ID=INDEX(L_ID,ROW()-4))*(P_StatusN="INACTIVE"))&gt;0,1,0))</f>
        <v/>
      </c>
    </row>
    <row r="4926">
      <c r="A4926">
        <f>IF(INDEX(L_ID,ROW()-4)="","",IF(COUNTIF(P_ID,INDEX(L_ID,ROW()-4))&gt;0,1,0))</f>
        <v/>
      </c>
      <c r="B4926">
        <f>IF(INDEX(P_Type,ROW()-4)="","",TRIM(UPPER(INDEX(P_Type,ROW()-4))))</f>
        <v/>
      </c>
      <c r="D4926">
        <f>IF(INDEX(L_Type,ROW()-4)="","",TRIM(UPPER(INDEX(L_Type,ROW()-4))))</f>
        <v/>
      </c>
      <c r="E4926">
        <f>IF(INDEX(P_Status,ROW()-4)="","",TRIM(UPPER(INDEX(P_Status,ROW()-4))))</f>
        <v/>
      </c>
      <c r="G4926">
        <f>IF(INDEX(L_Status,ROW()-4)="","",TRIM(UPPER(INDEX(L_Status,ROW()-4))))</f>
        <v/>
      </c>
      <c r="J4926">
        <f>IF(INDEX(L_ID,ROW()-4)="","",IF(SUMPRODUCT((P_ID=INDEX(L_ID,ROW()-4))*(P_StatusN="INACTIVE"))&gt;0,1,0))</f>
        <v/>
      </c>
    </row>
    <row r="4927">
      <c r="A4927">
        <f>IF(INDEX(L_ID,ROW()-4)="","",IF(COUNTIF(P_ID,INDEX(L_ID,ROW()-4))&gt;0,1,0))</f>
        <v/>
      </c>
      <c r="B4927">
        <f>IF(INDEX(P_Type,ROW()-4)="","",TRIM(UPPER(INDEX(P_Type,ROW()-4))))</f>
        <v/>
      </c>
      <c r="D4927">
        <f>IF(INDEX(L_Type,ROW()-4)="","",TRIM(UPPER(INDEX(L_Type,ROW()-4))))</f>
        <v/>
      </c>
      <c r="E4927">
        <f>IF(INDEX(P_Status,ROW()-4)="","",TRIM(UPPER(INDEX(P_Status,ROW()-4))))</f>
        <v/>
      </c>
      <c r="G4927">
        <f>IF(INDEX(L_Status,ROW()-4)="","",TRIM(UPPER(INDEX(L_Status,ROW()-4))))</f>
        <v/>
      </c>
      <c r="J4927">
        <f>IF(INDEX(L_ID,ROW()-4)="","",IF(SUMPRODUCT((P_ID=INDEX(L_ID,ROW()-4))*(P_StatusN="INACTIVE"))&gt;0,1,0))</f>
        <v/>
      </c>
    </row>
    <row r="4928">
      <c r="A4928">
        <f>IF(INDEX(L_ID,ROW()-4)="","",IF(COUNTIF(P_ID,INDEX(L_ID,ROW()-4))&gt;0,1,0))</f>
        <v/>
      </c>
      <c r="B4928">
        <f>IF(INDEX(P_Type,ROW()-4)="","",TRIM(UPPER(INDEX(P_Type,ROW()-4))))</f>
        <v/>
      </c>
      <c r="D4928">
        <f>IF(INDEX(L_Type,ROW()-4)="","",TRIM(UPPER(INDEX(L_Type,ROW()-4))))</f>
        <v/>
      </c>
      <c r="E4928">
        <f>IF(INDEX(P_Status,ROW()-4)="","",TRIM(UPPER(INDEX(P_Status,ROW()-4))))</f>
        <v/>
      </c>
      <c r="G4928">
        <f>IF(INDEX(L_Status,ROW()-4)="","",TRIM(UPPER(INDEX(L_Status,ROW()-4))))</f>
        <v/>
      </c>
      <c r="J4928">
        <f>IF(INDEX(L_ID,ROW()-4)="","",IF(SUMPRODUCT((P_ID=INDEX(L_ID,ROW()-4))*(P_StatusN="INACTIVE"))&gt;0,1,0))</f>
        <v/>
      </c>
    </row>
    <row r="4929">
      <c r="A4929">
        <f>IF(INDEX(L_ID,ROW()-4)="","",IF(COUNTIF(P_ID,INDEX(L_ID,ROW()-4))&gt;0,1,0))</f>
        <v/>
      </c>
      <c r="B4929">
        <f>IF(INDEX(P_Type,ROW()-4)="","",TRIM(UPPER(INDEX(P_Type,ROW()-4))))</f>
        <v/>
      </c>
      <c r="D4929">
        <f>IF(INDEX(L_Type,ROW()-4)="","",TRIM(UPPER(INDEX(L_Type,ROW()-4))))</f>
        <v/>
      </c>
      <c r="E4929">
        <f>IF(INDEX(P_Status,ROW()-4)="","",TRIM(UPPER(INDEX(P_Status,ROW()-4))))</f>
        <v/>
      </c>
      <c r="G4929">
        <f>IF(INDEX(L_Status,ROW()-4)="","",TRIM(UPPER(INDEX(L_Status,ROW()-4))))</f>
        <v/>
      </c>
      <c r="J4929">
        <f>IF(INDEX(L_ID,ROW()-4)="","",IF(SUMPRODUCT((P_ID=INDEX(L_ID,ROW()-4))*(P_StatusN="INACTIVE"))&gt;0,1,0))</f>
        <v/>
      </c>
    </row>
    <row r="4930">
      <c r="A4930">
        <f>IF(INDEX(L_ID,ROW()-4)="","",IF(COUNTIF(P_ID,INDEX(L_ID,ROW()-4))&gt;0,1,0))</f>
        <v/>
      </c>
      <c r="B4930">
        <f>IF(INDEX(P_Type,ROW()-4)="","",TRIM(UPPER(INDEX(P_Type,ROW()-4))))</f>
        <v/>
      </c>
      <c r="D4930">
        <f>IF(INDEX(L_Type,ROW()-4)="","",TRIM(UPPER(INDEX(L_Type,ROW()-4))))</f>
        <v/>
      </c>
      <c r="E4930">
        <f>IF(INDEX(P_Status,ROW()-4)="","",TRIM(UPPER(INDEX(P_Status,ROW()-4))))</f>
        <v/>
      </c>
      <c r="G4930">
        <f>IF(INDEX(L_Status,ROW()-4)="","",TRIM(UPPER(INDEX(L_Status,ROW()-4))))</f>
        <v/>
      </c>
      <c r="J4930">
        <f>IF(INDEX(L_ID,ROW()-4)="","",IF(SUMPRODUCT((P_ID=INDEX(L_ID,ROW()-4))*(P_StatusN="INACTIVE"))&gt;0,1,0))</f>
        <v/>
      </c>
    </row>
    <row r="4931">
      <c r="A4931">
        <f>IF(INDEX(L_ID,ROW()-4)="","",IF(COUNTIF(P_ID,INDEX(L_ID,ROW()-4))&gt;0,1,0))</f>
        <v/>
      </c>
      <c r="B4931">
        <f>IF(INDEX(P_Type,ROW()-4)="","",TRIM(UPPER(INDEX(P_Type,ROW()-4))))</f>
        <v/>
      </c>
      <c r="D4931">
        <f>IF(INDEX(L_Type,ROW()-4)="","",TRIM(UPPER(INDEX(L_Type,ROW()-4))))</f>
        <v/>
      </c>
      <c r="E4931">
        <f>IF(INDEX(P_Status,ROW()-4)="","",TRIM(UPPER(INDEX(P_Status,ROW()-4))))</f>
        <v/>
      </c>
      <c r="G4931">
        <f>IF(INDEX(L_Status,ROW()-4)="","",TRIM(UPPER(INDEX(L_Status,ROW()-4))))</f>
        <v/>
      </c>
      <c r="J4931">
        <f>IF(INDEX(L_ID,ROW()-4)="","",IF(SUMPRODUCT((P_ID=INDEX(L_ID,ROW()-4))*(P_StatusN="INACTIVE"))&gt;0,1,0))</f>
        <v/>
      </c>
    </row>
    <row r="4932">
      <c r="A4932">
        <f>IF(INDEX(L_ID,ROW()-4)="","",IF(COUNTIF(P_ID,INDEX(L_ID,ROW()-4))&gt;0,1,0))</f>
        <v/>
      </c>
      <c r="B4932">
        <f>IF(INDEX(P_Type,ROW()-4)="","",TRIM(UPPER(INDEX(P_Type,ROW()-4))))</f>
        <v/>
      </c>
      <c r="D4932">
        <f>IF(INDEX(L_Type,ROW()-4)="","",TRIM(UPPER(INDEX(L_Type,ROW()-4))))</f>
        <v/>
      </c>
      <c r="E4932">
        <f>IF(INDEX(P_Status,ROW()-4)="","",TRIM(UPPER(INDEX(P_Status,ROW()-4))))</f>
        <v/>
      </c>
      <c r="G4932">
        <f>IF(INDEX(L_Status,ROW()-4)="","",TRIM(UPPER(INDEX(L_Status,ROW()-4))))</f>
        <v/>
      </c>
      <c r="J4932">
        <f>IF(INDEX(L_ID,ROW()-4)="","",IF(SUMPRODUCT((P_ID=INDEX(L_ID,ROW()-4))*(P_StatusN="INACTIVE"))&gt;0,1,0))</f>
        <v/>
      </c>
    </row>
    <row r="4933">
      <c r="A4933">
        <f>IF(INDEX(L_ID,ROW()-4)="","",IF(COUNTIF(P_ID,INDEX(L_ID,ROW()-4))&gt;0,1,0))</f>
        <v/>
      </c>
      <c r="B4933">
        <f>IF(INDEX(P_Type,ROW()-4)="","",TRIM(UPPER(INDEX(P_Type,ROW()-4))))</f>
        <v/>
      </c>
      <c r="D4933">
        <f>IF(INDEX(L_Type,ROW()-4)="","",TRIM(UPPER(INDEX(L_Type,ROW()-4))))</f>
        <v/>
      </c>
      <c r="E4933">
        <f>IF(INDEX(P_Status,ROW()-4)="","",TRIM(UPPER(INDEX(P_Status,ROW()-4))))</f>
        <v/>
      </c>
      <c r="G4933">
        <f>IF(INDEX(L_Status,ROW()-4)="","",TRIM(UPPER(INDEX(L_Status,ROW()-4))))</f>
        <v/>
      </c>
      <c r="J4933">
        <f>IF(INDEX(L_ID,ROW()-4)="","",IF(SUMPRODUCT((P_ID=INDEX(L_ID,ROW()-4))*(P_StatusN="INACTIVE"))&gt;0,1,0))</f>
        <v/>
      </c>
    </row>
    <row r="4934">
      <c r="A4934">
        <f>IF(INDEX(L_ID,ROW()-4)="","",IF(COUNTIF(P_ID,INDEX(L_ID,ROW()-4))&gt;0,1,0))</f>
        <v/>
      </c>
      <c r="B4934">
        <f>IF(INDEX(P_Type,ROW()-4)="","",TRIM(UPPER(INDEX(P_Type,ROW()-4))))</f>
        <v/>
      </c>
      <c r="D4934">
        <f>IF(INDEX(L_Type,ROW()-4)="","",TRIM(UPPER(INDEX(L_Type,ROW()-4))))</f>
        <v/>
      </c>
      <c r="E4934">
        <f>IF(INDEX(P_Status,ROW()-4)="","",TRIM(UPPER(INDEX(P_Status,ROW()-4))))</f>
        <v/>
      </c>
      <c r="G4934">
        <f>IF(INDEX(L_Status,ROW()-4)="","",TRIM(UPPER(INDEX(L_Status,ROW()-4))))</f>
        <v/>
      </c>
      <c r="J4934">
        <f>IF(INDEX(L_ID,ROW()-4)="","",IF(SUMPRODUCT((P_ID=INDEX(L_ID,ROW()-4))*(P_StatusN="INACTIVE"))&gt;0,1,0))</f>
        <v/>
      </c>
    </row>
    <row r="4935">
      <c r="A4935">
        <f>IF(INDEX(L_ID,ROW()-4)="","",IF(COUNTIF(P_ID,INDEX(L_ID,ROW()-4))&gt;0,1,0))</f>
        <v/>
      </c>
      <c r="B4935">
        <f>IF(INDEX(P_Type,ROW()-4)="","",TRIM(UPPER(INDEX(P_Type,ROW()-4))))</f>
        <v/>
      </c>
      <c r="D4935">
        <f>IF(INDEX(L_Type,ROW()-4)="","",TRIM(UPPER(INDEX(L_Type,ROW()-4))))</f>
        <v/>
      </c>
      <c r="E4935">
        <f>IF(INDEX(P_Status,ROW()-4)="","",TRIM(UPPER(INDEX(P_Status,ROW()-4))))</f>
        <v/>
      </c>
      <c r="G4935">
        <f>IF(INDEX(L_Status,ROW()-4)="","",TRIM(UPPER(INDEX(L_Status,ROW()-4))))</f>
        <v/>
      </c>
      <c r="J4935">
        <f>IF(INDEX(L_ID,ROW()-4)="","",IF(SUMPRODUCT((P_ID=INDEX(L_ID,ROW()-4))*(P_StatusN="INACTIVE"))&gt;0,1,0))</f>
        <v/>
      </c>
    </row>
    <row r="4936">
      <c r="A4936">
        <f>IF(INDEX(L_ID,ROW()-4)="","",IF(COUNTIF(P_ID,INDEX(L_ID,ROW()-4))&gt;0,1,0))</f>
        <v/>
      </c>
      <c r="B4936">
        <f>IF(INDEX(P_Type,ROW()-4)="","",TRIM(UPPER(INDEX(P_Type,ROW()-4))))</f>
        <v/>
      </c>
      <c r="D4936">
        <f>IF(INDEX(L_Type,ROW()-4)="","",TRIM(UPPER(INDEX(L_Type,ROW()-4))))</f>
        <v/>
      </c>
      <c r="E4936">
        <f>IF(INDEX(P_Status,ROW()-4)="","",TRIM(UPPER(INDEX(P_Status,ROW()-4))))</f>
        <v/>
      </c>
      <c r="G4936">
        <f>IF(INDEX(L_Status,ROW()-4)="","",TRIM(UPPER(INDEX(L_Status,ROW()-4))))</f>
        <v/>
      </c>
      <c r="J4936">
        <f>IF(INDEX(L_ID,ROW()-4)="","",IF(SUMPRODUCT((P_ID=INDEX(L_ID,ROW()-4))*(P_StatusN="INACTIVE"))&gt;0,1,0))</f>
        <v/>
      </c>
    </row>
    <row r="4937">
      <c r="A4937">
        <f>IF(INDEX(L_ID,ROW()-4)="","",IF(COUNTIF(P_ID,INDEX(L_ID,ROW()-4))&gt;0,1,0))</f>
        <v/>
      </c>
      <c r="B4937">
        <f>IF(INDEX(P_Type,ROW()-4)="","",TRIM(UPPER(INDEX(P_Type,ROW()-4))))</f>
        <v/>
      </c>
      <c r="D4937">
        <f>IF(INDEX(L_Type,ROW()-4)="","",TRIM(UPPER(INDEX(L_Type,ROW()-4))))</f>
        <v/>
      </c>
      <c r="E4937">
        <f>IF(INDEX(P_Status,ROW()-4)="","",TRIM(UPPER(INDEX(P_Status,ROW()-4))))</f>
        <v/>
      </c>
      <c r="G4937">
        <f>IF(INDEX(L_Status,ROW()-4)="","",TRIM(UPPER(INDEX(L_Status,ROW()-4))))</f>
        <v/>
      </c>
      <c r="J4937">
        <f>IF(INDEX(L_ID,ROW()-4)="","",IF(SUMPRODUCT((P_ID=INDEX(L_ID,ROW()-4))*(P_StatusN="INACTIVE"))&gt;0,1,0))</f>
        <v/>
      </c>
    </row>
    <row r="4938">
      <c r="A4938">
        <f>IF(INDEX(L_ID,ROW()-4)="","",IF(COUNTIF(P_ID,INDEX(L_ID,ROW()-4))&gt;0,1,0))</f>
        <v/>
      </c>
      <c r="B4938">
        <f>IF(INDEX(P_Type,ROW()-4)="","",TRIM(UPPER(INDEX(P_Type,ROW()-4))))</f>
        <v/>
      </c>
      <c r="D4938">
        <f>IF(INDEX(L_Type,ROW()-4)="","",TRIM(UPPER(INDEX(L_Type,ROW()-4))))</f>
        <v/>
      </c>
      <c r="E4938">
        <f>IF(INDEX(P_Status,ROW()-4)="","",TRIM(UPPER(INDEX(P_Status,ROW()-4))))</f>
        <v/>
      </c>
      <c r="G4938">
        <f>IF(INDEX(L_Status,ROW()-4)="","",TRIM(UPPER(INDEX(L_Status,ROW()-4))))</f>
        <v/>
      </c>
      <c r="J4938">
        <f>IF(INDEX(L_ID,ROW()-4)="","",IF(SUMPRODUCT((P_ID=INDEX(L_ID,ROW()-4))*(P_StatusN="INACTIVE"))&gt;0,1,0))</f>
        <v/>
      </c>
    </row>
    <row r="4939">
      <c r="A4939">
        <f>IF(INDEX(L_ID,ROW()-4)="","",IF(COUNTIF(P_ID,INDEX(L_ID,ROW()-4))&gt;0,1,0))</f>
        <v/>
      </c>
      <c r="B4939">
        <f>IF(INDEX(P_Type,ROW()-4)="","",TRIM(UPPER(INDEX(P_Type,ROW()-4))))</f>
        <v/>
      </c>
      <c r="D4939">
        <f>IF(INDEX(L_Type,ROW()-4)="","",TRIM(UPPER(INDEX(L_Type,ROW()-4))))</f>
        <v/>
      </c>
      <c r="E4939">
        <f>IF(INDEX(P_Status,ROW()-4)="","",TRIM(UPPER(INDEX(P_Status,ROW()-4))))</f>
        <v/>
      </c>
      <c r="G4939">
        <f>IF(INDEX(L_Status,ROW()-4)="","",TRIM(UPPER(INDEX(L_Status,ROW()-4))))</f>
        <v/>
      </c>
      <c r="J4939">
        <f>IF(INDEX(L_ID,ROW()-4)="","",IF(SUMPRODUCT((P_ID=INDEX(L_ID,ROW()-4))*(P_StatusN="INACTIVE"))&gt;0,1,0))</f>
        <v/>
      </c>
    </row>
    <row r="4940">
      <c r="A4940">
        <f>IF(INDEX(L_ID,ROW()-4)="","",IF(COUNTIF(P_ID,INDEX(L_ID,ROW()-4))&gt;0,1,0))</f>
        <v/>
      </c>
      <c r="B4940">
        <f>IF(INDEX(P_Type,ROW()-4)="","",TRIM(UPPER(INDEX(P_Type,ROW()-4))))</f>
        <v/>
      </c>
      <c r="D4940">
        <f>IF(INDEX(L_Type,ROW()-4)="","",TRIM(UPPER(INDEX(L_Type,ROW()-4))))</f>
        <v/>
      </c>
      <c r="E4940">
        <f>IF(INDEX(P_Status,ROW()-4)="","",TRIM(UPPER(INDEX(P_Status,ROW()-4))))</f>
        <v/>
      </c>
      <c r="G4940">
        <f>IF(INDEX(L_Status,ROW()-4)="","",TRIM(UPPER(INDEX(L_Status,ROW()-4))))</f>
        <v/>
      </c>
      <c r="J4940">
        <f>IF(INDEX(L_ID,ROW()-4)="","",IF(SUMPRODUCT((P_ID=INDEX(L_ID,ROW()-4))*(P_StatusN="INACTIVE"))&gt;0,1,0))</f>
        <v/>
      </c>
    </row>
    <row r="4941">
      <c r="A4941">
        <f>IF(INDEX(L_ID,ROW()-4)="","",IF(COUNTIF(P_ID,INDEX(L_ID,ROW()-4))&gt;0,1,0))</f>
        <v/>
      </c>
      <c r="B4941">
        <f>IF(INDEX(P_Type,ROW()-4)="","",TRIM(UPPER(INDEX(P_Type,ROW()-4))))</f>
        <v/>
      </c>
      <c r="D4941">
        <f>IF(INDEX(L_Type,ROW()-4)="","",TRIM(UPPER(INDEX(L_Type,ROW()-4))))</f>
        <v/>
      </c>
      <c r="E4941">
        <f>IF(INDEX(P_Status,ROW()-4)="","",TRIM(UPPER(INDEX(P_Status,ROW()-4))))</f>
        <v/>
      </c>
      <c r="G4941">
        <f>IF(INDEX(L_Status,ROW()-4)="","",TRIM(UPPER(INDEX(L_Status,ROW()-4))))</f>
        <v/>
      </c>
      <c r="J4941">
        <f>IF(INDEX(L_ID,ROW()-4)="","",IF(SUMPRODUCT((P_ID=INDEX(L_ID,ROW()-4))*(P_StatusN="INACTIVE"))&gt;0,1,0))</f>
        <v/>
      </c>
    </row>
    <row r="4942">
      <c r="A4942">
        <f>IF(INDEX(L_ID,ROW()-4)="","",IF(COUNTIF(P_ID,INDEX(L_ID,ROW()-4))&gt;0,1,0))</f>
        <v/>
      </c>
      <c r="B4942">
        <f>IF(INDEX(P_Type,ROW()-4)="","",TRIM(UPPER(INDEX(P_Type,ROW()-4))))</f>
        <v/>
      </c>
      <c r="D4942">
        <f>IF(INDEX(L_Type,ROW()-4)="","",TRIM(UPPER(INDEX(L_Type,ROW()-4))))</f>
        <v/>
      </c>
      <c r="E4942">
        <f>IF(INDEX(P_Status,ROW()-4)="","",TRIM(UPPER(INDEX(P_Status,ROW()-4))))</f>
        <v/>
      </c>
      <c r="G4942">
        <f>IF(INDEX(L_Status,ROW()-4)="","",TRIM(UPPER(INDEX(L_Status,ROW()-4))))</f>
        <v/>
      </c>
      <c r="J4942">
        <f>IF(INDEX(L_ID,ROW()-4)="","",IF(SUMPRODUCT((P_ID=INDEX(L_ID,ROW()-4))*(P_StatusN="INACTIVE"))&gt;0,1,0))</f>
        <v/>
      </c>
    </row>
    <row r="4943">
      <c r="A4943">
        <f>IF(INDEX(L_ID,ROW()-4)="","",IF(COUNTIF(P_ID,INDEX(L_ID,ROW()-4))&gt;0,1,0))</f>
        <v/>
      </c>
      <c r="B4943">
        <f>IF(INDEX(P_Type,ROW()-4)="","",TRIM(UPPER(INDEX(P_Type,ROW()-4))))</f>
        <v/>
      </c>
      <c r="D4943">
        <f>IF(INDEX(L_Type,ROW()-4)="","",TRIM(UPPER(INDEX(L_Type,ROW()-4))))</f>
        <v/>
      </c>
      <c r="E4943">
        <f>IF(INDEX(P_Status,ROW()-4)="","",TRIM(UPPER(INDEX(P_Status,ROW()-4))))</f>
        <v/>
      </c>
      <c r="G4943">
        <f>IF(INDEX(L_Status,ROW()-4)="","",TRIM(UPPER(INDEX(L_Status,ROW()-4))))</f>
        <v/>
      </c>
      <c r="J4943">
        <f>IF(INDEX(L_ID,ROW()-4)="","",IF(SUMPRODUCT((P_ID=INDEX(L_ID,ROW()-4))*(P_StatusN="INACTIVE"))&gt;0,1,0))</f>
        <v/>
      </c>
    </row>
    <row r="4944">
      <c r="A4944">
        <f>IF(INDEX(L_ID,ROW()-4)="","",IF(COUNTIF(P_ID,INDEX(L_ID,ROW()-4))&gt;0,1,0))</f>
        <v/>
      </c>
      <c r="B4944">
        <f>IF(INDEX(P_Type,ROW()-4)="","",TRIM(UPPER(INDEX(P_Type,ROW()-4))))</f>
        <v/>
      </c>
      <c r="D4944">
        <f>IF(INDEX(L_Type,ROW()-4)="","",TRIM(UPPER(INDEX(L_Type,ROW()-4))))</f>
        <v/>
      </c>
      <c r="E4944">
        <f>IF(INDEX(P_Status,ROW()-4)="","",TRIM(UPPER(INDEX(P_Status,ROW()-4))))</f>
        <v/>
      </c>
      <c r="G4944">
        <f>IF(INDEX(L_Status,ROW()-4)="","",TRIM(UPPER(INDEX(L_Status,ROW()-4))))</f>
        <v/>
      </c>
      <c r="J4944">
        <f>IF(INDEX(L_ID,ROW()-4)="","",IF(SUMPRODUCT((P_ID=INDEX(L_ID,ROW()-4))*(P_StatusN="INACTIVE"))&gt;0,1,0))</f>
        <v/>
      </c>
    </row>
    <row r="4945">
      <c r="A4945">
        <f>IF(INDEX(L_ID,ROW()-4)="","",IF(COUNTIF(P_ID,INDEX(L_ID,ROW()-4))&gt;0,1,0))</f>
        <v/>
      </c>
      <c r="B4945">
        <f>IF(INDEX(P_Type,ROW()-4)="","",TRIM(UPPER(INDEX(P_Type,ROW()-4))))</f>
        <v/>
      </c>
      <c r="D4945">
        <f>IF(INDEX(L_Type,ROW()-4)="","",TRIM(UPPER(INDEX(L_Type,ROW()-4))))</f>
        <v/>
      </c>
      <c r="E4945">
        <f>IF(INDEX(P_Status,ROW()-4)="","",TRIM(UPPER(INDEX(P_Status,ROW()-4))))</f>
        <v/>
      </c>
      <c r="G4945">
        <f>IF(INDEX(L_Status,ROW()-4)="","",TRIM(UPPER(INDEX(L_Status,ROW()-4))))</f>
        <v/>
      </c>
      <c r="J4945">
        <f>IF(INDEX(L_ID,ROW()-4)="","",IF(SUMPRODUCT((P_ID=INDEX(L_ID,ROW()-4))*(P_StatusN="INACTIVE"))&gt;0,1,0))</f>
        <v/>
      </c>
    </row>
    <row r="4946">
      <c r="A4946">
        <f>IF(INDEX(L_ID,ROW()-4)="","",IF(COUNTIF(P_ID,INDEX(L_ID,ROW()-4))&gt;0,1,0))</f>
        <v/>
      </c>
      <c r="B4946">
        <f>IF(INDEX(P_Type,ROW()-4)="","",TRIM(UPPER(INDEX(P_Type,ROW()-4))))</f>
        <v/>
      </c>
      <c r="D4946">
        <f>IF(INDEX(L_Type,ROW()-4)="","",TRIM(UPPER(INDEX(L_Type,ROW()-4))))</f>
        <v/>
      </c>
      <c r="E4946">
        <f>IF(INDEX(P_Status,ROW()-4)="","",TRIM(UPPER(INDEX(P_Status,ROW()-4))))</f>
        <v/>
      </c>
      <c r="G4946">
        <f>IF(INDEX(L_Status,ROW()-4)="","",TRIM(UPPER(INDEX(L_Status,ROW()-4))))</f>
        <v/>
      </c>
      <c r="J4946">
        <f>IF(INDEX(L_ID,ROW()-4)="","",IF(SUMPRODUCT((P_ID=INDEX(L_ID,ROW()-4))*(P_StatusN="INACTIVE"))&gt;0,1,0))</f>
        <v/>
      </c>
    </row>
    <row r="4947">
      <c r="A4947">
        <f>IF(INDEX(L_ID,ROW()-4)="","",IF(COUNTIF(P_ID,INDEX(L_ID,ROW()-4))&gt;0,1,0))</f>
        <v/>
      </c>
      <c r="B4947">
        <f>IF(INDEX(P_Type,ROW()-4)="","",TRIM(UPPER(INDEX(P_Type,ROW()-4))))</f>
        <v/>
      </c>
      <c r="D4947">
        <f>IF(INDEX(L_Type,ROW()-4)="","",TRIM(UPPER(INDEX(L_Type,ROW()-4))))</f>
        <v/>
      </c>
      <c r="E4947">
        <f>IF(INDEX(P_Status,ROW()-4)="","",TRIM(UPPER(INDEX(P_Status,ROW()-4))))</f>
        <v/>
      </c>
      <c r="G4947">
        <f>IF(INDEX(L_Status,ROW()-4)="","",TRIM(UPPER(INDEX(L_Status,ROW()-4))))</f>
        <v/>
      </c>
      <c r="J4947">
        <f>IF(INDEX(L_ID,ROW()-4)="","",IF(SUMPRODUCT((P_ID=INDEX(L_ID,ROW()-4))*(P_StatusN="INACTIVE"))&gt;0,1,0))</f>
        <v/>
      </c>
    </row>
    <row r="4948">
      <c r="A4948">
        <f>IF(INDEX(L_ID,ROW()-4)="","",IF(COUNTIF(P_ID,INDEX(L_ID,ROW()-4))&gt;0,1,0))</f>
        <v/>
      </c>
      <c r="B4948">
        <f>IF(INDEX(P_Type,ROW()-4)="","",TRIM(UPPER(INDEX(P_Type,ROW()-4))))</f>
        <v/>
      </c>
      <c r="D4948">
        <f>IF(INDEX(L_Type,ROW()-4)="","",TRIM(UPPER(INDEX(L_Type,ROW()-4))))</f>
        <v/>
      </c>
      <c r="E4948">
        <f>IF(INDEX(P_Status,ROW()-4)="","",TRIM(UPPER(INDEX(P_Status,ROW()-4))))</f>
        <v/>
      </c>
      <c r="G4948">
        <f>IF(INDEX(L_Status,ROW()-4)="","",TRIM(UPPER(INDEX(L_Status,ROW()-4))))</f>
        <v/>
      </c>
      <c r="J4948">
        <f>IF(INDEX(L_ID,ROW()-4)="","",IF(SUMPRODUCT((P_ID=INDEX(L_ID,ROW()-4))*(P_StatusN="INACTIVE"))&gt;0,1,0))</f>
        <v/>
      </c>
    </row>
    <row r="4949">
      <c r="A4949">
        <f>IF(INDEX(L_ID,ROW()-4)="","",IF(COUNTIF(P_ID,INDEX(L_ID,ROW()-4))&gt;0,1,0))</f>
        <v/>
      </c>
      <c r="B4949">
        <f>IF(INDEX(P_Type,ROW()-4)="","",TRIM(UPPER(INDEX(P_Type,ROW()-4))))</f>
        <v/>
      </c>
      <c r="D4949">
        <f>IF(INDEX(L_Type,ROW()-4)="","",TRIM(UPPER(INDEX(L_Type,ROW()-4))))</f>
        <v/>
      </c>
      <c r="E4949">
        <f>IF(INDEX(P_Status,ROW()-4)="","",TRIM(UPPER(INDEX(P_Status,ROW()-4))))</f>
        <v/>
      </c>
      <c r="G4949">
        <f>IF(INDEX(L_Status,ROW()-4)="","",TRIM(UPPER(INDEX(L_Status,ROW()-4))))</f>
        <v/>
      </c>
      <c r="J4949">
        <f>IF(INDEX(L_ID,ROW()-4)="","",IF(SUMPRODUCT((P_ID=INDEX(L_ID,ROW()-4))*(P_StatusN="INACTIVE"))&gt;0,1,0))</f>
        <v/>
      </c>
    </row>
    <row r="4950">
      <c r="A4950">
        <f>IF(INDEX(L_ID,ROW()-4)="","",IF(COUNTIF(P_ID,INDEX(L_ID,ROW()-4))&gt;0,1,0))</f>
        <v/>
      </c>
      <c r="B4950">
        <f>IF(INDEX(P_Type,ROW()-4)="","",TRIM(UPPER(INDEX(P_Type,ROW()-4))))</f>
        <v/>
      </c>
      <c r="D4950">
        <f>IF(INDEX(L_Type,ROW()-4)="","",TRIM(UPPER(INDEX(L_Type,ROW()-4))))</f>
        <v/>
      </c>
      <c r="E4950">
        <f>IF(INDEX(P_Status,ROW()-4)="","",TRIM(UPPER(INDEX(P_Status,ROW()-4))))</f>
        <v/>
      </c>
      <c r="G4950">
        <f>IF(INDEX(L_Status,ROW()-4)="","",TRIM(UPPER(INDEX(L_Status,ROW()-4))))</f>
        <v/>
      </c>
      <c r="J4950">
        <f>IF(INDEX(L_ID,ROW()-4)="","",IF(SUMPRODUCT((P_ID=INDEX(L_ID,ROW()-4))*(P_StatusN="INACTIVE"))&gt;0,1,0))</f>
        <v/>
      </c>
    </row>
    <row r="4951">
      <c r="A4951">
        <f>IF(INDEX(L_ID,ROW()-4)="","",IF(COUNTIF(P_ID,INDEX(L_ID,ROW()-4))&gt;0,1,0))</f>
        <v/>
      </c>
      <c r="B4951">
        <f>IF(INDEX(P_Type,ROW()-4)="","",TRIM(UPPER(INDEX(P_Type,ROW()-4))))</f>
        <v/>
      </c>
      <c r="D4951">
        <f>IF(INDEX(L_Type,ROW()-4)="","",TRIM(UPPER(INDEX(L_Type,ROW()-4))))</f>
        <v/>
      </c>
      <c r="E4951">
        <f>IF(INDEX(P_Status,ROW()-4)="","",TRIM(UPPER(INDEX(P_Status,ROW()-4))))</f>
        <v/>
      </c>
      <c r="G4951">
        <f>IF(INDEX(L_Status,ROW()-4)="","",TRIM(UPPER(INDEX(L_Status,ROW()-4))))</f>
        <v/>
      </c>
      <c r="J4951">
        <f>IF(INDEX(L_ID,ROW()-4)="","",IF(SUMPRODUCT((P_ID=INDEX(L_ID,ROW()-4))*(P_StatusN="INACTIVE"))&gt;0,1,0))</f>
        <v/>
      </c>
    </row>
    <row r="4952">
      <c r="A4952">
        <f>IF(INDEX(L_ID,ROW()-4)="","",IF(COUNTIF(P_ID,INDEX(L_ID,ROW()-4))&gt;0,1,0))</f>
        <v/>
      </c>
      <c r="B4952">
        <f>IF(INDEX(P_Type,ROW()-4)="","",TRIM(UPPER(INDEX(P_Type,ROW()-4))))</f>
        <v/>
      </c>
      <c r="D4952">
        <f>IF(INDEX(L_Type,ROW()-4)="","",TRIM(UPPER(INDEX(L_Type,ROW()-4))))</f>
        <v/>
      </c>
      <c r="E4952">
        <f>IF(INDEX(P_Status,ROW()-4)="","",TRIM(UPPER(INDEX(P_Status,ROW()-4))))</f>
        <v/>
      </c>
      <c r="G4952">
        <f>IF(INDEX(L_Status,ROW()-4)="","",TRIM(UPPER(INDEX(L_Status,ROW()-4))))</f>
        <v/>
      </c>
      <c r="J4952">
        <f>IF(INDEX(L_ID,ROW()-4)="","",IF(SUMPRODUCT((P_ID=INDEX(L_ID,ROW()-4))*(P_StatusN="INACTIVE"))&gt;0,1,0))</f>
        <v/>
      </c>
    </row>
    <row r="4953">
      <c r="A4953">
        <f>IF(INDEX(L_ID,ROW()-4)="","",IF(COUNTIF(P_ID,INDEX(L_ID,ROW()-4))&gt;0,1,0))</f>
        <v/>
      </c>
      <c r="B4953">
        <f>IF(INDEX(P_Type,ROW()-4)="","",TRIM(UPPER(INDEX(P_Type,ROW()-4))))</f>
        <v/>
      </c>
      <c r="D4953">
        <f>IF(INDEX(L_Type,ROW()-4)="","",TRIM(UPPER(INDEX(L_Type,ROW()-4))))</f>
        <v/>
      </c>
      <c r="E4953">
        <f>IF(INDEX(P_Status,ROW()-4)="","",TRIM(UPPER(INDEX(P_Status,ROW()-4))))</f>
        <v/>
      </c>
      <c r="G4953">
        <f>IF(INDEX(L_Status,ROW()-4)="","",TRIM(UPPER(INDEX(L_Status,ROW()-4))))</f>
        <v/>
      </c>
      <c r="J4953">
        <f>IF(INDEX(L_ID,ROW()-4)="","",IF(SUMPRODUCT((P_ID=INDEX(L_ID,ROW()-4))*(P_StatusN="INACTIVE"))&gt;0,1,0))</f>
        <v/>
      </c>
    </row>
    <row r="4954">
      <c r="A4954">
        <f>IF(INDEX(L_ID,ROW()-4)="","",IF(COUNTIF(P_ID,INDEX(L_ID,ROW()-4))&gt;0,1,0))</f>
        <v/>
      </c>
      <c r="B4954">
        <f>IF(INDEX(P_Type,ROW()-4)="","",TRIM(UPPER(INDEX(P_Type,ROW()-4))))</f>
        <v/>
      </c>
      <c r="D4954">
        <f>IF(INDEX(L_Type,ROW()-4)="","",TRIM(UPPER(INDEX(L_Type,ROW()-4))))</f>
        <v/>
      </c>
      <c r="E4954">
        <f>IF(INDEX(P_Status,ROW()-4)="","",TRIM(UPPER(INDEX(P_Status,ROW()-4))))</f>
        <v/>
      </c>
      <c r="G4954">
        <f>IF(INDEX(L_Status,ROW()-4)="","",TRIM(UPPER(INDEX(L_Status,ROW()-4))))</f>
        <v/>
      </c>
      <c r="J4954">
        <f>IF(INDEX(L_ID,ROW()-4)="","",IF(SUMPRODUCT((P_ID=INDEX(L_ID,ROW()-4))*(P_StatusN="INACTIVE"))&gt;0,1,0))</f>
        <v/>
      </c>
    </row>
    <row r="4955">
      <c r="A4955">
        <f>IF(INDEX(L_ID,ROW()-4)="","",IF(COUNTIF(P_ID,INDEX(L_ID,ROW()-4))&gt;0,1,0))</f>
        <v/>
      </c>
      <c r="B4955">
        <f>IF(INDEX(P_Type,ROW()-4)="","",TRIM(UPPER(INDEX(P_Type,ROW()-4))))</f>
        <v/>
      </c>
      <c r="D4955">
        <f>IF(INDEX(L_Type,ROW()-4)="","",TRIM(UPPER(INDEX(L_Type,ROW()-4))))</f>
        <v/>
      </c>
      <c r="E4955">
        <f>IF(INDEX(P_Status,ROW()-4)="","",TRIM(UPPER(INDEX(P_Status,ROW()-4))))</f>
        <v/>
      </c>
      <c r="G4955">
        <f>IF(INDEX(L_Status,ROW()-4)="","",TRIM(UPPER(INDEX(L_Status,ROW()-4))))</f>
        <v/>
      </c>
      <c r="J4955">
        <f>IF(INDEX(L_ID,ROW()-4)="","",IF(SUMPRODUCT((P_ID=INDEX(L_ID,ROW()-4))*(P_StatusN="INACTIVE"))&gt;0,1,0))</f>
        <v/>
      </c>
    </row>
    <row r="4956">
      <c r="A4956">
        <f>IF(INDEX(L_ID,ROW()-4)="","",IF(COUNTIF(P_ID,INDEX(L_ID,ROW()-4))&gt;0,1,0))</f>
        <v/>
      </c>
      <c r="B4956">
        <f>IF(INDEX(P_Type,ROW()-4)="","",TRIM(UPPER(INDEX(P_Type,ROW()-4))))</f>
        <v/>
      </c>
      <c r="D4956">
        <f>IF(INDEX(L_Type,ROW()-4)="","",TRIM(UPPER(INDEX(L_Type,ROW()-4))))</f>
        <v/>
      </c>
      <c r="E4956">
        <f>IF(INDEX(P_Status,ROW()-4)="","",TRIM(UPPER(INDEX(P_Status,ROW()-4))))</f>
        <v/>
      </c>
      <c r="G4956">
        <f>IF(INDEX(L_Status,ROW()-4)="","",TRIM(UPPER(INDEX(L_Status,ROW()-4))))</f>
        <v/>
      </c>
      <c r="J4956">
        <f>IF(INDEX(L_ID,ROW()-4)="","",IF(SUMPRODUCT((P_ID=INDEX(L_ID,ROW()-4))*(P_StatusN="INACTIVE"))&gt;0,1,0))</f>
        <v/>
      </c>
    </row>
    <row r="4957">
      <c r="A4957">
        <f>IF(INDEX(L_ID,ROW()-4)="","",IF(COUNTIF(P_ID,INDEX(L_ID,ROW()-4))&gt;0,1,0))</f>
        <v/>
      </c>
      <c r="B4957">
        <f>IF(INDEX(P_Type,ROW()-4)="","",TRIM(UPPER(INDEX(P_Type,ROW()-4))))</f>
        <v/>
      </c>
      <c r="D4957">
        <f>IF(INDEX(L_Type,ROW()-4)="","",TRIM(UPPER(INDEX(L_Type,ROW()-4))))</f>
        <v/>
      </c>
      <c r="E4957">
        <f>IF(INDEX(P_Status,ROW()-4)="","",TRIM(UPPER(INDEX(P_Status,ROW()-4))))</f>
        <v/>
      </c>
      <c r="G4957">
        <f>IF(INDEX(L_Status,ROW()-4)="","",TRIM(UPPER(INDEX(L_Status,ROW()-4))))</f>
        <v/>
      </c>
      <c r="J4957">
        <f>IF(INDEX(L_ID,ROW()-4)="","",IF(SUMPRODUCT((P_ID=INDEX(L_ID,ROW()-4))*(P_StatusN="INACTIVE"))&gt;0,1,0))</f>
        <v/>
      </c>
    </row>
    <row r="4958">
      <c r="A4958">
        <f>IF(INDEX(L_ID,ROW()-4)="","",IF(COUNTIF(P_ID,INDEX(L_ID,ROW()-4))&gt;0,1,0))</f>
        <v/>
      </c>
      <c r="B4958">
        <f>IF(INDEX(P_Type,ROW()-4)="","",TRIM(UPPER(INDEX(P_Type,ROW()-4))))</f>
        <v/>
      </c>
      <c r="D4958">
        <f>IF(INDEX(L_Type,ROW()-4)="","",TRIM(UPPER(INDEX(L_Type,ROW()-4))))</f>
        <v/>
      </c>
      <c r="E4958">
        <f>IF(INDEX(P_Status,ROW()-4)="","",TRIM(UPPER(INDEX(P_Status,ROW()-4))))</f>
        <v/>
      </c>
      <c r="G4958">
        <f>IF(INDEX(L_Status,ROW()-4)="","",TRIM(UPPER(INDEX(L_Status,ROW()-4))))</f>
        <v/>
      </c>
      <c r="J4958">
        <f>IF(INDEX(L_ID,ROW()-4)="","",IF(SUMPRODUCT((P_ID=INDEX(L_ID,ROW()-4))*(P_StatusN="INACTIVE"))&gt;0,1,0))</f>
        <v/>
      </c>
    </row>
    <row r="4959">
      <c r="A4959">
        <f>IF(INDEX(L_ID,ROW()-4)="","",IF(COUNTIF(P_ID,INDEX(L_ID,ROW()-4))&gt;0,1,0))</f>
        <v/>
      </c>
      <c r="B4959">
        <f>IF(INDEX(P_Type,ROW()-4)="","",TRIM(UPPER(INDEX(P_Type,ROW()-4))))</f>
        <v/>
      </c>
      <c r="D4959">
        <f>IF(INDEX(L_Type,ROW()-4)="","",TRIM(UPPER(INDEX(L_Type,ROW()-4))))</f>
        <v/>
      </c>
      <c r="E4959">
        <f>IF(INDEX(P_Status,ROW()-4)="","",TRIM(UPPER(INDEX(P_Status,ROW()-4))))</f>
        <v/>
      </c>
      <c r="G4959">
        <f>IF(INDEX(L_Status,ROW()-4)="","",TRIM(UPPER(INDEX(L_Status,ROW()-4))))</f>
        <v/>
      </c>
      <c r="J4959">
        <f>IF(INDEX(L_ID,ROW()-4)="","",IF(SUMPRODUCT((P_ID=INDEX(L_ID,ROW()-4))*(P_StatusN="INACTIVE"))&gt;0,1,0))</f>
        <v/>
      </c>
    </row>
    <row r="4960">
      <c r="A4960">
        <f>IF(INDEX(L_ID,ROW()-4)="","",IF(COUNTIF(P_ID,INDEX(L_ID,ROW()-4))&gt;0,1,0))</f>
        <v/>
      </c>
      <c r="B4960">
        <f>IF(INDEX(P_Type,ROW()-4)="","",TRIM(UPPER(INDEX(P_Type,ROW()-4))))</f>
        <v/>
      </c>
      <c r="D4960">
        <f>IF(INDEX(L_Type,ROW()-4)="","",TRIM(UPPER(INDEX(L_Type,ROW()-4))))</f>
        <v/>
      </c>
      <c r="E4960">
        <f>IF(INDEX(P_Status,ROW()-4)="","",TRIM(UPPER(INDEX(P_Status,ROW()-4))))</f>
        <v/>
      </c>
      <c r="G4960">
        <f>IF(INDEX(L_Status,ROW()-4)="","",TRIM(UPPER(INDEX(L_Status,ROW()-4))))</f>
        <v/>
      </c>
      <c r="J4960">
        <f>IF(INDEX(L_ID,ROW()-4)="","",IF(SUMPRODUCT((P_ID=INDEX(L_ID,ROW()-4))*(P_StatusN="INACTIVE"))&gt;0,1,0))</f>
        <v/>
      </c>
    </row>
    <row r="4961">
      <c r="A4961">
        <f>IF(INDEX(L_ID,ROW()-4)="","",IF(COUNTIF(P_ID,INDEX(L_ID,ROW()-4))&gt;0,1,0))</f>
        <v/>
      </c>
      <c r="B4961">
        <f>IF(INDEX(P_Type,ROW()-4)="","",TRIM(UPPER(INDEX(P_Type,ROW()-4))))</f>
        <v/>
      </c>
      <c r="D4961">
        <f>IF(INDEX(L_Type,ROW()-4)="","",TRIM(UPPER(INDEX(L_Type,ROW()-4))))</f>
        <v/>
      </c>
      <c r="E4961">
        <f>IF(INDEX(P_Status,ROW()-4)="","",TRIM(UPPER(INDEX(P_Status,ROW()-4))))</f>
        <v/>
      </c>
      <c r="G4961">
        <f>IF(INDEX(L_Status,ROW()-4)="","",TRIM(UPPER(INDEX(L_Status,ROW()-4))))</f>
        <v/>
      </c>
      <c r="J4961">
        <f>IF(INDEX(L_ID,ROW()-4)="","",IF(SUMPRODUCT((P_ID=INDEX(L_ID,ROW()-4))*(P_StatusN="INACTIVE"))&gt;0,1,0))</f>
        <v/>
      </c>
    </row>
    <row r="4962">
      <c r="A4962">
        <f>IF(INDEX(L_ID,ROW()-4)="","",IF(COUNTIF(P_ID,INDEX(L_ID,ROW()-4))&gt;0,1,0))</f>
        <v/>
      </c>
      <c r="B4962">
        <f>IF(INDEX(P_Type,ROW()-4)="","",TRIM(UPPER(INDEX(P_Type,ROW()-4))))</f>
        <v/>
      </c>
      <c r="D4962">
        <f>IF(INDEX(L_Type,ROW()-4)="","",TRIM(UPPER(INDEX(L_Type,ROW()-4))))</f>
        <v/>
      </c>
      <c r="E4962">
        <f>IF(INDEX(P_Status,ROW()-4)="","",TRIM(UPPER(INDEX(P_Status,ROW()-4))))</f>
        <v/>
      </c>
      <c r="G4962">
        <f>IF(INDEX(L_Status,ROW()-4)="","",TRIM(UPPER(INDEX(L_Status,ROW()-4))))</f>
        <v/>
      </c>
      <c r="J4962">
        <f>IF(INDEX(L_ID,ROW()-4)="","",IF(SUMPRODUCT((P_ID=INDEX(L_ID,ROW()-4))*(P_StatusN="INACTIVE"))&gt;0,1,0))</f>
        <v/>
      </c>
    </row>
    <row r="4963">
      <c r="A4963">
        <f>IF(INDEX(L_ID,ROW()-4)="","",IF(COUNTIF(P_ID,INDEX(L_ID,ROW()-4))&gt;0,1,0))</f>
        <v/>
      </c>
      <c r="B4963">
        <f>IF(INDEX(P_Type,ROW()-4)="","",TRIM(UPPER(INDEX(P_Type,ROW()-4))))</f>
        <v/>
      </c>
      <c r="D4963">
        <f>IF(INDEX(L_Type,ROW()-4)="","",TRIM(UPPER(INDEX(L_Type,ROW()-4))))</f>
        <v/>
      </c>
      <c r="E4963">
        <f>IF(INDEX(P_Status,ROW()-4)="","",TRIM(UPPER(INDEX(P_Status,ROW()-4))))</f>
        <v/>
      </c>
      <c r="G4963">
        <f>IF(INDEX(L_Status,ROW()-4)="","",TRIM(UPPER(INDEX(L_Status,ROW()-4))))</f>
        <v/>
      </c>
      <c r="J4963">
        <f>IF(INDEX(L_ID,ROW()-4)="","",IF(SUMPRODUCT((P_ID=INDEX(L_ID,ROW()-4))*(P_StatusN="INACTIVE"))&gt;0,1,0))</f>
        <v/>
      </c>
    </row>
    <row r="4964">
      <c r="A4964">
        <f>IF(INDEX(L_ID,ROW()-4)="","",IF(COUNTIF(P_ID,INDEX(L_ID,ROW()-4))&gt;0,1,0))</f>
        <v/>
      </c>
      <c r="B4964">
        <f>IF(INDEX(P_Type,ROW()-4)="","",TRIM(UPPER(INDEX(P_Type,ROW()-4))))</f>
        <v/>
      </c>
      <c r="D4964">
        <f>IF(INDEX(L_Type,ROW()-4)="","",TRIM(UPPER(INDEX(L_Type,ROW()-4))))</f>
        <v/>
      </c>
      <c r="E4964">
        <f>IF(INDEX(P_Status,ROW()-4)="","",TRIM(UPPER(INDEX(P_Status,ROW()-4))))</f>
        <v/>
      </c>
      <c r="G4964">
        <f>IF(INDEX(L_Status,ROW()-4)="","",TRIM(UPPER(INDEX(L_Status,ROW()-4))))</f>
        <v/>
      </c>
      <c r="J4964">
        <f>IF(INDEX(L_ID,ROW()-4)="","",IF(SUMPRODUCT((P_ID=INDEX(L_ID,ROW()-4))*(P_StatusN="INACTIVE"))&gt;0,1,0))</f>
        <v/>
      </c>
    </row>
    <row r="4965">
      <c r="A4965">
        <f>IF(INDEX(L_ID,ROW()-4)="","",IF(COUNTIF(P_ID,INDEX(L_ID,ROW()-4))&gt;0,1,0))</f>
        <v/>
      </c>
      <c r="B4965">
        <f>IF(INDEX(P_Type,ROW()-4)="","",TRIM(UPPER(INDEX(P_Type,ROW()-4))))</f>
        <v/>
      </c>
      <c r="D4965">
        <f>IF(INDEX(L_Type,ROW()-4)="","",TRIM(UPPER(INDEX(L_Type,ROW()-4))))</f>
        <v/>
      </c>
      <c r="E4965">
        <f>IF(INDEX(P_Status,ROW()-4)="","",TRIM(UPPER(INDEX(P_Status,ROW()-4))))</f>
        <v/>
      </c>
      <c r="G4965">
        <f>IF(INDEX(L_Status,ROW()-4)="","",TRIM(UPPER(INDEX(L_Status,ROW()-4))))</f>
        <v/>
      </c>
      <c r="J4965">
        <f>IF(INDEX(L_ID,ROW()-4)="","",IF(SUMPRODUCT((P_ID=INDEX(L_ID,ROW()-4))*(P_StatusN="INACTIVE"))&gt;0,1,0))</f>
        <v/>
      </c>
    </row>
    <row r="4966">
      <c r="A4966">
        <f>IF(INDEX(L_ID,ROW()-4)="","",IF(COUNTIF(P_ID,INDEX(L_ID,ROW()-4))&gt;0,1,0))</f>
        <v/>
      </c>
      <c r="B4966">
        <f>IF(INDEX(P_Type,ROW()-4)="","",TRIM(UPPER(INDEX(P_Type,ROW()-4))))</f>
        <v/>
      </c>
      <c r="D4966">
        <f>IF(INDEX(L_Type,ROW()-4)="","",TRIM(UPPER(INDEX(L_Type,ROW()-4))))</f>
        <v/>
      </c>
      <c r="E4966">
        <f>IF(INDEX(P_Status,ROW()-4)="","",TRIM(UPPER(INDEX(P_Status,ROW()-4))))</f>
        <v/>
      </c>
      <c r="G4966">
        <f>IF(INDEX(L_Status,ROW()-4)="","",TRIM(UPPER(INDEX(L_Status,ROW()-4))))</f>
        <v/>
      </c>
      <c r="J4966">
        <f>IF(INDEX(L_ID,ROW()-4)="","",IF(SUMPRODUCT((P_ID=INDEX(L_ID,ROW()-4))*(P_StatusN="INACTIVE"))&gt;0,1,0))</f>
        <v/>
      </c>
    </row>
    <row r="4967">
      <c r="A4967">
        <f>IF(INDEX(L_ID,ROW()-4)="","",IF(COUNTIF(P_ID,INDEX(L_ID,ROW()-4))&gt;0,1,0))</f>
        <v/>
      </c>
      <c r="B4967">
        <f>IF(INDEX(P_Type,ROW()-4)="","",TRIM(UPPER(INDEX(P_Type,ROW()-4))))</f>
        <v/>
      </c>
      <c r="D4967">
        <f>IF(INDEX(L_Type,ROW()-4)="","",TRIM(UPPER(INDEX(L_Type,ROW()-4))))</f>
        <v/>
      </c>
      <c r="E4967">
        <f>IF(INDEX(P_Status,ROW()-4)="","",TRIM(UPPER(INDEX(P_Status,ROW()-4))))</f>
        <v/>
      </c>
      <c r="G4967">
        <f>IF(INDEX(L_Status,ROW()-4)="","",TRIM(UPPER(INDEX(L_Status,ROW()-4))))</f>
        <v/>
      </c>
      <c r="J4967">
        <f>IF(INDEX(L_ID,ROW()-4)="","",IF(SUMPRODUCT((P_ID=INDEX(L_ID,ROW()-4))*(P_StatusN="INACTIVE"))&gt;0,1,0))</f>
        <v/>
      </c>
    </row>
    <row r="4968">
      <c r="A4968">
        <f>IF(INDEX(L_ID,ROW()-4)="","",IF(COUNTIF(P_ID,INDEX(L_ID,ROW()-4))&gt;0,1,0))</f>
        <v/>
      </c>
      <c r="B4968">
        <f>IF(INDEX(P_Type,ROW()-4)="","",TRIM(UPPER(INDEX(P_Type,ROW()-4))))</f>
        <v/>
      </c>
      <c r="D4968">
        <f>IF(INDEX(L_Type,ROW()-4)="","",TRIM(UPPER(INDEX(L_Type,ROW()-4))))</f>
        <v/>
      </c>
      <c r="E4968">
        <f>IF(INDEX(P_Status,ROW()-4)="","",TRIM(UPPER(INDEX(P_Status,ROW()-4))))</f>
        <v/>
      </c>
      <c r="G4968">
        <f>IF(INDEX(L_Status,ROW()-4)="","",TRIM(UPPER(INDEX(L_Status,ROW()-4))))</f>
        <v/>
      </c>
      <c r="J4968">
        <f>IF(INDEX(L_ID,ROW()-4)="","",IF(SUMPRODUCT((P_ID=INDEX(L_ID,ROW()-4))*(P_StatusN="INACTIVE"))&gt;0,1,0))</f>
        <v/>
      </c>
    </row>
    <row r="4969">
      <c r="A4969">
        <f>IF(INDEX(L_ID,ROW()-4)="","",IF(COUNTIF(P_ID,INDEX(L_ID,ROW()-4))&gt;0,1,0))</f>
        <v/>
      </c>
      <c r="B4969">
        <f>IF(INDEX(P_Type,ROW()-4)="","",TRIM(UPPER(INDEX(P_Type,ROW()-4))))</f>
        <v/>
      </c>
      <c r="D4969">
        <f>IF(INDEX(L_Type,ROW()-4)="","",TRIM(UPPER(INDEX(L_Type,ROW()-4))))</f>
        <v/>
      </c>
      <c r="E4969">
        <f>IF(INDEX(P_Status,ROW()-4)="","",TRIM(UPPER(INDEX(P_Status,ROW()-4))))</f>
        <v/>
      </c>
      <c r="G4969">
        <f>IF(INDEX(L_Status,ROW()-4)="","",TRIM(UPPER(INDEX(L_Status,ROW()-4))))</f>
        <v/>
      </c>
      <c r="J4969">
        <f>IF(INDEX(L_ID,ROW()-4)="","",IF(SUMPRODUCT((P_ID=INDEX(L_ID,ROW()-4))*(P_StatusN="INACTIVE"))&gt;0,1,0))</f>
        <v/>
      </c>
    </row>
    <row r="4970">
      <c r="A4970">
        <f>IF(INDEX(L_ID,ROW()-4)="","",IF(COUNTIF(P_ID,INDEX(L_ID,ROW()-4))&gt;0,1,0))</f>
        <v/>
      </c>
      <c r="B4970">
        <f>IF(INDEX(P_Type,ROW()-4)="","",TRIM(UPPER(INDEX(P_Type,ROW()-4))))</f>
        <v/>
      </c>
      <c r="D4970">
        <f>IF(INDEX(L_Type,ROW()-4)="","",TRIM(UPPER(INDEX(L_Type,ROW()-4))))</f>
        <v/>
      </c>
      <c r="E4970">
        <f>IF(INDEX(P_Status,ROW()-4)="","",TRIM(UPPER(INDEX(P_Status,ROW()-4))))</f>
        <v/>
      </c>
      <c r="G4970">
        <f>IF(INDEX(L_Status,ROW()-4)="","",TRIM(UPPER(INDEX(L_Status,ROW()-4))))</f>
        <v/>
      </c>
      <c r="J4970">
        <f>IF(INDEX(L_ID,ROW()-4)="","",IF(SUMPRODUCT((P_ID=INDEX(L_ID,ROW()-4))*(P_StatusN="INACTIVE"))&gt;0,1,0))</f>
        <v/>
      </c>
    </row>
    <row r="4971">
      <c r="A4971">
        <f>IF(INDEX(L_ID,ROW()-4)="","",IF(COUNTIF(P_ID,INDEX(L_ID,ROW()-4))&gt;0,1,0))</f>
        <v/>
      </c>
      <c r="B4971">
        <f>IF(INDEX(P_Type,ROW()-4)="","",TRIM(UPPER(INDEX(P_Type,ROW()-4))))</f>
        <v/>
      </c>
      <c r="D4971">
        <f>IF(INDEX(L_Type,ROW()-4)="","",TRIM(UPPER(INDEX(L_Type,ROW()-4))))</f>
        <v/>
      </c>
      <c r="E4971">
        <f>IF(INDEX(P_Status,ROW()-4)="","",TRIM(UPPER(INDEX(P_Status,ROW()-4))))</f>
        <v/>
      </c>
      <c r="G4971">
        <f>IF(INDEX(L_Status,ROW()-4)="","",TRIM(UPPER(INDEX(L_Status,ROW()-4))))</f>
        <v/>
      </c>
      <c r="J4971">
        <f>IF(INDEX(L_ID,ROW()-4)="","",IF(SUMPRODUCT((P_ID=INDEX(L_ID,ROW()-4))*(P_StatusN="INACTIVE"))&gt;0,1,0))</f>
        <v/>
      </c>
    </row>
    <row r="4972">
      <c r="A4972">
        <f>IF(INDEX(L_ID,ROW()-4)="","",IF(COUNTIF(P_ID,INDEX(L_ID,ROW()-4))&gt;0,1,0))</f>
        <v/>
      </c>
      <c r="B4972">
        <f>IF(INDEX(P_Type,ROW()-4)="","",TRIM(UPPER(INDEX(P_Type,ROW()-4))))</f>
        <v/>
      </c>
      <c r="D4972">
        <f>IF(INDEX(L_Type,ROW()-4)="","",TRIM(UPPER(INDEX(L_Type,ROW()-4))))</f>
        <v/>
      </c>
      <c r="E4972">
        <f>IF(INDEX(P_Status,ROW()-4)="","",TRIM(UPPER(INDEX(P_Status,ROW()-4))))</f>
        <v/>
      </c>
      <c r="G4972">
        <f>IF(INDEX(L_Status,ROW()-4)="","",TRIM(UPPER(INDEX(L_Status,ROW()-4))))</f>
        <v/>
      </c>
      <c r="J4972">
        <f>IF(INDEX(L_ID,ROW()-4)="","",IF(SUMPRODUCT((P_ID=INDEX(L_ID,ROW()-4))*(P_StatusN="INACTIVE"))&gt;0,1,0))</f>
        <v/>
      </c>
    </row>
    <row r="4973">
      <c r="A4973">
        <f>IF(INDEX(L_ID,ROW()-4)="","",IF(COUNTIF(P_ID,INDEX(L_ID,ROW()-4))&gt;0,1,0))</f>
        <v/>
      </c>
      <c r="B4973">
        <f>IF(INDEX(P_Type,ROW()-4)="","",TRIM(UPPER(INDEX(P_Type,ROW()-4))))</f>
        <v/>
      </c>
      <c r="D4973">
        <f>IF(INDEX(L_Type,ROW()-4)="","",TRIM(UPPER(INDEX(L_Type,ROW()-4))))</f>
        <v/>
      </c>
      <c r="E4973">
        <f>IF(INDEX(P_Status,ROW()-4)="","",TRIM(UPPER(INDEX(P_Status,ROW()-4))))</f>
        <v/>
      </c>
      <c r="G4973">
        <f>IF(INDEX(L_Status,ROW()-4)="","",TRIM(UPPER(INDEX(L_Status,ROW()-4))))</f>
        <v/>
      </c>
      <c r="J4973">
        <f>IF(INDEX(L_ID,ROW()-4)="","",IF(SUMPRODUCT((P_ID=INDEX(L_ID,ROW()-4))*(P_StatusN="INACTIVE"))&gt;0,1,0))</f>
        <v/>
      </c>
    </row>
    <row r="4974">
      <c r="A4974">
        <f>IF(INDEX(L_ID,ROW()-4)="","",IF(COUNTIF(P_ID,INDEX(L_ID,ROW()-4))&gt;0,1,0))</f>
        <v/>
      </c>
      <c r="B4974">
        <f>IF(INDEX(P_Type,ROW()-4)="","",TRIM(UPPER(INDEX(P_Type,ROW()-4))))</f>
        <v/>
      </c>
      <c r="D4974">
        <f>IF(INDEX(L_Type,ROW()-4)="","",TRIM(UPPER(INDEX(L_Type,ROW()-4))))</f>
        <v/>
      </c>
      <c r="E4974">
        <f>IF(INDEX(P_Status,ROW()-4)="","",TRIM(UPPER(INDEX(P_Status,ROW()-4))))</f>
        <v/>
      </c>
      <c r="G4974">
        <f>IF(INDEX(L_Status,ROW()-4)="","",TRIM(UPPER(INDEX(L_Status,ROW()-4))))</f>
        <v/>
      </c>
      <c r="J4974">
        <f>IF(INDEX(L_ID,ROW()-4)="","",IF(SUMPRODUCT((P_ID=INDEX(L_ID,ROW()-4))*(P_StatusN="INACTIVE"))&gt;0,1,0))</f>
        <v/>
      </c>
    </row>
    <row r="4975">
      <c r="A4975">
        <f>IF(INDEX(L_ID,ROW()-4)="","",IF(COUNTIF(P_ID,INDEX(L_ID,ROW()-4))&gt;0,1,0))</f>
        <v/>
      </c>
      <c r="B4975">
        <f>IF(INDEX(P_Type,ROW()-4)="","",TRIM(UPPER(INDEX(P_Type,ROW()-4))))</f>
        <v/>
      </c>
      <c r="D4975">
        <f>IF(INDEX(L_Type,ROW()-4)="","",TRIM(UPPER(INDEX(L_Type,ROW()-4))))</f>
        <v/>
      </c>
      <c r="E4975">
        <f>IF(INDEX(P_Status,ROW()-4)="","",TRIM(UPPER(INDEX(P_Status,ROW()-4))))</f>
        <v/>
      </c>
      <c r="G4975">
        <f>IF(INDEX(L_Status,ROW()-4)="","",TRIM(UPPER(INDEX(L_Status,ROW()-4))))</f>
        <v/>
      </c>
      <c r="J4975">
        <f>IF(INDEX(L_ID,ROW()-4)="","",IF(SUMPRODUCT((P_ID=INDEX(L_ID,ROW()-4))*(P_StatusN="INACTIVE"))&gt;0,1,0))</f>
        <v/>
      </c>
    </row>
    <row r="4976">
      <c r="A4976">
        <f>IF(INDEX(L_ID,ROW()-4)="","",IF(COUNTIF(P_ID,INDEX(L_ID,ROW()-4))&gt;0,1,0))</f>
        <v/>
      </c>
      <c r="B4976">
        <f>IF(INDEX(P_Type,ROW()-4)="","",TRIM(UPPER(INDEX(P_Type,ROW()-4))))</f>
        <v/>
      </c>
      <c r="D4976">
        <f>IF(INDEX(L_Type,ROW()-4)="","",TRIM(UPPER(INDEX(L_Type,ROW()-4))))</f>
        <v/>
      </c>
      <c r="E4976">
        <f>IF(INDEX(P_Status,ROW()-4)="","",TRIM(UPPER(INDEX(P_Status,ROW()-4))))</f>
        <v/>
      </c>
      <c r="G4976">
        <f>IF(INDEX(L_Status,ROW()-4)="","",TRIM(UPPER(INDEX(L_Status,ROW()-4))))</f>
        <v/>
      </c>
      <c r="J4976">
        <f>IF(INDEX(L_ID,ROW()-4)="","",IF(SUMPRODUCT((P_ID=INDEX(L_ID,ROW()-4))*(P_StatusN="INACTIVE"))&gt;0,1,0))</f>
        <v/>
      </c>
    </row>
    <row r="4977">
      <c r="A4977">
        <f>IF(INDEX(L_ID,ROW()-4)="","",IF(COUNTIF(P_ID,INDEX(L_ID,ROW()-4))&gt;0,1,0))</f>
        <v/>
      </c>
      <c r="B4977">
        <f>IF(INDEX(P_Type,ROW()-4)="","",TRIM(UPPER(INDEX(P_Type,ROW()-4))))</f>
        <v/>
      </c>
      <c r="D4977">
        <f>IF(INDEX(L_Type,ROW()-4)="","",TRIM(UPPER(INDEX(L_Type,ROW()-4))))</f>
        <v/>
      </c>
      <c r="E4977">
        <f>IF(INDEX(P_Status,ROW()-4)="","",TRIM(UPPER(INDEX(P_Status,ROW()-4))))</f>
        <v/>
      </c>
      <c r="G4977">
        <f>IF(INDEX(L_Status,ROW()-4)="","",TRIM(UPPER(INDEX(L_Status,ROW()-4))))</f>
        <v/>
      </c>
      <c r="J4977">
        <f>IF(INDEX(L_ID,ROW()-4)="","",IF(SUMPRODUCT((P_ID=INDEX(L_ID,ROW()-4))*(P_StatusN="INACTIVE"))&gt;0,1,0))</f>
        <v/>
      </c>
    </row>
    <row r="4978">
      <c r="A4978">
        <f>IF(INDEX(L_ID,ROW()-4)="","",IF(COUNTIF(P_ID,INDEX(L_ID,ROW()-4))&gt;0,1,0))</f>
        <v/>
      </c>
      <c r="B4978">
        <f>IF(INDEX(P_Type,ROW()-4)="","",TRIM(UPPER(INDEX(P_Type,ROW()-4))))</f>
        <v/>
      </c>
      <c r="D4978">
        <f>IF(INDEX(L_Type,ROW()-4)="","",TRIM(UPPER(INDEX(L_Type,ROW()-4))))</f>
        <v/>
      </c>
      <c r="E4978">
        <f>IF(INDEX(P_Status,ROW()-4)="","",TRIM(UPPER(INDEX(P_Status,ROW()-4))))</f>
        <v/>
      </c>
      <c r="G4978">
        <f>IF(INDEX(L_Status,ROW()-4)="","",TRIM(UPPER(INDEX(L_Status,ROW()-4))))</f>
        <v/>
      </c>
      <c r="J4978">
        <f>IF(INDEX(L_ID,ROW()-4)="","",IF(SUMPRODUCT((P_ID=INDEX(L_ID,ROW()-4))*(P_StatusN="INACTIVE"))&gt;0,1,0))</f>
        <v/>
      </c>
    </row>
    <row r="4979">
      <c r="A4979">
        <f>IF(INDEX(L_ID,ROW()-4)="","",IF(COUNTIF(P_ID,INDEX(L_ID,ROW()-4))&gt;0,1,0))</f>
        <v/>
      </c>
      <c r="B4979">
        <f>IF(INDEX(P_Type,ROW()-4)="","",TRIM(UPPER(INDEX(P_Type,ROW()-4))))</f>
        <v/>
      </c>
      <c r="D4979">
        <f>IF(INDEX(L_Type,ROW()-4)="","",TRIM(UPPER(INDEX(L_Type,ROW()-4))))</f>
        <v/>
      </c>
      <c r="E4979">
        <f>IF(INDEX(P_Status,ROW()-4)="","",TRIM(UPPER(INDEX(P_Status,ROW()-4))))</f>
        <v/>
      </c>
      <c r="G4979">
        <f>IF(INDEX(L_Status,ROW()-4)="","",TRIM(UPPER(INDEX(L_Status,ROW()-4))))</f>
        <v/>
      </c>
      <c r="J4979">
        <f>IF(INDEX(L_ID,ROW()-4)="","",IF(SUMPRODUCT((P_ID=INDEX(L_ID,ROW()-4))*(P_StatusN="INACTIVE"))&gt;0,1,0))</f>
        <v/>
      </c>
    </row>
    <row r="4980">
      <c r="A4980">
        <f>IF(INDEX(L_ID,ROW()-4)="","",IF(COUNTIF(P_ID,INDEX(L_ID,ROW()-4))&gt;0,1,0))</f>
        <v/>
      </c>
      <c r="B4980">
        <f>IF(INDEX(P_Type,ROW()-4)="","",TRIM(UPPER(INDEX(P_Type,ROW()-4))))</f>
        <v/>
      </c>
      <c r="D4980">
        <f>IF(INDEX(L_Type,ROW()-4)="","",TRIM(UPPER(INDEX(L_Type,ROW()-4))))</f>
        <v/>
      </c>
      <c r="E4980">
        <f>IF(INDEX(P_Status,ROW()-4)="","",TRIM(UPPER(INDEX(P_Status,ROW()-4))))</f>
        <v/>
      </c>
      <c r="G4980">
        <f>IF(INDEX(L_Status,ROW()-4)="","",TRIM(UPPER(INDEX(L_Status,ROW()-4))))</f>
        <v/>
      </c>
      <c r="J4980">
        <f>IF(INDEX(L_ID,ROW()-4)="","",IF(SUMPRODUCT((P_ID=INDEX(L_ID,ROW()-4))*(P_StatusN="INACTIVE"))&gt;0,1,0))</f>
        <v/>
      </c>
    </row>
    <row r="4981">
      <c r="A4981">
        <f>IF(INDEX(L_ID,ROW()-4)="","",IF(COUNTIF(P_ID,INDEX(L_ID,ROW()-4))&gt;0,1,0))</f>
        <v/>
      </c>
      <c r="B4981">
        <f>IF(INDEX(P_Type,ROW()-4)="","",TRIM(UPPER(INDEX(P_Type,ROW()-4))))</f>
        <v/>
      </c>
      <c r="D4981">
        <f>IF(INDEX(L_Type,ROW()-4)="","",TRIM(UPPER(INDEX(L_Type,ROW()-4))))</f>
        <v/>
      </c>
      <c r="E4981">
        <f>IF(INDEX(P_Status,ROW()-4)="","",TRIM(UPPER(INDEX(P_Status,ROW()-4))))</f>
        <v/>
      </c>
      <c r="G4981">
        <f>IF(INDEX(L_Status,ROW()-4)="","",TRIM(UPPER(INDEX(L_Status,ROW()-4))))</f>
        <v/>
      </c>
      <c r="J4981">
        <f>IF(INDEX(L_ID,ROW()-4)="","",IF(SUMPRODUCT((P_ID=INDEX(L_ID,ROW()-4))*(P_StatusN="INACTIVE"))&gt;0,1,0))</f>
        <v/>
      </c>
    </row>
    <row r="4982">
      <c r="A4982">
        <f>IF(INDEX(L_ID,ROW()-4)="","",IF(COUNTIF(P_ID,INDEX(L_ID,ROW()-4))&gt;0,1,0))</f>
        <v/>
      </c>
      <c r="B4982">
        <f>IF(INDEX(P_Type,ROW()-4)="","",TRIM(UPPER(INDEX(P_Type,ROW()-4))))</f>
        <v/>
      </c>
      <c r="D4982">
        <f>IF(INDEX(L_Type,ROW()-4)="","",TRIM(UPPER(INDEX(L_Type,ROW()-4))))</f>
        <v/>
      </c>
      <c r="E4982">
        <f>IF(INDEX(P_Status,ROW()-4)="","",TRIM(UPPER(INDEX(P_Status,ROW()-4))))</f>
        <v/>
      </c>
      <c r="G4982">
        <f>IF(INDEX(L_Status,ROW()-4)="","",TRIM(UPPER(INDEX(L_Status,ROW()-4))))</f>
        <v/>
      </c>
      <c r="J4982">
        <f>IF(INDEX(L_ID,ROW()-4)="","",IF(SUMPRODUCT((P_ID=INDEX(L_ID,ROW()-4))*(P_StatusN="INACTIVE"))&gt;0,1,0))</f>
        <v/>
      </c>
    </row>
    <row r="4983">
      <c r="A4983">
        <f>IF(INDEX(L_ID,ROW()-4)="","",IF(COUNTIF(P_ID,INDEX(L_ID,ROW()-4))&gt;0,1,0))</f>
        <v/>
      </c>
      <c r="B4983">
        <f>IF(INDEX(P_Type,ROW()-4)="","",TRIM(UPPER(INDEX(P_Type,ROW()-4))))</f>
        <v/>
      </c>
      <c r="D4983">
        <f>IF(INDEX(L_Type,ROW()-4)="","",TRIM(UPPER(INDEX(L_Type,ROW()-4))))</f>
        <v/>
      </c>
      <c r="E4983">
        <f>IF(INDEX(P_Status,ROW()-4)="","",TRIM(UPPER(INDEX(P_Status,ROW()-4))))</f>
        <v/>
      </c>
      <c r="G4983">
        <f>IF(INDEX(L_Status,ROW()-4)="","",TRIM(UPPER(INDEX(L_Status,ROW()-4))))</f>
        <v/>
      </c>
      <c r="J4983">
        <f>IF(INDEX(L_ID,ROW()-4)="","",IF(SUMPRODUCT((P_ID=INDEX(L_ID,ROW()-4))*(P_StatusN="INACTIVE"))&gt;0,1,0))</f>
        <v/>
      </c>
    </row>
    <row r="4984">
      <c r="A4984">
        <f>IF(INDEX(L_ID,ROW()-4)="","",IF(COUNTIF(P_ID,INDEX(L_ID,ROW()-4))&gt;0,1,0))</f>
        <v/>
      </c>
      <c r="B4984">
        <f>IF(INDEX(P_Type,ROW()-4)="","",TRIM(UPPER(INDEX(P_Type,ROW()-4))))</f>
        <v/>
      </c>
      <c r="D4984">
        <f>IF(INDEX(L_Type,ROW()-4)="","",TRIM(UPPER(INDEX(L_Type,ROW()-4))))</f>
        <v/>
      </c>
      <c r="E4984">
        <f>IF(INDEX(P_Status,ROW()-4)="","",TRIM(UPPER(INDEX(P_Status,ROW()-4))))</f>
        <v/>
      </c>
      <c r="G4984">
        <f>IF(INDEX(L_Status,ROW()-4)="","",TRIM(UPPER(INDEX(L_Status,ROW()-4))))</f>
        <v/>
      </c>
      <c r="J4984">
        <f>IF(INDEX(L_ID,ROW()-4)="","",IF(SUMPRODUCT((P_ID=INDEX(L_ID,ROW()-4))*(P_StatusN="INACTIVE"))&gt;0,1,0))</f>
        <v/>
      </c>
    </row>
    <row r="4985">
      <c r="A4985">
        <f>IF(INDEX(L_ID,ROW()-4)="","",IF(COUNTIF(P_ID,INDEX(L_ID,ROW()-4))&gt;0,1,0))</f>
        <v/>
      </c>
      <c r="B4985">
        <f>IF(INDEX(P_Type,ROW()-4)="","",TRIM(UPPER(INDEX(P_Type,ROW()-4))))</f>
        <v/>
      </c>
      <c r="D4985">
        <f>IF(INDEX(L_Type,ROW()-4)="","",TRIM(UPPER(INDEX(L_Type,ROW()-4))))</f>
        <v/>
      </c>
      <c r="E4985">
        <f>IF(INDEX(P_Status,ROW()-4)="","",TRIM(UPPER(INDEX(P_Status,ROW()-4))))</f>
        <v/>
      </c>
      <c r="G4985">
        <f>IF(INDEX(L_Status,ROW()-4)="","",TRIM(UPPER(INDEX(L_Status,ROW()-4))))</f>
        <v/>
      </c>
      <c r="J4985">
        <f>IF(INDEX(L_ID,ROW()-4)="","",IF(SUMPRODUCT((P_ID=INDEX(L_ID,ROW()-4))*(P_StatusN="INACTIVE"))&gt;0,1,0))</f>
        <v/>
      </c>
    </row>
    <row r="4986">
      <c r="A4986">
        <f>IF(INDEX(L_ID,ROW()-4)="","",IF(COUNTIF(P_ID,INDEX(L_ID,ROW()-4))&gt;0,1,0))</f>
        <v/>
      </c>
      <c r="B4986">
        <f>IF(INDEX(P_Type,ROW()-4)="","",TRIM(UPPER(INDEX(P_Type,ROW()-4))))</f>
        <v/>
      </c>
      <c r="D4986">
        <f>IF(INDEX(L_Type,ROW()-4)="","",TRIM(UPPER(INDEX(L_Type,ROW()-4))))</f>
        <v/>
      </c>
      <c r="E4986">
        <f>IF(INDEX(P_Status,ROW()-4)="","",TRIM(UPPER(INDEX(P_Status,ROW()-4))))</f>
        <v/>
      </c>
      <c r="G4986">
        <f>IF(INDEX(L_Status,ROW()-4)="","",TRIM(UPPER(INDEX(L_Status,ROW()-4))))</f>
        <v/>
      </c>
      <c r="J4986">
        <f>IF(INDEX(L_ID,ROW()-4)="","",IF(SUMPRODUCT((P_ID=INDEX(L_ID,ROW()-4))*(P_StatusN="INACTIVE"))&gt;0,1,0))</f>
        <v/>
      </c>
    </row>
    <row r="4987">
      <c r="A4987">
        <f>IF(INDEX(L_ID,ROW()-4)="","",IF(COUNTIF(P_ID,INDEX(L_ID,ROW()-4))&gt;0,1,0))</f>
        <v/>
      </c>
      <c r="B4987">
        <f>IF(INDEX(P_Type,ROW()-4)="","",TRIM(UPPER(INDEX(P_Type,ROW()-4))))</f>
        <v/>
      </c>
      <c r="D4987">
        <f>IF(INDEX(L_Type,ROW()-4)="","",TRIM(UPPER(INDEX(L_Type,ROW()-4))))</f>
        <v/>
      </c>
      <c r="E4987">
        <f>IF(INDEX(P_Status,ROW()-4)="","",TRIM(UPPER(INDEX(P_Status,ROW()-4))))</f>
        <v/>
      </c>
      <c r="G4987">
        <f>IF(INDEX(L_Status,ROW()-4)="","",TRIM(UPPER(INDEX(L_Status,ROW()-4))))</f>
        <v/>
      </c>
      <c r="J4987">
        <f>IF(INDEX(L_ID,ROW()-4)="","",IF(SUMPRODUCT((P_ID=INDEX(L_ID,ROW()-4))*(P_StatusN="INACTIVE"))&gt;0,1,0))</f>
        <v/>
      </c>
    </row>
    <row r="4988">
      <c r="A4988">
        <f>IF(INDEX(L_ID,ROW()-4)="","",IF(COUNTIF(P_ID,INDEX(L_ID,ROW()-4))&gt;0,1,0))</f>
        <v/>
      </c>
      <c r="B4988">
        <f>IF(INDEX(P_Type,ROW()-4)="","",TRIM(UPPER(INDEX(P_Type,ROW()-4))))</f>
        <v/>
      </c>
      <c r="D4988">
        <f>IF(INDEX(L_Type,ROW()-4)="","",TRIM(UPPER(INDEX(L_Type,ROW()-4))))</f>
        <v/>
      </c>
      <c r="E4988">
        <f>IF(INDEX(P_Status,ROW()-4)="","",TRIM(UPPER(INDEX(P_Status,ROW()-4))))</f>
        <v/>
      </c>
      <c r="G4988">
        <f>IF(INDEX(L_Status,ROW()-4)="","",TRIM(UPPER(INDEX(L_Status,ROW()-4))))</f>
        <v/>
      </c>
      <c r="J4988">
        <f>IF(INDEX(L_ID,ROW()-4)="","",IF(SUMPRODUCT((P_ID=INDEX(L_ID,ROW()-4))*(P_StatusN="INACTIVE"))&gt;0,1,0))</f>
        <v/>
      </c>
    </row>
    <row r="4989">
      <c r="A4989">
        <f>IF(INDEX(L_ID,ROW()-4)="","",IF(COUNTIF(P_ID,INDEX(L_ID,ROW()-4))&gt;0,1,0))</f>
        <v/>
      </c>
      <c r="B4989">
        <f>IF(INDEX(P_Type,ROW()-4)="","",TRIM(UPPER(INDEX(P_Type,ROW()-4))))</f>
        <v/>
      </c>
      <c r="D4989">
        <f>IF(INDEX(L_Type,ROW()-4)="","",TRIM(UPPER(INDEX(L_Type,ROW()-4))))</f>
        <v/>
      </c>
      <c r="E4989">
        <f>IF(INDEX(P_Status,ROW()-4)="","",TRIM(UPPER(INDEX(P_Status,ROW()-4))))</f>
        <v/>
      </c>
      <c r="G4989">
        <f>IF(INDEX(L_Status,ROW()-4)="","",TRIM(UPPER(INDEX(L_Status,ROW()-4))))</f>
        <v/>
      </c>
      <c r="J4989">
        <f>IF(INDEX(L_ID,ROW()-4)="","",IF(SUMPRODUCT((P_ID=INDEX(L_ID,ROW()-4))*(P_StatusN="INACTIVE"))&gt;0,1,0))</f>
        <v/>
      </c>
    </row>
    <row r="4990">
      <c r="A4990">
        <f>IF(INDEX(L_ID,ROW()-4)="","",IF(COUNTIF(P_ID,INDEX(L_ID,ROW()-4))&gt;0,1,0))</f>
        <v/>
      </c>
      <c r="B4990">
        <f>IF(INDEX(P_Type,ROW()-4)="","",TRIM(UPPER(INDEX(P_Type,ROW()-4))))</f>
        <v/>
      </c>
      <c r="D4990">
        <f>IF(INDEX(L_Type,ROW()-4)="","",TRIM(UPPER(INDEX(L_Type,ROW()-4))))</f>
        <v/>
      </c>
      <c r="E4990">
        <f>IF(INDEX(P_Status,ROW()-4)="","",TRIM(UPPER(INDEX(P_Status,ROW()-4))))</f>
        <v/>
      </c>
      <c r="G4990">
        <f>IF(INDEX(L_Status,ROW()-4)="","",TRIM(UPPER(INDEX(L_Status,ROW()-4))))</f>
        <v/>
      </c>
      <c r="J4990">
        <f>IF(INDEX(L_ID,ROW()-4)="","",IF(SUMPRODUCT((P_ID=INDEX(L_ID,ROW()-4))*(P_StatusN="INACTIVE"))&gt;0,1,0))</f>
        <v/>
      </c>
    </row>
    <row r="4991">
      <c r="A4991">
        <f>IF(INDEX(L_ID,ROW()-4)="","",IF(COUNTIF(P_ID,INDEX(L_ID,ROW()-4))&gt;0,1,0))</f>
        <v/>
      </c>
      <c r="B4991">
        <f>IF(INDEX(P_Type,ROW()-4)="","",TRIM(UPPER(INDEX(P_Type,ROW()-4))))</f>
        <v/>
      </c>
      <c r="D4991">
        <f>IF(INDEX(L_Type,ROW()-4)="","",TRIM(UPPER(INDEX(L_Type,ROW()-4))))</f>
        <v/>
      </c>
      <c r="E4991">
        <f>IF(INDEX(P_Status,ROW()-4)="","",TRIM(UPPER(INDEX(P_Status,ROW()-4))))</f>
        <v/>
      </c>
      <c r="G4991">
        <f>IF(INDEX(L_Status,ROW()-4)="","",TRIM(UPPER(INDEX(L_Status,ROW()-4))))</f>
        <v/>
      </c>
      <c r="J4991">
        <f>IF(INDEX(L_ID,ROW()-4)="","",IF(SUMPRODUCT((P_ID=INDEX(L_ID,ROW()-4))*(P_StatusN="INACTIVE"))&gt;0,1,0))</f>
        <v/>
      </c>
    </row>
    <row r="4992">
      <c r="A4992">
        <f>IF(INDEX(L_ID,ROW()-4)="","",IF(COUNTIF(P_ID,INDEX(L_ID,ROW()-4))&gt;0,1,0))</f>
        <v/>
      </c>
      <c r="B4992">
        <f>IF(INDEX(P_Type,ROW()-4)="","",TRIM(UPPER(INDEX(P_Type,ROW()-4))))</f>
        <v/>
      </c>
      <c r="D4992">
        <f>IF(INDEX(L_Type,ROW()-4)="","",TRIM(UPPER(INDEX(L_Type,ROW()-4))))</f>
        <v/>
      </c>
      <c r="E4992">
        <f>IF(INDEX(P_Status,ROW()-4)="","",TRIM(UPPER(INDEX(P_Status,ROW()-4))))</f>
        <v/>
      </c>
      <c r="G4992">
        <f>IF(INDEX(L_Status,ROW()-4)="","",TRIM(UPPER(INDEX(L_Status,ROW()-4))))</f>
        <v/>
      </c>
      <c r="J4992">
        <f>IF(INDEX(L_ID,ROW()-4)="","",IF(SUMPRODUCT((P_ID=INDEX(L_ID,ROW()-4))*(P_StatusN="INACTIVE"))&gt;0,1,0))</f>
        <v/>
      </c>
    </row>
    <row r="4993">
      <c r="A4993">
        <f>IF(INDEX(L_ID,ROW()-4)="","",IF(COUNTIF(P_ID,INDEX(L_ID,ROW()-4))&gt;0,1,0))</f>
        <v/>
      </c>
      <c r="B4993">
        <f>IF(INDEX(P_Type,ROW()-4)="","",TRIM(UPPER(INDEX(P_Type,ROW()-4))))</f>
        <v/>
      </c>
      <c r="D4993">
        <f>IF(INDEX(L_Type,ROW()-4)="","",TRIM(UPPER(INDEX(L_Type,ROW()-4))))</f>
        <v/>
      </c>
      <c r="E4993">
        <f>IF(INDEX(P_Status,ROW()-4)="","",TRIM(UPPER(INDEX(P_Status,ROW()-4))))</f>
        <v/>
      </c>
      <c r="G4993">
        <f>IF(INDEX(L_Status,ROW()-4)="","",TRIM(UPPER(INDEX(L_Status,ROW()-4))))</f>
        <v/>
      </c>
      <c r="J4993">
        <f>IF(INDEX(L_ID,ROW()-4)="","",IF(SUMPRODUCT((P_ID=INDEX(L_ID,ROW()-4))*(P_StatusN="INACTIVE"))&gt;0,1,0))</f>
        <v/>
      </c>
    </row>
    <row r="4994">
      <c r="A4994">
        <f>IF(INDEX(L_ID,ROW()-4)="","",IF(COUNTIF(P_ID,INDEX(L_ID,ROW()-4))&gt;0,1,0))</f>
        <v/>
      </c>
      <c r="B4994">
        <f>IF(INDEX(P_Type,ROW()-4)="","",TRIM(UPPER(INDEX(P_Type,ROW()-4))))</f>
        <v/>
      </c>
      <c r="D4994">
        <f>IF(INDEX(L_Type,ROW()-4)="","",TRIM(UPPER(INDEX(L_Type,ROW()-4))))</f>
        <v/>
      </c>
      <c r="E4994">
        <f>IF(INDEX(P_Status,ROW()-4)="","",TRIM(UPPER(INDEX(P_Status,ROW()-4))))</f>
        <v/>
      </c>
      <c r="G4994">
        <f>IF(INDEX(L_Status,ROW()-4)="","",TRIM(UPPER(INDEX(L_Status,ROW()-4))))</f>
        <v/>
      </c>
      <c r="J4994">
        <f>IF(INDEX(L_ID,ROW()-4)="","",IF(SUMPRODUCT((P_ID=INDEX(L_ID,ROW()-4))*(P_StatusN="INACTIVE"))&gt;0,1,0))</f>
        <v/>
      </c>
    </row>
    <row r="4995">
      <c r="A4995">
        <f>IF(INDEX(L_ID,ROW()-4)="","",IF(COUNTIF(P_ID,INDEX(L_ID,ROW()-4))&gt;0,1,0))</f>
        <v/>
      </c>
      <c r="B4995">
        <f>IF(INDEX(P_Type,ROW()-4)="","",TRIM(UPPER(INDEX(P_Type,ROW()-4))))</f>
        <v/>
      </c>
      <c r="D4995">
        <f>IF(INDEX(L_Type,ROW()-4)="","",TRIM(UPPER(INDEX(L_Type,ROW()-4))))</f>
        <v/>
      </c>
      <c r="E4995">
        <f>IF(INDEX(P_Status,ROW()-4)="","",TRIM(UPPER(INDEX(P_Status,ROW()-4))))</f>
        <v/>
      </c>
      <c r="G4995">
        <f>IF(INDEX(L_Status,ROW()-4)="","",TRIM(UPPER(INDEX(L_Status,ROW()-4))))</f>
        <v/>
      </c>
      <c r="J4995">
        <f>IF(INDEX(L_ID,ROW()-4)="","",IF(SUMPRODUCT((P_ID=INDEX(L_ID,ROW()-4))*(P_StatusN="INACTIVE"))&gt;0,1,0))</f>
        <v/>
      </c>
    </row>
    <row r="4996">
      <c r="A4996">
        <f>IF(INDEX(L_ID,ROW()-4)="","",IF(COUNTIF(P_ID,INDEX(L_ID,ROW()-4))&gt;0,1,0))</f>
        <v/>
      </c>
      <c r="B4996">
        <f>IF(INDEX(P_Type,ROW()-4)="","",TRIM(UPPER(INDEX(P_Type,ROW()-4))))</f>
        <v/>
      </c>
      <c r="D4996">
        <f>IF(INDEX(L_Type,ROW()-4)="","",TRIM(UPPER(INDEX(L_Type,ROW()-4))))</f>
        <v/>
      </c>
      <c r="E4996">
        <f>IF(INDEX(P_Status,ROW()-4)="","",TRIM(UPPER(INDEX(P_Status,ROW()-4))))</f>
        <v/>
      </c>
      <c r="G4996">
        <f>IF(INDEX(L_Status,ROW()-4)="","",TRIM(UPPER(INDEX(L_Status,ROW()-4))))</f>
        <v/>
      </c>
      <c r="J4996">
        <f>IF(INDEX(L_ID,ROW()-4)="","",IF(SUMPRODUCT((P_ID=INDEX(L_ID,ROW()-4))*(P_StatusN="INACTIVE"))&gt;0,1,0))</f>
        <v/>
      </c>
    </row>
    <row r="4997">
      <c r="A4997">
        <f>IF(INDEX(L_ID,ROW()-4)="","",IF(COUNTIF(P_ID,INDEX(L_ID,ROW()-4))&gt;0,1,0))</f>
        <v/>
      </c>
      <c r="B4997">
        <f>IF(INDEX(P_Type,ROW()-4)="","",TRIM(UPPER(INDEX(P_Type,ROW()-4))))</f>
        <v/>
      </c>
      <c r="D4997">
        <f>IF(INDEX(L_Type,ROW()-4)="","",TRIM(UPPER(INDEX(L_Type,ROW()-4))))</f>
        <v/>
      </c>
      <c r="E4997">
        <f>IF(INDEX(P_Status,ROW()-4)="","",TRIM(UPPER(INDEX(P_Status,ROW()-4))))</f>
        <v/>
      </c>
      <c r="G4997">
        <f>IF(INDEX(L_Status,ROW()-4)="","",TRIM(UPPER(INDEX(L_Status,ROW()-4))))</f>
        <v/>
      </c>
      <c r="J4997">
        <f>IF(INDEX(L_ID,ROW()-4)="","",IF(SUMPRODUCT((P_ID=INDEX(L_ID,ROW()-4))*(P_StatusN="INACTIVE"))&gt;0,1,0))</f>
        <v/>
      </c>
    </row>
    <row r="4998">
      <c r="A4998">
        <f>IF(INDEX(L_ID,ROW()-4)="","",IF(COUNTIF(P_ID,INDEX(L_ID,ROW()-4))&gt;0,1,0))</f>
        <v/>
      </c>
      <c r="B4998">
        <f>IF(INDEX(P_Type,ROW()-4)="","",TRIM(UPPER(INDEX(P_Type,ROW()-4))))</f>
        <v/>
      </c>
      <c r="D4998">
        <f>IF(INDEX(L_Type,ROW()-4)="","",TRIM(UPPER(INDEX(L_Type,ROW()-4))))</f>
        <v/>
      </c>
      <c r="E4998">
        <f>IF(INDEX(P_Status,ROW()-4)="","",TRIM(UPPER(INDEX(P_Status,ROW()-4))))</f>
        <v/>
      </c>
      <c r="G4998">
        <f>IF(INDEX(L_Status,ROW()-4)="","",TRIM(UPPER(INDEX(L_Status,ROW()-4))))</f>
        <v/>
      </c>
      <c r="J4998">
        <f>IF(INDEX(L_ID,ROW()-4)="","",IF(SUMPRODUCT((P_ID=INDEX(L_ID,ROW()-4))*(P_StatusN="INACTIVE"))&gt;0,1,0))</f>
        <v/>
      </c>
    </row>
    <row r="4999">
      <c r="A4999">
        <f>IF(INDEX(L_ID,ROW()-4)="","",IF(COUNTIF(P_ID,INDEX(L_ID,ROW()-4))&gt;0,1,0))</f>
        <v/>
      </c>
      <c r="B4999">
        <f>IF(INDEX(P_Type,ROW()-4)="","",TRIM(UPPER(INDEX(P_Type,ROW()-4))))</f>
        <v/>
      </c>
      <c r="D4999">
        <f>IF(INDEX(L_Type,ROW()-4)="","",TRIM(UPPER(INDEX(L_Type,ROW()-4))))</f>
        <v/>
      </c>
      <c r="E4999">
        <f>IF(INDEX(P_Status,ROW()-4)="","",TRIM(UPPER(INDEX(P_Status,ROW()-4))))</f>
        <v/>
      </c>
      <c r="G4999">
        <f>IF(INDEX(L_Status,ROW()-4)="","",TRIM(UPPER(INDEX(L_Status,ROW()-4))))</f>
        <v/>
      </c>
      <c r="J4999">
        <f>IF(INDEX(L_ID,ROW()-4)="","",IF(SUMPRODUCT((P_ID=INDEX(L_ID,ROW()-4))*(P_StatusN="INACTIVE"))&gt;0,1,0))</f>
        <v/>
      </c>
    </row>
    <row r="5000">
      <c r="A5000">
        <f>IF(INDEX(L_ID,ROW()-4)="","",IF(COUNTIF(P_ID,INDEX(L_ID,ROW()-4))&gt;0,1,0))</f>
        <v/>
      </c>
      <c r="B5000">
        <f>IF(INDEX(P_Type,ROW()-4)="","",TRIM(UPPER(INDEX(P_Type,ROW()-4))))</f>
        <v/>
      </c>
      <c r="D5000">
        <f>IF(INDEX(L_Type,ROW()-4)="","",TRIM(UPPER(INDEX(L_Type,ROW()-4))))</f>
        <v/>
      </c>
      <c r="E5000">
        <f>IF(INDEX(P_Status,ROW()-4)="","",TRIM(UPPER(INDEX(P_Status,ROW()-4))))</f>
        <v/>
      </c>
      <c r="G5000">
        <f>IF(INDEX(L_Status,ROW()-4)="","",TRIM(UPPER(INDEX(L_Status,ROW()-4))))</f>
        <v/>
      </c>
      <c r="J5000">
        <f>IF(INDEX(L_ID,ROW()-4)="","",IF(SUMPRODUCT((P_ID=INDEX(L_ID,ROW()-4))*(P_StatusN="INACTIVE"))&gt;0,1,0))</f>
        <v/>
      </c>
    </row>
    <row r="5001">
      <c r="A5001">
        <f>IF(INDEX(L_ID,ROW()-4)="","",IF(COUNTIF(P_ID,INDEX(L_ID,ROW()-4))&gt;0,1,0))</f>
        <v/>
      </c>
      <c r="B5001">
        <f>IF(INDEX(P_Type,ROW()-4)="","",TRIM(UPPER(INDEX(P_Type,ROW()-4))))</f>
        <v/>
      </c>
      <c r="D5001">
        <f>IF(INDEX(L_Type,ROW()-4)="","",TRIM(UPPER(INDEX(L_Type,ROW()-4))))</f>
        <v/>
      </c>
      <c r="E5001">
        <f>IF(INDEX(P_Status,ROW()-4)="","",TRIM(UPPER(INDEX(P_Status,ROW()-4))))</f>
        <v/>
      </c>
      <c r="G5001">
        <f>IF(INDEX(L_Status,ROW()-4)="","",TRIM(UPPER(INDEX(L_Status,ROW()-4))))</f>
        <v/>
      </c>
      <c r="J5001">
        <f>IF(INDEX(L_ID,ROW()-4)="","",IF(SUMPRODUCT((P_ID=INDEX(L_ID,ROW()-4))*(P_StatusN="INACTIVE"))&gt;0,1,0))</f>
        <v/>
      </c>
    </row>
    <row r="5002">
      <c r="A5002">
        <f>IF(INDEX(L_ID,ROW()-4)="","",IF(COUNTIF(P_ID,INDEX(L_ID,ROW()-4))&gt;0,1,0))</f>
        <v/>
      </c>
      <c r="B5002">
        <f>IF(INDEX(P_Type,ROW()-4)="","",TRIM(UPPER(INDEX(P_Type,ROW()-4))))</f>
        <v/>
      </c>
      <c r="D5002">
        <f>IF(INDEX(L_Type,ROW()-4)="","",TRIM(UPPER(INDEX(L_Type,ROW()-4))))</f>
        <v/>
      </c>
      <c r="E5002">
        <f>IF(INDEX(P_Status,ROW()-4)="","",TRIM(UPPER(INDEX(P_Status,ROW()-4))))</f>
        <v/>
      </c>
      <c r="G5002">
        <f>IF(INDEX(L_Status,ROW()-4)="","",TRIM(UPPER(INDEX(L_Status,ROW()-4))))</f>
        <v/>
      </c>
      <c r="J5002">
        <f>IF(INDEX(L_ID,ROW()-4)="","",IF(SUMPRODUCT((P_ID=INDEX(L_ID,ROW()-4))*(P_StatusN="INACTIVE"))&gt;0,1,0))</f>
        <v/>
      </c>
    </row>
    <row r="5003">
      <c r="A5003">
        <f>IF(INDEX(L_ID,ROW()-4)="","",IF(COUNTIF(P_ID,INDEX(L_ID,ROW()-4))&gt;0,1,0))</f>
        <v/>
      </c>
      <c r="B5003">
        <f>IF(INDEX(P_Type,ROW()-4)="","",TRIM(UPPER(INDEX(P_Type,ROW()-4))))</f>
        <v/>
      </c>
      <c r="D5003">
        <f>IF(INDEX(L_Type,ROW()-4)="","",TRIM(UPPER(INDEX(L_Type,ROW()-4))))</f>
        <v/>
      </c>
      <c r="E5003">
        <f>IF(INDEX(P_Status,ROW()-4)="","",TRIM(UPPER(INDEX(P_Status,ROW()-4))))</f>
        <v/>
      </c>
      <c r="G5003">
        <f>IF(INDEX(L_Status,ROW()-4)="","",TRIM(UPPER(INDEX(L_Status,ROW()-4))))</f>
        <v/>
      </c>
      <c r="J5003">
        <f>IF(INDEX(L_ID,ROW()-4)="","",IF(SUMPRODUCT((P_ID=INDEX(L_ID,ROW()-4))*(P_StatusN="INACTIVE"))&gt;0,1,0))</f>
        <v/>
      </c>
    </row>
    <row r="5004">
      <c r="A5004">
        <f>IF(INDEX(L_ID,ROW()-4)="","",IF(COUNTIF(P_ID,INDEX(L_ID,ROW()-4))&gt;0,1,0))</f>
        <v/>
      </c>
      <c r="B5004">
        <f>IF(INDEX(P_Type,ROW()-4)="","",TRIM(UPPER(INDEX(P_Type,ROW()-4))))</f>
        <v/>
      </c>
      <c r="D5004">
        <f>IF(INDEX(L_Type,ROW()-4)="","",TRIM(UPPER(INDEX(L_Type,ROW()-4))))</f>
        <v/>
      </c>
      <c r="E5004">
        <f>IF(INDEX(P_Status,ROW()-4)="","",TRIM(UPPER(INDEX(P_Status,ROW()-4))))</f>
        <v/>
      </c>
      <c r="G5004">
        <f>IF(INDEX(L_Status,ROW()-4)="","",TRIM(UPPER(INDEX(L_Status,ROW()-4))))</f>
        <v/>
      </c>
      <c r="J5004">
        <f>IF(INDEX(L_ID,ROW()-4)="","",IF(SUMPRODUCT((P_ID=INDEX(L_ID,ROW()-4))*(P_StatusN="INACTIVE"))&gt;0,1,0))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2026-09-21T05:50:41Z</dcterms:created>
  <dcterms:modified xmlns:dcterms="http://purl.org/dc/terms/" xmlns:xsi="http://www.w3.org/2001/XMLSchema-instance" xsi:type="dcterms:W3CDTF">2026-09-21T05:50:48Z</dcterms:modified>
</cp:coreProperties>
</file>